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FEEEBF21-D8AF-48EF-AFEE-CB088BA5494A}"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<sst xmlns="http://schemas.openxmlformats.org/spreadsheetml/2006/main" count="22745" uniqueCount="5702">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</sst>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151" activePane="bottomRight" state="frozen"/>
      <selection activeCell="AT134" sqref="AT134"/>
      <selection pane="topRight" activeCell="AT134" sqref="AT134"/>
      <selection pane="bottomLeft" activeCell="AT134" sqref="AT134"/>
      <selection pane="bottomRight" activeCell="AQ6" sqref="AQ6:BB6"/>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GPIO_PY1</v>
      </c>
      <c r="AE121" s="70"/>
      <c r="AF121" s="67" t="str">
        <f t="shared" si="25"/>
        <v>PULL_DOWN</v>
      </c>
      <c r="AG121" s="67" t="str">
        <f t="shared" si="26"/>
        <v>TRISTATE</v>
      </c>
      <c r="AH121" s="67" t="str">
        <f t="shared" si="27"/>
        <v>ENABLE</v>
      </c>
      <c r="AI121" s="71" t="str">
        <f t="shared" si="28"/>
        <v/>
      </c>
      <c r="AJ121" s="189" t="b">
        <v>1</v>
      </c>
      <c r="AK121" s="189" t="b">
        <v>1</v>
      </c>
      <c r="AL121" s="189" t="b">
        <v>1</v>
      </c>
      <c r="AM121" s="189" t="b">
        <v>1</v>
      </c>
      <c r="AN121" s="189" t="b">
        <v>1</v>
      </c>
      <c r="AO121" s="189" t="b">
        <v>1</v>
      </c>
      <c r="AP121" s="69" t="str">
        <f t="shared" si="29"/>
        <v>VALID</v>
      </c>
      <c r="AQ121" s="166" t="s">
        <v>2473</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GPIO_PY2</v>
      </c>
      <c r="AE122" s="70"/>
      <c r="AF122" s="67" t="str">
        <f t="shared" si="25"/>
        <v>PULL_DOWN</v>
      </c>
      <c r="AG122" s="67" t="str">
        <f t="shared" si="26"/>
        <v>TRISTATE</v>
      </c>
      <c r="AH122" s="67" t="str">
        <f t="shared" si="27"/>
        <v>ENABLE</v>
      </c>
      <c r="AI122" s="71" t="str">
        <f t="shared" si="28"/>
        <v/>
      </c>
      <c r="AJ122" s="189" t="b">
        <v>1</v>
      </c>
      <c r="AK122" s="189" t="b">
        <v>1</v>
      </c>
      <c r="AL122" s="189" t="b">
        <v>1</v>
      </c>
      <c r="AM122" s="189" t="b">
        <v>1</v>
      </c>
      <c r="AN122" s="189" t="b">
        <v>1</v>
      </c>
      <c r="AO122" s="189" t="b">
        <v>1</v>
      </c>
      <c r="AP122" s="69" t="str">
        <f t="shared" si="29"/>
        <v>VALID</v>
      </c>
      <c r="AQ122" s="169" t="s">
        <v>2474</v>
      </c>
      <c r="AR122" s="170" t="s">
        <v>862</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GPIO_PY3</v>
      </c>
      <c r="AE123" s="70"/>
      <c r="AF123" s="67" t="str">
        <f t="shared" si="25"/>
        <v>PULL_DOWN</v>
      </c>
      <c r="AG123" s="67" t="str">
        <f t="shared" si="26"/>
        <v>TRISTATE</v>
      </c>
      <c r="AH123" s="67" t="str">
        <f t="shared" si="27"/>
        <v>ENABLE</v>
      </c>
      <c r="AI123" s="71" t="str">
        <f t="shared" si="28"/>
        <v/>
      </c>
      <c r="AJ123" s="189" t="b">
        <v>1</v>
      </c>
      <c r="AK123" s="189" t="b">
        <v>1</v>
      </c>
      <c r="AL123" s="189" t="b">
        <v>1</v>
      </c>
      <c r="AM123" s="189" t="b">
        <v>1</v>
      </c>
      <c r="AN123" s="189" t="b">
        <v>1</v>
      </c>
      <c r="AO123" s="189" t="b">
        <v>1</v>
      </c>
      <c r="AP123" s="69" t="str">
        <f t="shared" si="29"/>
        <v>VALID</v>
      </c>
      <c r="AQ123" s="169" t="s">
        <v>2504</v>
      </c>
      <c r="AR123" s="170" t="s">
        <v>862</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GPIO_PY4</v>
      </c>
      <c r="AE124" s="70"/>
      <c r="AF124" s="67" t="str">
        <f t="shared" si="25"/>
        <v>PULL_DOWN</v>
      </c>
      <c r="AG124" s="67" t="str">
        <f t="shared" si="26"/>
        <v>TRISTATE</v>
      </c>
      <c r="AH124" s="67" t="str">
        <f t="shared" si="27"/>
        <v>ENABLE</v>
      </c>
      <c r="AI124" s="71" t="str">
        <f t="shared" si="28"/>
        <v/>
      </c>
      <c r="AJ124" s="189" t="b">
        <v>1</v>
      </c>
      <c r="AK124" s="189" t="b">
        <v>1</v>
      </c>
      <c r="AL124" s="189" t="b">
        <v>1</v>
      </c>
      <c r="AM124" s="189" t="b">
        <v>1</v>
      </c>
      <c r="AN124" s="189" t="b">
        <v>1</v>
      </c>
      <c r="AO124" s="189" t="b">
        <v>1</v>
      </c>
      <c r="AP124" s="69" t="str">
        <f t="shared" si="29"/>
        <v>VALID</v>
      </c>
      <c r="AQ124" s="169" t="s">
        <v>2505</v>
      </c>
      <c r="AR124" s="170" t="s">
        <v>862</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GPIO_PZ4</v>
      </c>
      <c r="AE132" s="70"/>
      <c r="AF132" s="67" t="str">
        <f t="shared" si="25"/>
        <v>PULL_DOWN</v>
      </c>
      <c r="AG132" s="67" t="str">
        <f t="shared" si="26"/>
        <v>TRISTATE</v>
      </c>
      <c r="AH132" s="67" t="str">
        <f t="shared" si="27"/>
        <v>ENABLE</v>
      </c>
      <c r="AI132" s="71" t="str">
        <f t="shared" si="28"/>
        <v/>
      </c>
      <c r="AJ132" s="189" t="b">
        <v>1</v>
      </c>
      <c r="AK132" s="189" t="b">
        <v>1</v>
      </c>
      <c r="AL132" s="189" t="b">
        <v>1</v>
      </c>
      <c r="AM132" s="189" t="b">
        <v>1</v>
      </c>
      <c r="AN132" s="189" t="b">
        <v>1</v>
      </c>
      <c r="AO132" s="189" t="b">
        <v>1</v>
      </c>
      <c r="AP132" s="69" t="str">
        <f t="shared" si="29"/>
        <v>VALID</v>
      </c>
      <c r="AQ132" s="166" t="s">
        <v>2499</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GPIO_PZ5</v>
      </c>
      <c r="AE133" s="70"/>
      <c r="AF133" s="67" t="str">
        <f t="shared" si="25"/>
        <v>PULL_DOWN</v>
      </c>
      <c r="AG133" s="67" t="str">
        <f t="shared" si="26"/>
        <v>TRISTATE</v>
      </c>
      <c r="AH133" s="67" t="str">
        <f t="shared" si="27"/>
        <v>ENABLE</v>
      </c>
      <c r="AI133" s="71" t="str">
        <f t="shared" si="28"/>
        <v/>
      </c>
      <c r="AJ133" s="189" t="b">
        <v>1</v>
      </c>
      <c r="AK133" s="189" t="b">
        <v>1</v>
      </c>
      <c r="AL133" s="189" t="b">
        <v>1</v>
      </c>
      <c r="AM133" s="189" t="b">
        <v>1</v>
      </c>
      <c r="AN133" s="189" t="b">
        <v>1</v>
      </c>
      <c r="AO133" s="189" t="b">
        <v>1</v>
      </c>
      <c r="AP133" s="69" t="str">
        <f t="shared" si="29"/>
        <v>VALID</v>
      </c>
      <c r="AQ133" s="166" t="s">
        <v>2498</v>
      </c>
      <c r="AR133" s="194" t="s">
        <v>862</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GPIO_PZ6</v>
      </c>
      <c r="AE134" s="70"/>
      <c r="AF134" s="67" t="str">
        <f t="shared" si="25"/>
        <v>PULL_UP</v>
      </c>
      <c r="AG134" s="67" t="str">
        <f t="shared" si="26"/>
        <v>TRISTATE</v>
      </c>
      <c r="AH134" s="67" t="str">
        <f t="shared" si="27"/>
        <v>ENABLE</v>
      </c>
      <c r="AI134" s="71" t="str">
        <f t="shared" si="28"/>
        <v/>
      </c>
      <c r="AJ134" s="189" t="b">
        <v>1</v>
      </c>
      <c r="AK134" s="189" t="b">
        <v>1</v>
      </c>
      <c r="AL134" s="189" t="b">
        <v>1</v>
      </c>
      <c r="AM134" s="189" t="b">
        <v>1</v>
      </c>
      <c r="AN134" s="189" t="b">
        <v>1</v>
      </c>
      <c r="AO134" s="189" t="b">
        <v>1</v>
      </c>
      <c r="AP134" s="69" t="str">
        <f t="shared" si="29"/>
        <v>VALID</v>
      </c>
      <c r="AQ134" s="166" t="s">
        <v>2501</v>
      </c>
      <c r="AR134" s="194" t="s">
        <v>862</v>
      </c>
      <c r="AS134" s="193" t="s">
        <v>873</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GPIO_PZ7</v>
      </c>
      <c r="AE135" s="70"/>
      <c r="AF135" s="67" t="str">
        <f t="shared" si="25"/>
        <v>PULL_UP</v>
      </c>
      <c r="AG135" s="67" t="str">
        <f t="shared" si="26"/>
        <v>TRISTATE</v>
      </c>
      <c r="AH135" s="67" t="str">
        <f t="shared" si="27"/>
        <v>ENABLE</v>
      </c>
      <c r="AI135" s="71" t="str">
        <f t="shared" si="28"/>
        <v/>
      </c>
      <c r="AJ135" s="189" t="b">
        <v>1</v>
      </c>
      <c r="AK135" s="189" t="b">
        <v>1</v>
      </c>
      <c r="AL135" s="189" t="b">
        <v>1</v>
      </c>
      <c r="AM135" s="189" t="b">
        <v>1</v>
      </c>
      <c r="AN135" s="189" t="b">
        <v>1</v>
      </c>
      <c r="AO135" s="189" t="b">
        <v>1</v>
      </c>
      <c r="AP135" s="69" t="str">
        <f t="shared" si="29"/>
        <v>VALID</v>
      </c>
      <c r="AQ135" s="166" t="s">
        <v>2451</v>
      </c>
      <c r="AR135" s="194" t="s">
        <v>862</v>
      </c>
      <c r="AS135" s="193" t="s">
        <v>873</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GPIO_PR0</v>
      </c>
      <c r="AE193" s="70"/>
      <c r="AF193" s="67" t="str">
        <f t="shared" si="44"/>
        <v>PULL_DOWN</v>
      </c>
      <c r="AG193" s="67" t="str">
        <f t="shared" si="45"/>
        <v>TRISTATE</v>
      </c>
      <c r="AH193" s="67" t="str">
        <f t="shared" si="46"/>
        <v>ENABLE</v>
      </c>
      <c r="AI193" s="71" t="str">
        <f t="shared" si="47"/>
        <v/>
      </c>
      <c r="AJ193" s="189" t="b">
        <v>1</v>
      </c>
      <c r="AK193" s="189" t="b">
        <v>1</v>
      </c>
      <c r="AL193" s="189" t="b">
        <v>1</v>
      </c>
      <c r="AM193" s="189" t="b">
        <v>1</v>
      </c>
      <c r="AN193" s="189" t="b">
        <v>1</v>
      </c>
      <c r="AO193" s="189" t="b">
        <v>1</v>
      </c>
      <c r="AP193" s="69" t="str">
        <f t="shared" si="48"/>
        <v>VALID</v>
      </c>
      <c r="AQ193" s="166" t="s">
        <v>2488</v>
      </c>
      <c r="AR193" s="194" t="s">
        <v>862</v>
      </c>
      <c r="AS193" s="193" t="s">
        <v>875</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GPIO_PN1</v>
      </c>
      <c r="AE262" s="70"/>
      <c r="AF262" s="67" t="str">
        <f t="shared" si="58"/>
        <v>PULL_DOWN</v>
      </c>
      <c r="AG262" s="67" t="str">
        <f t="shared" si="57"/>
        <v>TRISTATE</v>
      </c>
      <c r="AH262" s="67" t="str">
        <f t="shared" si="59"/>
        <v>ENABLE</v>
      </c>
      <c r="AI262" s="71" t="str">
        <f t="shared" si="60"/>
        <v/>
      </c>
      <c r="AJ262" s="189" t="b">
        <v>1</v>
      </c>
      <c r="AK262" s="189" t="b">
        <v>1</v>
      </c>
      <c r="AL262" s="189" t="b">
        <v>1</v>
      </c>
      <c r="AM262" s="189" t="b">
        <v>1</v>
      </c>
      <c r="AN262" s="189" t="b">
        <v>1</v>
      </c>
      <c r="AO262" s="189" t="b">
        <v>1</v>
      </c>
      <c r="AP262" s="69" t="str">
        <f t="shared" si="61"/>
        <v>VALID</v>
      </c>
      <c r="AQ262" s="195" t="s">
        <v>2415</v>
      </c>
      <c r="AR262" s="194" t="s">
        <v>862</v>
      </c>
      <c r="AS262" s="193" t="s">
        <v>875</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2022-03-16T06:28:54Z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