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_host\"/>
    </mc:Choice>
  </mc:AlternateContent>
  <xr:revisionPtr revIDLastSave="0" documentId="13_ncr:1_{C9881A9F-CD2C-490F-94A9-3F71776C04CF}" xr6:coauthVersionLast="47" xr6:coauthVersionMax="47" xr10:uidLastSave="{00000000-0000-0000-0000-000000000000}"/>
  <bookViews>
    <workbookView xWindow="-120" yWindow="-120" windowWidth="28260" windowHeight="13920" tabRatio="761" activeTab="1" xr2:uid="{00000000-000D-0000-FFFF-FFFF00000000}"/>
  </bookViews>
  <sheets>
    <sheet name="Customer-Readme" sheetId="18" r:id="rId1"/>
    <sheet name="Jetson_Xavier_NX_Module" sheetId="88" r:id="rId2"/>
  </sheets>
  <definedNames>
    <definedName name="_xlnm._FilterDatabase" localSheetId="1" hidden="1">Jetson_Xavier_NX_Module!$AQ$1:$AQ$1169</definedName>
    <definedName name="a" localSheetId="1">#REF!</definedName>
    <definedName name="a">#REF!</definedName>
    <definedName name="aa" localSheetId="1">#REF!</definedName>
    <definedName name="aa">#REF!</definedName>
    <definedName name="ab" localSheetId="1">#REF!</definedName>
    <definedName name="ab">#REF!</definedName>
    <definedName name="ac" localSheetId="1">#REF!</definedName>
    <definedName name="ac">#REF!</definedName>
    <definedName name="ad" localSheetId="1">#REF!</definedName>
    <definedName name="ad">#REF!</definedName>
    <definedName name="ae" localSheetId="1">#REF!</definedName>
    <definedName name="ae">#REF!</definedName>
    <definedName name="ah" localSheetId="1">#REF!</definedName>
    <definedName name="ah">#REF!</definedName>
    <definedName name="ai" localSheetId="1">#REF!</definedName>
    <definedName name="ai">#REF!</definedName>
    <definedName name="aj" localSheetId="1">#REF!</definedName>
    <definedName name="aj">#REF!</definedName>
    <definedName name="ak" localSheetId="1">#REF!</definedName>
    <definedName name="ak">#REF!</definedName>
    <definedName name="al" localSheetId="1">#REF!</definedName>
    <definedName name="al">#REF!</definedName>
    <definedName name="AllowedPinDirection_GPIO" localSheetId="1">Jetson_Xavier_NX_Module!$L$7</definedName>
    <definedName name="AllowedPinDirection_SFIO0" localSheetId="1">Jetson_Xavier_NX_Module!$M$7</definedName>
    <definedName name="AllowedPinDirection_SFIO1" localSheetId="1">Jetson_Xavier_NX_Module!$N$7</definedName>
    <definedName name="AllowedPinDirection_SFIO2" localSheetId="1">Jetson_Xavier_NX_Module!$O$7</definedName>
    <definedName name="AllowedPinDirection_SFIO3" localSheetId="1">Jetson_Xavier_NX_Module!$P$7</definedName>
    <definedName name="am" localSheetId="1">#REF!</definedName>
    <definedName name="am">#REF!</definedName>
    <definedName name="an" localSheetId="1">#REF!</definedName>
    <definedName name="an">#REF!</definedName>
    <definedName name="ao" localSheetId="1">#REF!</definedName>
    <definedName name="ao">#REF!</definedName>
    <definedName name="ap" localSheetId="1">#REF!</definedName>
    <definedName name="ap">#REF!</definedName>
    <definedName name="aq" localSheetId="1">#REF!</definedName>
    <definedName name="aq">#REF!</definedName>
    <definedName name="as" localSheetId="1">#REF!</definedName>
    <definedName name="as">#REF!</definedName>
    <definedName name="at" localSheetId="1">#REF!</definedName>
    <definedName name="at">#REF!</definedName>
    <definedName name="au" localSheetId="1">#REF!</definedName>
    <definedName name="au">#REF!</definedName>
    <definedName name="av" localSheetId="1">#REF!</definedName>
    <definedName name="av">#REF!</definedName>
    <definedName name="aw" localSheetId="1">#REF!</definedName>
    <definedName name="aw">#REF!</definedName>
    <definedName name="ay" localSheetId="1">#REF!</definedName>
    <definedName name="ay">#REF!</definedName>
    <definedName name="az" localSheetId="1">#REF!</definedName>
    <definedName name="az">#REF!</definedName>
    <definedName name="b" localSheetId="1">#REF!</definedName>
    <definedName name="b">#REF!</definedName>
    <definedName name="ConfigFirstCell" localSheetId="1">Jetson_Xavier_NX_Module!$AD$10</definedName>
    <definedName name="ConfigLastCell" localSheetId="1">Jetson_Xavier_NX_Module!$AI$264</definedName>
    <definedName name="Customer_Usage" localSheetId="1">Jetson_Xavier_NX_Module!$AQ$7</definedName>
    <definedName name="Customer_Usage_Checker" localSheetId="1">Jetson_Xavier_NX_Module!$AJ$7</definedName>
    <definedName name="E_Input" localSheetId="1">Jetson_Xavier_NX_Module!$AH$7</definedName>
    <definedName name="EQOS_LPBK_Enable" localSheetId="1">Jetson_Xavier_NX_Module!$AY$7</definedName>
    <definedName name="Error_Check" localSheetId="1">Jetson_Xavier_NX_Module!$AP$7</definedName>
    <definedName name="Ext_Pull_Down" localSheetId="1">Jetson_Xavier_NX_Module!$BA$7</definedName>
    <definedName name="Ext_Pull_Up" localSheetId="1">Jetson_Xavier_NX_Module!$AZ$7</definedName>
    <definedName name="FirstMPIO" localSheetId="1">Jetson_Xavier_NX_Module!$C$9</definedName>
    <definedName name="FirstPadVoltageConfig" localSheetId="1">Jetson_Xavier_NX_Module!$BD$1037</definedName>
    <definedName name="FirstPinMuxingOption" localSheetId="1">Jetson_Xavier_NX_Module!$G$10</definedName>
    <definedName name="Function_0" localSheetId="1">Jetson_Xavier_NX_Module!$Q$7</definedName>
    <definedName name="Function_Safe" localSheetId="1">Jetson_Xavier_NX_Module!$U$7</definedName>
    <definedName name="Galen" localSheetId="1">#REF!</definedName>
    <definedName name="Galen">#REF!</definedName>
    <definedName name="GPIO_Init_Value" localSheetId="1">Jetson_Xavier_NX_Module!$AI$7</definedName>
    <definedName name="Initial_State" localSheetId="1">Jetson_Xavier_NX_Module!$AS$7</definedName>
    <definedName name="Initial_State_Checker" localSheetId="1">Jetson_Xavier_NX_Module!$AK$7</definedName>
    <definedName name="LastMPIO" localSheetId="1">Jetson_Xavier_NX_Module!$C$264</definedName>
    <definedName name="LastPadVoltageConfig" localSheetId="1">Jetson_Xavier_NX_Module!$BD$1044</definedName>
    <definedName name="LastSignameRow" localSheetId="1">#REF!</definedName>
    <definedName name="LastSignameRow">#REF!</definedName>
    <definedName name="Lock" localSheetId="1">Jetson_Xavier_NX_Module!$AU$7</definedName>
    <definedName name="LPDR_Enable" localSheetId="1">Jetson_Xavier_NX_Module!$AX$7</definedName>
    <definedName name="MPIOName" localSheetId="1">Jetson_Xavier_NX_Module!$V$7</definedName>
    <definedName name="P2888_CVM_A00" localSheetId="1">#REF!</definedName>
    <definedName name="P2888_CVM_A00">#REF!</definedName>
    <definedName name="PadVoltageConfig" localSheetId="1">Jetson_Xavier_NX_Module!$BE$1036</definedName>
    <definedName name="Pin_Direction" localSheetId="1">Jetson_Xavier_NX_Module!$AR$7</definedName>
    <definedName name="Pin_Direction_Checker" localSheetId="1">Jetson_Xavier_NX_Module!$AL$7</definedName>
    <definedName name="Pin_Group" localSheetId="1">Jetson_Xavier_NX_Module!$AD$7</definedName>
    <definedName name="Pinmux_GPIO" localSheetId="1">Jetson_Xavier_NX_Module!$G$7</definedName>
    <definedName name="Pinmux_SFIO0" localSheetId="1">Jetson_Xavier_NX_Module!$H$7</definedName>
    <definedName name="Pinmux_SFIO1" localSheetId="1">Jetson_Xavier_NX_Module!$I$7</definedName>
    <definedName name="Pinmux_SFIO2" localSheetId="1">Jetson_Xavier_NX_Module!$J$7</definedName>
    <definedName name="Pinmux_SFIO3" localSheetId="1">Jetson_Xavier_NX_Module!$K$7</definedName>
    <definedName name="Pinmux_Unused" localSheetId="1">Jetson_Xavier_NX_Module!$F$7</definedName>
    <definedName name="PUPD" localSheetId="1">Jetson_Xavier_NX_Module!$AF$7</definedName>
    <definedName name="RCV_SEL" localSheetId="1">Jetson_Xavier_NX_Module!$AW$7</definedName>
    <definedName name="RCV_SEL_Checker" localSheetId="1">Jetson_Xavier_NX_Module!$AO$7</definedName>
    <definedName name="Resistor_Checker" localSheetId="1">Jetson_Xavier_NX_Module!$AN$7</definedName>
    <definedName name="REVISION_NO" localSheetId="1">Jetson_Xavier_NX_Module!$B$3</definedName>
    <definedName name="REVISION_NUMBER" localSheetId="1">Jetson_Xavier_NX_Module!$I$1035</definedName>
    <definedName name="REVISION_NUMBER">#REF!</definedName>
    <definedName name="sd" localSheetId="1">#REF!</definedName>
    <definedName name="sd">#REF!</definedName>
    <definedName name="temnp19" localSheetId="1">#REF!</definedName>
    <definedName name="temnp19">#REF!</definedName>
    <definedName name="temp" localSheetId="1">#REF!</definedName>
    <definedName name="temp">#REF!</definedName>
    <definedName name="temp1" localSheetId="1">#REF!</definedName>
    <definedName name="temp1">#REF!</definedName>
    <definedName name="temp10" localSheetId="1">#REF!</definedName>
    <definedName name="temp10">#REF!</definedName>
    <definedName name="temp11" localSheetId="1">#REF!</definedName>
    <definedName name="temp11">#REF!</definedName>
    <definedName name="temp12" localSheetId="1">#REF!</definedName>
    <definedName name="temp12">#REF!</definedName>
    <definedName name="temp13" localSheetId="1">#REF!</definedName>
    <definedName name="temp13">#REF!</definedName>
    <definedName name="temp14" localSheetId="1">#REF!</definedName>
    <definedName name="temp14">#REF!</definedName>
    <definedName name="temp15" localSheetId="1">#REF!</definedName>
    <definedName name="temp15">#REF!</definedName>
    <definedName name="temp16" localSheetId="1">#REF!</definedName>
    <definedName name="temp16">#REF!</definedName>
    <definedName name="temp17" localSheetId="1">#REF!</definedName>
    <definedName name="temp17">#REF!</definedName>
    <definedName name="temp18" localSheetId="1">#REF!</definedName>
    <definedName name="temp18">#REF!</definedName>
    <definedName name="temp2" localSheetId="1">#REF!</definedName>
    <definedName name="temp2">#REF!</definedName>
    <definedName name="temp3" localSheetId="1">#REF!</definedName>
    <definedName name="temp3">#REF!</definedName>
    <definedName name="temp4" localSheetId="1">#REF!</definedName>
    <definedName name="temp4">#REF!</definedName>
    <definedName name="temp5" localSheetId="1">#REF!</definedName>
    <definedName name="temp5">#REF!</definedName>
    <definedName name="temp6" localSheetId="1">#REF!</definedName>
    <definedName name="temp6">#REF!</definedName>
    <definedName name="temp7" localSheetId="1">#REF!</definedName>
    <definedName name="temp7">#REF!</definedName>
    <definedName name="temp8" localSheetId="1">#REF!</definedName>
    <definedName name="temp8">#REF!</definedName>
    <definedName name="temp9" localSheetId="1">#REF!</definedName>
    <definedName name="temp9">#REF!</definedName>
    <definedName name="Tristate" localSheetId="1">Jetson_Xavier_NX_Module!$AG$7</definedName>
    <definedName name="Wake_Checker" localSheetId="1">Jetson_Xavier_NX_Module!$AM$7</definedName>
    <definedName name="Wake_Pin" localSheetId="1">Jetson_Xavier_NX_Module!$AT$7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1044" i="88" l="1"/>
  <c r="BE1043" i="88"/>
  <c r="BE1042" i="88"/>
  <c r="BE1041" i="88"/>
  <c r="BE1040" i="88"/>
  <c r="BE1039" i="88"/>
  <c r="BE1038" i="88"/>
  <c r="BE1037" i="88"/>
  <c r="AP263" i="88"/>
  <c r="AI263" i="88"/>
  <c r="AH263" i="88"/>
  <c r="AG263" i="88"/>
  <c r="AF263" i="88"/>
  <c r="AD263" i="88"/>
  <c r="AP262" i="88"/>
  <c r="AI262" i="88"/>
  <c r="AH262" i="88"/>
  <c r="AG262" i="88"/>
  <c r="AF262" i="88"/>
  <c r="AD262" i="88"/>
  <c r="AP261" i="88"/>
  <c r="AI261" i="88"/>
  <c r="AH261" i="88"/>
  <c r="AG261" i="88"/>
  <c r="AF261" i="88"/>
  <c r="AD261" i="88"/>
  <c r="AP260" i="88"/>
  <c r="AI260" i="88"/>
  <c r="AH260" i="88"/>
  <c r="AG260" i="88"/>
  <c r="AF260" i="88"/>
  <c r="AD260" i="88"/>
  <c r="AP259" i="88"/>
  <c r="AI259" i="88"/>
  <c r="AH259" i="88"/>
  <c r="AG259" i="88"/>
  <c r="AF259" i="88"/>
  <c r="AD259" i="88"/>
  <c r="AP258" i="88"/>
  <c r="AI258" i="88"/>
  <c r="AH258" i="88"/>
  <c r="AG258" i="88"/>
  <c r="AF258" i="88"/>
  <c r="AD258" i="88"/>
  <c r="AP257" i="88"/>
  <c r="AI257" i="88"/>
  <c r="AH257" i="88"/>
  <c r="AG257" i="88"/>
  <c r="AF257" i="88"/>
  <c r="AD257" i="88"/>
  <c r="AP256" i="88"/>
  <c r="AI256" i="88"/>
  <c r="AH256" i="88"/>
  <c r="AG256" i="88"/>
  <c r="AF256" i="88"/>
  <c r="AD256" i="88"/>
  <c r="AP255" i="88"/>
  <c r="AI255" i="88"/>
  <c r="AH255" i="88"/>
  <c r="AG255" i="88"/>
  <c r="AF255" i="88"/>
  <c r="AP254" i="88"/>
  <c r="AI254" i="88"/>
  <c r="AH254" i="88"/>
  <c r="AG254" i="88"/>
  <c r="AF254" i="88"/>
  <c r="AP253" i="88"/>
  <c r="AI253" i="88"/>
  <c r="AH253" i="88"/>
  <c r="AG253" i="88"/>
  <c r="AF253" i="88"/>
  <c r="AD253" i="88"/>
  <c r="AP252" i="88"/>
  <c r="AI252" i="88"/>
  <c r="AH252" i="88"/>
  <c r="AG252" i="88"/>
  <c r="AF252" i="88"/>
  <c r="AP251" i="88"/>
  <c r="AI251" i="88"/>
  <c r="AH251" i="88"/>
  <c r="AG251" i="88"/>
  <c r="AF251" i="88"/>
  <c r="AP250" i="88"/>
  <c r="AI250" i="88"/>
  <c r="AH250" i="88"/>
  <c r="AG250" i="88"/>
  <c r="AF250" i="88"/>
  <c r="AD250" i="88"/>
  <c r="AP249" i="88"/>
  <c r="AI249" i="88"/>
  <c r="AH249" i="88"/>
  <c r="AG249" i="88"/>
  <c r="AF249" i="88"/>
  <c r="AP248" i="88"/>
  <c r="AI248" i="88"/>
  <c r="AH248" i="88"/>
  <c r="AG248" i="88"/>
  <c r="AF248" i="88"/>
  <c r="AP247" i="88"/>
  <c r="AI247" i="88"/>
  <c r="AH247" i="88"/>
  <c r="AG247" i="88"/>
  <c r="AF247" i="88"/>
  <c r="AD247" i="88"/>
  <c r="AP246" i="88"/>
  <c r="AI246" i="88"/>
  <c r="AH246" i="88"/>
  <c r="AG246" i="88"/>
  <c r="AF246" i="88"/>
  <c r="AP245" i="88"/>
  <c r="AI245" i="88"/>
  <c r="AH245" i="88"/>
  <c r="AG245" i="88"/>
  <c r="AF245" i="88"/>
  <c r="AP243" i="88"/>
  <c r="AI243" i="88"/>
  <c r="AH243" i="88"/>
  <c r="AG243" i="88"/>
  <c r="AF243" i="88"/>
  <c r="AP242" i="88"/>
  <c r="AI242" i="88"/>
  <c r="AH242" i="88"/>
  <c r="AG242" i="88"/>
  <c r="AF242" i="88"/>
  <c r="AP240" i="88"/>
  <c r="AI240" i="88"/>
  <c r="AH240" i="88"/>
  <c r="AG240" i="88"/>
  <c r="AF240" i="88"/>
  <c r="AP239" i="88"/>
  <c r="AI239" i="88"/>
  <c r="AH239" i="88"/>
  <c r="AG239" i="88"/>
  <c r="AF239" i="88"/>
  <c r="AP238" i="88"/>
  <c r="AI238" i="88"/>
  <c r="AH238" i="88"/>
  <c r="AG238" i="88"/>
  <c r="AF238" i="88"/>
  <c r="AP237" i="88"/>
  <c r="AI237" i="88"/>
  <c r="AH237" i="88"/>
  <c r="AG237" i="88"/>
  <c r="AF237" i="88"/>
  <c r="AP236" i="88"/>
  <c r="AI236" i="88"/>
  <c r="AH236" i="88"/>
  <c r="AG236" i="88"/>
  <c r="AF236" i="88"/>
  <c r="AP235" i="88"/>
  <c r="AI235" i="88"/>
  <c r="AH235" i="88"/>
  <c r="AG235" i="88"/>
  <c r="AF235" i="88"/>
  <c r="AP234" i="88"/>
  <c r="AI234" i="88"/>
  <c r="AH234" i="88"/>
  <c r="AG234" i="88"/>
  <c r="AF234" i="88"/>
  <c r="AP233" i="88"/>
  <c r="AI233" i="88"/>
  <c r="AH233" i="88"/>
  <c r="AG233" i="88"/>
  <c r="AF233" i="88"/>
  <c r="AP232" i="88"/>
  <c r="AI232" i="88"/>
  <c r="AH232" i="88"/>
  <c r="AG232" i="88"/>
  <c r="AF232" i="88"/>
  <c r="AP231" i="88"/>
  <c r="AI231" i="88"/>
  <c r="AH231" i="88"/>
  <c r="AG231" i="88"/>
  <c r="AF231" i="88"/>
  <c r="AP229" i="88"/>
  <c r="AI229" i="88"/>
  <c r="AH229" i="88"/>
  <c r="AG229" i="88"/>
  <c r="AF229" i="88"/>
  <c r="AD229" i="88"/>
  <c r="AP228" i="88"/>
  <c r="AI228" i="88"/>
  <c r="AH228" i="88"/>
  <c r="AG228" i="88"/>
  <c r="AF228" i="88"/>
  <c r="AD228" i="88"/>
  <c r="AP226" i="88"/>
  <c r="AI226" i="88"/>
  <c r="AH226" i="88"/>
  <c r="AG226" i="88"/>
  <c r="AF226" i="88"/>
  <c r="AD226" i="88"/>
  <c r="AP225" i="88"/>
  <c r="AI225" i="88"/>
  <c r="AH225" i="88"/>
  <c r="AG225" i="88"/>
  <c r="AF225" i="88"/>
  <c r="AD225" i="88"/>
  <c r="AP224" i="88"/>
  <c r="AI224" i="88"/>
  <c r="AH224" i="88"/>
  <c r="AG224" i="88"/>
  <c r="AF224" i="88"/>
  <c r="AD224" i="88"/>
  <c r="AP223" i="88"/>
  <c r="AI223" i="88"/>
  <c r="AH223" i="88"/>
  <c r="AG223" i="88"/>
  <c r="AF223" i="88"/>
  <c r="AD223" i="88"/>
  <c r="AP222" i="88"/>
  <c r="AI222" i="88"/>
  <c r="AH222" i="88"/>
  <c r="AG222" i="88"/>
  <c r="AF222" i="88"/>
  <c r="AD222" i="88"/>
  <c r="AP221" i="88"/>
  <c r="AI221" i="88"/>
  <c r="AH221" i="88"/>
  <c r="AG221" i="88"/>
  <c r="AF221" i="88"/>
  <c r="AD221" i="88"/>
  <c r="AP220" i="88"/>
  <c r="AI220" i="88"/>
  <c r="AH220" i="88"/>
  <c r="AG220" i="88"/>
  <c r="AF220" i="88"/>
  <c r="AD220" i="88"/>
  <c r="AP219" i="88"/>
  <c r="AI219" i="88"/>
  <c r="AH219" i="88"/>
  <c r="AG219" i="88"/>
  <c r="AF219" i="88"/>
  <c r="AD219" i="88"/>
  <c r="AP218" i="88"/>
  <c r="AI218" i="88"/>
  <c r="AH218" i="88"/>
  <c r="AG218" i="88"/>
  <c r="AF218" i="88"/>
  <c r="AD218" i="88"/>
  <c r="AP217" i="88"/>
  <c r="AI217" i="88"/>
  <c r="AH217" i="88"/>
  <c r="AG217" i="88"/>
  <c r="AF217" i="88"/>
  <c r="AD217" i="88"/>
  <c r="AP216" i="88"/>
  <c r="AI216" i="88"/>
  <c r="AH216" i="88"/>
  <c r="AG216" i="88"/>
  <c r="AF216" i="88"/>
  <c r="AD216" i="88"/>
  <c r="AP215" i="88"/>
  <c r="AI215" i="88"/>
  <c r="AH215" i="88"/>
  <c r="AG215" i="88"/>
  <c r="AF215" i="88"/>
  <c r="AD215" i="88"/>
  <c r="AP213" i="88"/>
  <c r="AI213" i="88"/>
  <c r="AH213" i="88"/>
  <c r="AG213" i="88"/>
  <c r="AF213" i="88"/>
  <c r="AD213" i="88"/>
  <c r="AP212" i="88"/>
  <c r="AI212" i="88"/>
  <c r="AH212" i="88"/>
  <c r="AG212" i="88"/>
  <c r="AF212" i="88"/>
  <c r="AD212" i="88"/>
  <c r="AP210" i="88"/>
  <c r="AI210" i="88"/>
  <c r="AH210" i="88"/>
  <c r="AG210" i="88"/>
  <c r="AF210" i="88"/>
  <c r="AD210" i="88"/>
  <c r="AP209" i="88"/>
  <c r="AI209" i="88"/>
  <c r="AH209" i="88"/>
  <c r="AG209" i="88"/>
  <c r="AF209" i="88"/>
  <c r="AD209" i="88"/>
  <c r="AP207" i="88"/>
  <c r="AI207" i="88"/>
  <c r="AH207" i="88"/>
  <c r="AG207" i="88"/>
  <c r="AF207" i="88"/>
  <c r="AD207" i="88"/>
  <c r="AP206" i="88"/>
  <c r="AI206" i="88"/>
  <c r="AH206" i="88"/>
  <c r="AG206" i="88"/>
  <c r="AF206" i="88"/>
  <c r="AD206" i="88"/>
  <c r="AP205" i="88"/>
  <c r="AI205" i="88"/>
  <c r="AH205" i="88"/>
  <c r="AG205" i="88"/>
  <c r="AF205" i="88"/>
  <c r="AD205" i="88"/>
  <c r="AP204" i="88"/>
  <c r="AI204" i="88"/>
  <c r="AH204" i="88"/>
  <c r="AG204" i="88"/>
  <c r="AF204" i="88"/>
  <c r="AD204" i="88"/>
  <c r="AP203" i="88"/>
  <c r="AI203" i="88"/>
  <c r="AH203" i="88"/>
  <c r="AG203" i="88"/>
  <c r="AF203" i="88"/>
  <c r="AD203" i="88"/>
  <c r="AP202" i="88"/>
  <c r="AI202" i="88"/>
  <c r="AH202" i="88"/>
  <c r="AG202" i="88"/>
  <c r="AF202" i="88"/>
  <c r="AD202" i="88"/>
  <c r="AP201" i="88"/>
  <c r="AI201" i="88"/>
  <c r="AH201" i="88"/>
  <c r="AG201" i="88"/>
  <c r="AF201" i="88"/>
  <c r="AD201" i="88"/>
  <c r="AP200" i="88"/>
  <c r="AI200" i="88"/>
  <c r="AH200" i="88"/>
  <c r="AG200" i="88"/>
  <c r="AF200" i="88"/>
  <c r="AD200" i="88"/>
  <c r="AP198" i="88"/>
  <c r="AI198" i="88"/>
  <c r="AH198" i="88"/>
  <c r="AG198" i="88"/>
  <c r="AF198" i="88"/>
  <c r="AD198" i="88"/>
  <c r="AP197" i="88"/>
  <c r="AI197" i="88"/>
  <c r="AH197" i="88"/>
  <c r="AG197" i="88"/>
  <c r="AF197" i="88"/>
  <c r="AD197" i="88"/>
  <c r="AP196" i="88"/>
  <c r="AI196" i="88"/>
  <c r="AH196" i="88"/>
  <c r="AG196" i="88"/>
  <c r="AF196" i="88"/>
  <c r="AD196" i="88"/>
  <c r="AP195" i="88"/>
  <c r="AI195" i="88"/>
  <c r="AH195" i="88"/>
  <c r="AG195" i="88"/>
  <c r="AF195" i="88"/>
  <c r="AD195" i="88"/>
  <c r="AP194" i="88"/>
  <c r="AI194" i="88"/>
  <c r="AH194" i="88"/>
  <c r="AG194" i="88"/>
  <c r="AF194" i="88"/>
  <c r="AD194" i="88"/>
  <c r="AP193" i="88"/>
  <c r="AI193" i="88"/>
  <c r="AH193" i="88"/>
  <c r="AG193" i="88"/>
  <c r="AF193" i="88"/>
  <c r="AD193" i="88"/>
  <c r="AP192" i="88"/>
  <c r="AI192" i="88"/>
  <c r="AH192" i="88"/>
  <c r="AG192" i="88"/>
  <c r="AF192" i="88"/>
  <c r="AD192" i="88"/>
  <c r="AP191" i="88"/>
  <c r="AI191" i="88"/>
  <c r="AH191" i="88"/>
  <c r="AG191" i="88"/>
  <c r="AF191" i="88"/>
  <c r="AD191" i="88"/>
  <c r="AP190" i="88"/>
  <c r="AI190" i="88"/>
  <c r="AH190" i="88"/>
  <c r="AG190" i="88"/>
  <c r="AF190" i="88"/>
  <c r="AD190" i="88"/>
  <c r="AP189" i="88"/>
  <c r="AI189" i="88"/>
  <c r="AH189" i="88"/>
  <c r="AG189" i="88"/>
  <c r="AF189" i="88"/>
  <c r="AD189" i="88"/>
  <c r="AP188" i="88"/>
  <c r="AI188" i="88"/>
  <c r="AH188" i="88"/>
  <c r="AG188" i="88"/>
  <c r="AF188" i="88"/>
  <c r="AD188" i="88"/>
  <c r="AP187" i="88"/>
  <c r="AI187" i="88"/>
  <c r="AH187" i="88"/>
  <c r="AG187" i="88"/>
  <c r="AF187" i="88"/>
  <c r="AD187" i="88"/>
  <c r="AP186" i="88"/>
  <c r="AI186" i="88"/>
  <c r="AH186" i="88"/>
  <c r="AG186" i="88"/>
  <c r="AF186" i="88"/>
  <c r="AD186" i="88"/>
  <c r="AP185" i="88"/>
  <c r="AI185" i="88"/>
  <c r="AH185" i="88"/>
  <c r="AG185" i="88"/>
  <c r="AF185" i="88"/>
  <c r="AD185" i="88"/>
  <c r="AP184" i="88"/>
  <c r="AI184" i="88"/>
  <c r="AH184" i="88"/>
  <c r="AG184" i="88"/>
  <c r="AF184" i="88"/>
  <c r="AD184" i="88"/>
  <c r="AP183" i="88"/>
  <c r="AI183" i="88"/>
  <c r="AH183" i="88"/>
  <c r="AG183" i="88"/>
  <c r="AF183" i="88"/>
  <c r="AD183" i="88"/>
  <c r="AP182" i="88"/>
  <c r="AI182" i="88"/>
  <c r="AH182" i="88"/>
  <c r="AG182" i="88"/>
  <c r="AF182" i="88"/>
  <c r="AD182" i="88"/>
  <c r="AP181" i="88"/>
  <c r="AI181" i="88"/>
  <c r="AH181" i="88"/>
  <c r="AG181" i="88"/>
  <c r="AF181" i="88"/>
  <c r="AD181" i="88"/>
  <c r="AP180" i="88"/>
  <c r="AI180" i="88"/>
  <c r="AH180" i="88"/>
  <c r="AG180" i="88"/>
  <c r="AF180" i="88"/>
  <c r="AD180" i="88"/>
  <c r="AP179" i="88"/>
  <c r="AI179" i="88"/>
  <c r="AH179" i="88"/>
  <c r="AG179" i="88"/>
  <c r="AF179" i="88"/>
  <c r="AD179" i="88"/>
  <c r="AP178" i="88"/>
  <c r="AI178" i="88"/>
  <c r="AH178" i="88"/>
  <c r="AG178" i="88"/>
  <c r="AF178" i="88"/>
  <c r="AD178" i="88"/>
  <c r="AP177" i="88"/>
  <c r="AI177" i="88"/>
  <c r="AH177" i="88"/>
  <c r="AG177" i="88"/>
  <c r="AF177" i="88"/>
  <c r="AD177" i="88"/>
  <c r="AP175" i="88"/>
  <c r="AI175" i="88"/>
  <c r="AH175" i="88"/>
  <c r="AG175" i="88"/>
  <c r="AF175" i="88"/>
  <c r="AD175" i="88"/>
  <c r="AP174" i="88"/>
  <c r="AI174" i="88"/>
  <c r="AH174" i="88"/>
  <c r="AG174" i="88"/>
  <c r="AF174" i="88"/>
  <c r="AD174" i="88"/>
  <c r="AP173" i="88"/>
  <c r="AI173" i="88"/>
  <c r="AH173" i="88"/>
  <c r="AG173" i="88"/>
  <c r="AF173" i="88"/>
  <c r="AD173" i="88"/>
  <c r="AP172" i="88"/>
  <c r="AI172" i="88"/>
  <c r="AH172" i="88"/>
  <c r="AG172" i="88"/>
  <c r="AF172" i="88"/>
  <c r="AD172" i="88"/>
  <c r="AP171" i="88"/>
  <c r="AI171" i="88"/>
  <c r="AH171" i="88"/>
  <c r="AG171" i="88"/>
  <c r="AF171" i="88"/>
  <c r="AD171" i="88"/>
  <c r="AP170" i="88"/>
  <c r="AI170" i="88"/>
  <c r="AH170" i="88"/>
  <c r="AG170" i="88"/>
  <c r="AF170" i="88"/>
  <c r="AD170" i="88"/>
  <c r="AP169" i="88"/>
  <c r="AI169" i="88"/>
  <c r="AH169" i="88"/>
  <c r="AG169" i="88"/>
  <c r="AF169" i="88"/>
  <c r="AD169" i="88"/>
  <c r="AP168" i="88"/>
  <c r="AI168" i="88"/>
  <c r="AH168" i="88"/>
  <c r="AG168" i="88"/>
  <c r="AF168" i="88"/>
  <c r="AD168" i="88"/>
  <c r="AP167" i="88"/>
  <c r="AI167" i="88"/>
  <c r="AH167" i="88"/>
  <c r="AG167" i="88"/>
  <c r="AF167" i="88"/>
  <c r="AD167" i="88"/>
  <c r="AP166" i="88"/>
  <c r="AI166" i="88"/>
  <c r="AH166" i="88"/>
  <c r="AG166" i="88"/>
  <c r="AF166" i="88"/>
  <c r="AD166" i="88"/>
  <c r="AP165" i="88"/>
  <c r="AI165" i="88"/>
  <c r="AH165" i="88"/>
  <c r="AG165" i="88"/>
  <c r="AF165" i="88"/>
  <c r="AD165" i="88"/>
  <c r="AP163" i="88"/>
  <c r="AI163" i="88"/>
  <c r="AH163" i="88"/>
  <c r="AG163" i="88"/>
  <c r="AF163" i="88"/>
  <c r="AD163" i="88"/>
  <c r="AP162" i="88"/>
  <c r="AI162" i="88"/>
  <c r="AH162" i="88"/>
  <c r="AG162" i="88"/>
  <c r="AF162" i="88"/>
  <c r="AD162" i="88"/>
  <c r="AP161" i="88"/>
  <c r="AI161" i="88"/>
  <c r="AH161" i="88"/>
  <c r="AG161" i="88"/>
  <c r="AF161" i="88"/>
  <c r="AD161" i="88"/>
  <c r="AP160" i="88"/>
  <c r="AI160" i="88"/>
  <c r="AH160" i="88"/>
  <c r="AG160" i="88"/>
  <c r="AF160" i="88"/>
  <c r="AD160" i="88"/>
  <c r="AP159" i="88"/>
  <c r="AI159" i="88"/>
  <c r="AH159" i="88"/>
  <c r="AG159" i="88"/>
  <c r="AF159" i="88"/>
  <c r="AD159" i="88"/>
  <c r="AP158" i="88"/>
  <c r="AI158" i="88"/>
  <c r="AH158" i="88"/>
  <c r="AG158" i="88"/>
  <c r="AF158" i="88"/>
  <c r="AD158" i="88"/>
  <c r="AP157" i="88"/>
  <c r="AI157" i="88"/>
  <c r="AH157" i="88"/>
  <c r="AG157" i="88"/>
  <c r="AF157" i="88"/>
  <c r="AD157" i="88"/>
  <c r="AP156" i="88"/>
  <c r="AI156" i="88"/>
  <c r="AH156" i="88"/>
  <c r="AG156" i="88"/>
  <c r="AF156" i="88"/>
  <c r="AD156" i="88"/>
  <c r="AP155" i="88"/>
  <c r="AI155" i="88"/>
  <c r="AH155" i="88"/>
  <c r="AG155" i="88"/>
  <c r="AF155" i="88"/>
  <c r="AD155" i="88"/>
  <c r="AP154" i="88"/>
  <c r="AI154" i="88"/>
  <c r="AH154" i="88"/>
  <c r="AG154" i="88"/>
  <c r="AF154" i="88"/>
  <c r="AD154" i="88"/>
  <c r="AP153" i="88"/>
  <c r="AI153" i="88"/>
  <c r="AH153" i="88"/>
  <c r="AG153" i="88"/>
  <c r="AF153" i="88"/>
  <c r="AD153" i="88"/>
  <c r="AP152" i="88"/>
  <c r="AI152" i="88"/>
  <c r="AH152" i="88"/>
  <c r="AG152" i="88"/>
  <c r="AF152" i="88"/>
  <c r="AD152" i="88"/>
  <c r="AP150" i="88"/>
  <c r="AI150" i="88"/>
  <c r="AH150" i="88"/>
  <c r="AG150" i="88"/>
  <c r="AF150" i="88"/>
  <c r="AP149" i="88"/>
  <c r="AI149" i="88"/>
  <c r="AH149" i="88"/>
  <c r="AG149" i="88"/>
  <c r="AF149" i="88"/>
  <c r="AP148" i="88"/>
  <c r="AI148" i="88"/>
  <c r="AH148" i="88"/>
  <c r="AG148" i="88"/>
  <c r="AF148" i="88"/>
  <c r="AD148" i="88"/>
  <c r="AP147" i="88"/>
  <c r="AI147" i="88"/>
  <c r="AH147" i="88"/>
  <c r="AG147" i="88"/>
  <c r="AF147" i="88"/>
  <c r="AP146" i="88"/>
  <c r="AI146" i="88"/>
  <c r="AH146" i="88"/>
  <c r="AG146" i="88"/>
  <c r="AF146" i="88"/>
  <c r="AD146" i="88"/>
  <c r="AP145" i="88"/>
  <c r="AI145" i="88"/>
  <c r="AH145" i="88"/>
  <c r="AG145" i="88"/>
  <c r="AF145" i="88"/>
  <c r="AD145" i="88"/>
  <c r="AP144" i="88"/>
  <c r="AI144" i="88"/>
  <c r="AH144" i="88"/>
  <c r="AG144" i="88"/>
  <c r="AF144" i="88"/>
  <c r="AP143" i="88"/>
  <c r="AI143" i="88"/>
  <c r="AH143" i="88"/>
  <c r="AG143" i="88"/>
  <c r="AF143" i="88"/>
  <c r="AP142" i="88"/>
  <c r="AI142" i="88"/>
  <c r="AH142" i="88"/>
  <c r="AG142" i="88"/>
  <c r="AF142" i="88"/>
  <c r="AD142" i="88"/>
  <c r="AP141" i="88"/>
  <c r="AI141" i="88"/>
  <c r="AH141" i="88"/>
  <c r="AG141" i="88"/>
  <c r="AF141" i="88"/>
  <c r="AD141" i="88"/>
  <c r="AP140" i="88"/>
  <c r="AI140" i="88"/>
  <c r="AH140" i="88"/>
  <c r="AG140" i="88"/>
  <c r="AF140" i="88"/>
  <c r="AD140" i="88"/>
  <c r="AP139" i="88"/>
  <c r="AI139" i="88"/>
  <c r="AH139" i="88"/>
  <c r="AG139" i="88"/>
  <c r="AF139" i="88"/>
  <c r="AD139" i="88"/>
  <c r="AP138" i="88"/>
  <c r="AI138" i="88"/>
  <c r="AH138" i="88"/>
  <c r="AG138" i="88"/>
  <c r="AF138" i="88"/>
  <c r="AD138" i="88"/>
  <c r="AP137" i="88"/>
  <c r="AI137" i="88"/>
  <c r="AH137" i="88"/>
  <c r="AG137" i="88"/>
  <c r="AF137" i="88"/>
  <c r="AP135" i="88"/>
  <c r="AI135" i="88"/>
  <c r="AH135" i="88"/>
  <c r="AG135" i="88"/>
  <c r="AF135" i="88"/>
  <c r="AD135" i="88"/>
  <c r="AP134" i="88"/>
  <c r="AI134" i="88"/>
  <c r="AH134" i="88"/>
  <c r="AG134" i="88"/>
  <c r="AF134" i="88"/>
  <c r="AD134" i="88"/>
  <c r="AP133" i="88"/>
  <c r="AI133" i="88"/>
  <c r="AH133" i="88"/>
  <c r="AG133" i="88"/>
  <c r="AF133" i="88"/>
  <c r="AD133" i="88"/>
  <c r="AP132" i="88"/>
  <c r="AI132" i="88"/>
  <c r="AH132" i="88"/>
  <c r="AG132" i="88"/>
  <c r="AF132" i="88"/>
  <c r="AD132" i="88"/>
  <c r="AP131" i="88"/>
  <c r="AI131" i="88"/>
  <c r="AH131" i="88"/>
  <c r="AG131" i="88"/>
  <c r="AF131" i="88"/>
  <c r="AD131" i="88"/>
  <c r="AP130" i="88"/>
  <c r="AI130" i="88"/>
  <c r="AH130" i="88"/>
  <c r="AG130" i="88"/>
  <c r="AF130" i="88"/>
  <c r="AD130" i="88"/>
  <c r="AP129" i="88"/>
  <c r="AI129" i="88"/>
  <c r="AH129" i="88"/>
  <c r="AG129" i="88"/>
  <c r="AF129" i="88"/>
  <c r="AD129" i="88"/>
  <c r="AP128" i="88"/>
  <c r="AI128" i="88"/>
  <c r="AH128" i="88"/>
  <c r="AG128" i="88"/>
  <c r="AF128" i="88"/>
  <c r="AD128" i="88"/>
  <c r="AP127" i="88"/>
  <c r="AI127" i="88"/>
  <c r="AH127" i="88"/>
  <c r="AG127" i="88"/>
  <c r="AF127" i="88"/>
  <c r="AD127" i="88"/>
  <c r="AP126" i="88"/>
  <c r="AI126" i="88"/>
  <c r="AH126" i="88"/>
  <c r="AG126" i="88"/>
  <c r="AF126" i="88"/>
  <c r="AD126" i="88"/>
  <c r="AP125" i="88"/>
  <c r="AI125" i="88"/>
  <c r="AH125" i="88"/>
  <c r="AG125" i="88"/>
  <c r="AF125" i="88"/>
  <c r="AD125" i="88"/>
  <c r="AP124" i="88"/>
  <c r="AI124" i="88"/>
  <c r="AH124" i="88"/>
  <c r="AG124" i="88"/>
  <c r="AF124" i="88"/>
  <c r="AD124" i="88"/>
  <c r="AP123" i="88"/>
  <c r="AI123" i="88"/>
  <c r="AH123" i="88"/>
  <c r="AG123" i="88"/>
  <c r="AF123" i="88"/>
  <c r="AD123" i="88"/>
  <c r="AP122" i="88"/>
  <c r="AI122" i="88"/>
  <c r="AH122" i="88"/>
  <c r="AG122" i="88"/>
  <c r="AF122" i="88"/>
  <c r="AD122" i="88"/>
  <c r="AP121" i="88"/>
  <c r="AI121" i="88"/>
  <c r="AH121" i="88"/>
  <c r="AG121" i="88"/>
  <c r="AF121" i="88"/>
  <c r="AD121" i="88"/>
  <c r="AP120" i="88"/>
  <c r="AI120" i="88"/>
  <c r="AH120" i="88"/>
  <c r="AG120" i="88"/>
  <c r="AF120" i="88"/>
  <c r="AD120" i="88"/>
  <c r="AP119" i="88"/>
  <c r="AI119" i="88"/>
  <c r="AH119" i="88"/>
  <c r="AG119" i="88"/>
  <c r="AF119" i="88"/>
  <c r="AD119" i="88"/>
  <c r="AP118" i="88"/>
  <c r="AI118" i="88"/>
  <c r="AH118" i="88"/>
  <c r="AG118" i="88"/>
  <c r="AF118" i="88"/>
  <c r="AD118" i="88"/>
  <c r="AP117" i="88"/>
  <c r="AI117" i="88"/>
  <c r="AH117" i="88"/>
  <c r="AG117" i="88"/>
  <c r="AF117" i="88"/>
  <c r="AD117" i="88"/>
  <c r="AP116" i="88"/>
  <c r="AI116" i="88"/>
  <c r="AH116" i="88"/>
  <c r="AG116" i="88"/>
  <c r="AF116" i="88"/>
  <c r="AD116" i="88"/>
  <c r="AP115" i="88"/>
  <c r="AI115" i="88"/>
  <c r="AH115" i="88"/>
  <c r="AG115" i="88"/>
  <c r="AF115" i="88"/>
  <c r="AD115" i="88"/>
  <c r="AP114" i="88"/>
  <c r="AI114" i="88"/>
  <c r="AH114" i="88"/>
  <c r="AG114" i="88"/>
  <c r="AF114" i="88"/>
  <c r="AD114" i="88"/>
  <c r="AP113" i="88"/>
  <c r="AI113" i="88"/>
  <c r="AH113" i="88"/>
  <c r="AG113" i="88"/>
  <c r="AF113" i="88"/>
  <c r="AD113" i="88"/>
  <c r="AP112" i="88"/>
  <c r="AI112" i="88"/>
  <c r="AH112" i="88"/>
  <c r="AG112" i="88"/>
  <c r="AF112" i="88"/>
  <c r="AD112" i="88"/>
  <c r="AP110" i="88"/>
  <c r="AI110" i="88"/>
  <c r="AH110" i="88"/>
  <c r="AG110" i="88"/>
  <c r="AF110" i="88"/>
  <c r="AP109" i="88"/>
  <c r="AI109" i="88"/>
  <c r="AH109" i="88"/>
  <c r="AG109" i="88"/>
  <c r="AF109" i="88"/>
  <c r="AP108" i="88"/>
  <c r="AI108" i="88"/>
  <c r="AH108" i="88"/>
  <c r="AG108" i="88"/>
  <c r="AF108" i="88"/>
  <c r="AP107" i="88"/>
  <c r="AI107" i="88"/>
  <c r="AH107" i="88"/>
  <c r="AG107" i="88"/>
  <c r="AF107" i="88"/>
  <c r="AP106" i="88"/>
  <c r="AI106" i="88"/>
  <c r="AH106" i="88"/>
  <c r="AG106" i="88"/>
  <c r="AF106" i="88"/>
  <c r="AP105" i="88"/>
  <c r="AI105" i="88"/>
  <c r="AH105" i="88"/>
  <c r="AG105" i="88"/>
  <c r="AF105" i="88"/>
  <c r="AP104" i="88"/>
  <c r="AI104" i="88"/>
  <c r="AH104" i="88"/>
  <c r="AG104" i="88"/>
  <c r="AF104" i="88"/>
  <c r="AP102" i="88"/>
  <c r="AI102" i="88"/>
  <c r="AH102" i="88"/>
  <c r="AG102" i="88"/>
  <c r="AF102" i="88"/>
  <c r="AD102" i="88"/>
  <c r="AP101" i="88"/>
  <c r="AI101" i="88"/>
  <c r="AH101" i="88"/>
  <c r="AG101" i="88"/>
  <c r="AF101" i="88"/>
  <c r="AD101" i="88"/>
  <c r="AP100" i="88"/>
  <c r="AI100" i="88"/>
  <c r="AH100" i="88"/>
  <c r="AG100" i="88"/>
  <c r="AF100" i="88"/>
  <c r="AD100" i="88"/>
  <c r="AP99" i="88"/>
  <c r="AI99" i="88"/>
  <c r="AH99" i="88"/>
  <c r="AG99" i="88"/>
  <c r="AF99" i="88"/>
  <c r="AD99" i="88"/>
  <c r="AP98" i="88"/>
  <c r="AI98" i="88"/>
  <c r="AH98" i="88"/>
  <c r="AG98" i="88"/>
  <c r="AF98" i="88"/>
  <c r="AD98" i="88"/>
  <c r="AP97" i="88"/>
  <c r="AI97" i="88"/>
  <c r="AH97" i="88"/>
  <c r="AG97" i="88"/>
  <c r="AF97" i="88"/>
  <c r="AD97" i="88"/>
  <c r="AP96" i="88"/>
  <c r="AI96" i="88"/>
  <c r="AH96" i="88"/>
  <c r="AG96" i="88"/>
  <c r="AF96" i="88"/>
  <c r="AD96" i="88"/>
  <c r="AP95" i="88"/>
  <c r="AI95" i="88"/>
  <c r="AH95" i="88"/>
  <c r="AG95" i="88"/>
  <c r="AF95" i="88"/>
  <c r="AD95" i="88"/>
  <c r="AP94" i="88"/>
  <c r="AI94" i="88"/>
  <c r="AH94" i="88"/>
  <c r="AG94" i="88"/>
  <c r="AF94" i="88"/>
  <c r="AD94" i="88"/>
  <c r="AP93" i="88"/>
  <c r="AI93" i="88"/>
  <c r="AH93" i="88"/>
  <c r="AG93" i="88"/>
  <c r="AF93" i="88"/>
  <c r="AD93" i="88"/>
  <c r="AP92" i="88"/>
  <c r="AI92" i="88"/>
  <c r="AH92" i="88"/>
  <c r="AG92" i="88"/>
  <c r="AF92" i="88"/>
  <c r="AD92" i="88"/>
  <c r="AP91" i="88"/>
  <c r="AI91" i="88"/>
  <c r="AH91" i="88"/>
  <c r="AG91" i="88"/>
  <c r="AF91" i="88"/>
  <c r="AD91" i="88"/>
  <c r="AP90" i="88"/>
  <c r="AI90" i="88"/>
  <c r="AH90" i="88"/>
  <c r="AG90" i="88"/>
  <c r="AF90" i="88"/>
  <c r="AD90" i="88"/>
  <c r="AP89" i="88"/>
  <c r="AI89" i="88"/>
  <c r="AH89" i="88"/>
  <c r="AG89" i="88"/>
  <c r="AF89" i="88"/>
  <c r="AD89" i="88"/>
  <c r="AP88" i="88"/>
  <c r="AI88" i="88"/>
  <c r="AH88" i="88"/>
  <c r="AG88" i="88"/>
  <c r="AF88" i="88"/>
  <c r="AD88" i="88"/>
  <c r="AP87" i="88"/>
  <c r="AI87" i="88"/>
  <c r="AH87" i="88"/>
  <c r="AG87" i="88"/>
  <c r="AF87" i="88"/>
  <c r="AD87" i="88"/>
  <c r="AP86" i="88"/>
  <c r="AI86" i="88"/>
  <c r="AH86" i="88"/>
  <c r="AG86" i="88"/>
  <c r="AF86" i="88"/>
  <c r="AD86" i="88"/>
  <c r="AP85" i="88"/>
  <c r="AI85" i="88"/>
  <c r="AH85" i="88"/>
  <c r="AG85" i="88"/>
  <c r="AF85" i="88"/>
  <c r="AD85" i="88"/>
  <c r="AP84" i="88"/>
  <c r="AI84" i="88"/>
  <c r="AH84" i="88"/>
  <c r="AG84" i="88"/>
  <c r="AF84" i="88"/>
  <c r="AD84" i="88"/>
  <c r="AP83" i="88"/>
  <c r="AI83" i="88"/>
  <c r="AH83" i="88"/>
  <c r="AG83" i="88"/>
  <c r="AF83" i="88"/>
  <c r="AD83" i="88"/>
  <c r="AP82" i="88"/>
  <c r="AI82" i="88"/>
  <c r="AH82" i="88"/>
  <c r="AG82" i="88"/>
  <c r="AF82" i="88"/>
  <c r="AD82" i="88"/>
  <c r="AP80" i="88"/>
  <c r="AI80" i="88"/>
  <c r="AH80" i="88"/>
  <c r="AG80" i="88"/>
  <c r="AF80" i="88"/>
  <c r="AD80" i="88"/>
  <c r="AP79" i="88"/>
  <c r="AI79" i="88"/>
  <c r="AH79" i="88"/>
  <c r="AG79" i="88"/>
  <c r="AF79" i="88"/>
  <c r="AD79" i="88"/>
  <c r="AP78" i="88"/>
  <c r="AI78" i="88"/>
  <c r="AH78" i="88"/>
  <c r="AG78" i="88"/>
  <c r="AF78" i="88"/>
  <c r="AD78" i="88"/>
  <c r="AP77" i="88"/>
  <c r="AI77" i="88"/>
  <c r="AH77" i="88"/>
  <c r="AG77" i="88"/>
  <c r="AF77" i="88"/>
  <c r="AD77" i="88"/>
  <c r="AP76" i="88"/>
  <c r="AI76" i="88"/>
  <c r="AH76" i="88"/>
  <c r="AG76" i="88"/>
  <c r="AF76" i="88"/>
  <c r="AD76" i="88"/>
  <c r="AP75" i="88"/>
  <c r="AI75" i="88"/>
  <c r="AH75" i="88"/>
  <c r="AG75" i="88"/>
  <c r="AF75" i="88"/>
  <c r="AD75" i="88"/>
  <c r="AP74" i="88"/>
  <c r="AI74" i="88"/>
  <c r="AH74" i="88"/>
  <c r="AG74" i="88"/>
  <c r="AF74" i="88"/>
  <c r="AD74" i="88"/>
  <c r="AP73" i="88"/>
  <c r="AI73" i="88"/>
  <c r="AH73" i="88"/>
  <c r="AG73" i="88"/>
  <c r="AF73" i="88"/>
  <c r="AD73" i="88"/>
  <c r="AP72" i="88"/>
  <c r="AI72" i="88"/>
  <c r="AH72" i="88"/>
  <c r="AG72" i="88"/>
  <c r="AF72" i="88"/>
  <c r="AD72" i="88"/>
  <c r="AP71" i="88"/>
  <c r="AI71" i="88"/>
  <c r="AH71" i="88"/>
  <c r="AG71" i="88"/>
  <c r="AF71" i="88"/>
  <c r="AD71" i="88"/>
  <c r="AP70" i="88"/>
  <c r="AI70" i="88"/>
  <c r="AH70" i="88"/>
  <c r="AG70" i="88"/>
  <c r="AF70" i="88"/>
  <c r="AD70" i="88"/>
  <c r="AP68" i="88"/>
  <c r="AI68" i="88"/>
  <c r="AH68" i="88"/>
  <c r="AG68" i="88"/>
  <c r="AF68" i="88"/>
  <c r="AD68" i="88"/>
  <c r="AP67" i="88"/>
  <c r="AI67" i="88"/>
  <c r="AH67" i="88"/>
  <c r="AG67" i="88"/>
  <c r="AF67" i="88"/>
  <c r="AD67" i="88"/>
  <c r="AP66" i="88"/>
  <c r="AI66" i="88"/>
  <c r="AH66" i="88"/>
  <c r="AG66" i="88"/>
  <c r="AF66" i="88"/>
  <c r="AD66" i="88"/>
  <c r="AP65" i="88"/>
  <c r="AI65" i="88"/>
  <c r="AH65" i="88"/>
  <c r="AG65" i="88"/>
  <c r="AF65" i="88"/>
  <c r="AD65" i="88"/>
  <c r="AP64" i="88"/>
  <c r="AI64" i="88"/>
  <c r="AH64" i="88"/>
  <c r="AG64" i="88"/>
  <c r="AF64" i="88"/>
  <c r="AD64" i="88"/>
  <c r="AP63" i="88"/>
  <c r="AI63" i="88"/>
  <c r="AH63" i="88"/>
  <c r="AG63" i="88"/>
  <c r="AF63" i="88"/>
  <c r="AD63" i="88"/>
  <c r="AP62" i="88"/>
  <c r="AI62" i="88"/>
  <c r="AH62" i="88"/>
  <c r="AG62" i="88"/>
  <c r="AF62" i="88"/>
  <c r="AD62" i="88"/>
  <c r="AP61" i="88"/>
  <c r="AI61" i="88"/>
  <c r="AH61" i="88"/>
  <c r="AG61" i="88"/>
  <c r="AF61" i="88"/>
  <c r="AD61" i="88"/>
  <c r="AP60" i="88"/>
  <c r="AI60" i="88"/>
  <c r="AH60" i="88"/>
  <c r="AG60" i="88"/>
  <c r="AF60" i="88"/>
  <c r="AD60" i="88"/>
  <c r="AP59" i="88"/>
  <c r="AI59" i="88"/>
  <c r="AH59" i="88"/>
  <c r="AG59" i="88"/>
  <c r="AF59" i="88"/>
  <c r="AD59" i="88"/>
  <c r="AP58" i="88"/>
  <c r="AI58" i="88"/>
  <c r="AH58" i="88"/>
  <c r="AG58" i="88"/>
  <c r="AF58" i="88"/>
  <c r="AD58" i="88"/>
  <c r="AP57" i="88"/>
  <c r="AI57" i="88"/>
  <c r="AH57" i="88"/>
  <c r="AG57" i="88"/>
  <c r="AF57" i="88"/>
  <c r="AD57" i="88"/>
  <c r="AP55" i="88"/>
  <c r="AI55" i="88"/>
  <c r="AH55" i="88"/>
  <c r="AG55" i="88"/>
  <c r="AF55" i="88"/>
  <c r="AD55" i="88"/>
  <c r="AP54" i="88"/>
  <c r="AI54" i="88"/>
  <c r="AH54" i="88"/>
  <c r="AG54" i="88"/>
  <c r="AF54" i="88"/>
  <c r="AD54" i="88"/>
  <c r="AP53" i="88"/>
  <c r="AI53" i="88"/>
  <c r="AH53" i="88"/>
  <c r="AG53" i="88"/>
  <c r="AF53" i="88"/>
  <c r="AD53" i="88"/>
  <c r="AP52" i="88"/>
  <c r="AI52" i="88"/>
  <c r="AH52" i="88"/>
  <c r="AG52" i="88"/>
  <c r="AF52" i="88"/>
  <c r="AD52" i="88"/>
  <c r="AP51" i="88"/>
  <c r="AI51" i="88"/>
  <c r="AH51" i="88"/>
  <c r="AG51" i="88"/>
  <c r="AF51" i="88"/>
  <c r="AD51" i="88"/>
  <c r="AP50" i="88"/>
  <c r="AI50" i="88"/>
  <c r="AH50" i="88"/>
  <c r="AG50" i="88"/>
  <c r="AF50" i="88"/>
  <c r="AD50" i="88"/>
  <c r="AP49" i="88"/>
  <c r="AI49" i="88"/>
  <c r="AH49" i="88"/>
  <c r="AG49" i="88"/>
  <c r="AF49" i="88"/>
  <c r="AD49" i="88"/>
  <c r="AP48" i="88"/>
  <c r="AI48" i="88"/>
  <c r="AH48" i="88"/>
  <c r="AG48" i="88"/>
  <c r="AF48" i="88"/>
  <c r="AD48" i="88"/>
  <c r="AP47" i="88"/>
  <c r="AI47" i="88"/>
  <c r="AH47" i="88"/>
  <c r="AG47" i="88"/>
  <c r="AF47" i="88"/>
  <c r="AD47" i="88"/>
  <c r="AP46" i="88"/>
  <c r="AI46" i="88"/>
  <c r="AH46" i="88"/>
  <c r="AG46" i="88"/>
  <c r="AF46" i="88"/>
  <c r="AD46" i="88"/>
  <c r="AP45" i="88"/>
  <c r="AI45" i="88"/>
  <c r="AH45" i="88"/>
  <c r="AG45" i="88"/>
  <c r="AF45" i="88"/>
  <c r="AD45" i="88"/>
  <c r="AP44" i="88"/>
  <c r="AI44" i="88"/>
  <c r="AH44" i="88"/>
  <c r="AG44" i="88"/>
  <c r="AF44" i="88"/>
  <c r="AD44" i="88"/>
  <c r="AP43" i="88"/>
  <c r="AI43" i="88"/>
  <c r="AH43" i="88"/>
  <c r="AG43" i="88"/>
  <c r="AF43" i="88"/>
  <c r="AD43" i="88"/>
  <c r="AP42" i="88"/>
  <c r="AI42" i="88"/>
  <c r="AH42" i="88"/>
  <c r="AG42" i="88"/>
  <c r="AF42" i="88"/>
  <c r="AD42" i="88"/>
  <c r="AP40" i="88"/>
  <c r="AI40" i="88"/>
  <c r="AH40" i="88"/>
  <c r="AG40" i="88"/>
  <c r="AF40" i="88"/>
  <c r="AD40" i="88"/>
  <c r="AP39" i="88"/>
  <c r="AI39" i="88"/>
  <c r="AH39" i="88"/>
  <c r="AG39" i="88"/>
  <c r="AF39" i="88"/>
  <c r="AD39" i="88"/>
  <c r="AP38" i="88"/>
  <c r="AI38" i="88"/>
  <c r="AH38" i="88"/>
  <c r="AG38" i="88"/>
  <c r="AF38" i="88"/>
  <c r="AD38" i="88"/>
  <c r="AP37" i="88"/>
  <c r="AI37" i="88"/>
  <c r="AH37" i="88"/>
  <c r="AG37" i="88"/>
  <c r="AF37" i="88"/>
  <c r="AD37" i="88"/>
  <c r="AP36" i="88"/>
  <c r="AI36" i="88"/>
  <c r="AH36" i="88"/>
  <c r="AG36" i="88"/>
  <c r="AF36" i="88"/>
  <c r="AD36" i="88"/>
  <c r="AP35" i="88"/>
  <c r="AI35" i="88"/>
  <c r="AH35" i="88"/>
  <c r="AG35" i="88"/>
  <c r="AF35" i="88"/>
  <c r="AD35" i="88"/>
  <c r="AP33" i="88"/>
  <c r="AI33" i="88"/>
  <c r="AH33" i="88"/>
  <c r="AG33" i="88"/>
  <c r="AF33" i="88"/>
  <c r="AD33" i="88"/>
  <c r="AP32" i="88"/>
  <c r="AI32" i="88"/>
  <c r="AH32" i="88"/>
  <c r="AG32" i="88"/>
  <c r="AF32" i="88"/>
  <c r="AD32" i="88"/>
  <c r="AP31" i="88"/>
  <c r="AI31" i="88"/>
  <c r="AH31" i="88"/>
  <c r="AG31" i="88"/>
  <c r="AF31" i="88"/>
  <c r="AD31" i="88"/>
  <c r="AP30" i="88"/>
  <c r="AI30" i="88"/>
  <c r="AH30" i="88"/>
  <c r="AG30" i="88"/>
  <c r="AF30" i="88"/>
  <c r="AD30" i="88"/>
  <c r="AP29" i="88"/>
  <c r="AI29" i="88"/>
  <c r="AH29" i="88"/>
  <c r="AG29" i="88"/>
  <c r="AF29" i="88"/>
  <c r="AD29" i="88"/>
  <c r="AP28" i="88"/>
  <c r="AI28" i="88"/>
  <c r="AH28" i="88"/>
  <c r="AG28" i="88"/>
  <c r="AF28" i="88"/>
  <c r="AD28" i="88"/>
  <c r="AP26" i="88"/>
  <c r="AI26" i="88"/>
  <c r="AH26" i="88"/>
  <c r="AG26" i="88"/>
  <c r="AF26" i="88"/>
  <c r="AD26" i="88"/>
  <c r="AP25" i="88"/>
  <c r="AI25" i="88"/>
  <c r="AH25" i="88"/>
  <c r="AG25" i="88"/>
  <c r="AF25" i="88"/>
  <c r="AD25" i="88"/>
  <c r="AP24" i="88"/>
  <c r="AI24" i="88"/>
  <c r="AH24" i="88"/>
  <c r="AG24" i="88"/>
  <c r="AF24" i="88"/>
  <c r="AD24" i="88"/>
  <c r="AP23" i="88"/>
  <c r="AI23" i="88"/>
  <c r="AH23" i="88"/>
  <c r="AG23" i="88"/>
  <c r="AF23" i="88"/>
  <c r="AD23" i="88"/>
  <c r="AP22" i="88"/>
  <c r="AI22" i="88"/>
  <c r="AH22" i="88"/>
  <c r="AG22" i="88"/>
  <c r="AF22" i="88"/>
  <c r="AD22" i="88"/>
  <c r="AP21" i="88"/>
  <c r="AI21" i="88"/>
  <c r="AH21" i="88"/>
  <c r="AG21" i="88"/>
  <c r="AF21" i="88"/>
  <c r="AD21" i="88"/>
  <c r="AP20" i="88"/>
  <c r="AI20" i="88"/>
  <c r="AH20" i="88"/>
  <c r="AG20" i="88"/>
  <c r="AF20" i="88"/>
  <c r="AD20" i="88"/>
  <c r="AP19" i="88"/>
  <c r="AI19" i="88"/>
  <c r="AH19" i="88"/>
  <c r="AG19" i="88"/>
  <c r="AF19" i="88"/>
  <c r="AD19" i="88"/>
  <c r="AP18" i="88"/>
  <c r="AI18" i="88"/>
  <c r="AH18" i="88"/>
  <c r="AG18" i="88"/>
  <c r="AF18" i="88"/>
  <c r="AD18" i="88"/>
  <c r="AP17" i="88"/>
  <c r="AI17" i="88"/>
  <c r="AH17" i="88"/>
  <c r="AG17" i="88"/>
  <c r="AF17" i="88"/>
  <c r="AD17" i="88"/>
  <c r="AP16" i="88"/>
  <c r="AI16" i="88"/>
  <c r="AH16" i="88"/>
  <c r="AG16" i="88"/>
  <c r="AF16" i="88"/>
  <c r="AD16" i="88"/>
  <c r="AP15" i="88"/>
  <c r="AI15" i="88"/>
  <c r="AH15" i="88"/>
  <c r="AG15" i="88"/>
  <c r="AF15" i="88"/>
  <c r="AD15" i="88"/>
  <c r="AP14" i="88"/>
  <c r="AI14" i="88"/>
  <c r="AH14" i="88"/>
  <c r="AG14" i="88"/>
  <c r="AF14" i="88"/>
  <c r="AD14" i="88"/>
  <c r="AP13" i="88"/>
  <c r="AI13" i="88"/>
  <c r="AH13" i="88"/>
  <c r="AG13" i="88"/>
  <c r="AF13" i="88"/>
  <c r="AD13" i="88"/>
  <c r="AP12" i="88"/>
  <c r="AI12" i="88"/>
  <c r="AH12" i="88"/>
  <c r="AG12" i="88"/>
  <c r="AF12" i="88"/>
  <c r="AD12" i="88"/>
  <c r="AP11" i="88"/>
  <c r="AI11" i="88"/>
  <c r="AH11" i="88"/>
  <c r="AG11" i="88"/>
  <c r="AF11" i="88"/>
  <c r="AD11" i="88"/>
  <c r="AP10" i="88"/>
  <c r="AI10" i="88"/>
  <c r="AH10" i="88"/>
  <c r="AG10" i="88"/>
  <c r="AF10" i="88"/>
  <c r="AD10" i="88"/>
  <c r="B10" i="18" l="1"/>
  <c r="B3" i="8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s>
  <commentList>
    <comment ref="AQ7" authorId="0" shapeId="0" xr:uid="{E3AB8071-58CF-4F2D-B116-68EECFE11C93}">
      <text>
        <r>
          <rPr>
            <sz val="9"/>
            <color indexed="81"/>
            <rFont val="Tahoma"/>
            <family val="2"/>
          </rPr>
          <t xml:space="preserve">Select the pin configuration from the pulldown menu
</t>
        </r>
      </text>
    </comment>
    <comment ref="AR7" authorId="0" shapeId="0" xr:uid="{7E581056-CF14-4590-94E6-4A2491679011}">
      <text>
        <r>
          <rPr>
            <sz val="9"/>
            <color indexed="81"/>
            <rFont val="Tahoma"/>
            <family val="2"/>
          </rPr>
          <t>If a pin is used as GPIO, select the pin direction from the following list:
Input
Output
Bidirectional
Open-Drain
N/A</t>
        </r>
      </text>
    </comment>
    <comment ref="AS7" authorId="0" shapeId="0" xr:uid="{8BDBEE81-C882-424A-AC67-94997C120A14}">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E144DE6E-EF84-4253-B063-081AE379EB99}">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Z7" authorId="0" shapeId="0" xr:uid="{4B9FA43B-A77F-4A76-BD2A-52F8E8DDFC82}">
      <text>
        <r>
          <rPr>
            <sz val="9"/>
            <color indexed="81"/>
            <rFont val="Tahoma"/>
            <family val="2"/>
          </rPr>
          <t xml:space="preserve">If an external pull up on the platform, list the value in this column
</t>
        </r>
      </text>
    </comment>
    <comment ref="BA7" authorId="0" shapeId="0" xr:uid="{675F171C-F30E-4C7C-9E56-7312AA66F528}">
      <text>
        <r>
          <rPr>
            <b/>
            <sz val="9"/>
            <color indexed="81"/>
            <rFont val="Tahoma"/>
            <family val="2"/>
          </rPr>
          <t>If an external pull down on the platform, list the value in this column</t>
        </r>
        <r>
          <rPr>
            <sz val="9"/>
            <color indexed="81"/>
            <rFont val="Tahoma"/>
            <family val="2"/>
          </rPr>
          <t xml:space="preserve">
</t>
        </r>
      </text>
    </comment>
    <comment ref="BB7" authorId="0" shapeId="0" xr:uid="{7D194A1F-9C96-40CC-A6FE-713DD9CA1C3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<sst xmlns="http://schemas.openxmlformats.org/spreadsheetml/2006/main" count="22745" uniqueCount="5702">
  <si>
    <t>General</t>
  </si>
  <si>
    <t>Ball Name</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</si>
  <si>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</si>
  <si>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</si>
  <si>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</si>
  <si>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</si>
  <si>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</si>
  <si>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</si>
  <si>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</si>
  <si>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</si>
  <si>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</si>
  <si>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</si>
  <si>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</si>
  <si>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</si>
  <si>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</si>
  <si>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</si>
  <si>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</si>
  <si>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</si>
  <si>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</si>
  <si>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</si>
  <si>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</si>
  <si>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</si>
  <si>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</si>
  <si>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</si>
  <si>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</si>
  <si>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</si>
  <si>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</si>
  <si>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</si>
  <si>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</si>
  <si>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</si>
  <si>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</si>
  <si>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</si>
  <si>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</si>
  <si>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</si>
  <si>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</si>
  <si>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</si>
  <si>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</si>
  <si>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</si>
  <si>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</si>
  <si>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</si>
  <si>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</si>
  <si>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</si>
  <si>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</si>
  <si>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</si>
  <si>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</si>
  <si>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</si>
  <si>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</si>
  <si>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</si>
  <si>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</si>
  <si>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</si>
  <si>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</si>
  <si>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</si>
  <si>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</si>
  <si>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</si>
  <si>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</si>
  <si>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</si>
  <si>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</si>
  <si>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</si>
  <si>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</si>
  <si>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</si>
  <si>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</si>
  <si>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</si>
  <si>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</si>
  <si>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</si>
  <si>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</si>
  <si>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SDMMC4</t>
  </si>
  <si>
    <t>SDMMC3</t>
  </si>
  <si>
    <t>SDMMC1</t>
  </si>
  <si>
    <t>PEX_CTL</t>
  </si>
  <si>
    <t>USB_VBUS_EN0</t>
  </si>
  <si>
    <t>USB_VBUS_EN1</t>
  </si>
  <si>
    <t>POR</t>
  </si>
  <si>
    <t>Revision</t>
  </si>
  <si>
    <t>Description</t>
  </si>
  <si>
    <t>DP_AUX_CH0_P</t>
  </si>
  <si>
    <t>DP_AUX_CH0_N</t>
  </si>
  <si>
    <t>SDMMC4_CLK</t>
  </si>
  <si>
    <t>Pad Type</t>
  </si>
  <si>
    <t>Req. Initial State</t>
  </si>
  <si>
    <t>Not Assigned</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</si>
  <si>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</si>
  <si>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</si>
  <si>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</si>
  <si>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</si>
  <si>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</si>
  <si>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</si>
  <si>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</si>
  <si>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</si>
  <si>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</si>
  <si>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</si>
  <si>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</si>
  <si>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</si>
  <si>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</si>
  <si>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</si>
  <si>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</si>
  <si>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</si>
  <si>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</si>
  <si>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</si>
  <si>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</si>
  <si>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</si>
  <si>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</si>
  <si>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</si>
  <si>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</si>
  <si>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</si>
  <si>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</si>
  <si>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</si>
  <si>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</si>
  <si>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</si>
  <si>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</si>
  <si>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</si>
  <si>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</si>
  <si>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</si>
  <si>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</si>
  <si>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</si>
  <si>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</si>
  <si>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</si>
  <si>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</si>
  <si>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</si>
  <si>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</si>
  <si>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</si>
  <si>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</si>
  <si>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</si>
  <si>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</si>
  <si>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</si>
  <si>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</si>
  <si>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</si>
  <si>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</si>
  <si>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</si>
  <si>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</si>
  <si>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USB</t>
  </si>
  <si>
    <t>UARTD</t>
  </si>
  <si>
    <t>SPI3</t>
  </si>
  <si>
    <t>UARTA</t>
  </si>
  <si>
    <t>VGP1</t>
  </si>
  <si>
    <t>I2C3</t>
  </si>
  <si>
    <t>unused_CAM_I2C_SCL</t>
  </si>
  <si>
    <t>Disable</t>
  </si>
  <si>
    <t>VGP2</t>
  </si>
  <si>
    <t>unused_CAM_I2C_SDA</t>
  </si>
  <si>
    <t>VGP3</t>
  </si>
  <si>
    <t>VGP4</t>
  </si>
  <si>
    <t>VGP5</t>
  </si>
  <si>
    <t>VGP6</t>
  </si>
  <si>
    <t>SOC</t>
  </si>
  <si>
    <t>unused_SDMMC1_CLK</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</si>
  <si>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</si>
  <si>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</si>
  <si>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</si>
  <si>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</si>
  <si>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</si>
  <si>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</si>
  <si>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</si>
  <si>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</si>
  <si>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</si>
  <si>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</si>
  <si>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</si>
  <si>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</si>
  <si>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</si>
  <si>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</si>
  <si>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</si>
  <si>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</si>
  <si>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</si>
  <si>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</si>
  <si>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</si>
  <si>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</si>
  <si>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</si>
  <si>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</si>
  <si>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</si>
  <si>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</si>
  <si>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</si>
  <si>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</si>
  <si>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</si>
  <si>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</si>
  <si>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</si>
  <si>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</si>
  <si>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</si>
  <si>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</si>
  <si>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</si>
  <si>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</si>
  <si>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</si>
  <si>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</si>
  <si>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</si>
  <si>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</si>
  <si>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</si>
  <si>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</si>
  <si>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</si>
  <si>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</si>
  <si>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</si>
  <si>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</si>
  <si>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</si>
  <si>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</si>
  <si>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</si>
  <si>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</si>
  <si>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</si>
  <si>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</si>
  <si>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</si>
  <si>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</si>
  <si>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</si>
  <si>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</si>
  <si>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</si>
  <si>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</si>
  <si>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</si>
  <si>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</si>
  <si>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</si>
  <si>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</si>
  <si>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</si>
  <si>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</si>
  <si>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</si>
  <si>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</si>
  <si>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</si>
  <si>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CSI_E_CLK_P</t>
  </si>
  <si>
    <t>CSI_E_D0_N</t>
  </si>
  <si>
    <t>CSI_E_D0_P</t>
  </si>
  <si>
    <t>HDMI</t>
  </si>
  <si>
    <t>USB1_DN</t>
  </si>
  <si>
    <t>USB1_DP</t>
  </si>
  <si>
    <t>THERM_DP</t>
  </si>
  <si>
    <t>unused_THERM_DP</t>
  </si>
  <si>
    <t>THERM_DN</t>
  </si>
  <si>
    <t>unused_THERM_DN</t>
  </si>
  <si>
    <t>XTAL</t>
  </si>
  <si>
    <t>XTAL_IN</t>
  </si>
  <si>
    <t>XTAL_OUT</t>
  </si>
  <si>
    <t>unused_DP_AUX_CH0_P</t>
  </si>
  <si>
    <t>unused_DP_AUX_CH0_N</t>
  </si>
  <si>
    <t>USB0_DN</t>
  </si>
  <si>
    <t>USB0_DP</t>
  </si>
  <si>
    <t>USB2_DN</t>
  </si>
  <si>
    <t>USB2_DP</t>
  </si>
  <si>
    <t>USB 2.0</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</si>
  <si>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</si>
  <si>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</si>
  <si>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</si>
  <si>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</si>
  <si>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</si>
  <si>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</si>
  <si>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</si>
  <si>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</si>
  <si>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</si>
  <si>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</si>
  <si>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</si>
  <si>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</si>
  <si>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</si>
  <si>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</si>
  <si>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</si>
  <si>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</si>
  <si>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</si>
  <si>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</si>
  <si>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</si>
  <si>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</si>
  <si>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</si>
  <si>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</si>
  <si>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</si>
  <si>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</si>
  <si>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</si>
  <si>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</si>
  <si>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</si>
  <si>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</si>
  <si>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</si>
  <si>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</si>
  <si>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AUD_MCLK</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</si>
  <si>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</si>
  <si>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</si>
  <si>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</si>
  <si>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</si>
  <si>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</si>
  <si>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</si>
  <si>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</si>
  <si>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</si>
  <si>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</si>
  <si>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</si>
  <si>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</si>
  <si>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</si>
  <si>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</si>
  <si>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</si>
  <si>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SDMMC4_DQS</t>
  </si>
  <si>
    <t>UART4_TX</t>
  </si>
  <si>
    <t>UART4_RX</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</si>
  <si>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</si>
  <si>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</si>
  <si>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</si>
  <si>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</si>
  <si>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</si>
  <si>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</si>
  <si>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</si>
  <si>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</si>
  <si>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</si>
  <si>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</si>
  <si>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</si>
  <si>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</si>
  <si>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</si>
  <si>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</si>
  <si>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</si>
  <si>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</si>
  <si>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</si>
  <si>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</si>
  <si>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</si>
  <si>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</si>
  <si>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</si>
  <si>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</si>
  <si>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</si>
  <si>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</si>
  <si>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</si>
  <si>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</si>
  <si>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</si>
  <si>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</si>
  <si>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</si>
  <si>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</si>
  <si>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</si>
  <si>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</si>
  <si>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</si>
  <si>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</si>
  <si>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</si>
  <si>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</si>
  <si>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</si>
  <si>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</si>
  <si>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</si>
  <si>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</si>
  <si>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</si>
  <si>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</si>
  <si>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</si>
  <si>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</si>
  <si>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</si>
  <si>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</si>
  <si>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</si>
  <si>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</si>
  <si>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</si>
  <si>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</si>
  <si>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</si>
  <si>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</si>
  <si>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</si>
  <si>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</si>
  <si>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</si>
  <si>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</si>
  <si>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</si>
  <si>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</si>
  <si>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</si>
  <si>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</si>
  <si>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</si>
  <si>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</si>
  <si>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</si>
  <si>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</si>
  <si>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</si>
  <si>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</si>
  <si>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</si>
  <si>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</si>
  <si>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</si>
  <si>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</si>
  <si>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</si>
  <si>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</si>
  <si>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</si>
  <si>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</si>
  <si>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</si>
  <si>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</si>
  <si>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</si>
  <si>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</si>
  <si>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</si>
  <si>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</si>
  <si>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</si>
  <si>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</si>
  <si>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</si>
  <si>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</si>
  <si>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</si>
  <si>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</si>
  <si>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</si>
  <si>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</si>
  <si>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</si>
  <si>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</si>
  <si>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</si>
  <si>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</si>
  <si>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</si>
  <si>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</si>
  <si>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</si>
  <si>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</si>
  <si>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</si>
  <si>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</si>
  <si>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</si>
  <si>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</si>
  <si>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</si>
  <si>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</si>
  <si>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</si>
  <si>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</si>
  <si>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</si>
  <si>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</si>
  <si>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</si>
  <si>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</si>
  <si>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</si>
  <si>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</si>
  <si>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</si>
  <si>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</si>
  <si>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</si>
  <si>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</si>
  <si>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</si>
  <si>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</si>
  <si>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</si>
  <si>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</si>
  <si>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</si>
  <si>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</si>
  <si>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</si>
  <si>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</si>
  <si>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</si>
  <si>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</si>
  <si>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</si>
  <si>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</si>
  <si>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</si>
  <si>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</si>
  <si>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</si>
  <si>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</si>
  <si>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</si>
  <si>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</si>
  <si>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</si>
  <si>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</si>
  <si>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</si>
  <si>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</si>
  <si>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</si>
  <si>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</si>
  <si>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</si>
  <si>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</si>
  <si>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</si>
  <si>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</si>
  <si>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</si>
  <si>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</si>
  <si>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</si>
  <si>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</si>
  <si>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</si>
  <si>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</si>
  <si>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</si>
  <si>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</si>
  <si>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</si>
  <si>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</si>
  <si>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</si>
  <si>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</si>
  <si>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</si>
  <si>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</si>
  <si>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</si>
  <si>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</si>
  <si>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</si>
  <si>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</si>
  <si>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</si>
  <si>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</si>
  <si>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</si>
  <si>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</si>
  <si>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</si>
  <si>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</si>
  <si>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</si>
  <si>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</si>
  <si>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</si>
  <si>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</si>
  <si>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</si>
  <si>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</si>
  <si>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</si>
  <si>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</si>
  <si>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</si>
  <si>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</si>
  <si>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</si>
  <si>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</si>
  <si>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</si>
  <si>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</si>
  <si>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</si>
  <si>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</si>
  <si>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</si>
  <si>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</si>
  <si>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</si>
  <si>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</si>
  <si>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</si>
  <si>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</si>
  <si>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</si>
  <si>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</si>
  <si>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</si>
  <si>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</si>
  <si>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</si>
  <si>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</si>
  <si>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</si>
  <si>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</si>
  <si>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</si>
  <si>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</si>
  <si>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</si>
  <si>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</si>
  <si>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1.1V</t>
  </si>
  <si>
    <t>unused_PEX_L0_CLKREQ_N</t>
  </si>
  <si>
    <t>unused_PEX_L0_RST_N</t>
  </si>
  <si>
    <t>unused_PEX_L1_CLKREQ_N</t>
  </si>
  <si>
    <t>unused_PEX_L1_RST_N</t>
  </si>
  <si>
    <t>unused_PEX_WAKE_N</t>
  </si>
  <si>
    <t>unused_PEX_CLK1P</t>
  </si>
  <si>
    <t>unused_PEX_CLK1N</t>
  </si>
  <si>
    <t>unused_PEX_CLK2P</t>
  </si>
  <si>
    <t>unused_PEX_CLK2N</t>
  </si>
  <si>
    <t>unused_SDMMC4_DQS</t>
  </si>
  <si>
    <t>unused_TOUCH_CLK</t>
  </si>
  <si>
    <t>unused_SYS_RESET_N</t>
  </si>
  <si>
    <t>unused_CLK_32K_IN</t>
  </si>
  <si>
    <t>unused_UART2_TX</t>
  </si>
  <si>
    <t>unused_UART2_RTS</t>
  </si>
  <si>
    <t>unused_UART2_CTS</t>
  </si>
  <si>
    <t>unused_UART1_TX</t>
  </si>
  <si>
    <t>unused_UART1_RX</t>
  </si>
  <si>
    <t>unused_UART1_RTS</t>
  </si>
  <si>
    <t>unused_UART1_CTS</t>
  </si>
  <si>
    <t>unused_JTAG_TDO</t>
  </si>
  <si>
    <t>unused_JTAG_TMS</t>
  </si>
  <si>
    <t>unused_JTAG_TCK</t>
  </si>
  <si>
    <t>unused_JTAG_TDI</t>
  </si>
  <si>
    <t>unused_UART3_TX</t>
  </si>
  <si>
    <t>unused_UART3_RX</t>
  </si>
  <si>
    <t>unused_UART4_TX</t>
  </si>
  <si>
    <t>unused_UART4_RX</t>
  </si>
  <si>
    <t>unused_UART4_RTS</t>
  </si>
  <si>
    <t>unused_UART4_CTS</t>
  </si>
  <si>
    <t>unused_DP_AUX_CH1_P</t>
  </si>
  <si>
    <t>unused_DP_AUX_CH1_N</t>
  </si>
  <si>
    <t>3.3V Tolerance Enable</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</si>
  <si>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</si>
  <si>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</si>
  <si>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</si>
  <si>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</si>
  <si>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</si>
  <si>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</si>
  <si>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</si>
  <si>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</si>
  <si>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</si>
  <si>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</si>
  <si>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</si>
  <si>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</si>
  <si>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</si>
  <si>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</si>
  <si>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unused_CSI_F_CLK_N</t>
  </si>
  <si>
    <t>unused_CSI_F_CLK_P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</si>
  <si>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</si>
  <si>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</si>
  <si>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</si>
  <si>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</si>
  <si>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</si>
  <si>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</si>
  <si>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</si>
  <si>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</si>
  <si>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</si>
  <si>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</si>
  <si>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</si>
  <si>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</si>
  <si>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unused_DAP1_SCLK</t>
  </si>
  <si>
    <t>AUD</t>
  </si>
  <si>
    <t>DMIC1</t>
  </si>
  <si>
    <t>DMIC2</t>
  </si>
  <si>
    <t>DMIC3</t>
  </si>
  <si>
    <t>PE0</t>
  </si>
  <si>
    <t>PE1</t>
  </si>
  <si>
    <t>TOUCH</t>
  </si>
  <si>
    <t>CCLA</t>
  </si>
  <si>
    <t>I2C2</t>
  </si>
  <si>
    <t>IQC1</t>
  </si>
  <si>
    <t>QSPI</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</si>
  <si>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</si>
  <si>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</si>
  <si>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</si>
  <si>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</si>
  <si>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</si>
  <si>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</si>
  <si>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</si>
  <si>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</si>
  <si>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</si>
  <si>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</si>
  <si>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</si>
  <si>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</si>
  <si>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</si>
  <si>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</si>
  <si>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</si>
  <si>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</si>
  <si>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</si>
  <si>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</si>
  <si>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</si>
  <si>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</si>
  <si>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</si>
  <si>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</si>
  <si>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</si>
  <si>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</si>
  <si>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</si>
  <si>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</si>
  <si>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</si>
  <si>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</si>
  <si>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</si>
  <si>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</si>
  <si>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</si>
  <si>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</si>
  <si>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</si>
  <si>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</si>
  <si>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</si>
  <si>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</si>
  <si>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</si>
  <si>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</si>
  <si>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</si>
  <si>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</si>
  <si>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</si>
  <si>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</si>
  <si>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</si>
  <si>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</si>
  <si>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</si>
  <si>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</si>
  <si>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</si>
  <si>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</si>
  <si>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</si>
  <si>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</si>
  <si>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</si>
  <si>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</si>
  <si>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</si>
  <si>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</si>
  <si>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</si>
  <si>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</si>
  <si>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</si>
  <si>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</si>
  <si>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</si>
  <si>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</si>
  <si>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</si>
  <si>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</si>
  <si>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</si>
  <si>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</si>
  <si>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</si>
  <si>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</si>
  <si>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</si>
  <si>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</si>
  <si>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</si>
  <si>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</si>
  <si>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</si>
  <si>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</si>
  <si>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</si>
  <si>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</si>
  <si>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</si>
  <si>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</si>
  <si>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</si>
  <si>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</si>
  <si>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</si>
  <si>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</si>
  <si>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</si>
  <si>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</si>
  <si>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</si>
  <si>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</si>
  <si>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</si>
  <si>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</si>
  <si>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</si>
  <si>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</si>
  <si>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</si>
  <si>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</si>
  <si>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</si>
  <si>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</si>
  <si>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</si>
  <si>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</si>
  <si>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</si>
  <si>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</si>
  <si>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</si>
  <si>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</si>
  <si>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</si>
  <si>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</si>
  <si>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</si>
  <si>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</si>
  <si>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</si>
  <si>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</si>
  <si>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</si>
  <si>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</si>
  <si>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</si>
  <si>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</si>
  <si>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</si>
  <si>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</si>
  <si>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</si>
  <si>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</si>
  <si>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</si>
  <si>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</si>
  <si>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</si>
  <si>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</si>
  <si>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</si>
  <si>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</si>
  <si>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</si>
  <si>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</si>
  <si>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</si>
  <si>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</si>
  <si>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</si>
  <si>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</si>
  <si>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</si>
  <si>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</si>
  <si>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</si>
  <si>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</si>
  <si>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</si>
  <si>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</si>
  <si>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</si>
  <si>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</si>
  <si>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</si>
  <si>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</si>
  <si>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</si>
  <si>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</si>
  <si>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</si>
  <si>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</si>
  <si>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</si>
  <si>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</si>
  <si>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</si>
  <si>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</si>
  <si>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</si>
  <si>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</si>
  <si>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</si>
  <si>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</si>
  <si>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</si>
  <si>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</si>
  <si>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</si>
  <si>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</si>
  <si>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</si>
  <si>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</si>
  <si>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</si>
  <si>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</si>
  <si>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</si>
  <si>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</si>
  <si>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DDR_XM1_B11C</t>
  </si>
  <si>
    <t>EQOS_TXC</t>
  </si>
  <si>
    <t>EQOS_TD0</t>
  </si>
  <si>
    <t>EQOS_TD1</t>
  </si>
  <si>
    <t>EQOS_TD2</t>
  </si>
  <si>
    <t>EQOS_TD3</t>
  </si>
  <si>
    <t>EQOS_TX_CTL</t>
  </si>
  <si>
    <t>EQOS_RD0</t>
  </si>
  <si>
    <t>EQOS_RD1</t>
  </si>
  <si>
    <t>EQOS_RD2</t>
  </si>
  <si>
    <t>EQOS_RD3</t>
  </si>
  <si>
    <t>EQOS_RX_CTL</t>
  </si>
  <si>
    <t>EQOS_RXC</t>
  </si>
  <si>
    <t>CONN</t>
  </si>
  <si>
    <t>EXTPERIPH1_CLK</t>
  </si>
  <si>
    <t>EXTPERIPH2_CLK</t>
  </si>
  <si>
    <t>PMU_INT_N</t>
  </si>
  <si>
    <t>SAFE_STATE</t>
  </si>
  <si>
    <t>VCOMP_ALERT</t>
  </si>
  <si>
    <t>BATT_OC</t>
  </si>
  <si>
    <t>AO</t>
  </si>
  <si>
    <t>GEN8_I2C_SCL</t>
  </si>
  <si>
    <t>GEN8_I2C_SDA</t>
  </si>
  <si>
    <t>AO_HV</t>
  </si>
  <si>
    <t>CAN1_DOUT</t>
  </si>
  <si>
    <t>CAN1_DIN</t>
  </si>
  <si>
    <t>CAN0_DOUT</t>
  </si>
  <si>
    <t>CAN0_DIN</t>
  </si>
  <si>
    <t>UART5_TX</t>
  </si>
  <si>
    <t>UART5_RX</t>
  </si>
  <si>
    <t>UART5_RTS</t>
  </si>
  <si>
    <t>UART5_CTS</t>
  </si>
  <si>
    <t>GPU_PWR_REQ</t>
  </si>
  <si>
    <t>GP_PWM6</t>
  </si>
  <si>
    <t>GP_PWM7</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</si>
  <si>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</si>
  <si>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</si>
  <si>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</si>
  <si>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</si>
  <si>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</si>
  <si>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</si>
  <si>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</si>
  <si>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</si>
  <si>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</si>
  <si>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</si>
  <si>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</si>
  <si>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</si>
  <si>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</si>
  <si>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</si>
  <si>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HDMI_DP1</t>
  </si>
  <si>
    <t>HDMI_DP1_TXDP0</t>
  </si>
  <si>
    <t>HDMI_DP1_TXDN0</t>
  </si>
  <si>
    <t>HDMI_DP1_TXDP1</t>
  </si>
  <si>
    <t>HDMI_DP1_TXDN1</t>
  </si>
  <si>
    <t>HDMI_DP1_TXDP2</t>
  </si>
  <si>
    <t>HDMI_DP1_TXDN2</t>
  </si>
  <si>
    <t>HDMI_DP1_TXDP3</t>
  </si>
  <si>
    <t>HDMI_DP1_TXDN3</t>
  </si>
  <si>
    <t>UFS</t>
  </si>
  <si>
    <t>UFS0_REF_CLK</t>
  </si>
  <si>
    <t>UFS0_RST</t>
  </si>
  <si>
    <t>UPHY</t>
  </si>
  <si>
    <t>PEX_REFCLK1P</t>
  </si>
  <si>
    <t>PEX_REFCLK1N</t>
  </si>
  <si>
    <t>PEX_CLK</t>
  </si>
  <si>
    <t>unused_EXTPERIPH1_CLK</t>
  </si>
  <si>
    <t>unused_EXTPERIPH2_CLK</t>
  </si>
  <si>
    <t>unused_PEX_L2_RST_N</t>
  </si>
  <si>
    <t>unused_PEX_L2_CLKREQ_N</t>
  </si>
  <si>
    <t>unused_EQOS_TXC</t>
  </si>
  <si>
    <t>unused_EQOS_TD0</t>
  </si>
  <si>
    <t>unused_EQOS_TD1</t>
  </si>
  <si>
    <t>unused_EQOS_TD2</t>
  </si>
  <si>
    <t>unused_EQOS_TD3</t>
  </si>
  <si>
    <t>unused_EQOS_TX_CTL</t>
  </si>
  <si>
    <t>unused_EQOS_RD0</t>
  </si>
  <si>
    <t>unused_EQOS_RD1</t>
  </si>
  <si>
    <t>unused_EQOS_RD2</t>
  </si>
  <si>
    <t>unused_EQOS_RD3</t>
  </si>
  <si>
    <t>unused_EQOS_RX_CTL</t>
  </si>
  <si>
    <t>unused_EQOS_RXC</t>
  </si>
  <si>
    <t>unused_POWER_ON</t>
  </si>
  <si>
    <t>unused_SAFE_STATE</t>
  </si>
  <si>
    <t>unused_VCOMP_ALERT</t>
  </si>
  <si>
    <t>unused_BATT_OC</t>
  </si>
  <si>
    <t>unused_SOC_PWR_REQ</t>
  </si>
  <si>
    <t>unused_PMU_INT_N</t>
  </si>
  <si>
    <t>unused_UART5_TX</t>
  </si>
  <si>
    <t>unused_UART5_RX</t>
  </si>
  <si>
    <t>unused_UART5_RTS</t>
  </si>
  <si>
    <t>unused_UART5_CTS</t>
  </si>
  <si>
    <t>unused_GPU_PWR_REQ</t>
  </si>
  <si>
    <t>unused_NVJTAG_SEL</t>
  </si>
  <si>
    <t>unused_GEN8_I2C_SCL</t>
  </si>
  <si>
    <t>unused_GEN8_I2C_SDA</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</si>
  <si>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</si>
  <si>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</si>
  <si>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</si>
  <si>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</si>
  <si>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</si>
  <si>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</si>
  <si>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</si>
  <si>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</si>
  <si>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</si>
  <si>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</si>
  <si>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</si>
  <si>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</si>
  <si>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</si>
  <si>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</si>
  <si>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unused_HDMI_DP1_TXDP0</t>
  </si>
  <si>
    <t>unused_HDMI_DP1_TXDN0</t>
  </si>
  <si>
    <t>unused_HDMI_DP1_TXDP1</t>
  </si>
  <si>
    <t>unused_HDMI_DP1_TXDN1</t>
  </si>
  <si>
    <t>unused_HDMI_DP1_TXDP2</t>
  </si>
  <si>
    <t>unused_HDMI_DP1_TXDN2</t>
  </si>
  <si>
    <t>unused_HDMI_DP1_TXDP3</t>
  </si>
  <si>
    <t>unused_HDMI_DP1_TXDN3</t>
  </si>
  <si>
    <t>unused_PEX_REFCLK1N</t>
  </si>
  <si>
    <t>unused_PEX_REFCLK1P</t>
  </si>
  <si>
    <t>unused_UFS0_REF_CLK</t>
  </si>
  <si>
    <t>unused_UFS0_RST</t>
  </si>
  <si>
    <t>1.8V/3.3V</t>
  </si>
  <si>
    <t>AO_HV (3.3V Capable)</t>
  </si>
  <si>
    <t>DSPK1</t>
  </si>
  <si>
    <t>DMIC4</t>
  </si>
  <si>
    <t>DSPK0</t>
  </si>
  <si>
    <t>I2S4</t>
  </si>
  <si>
    <t>I2S6</t>
  </si>
  <si>
    <t>EXTPERIPH1</t>
  </si>
  <si>
    <t>EXTPERIPH2</t>
  </si>
  <si>
    <t>EXTPERIPH4</t>
  </si>
  <si>
    <t>PE2</t>
  </si>
  <si>
    <t>EQOS</t>
  </si>
  <si>
    <t>SCE</t>
  </si>
  <si>
    <t>I2C5</t>
  </si>
  <si>
    <t>UARTE</t>
  </si>
  <si>
    <t>NV</t>
  </si>
  <si>
    <t>I2S5</t>
  </si>
  <si>
    <t>I2C8</t>
  </si>
  <si>
    <t>UARTG</t>
  </si>
  <si>
    <t>WDT</t>
  </si>
  <si>
    <t>CAN1</t>
  </si>
  <si>
    <t>CAN0</t>
  </si>
  <si>
    <t>DMIC5</t>
  </si>
  <si>
    <t>UFS0</t>
  </si>
  <si>
    <t>PEX_CLK3P</t>
  </si>
  <si>
    <t>PEX_CLK3N</t>
  </si>
  <si>
    <t>DCB</t>
  </si>
  <si>
    <t>DCA</t>
  </si>
  <si>
    <t>DP</t>
  </si>
  <si>
    <t>SDMMC1_HV (3.3V Capable)</t>
  </si>
  <si>
    <t>SDMMC3_HV (3.3V Capable)</t>
  </si>
  <si>
    <t>Bidirectional</t>
  </si>
  <si>
    <t>Output</t>
  </si>
  <si>
    <t>Input</t>
  </si>
  <si>
    <t>Yes</t>
  </si>
  <si>
    <t>I2S3_LRCK</t>
  </si>
  <si>
    <t>I2S3_SCLK</t>
  </si>
  <si>
    <t>I2S3_SDATA_OUT</t>
  </si>
  <si>
    <t>I2S6_SCLK</t>
  </si>
  <si>
    <t>I2S6_SDATA_OUT</t>
  </si>
  <si>
    <t>I2S6_SDATA_IN</t>
  </si>
  <si>
    <t>I2S6_LRCK</t>
  </si>
  <si>
    <t>EXTPERIPH3_CLK</t>
  </si>
  <si>
    <t>Enable</t>
  </si>
  <si>
    <t>Int PU</t>
  </si>
  <si>
    <t>Drive 0</t>
  </si>
  <si>
    <t>Int PD</t>
  </si>
  <si>
    <t>JTAG</t>
  </si>
  <si>
    <t>PMICINTR</t>
  </si>
  <si>
    <t>Drive 1</t>
  </si>
  <si>
    <t>Device Tree Pin Name</t>
  </si>
  <si>
    <t>Voltage Configuration</t>
  </si>
  <si>
    <t>Voltage Rail</t>
  </si>
  <si>
    <t>Voltage Setting</t>
  </si>
  <si>
    <t>SDMMC1_HV</t>
  </si>
  <si>
    <t>SDMMC3_HV</t>
  </si>
  <si>
    <t>DDR_XM0_RESET</t>
  </si>
  <si>
    <t>DDR_XM1_RESET</t>
  </si>
  <si>
    <t>PE1_CLKREQ_L</t>
  </si>
  <si>
    <t>UA3_TXD</t>
  </si>
  <si>
    <t>UA3_RXD</t>
  </si>
  <si>
    <t>PEX1_RX0P</t>
  </si>
  <si>
    <t>PEX1_RX0N</t>
  </si>
  <si>
    <t>PEX1_TX0P</t>
  </si>
  <si>
    <t>PEX1_TX0N</t>
  </si>
  <si>
    <t>Pad Category</t>
  </si>
  <si>
    <t>Z</t>
  </si>
  <si>
    <t>Pad Info</t>
  </si>
  <si>
    <t>Pull Strength</t>
  </si>
  <si>
    <t>LPDR Enable</t>
  </si>
  <si>
    <t>EQOS LPBK Enable</t>
  </si>
  <si>
    <t>N/A</t>
  </si>
  <si>
    <t>I2S2_SCLK</t>
  </si>
  <si>
    <t>I2S2_SDATA_OUT</t>
  </si>
  <si>
    <t>I2S2_SDATA_IN</t>
  </si>
  <si>
    <t>I2S2_LRCK</t>
  </si>
  <si>
    <t>I2C1_CLK</t>
  </si>
  <si>
    <t>I2C1_DAT</t>
  </si>
  <si>
    <t>I2S1_SCLK</t>
  </si>
  <si>
    <t>I2S1_SDATA_OUT</t>
  </si>
  <si>
    <t>I2S1_SDATA_IN</t>
  </si>
  <si>
    <t>I2S1_LRCK</t>
  </si>
  <si>
    <t>GPIO3_PM.05</t>
  </si>
  <si>
    <t>I2S4_SCLK</t>
  </si>
  <si>
    <t>I2S4_SDATA_OUT</t>
  </si>
  <si>
    <t>I2S4_SDATA_IN</t>
  </si>
  <si>
    <t>I2S4_LRCK</t>
  </si>
  <si>
    <t>GPIO3_PN.00</t>
  </si>
  <si>
    <t>GPIO3_PN.02</t>
  </si>
  <si>
    <t>I2C3_CLK</t>
  </si>
  <si>
    <t>I2C3_DAT</t>
  </si>
  <si>
    <t>PE1_RST_L</t>
  </si>
  <si>
    <t>PEX_CLK_OUT_2_P</t>
  </si>
  <si>
    <t>PEX_CLK_OUT_2_N</t>
  </si>
  <si>
    <t>RESET</t>
  </si>
  <si>
    <t>I2C5_CLK</t>
  </si>
  <si>
    <t>I2C5_DAT</t>
  </si>
  <si>
    <t>UB3_TXD</t>
  </si>
  <si>
    <t>UB3_RXD</t>
  </si>
  <si>
    <t>SPI3_SCK</t>
  </si>
  <si>
    <t>SPI3_DIN</t>
  </si>
  <si>
    <t>SPI3_CS0</t>
  </si>
  <si>
    <t>SPI3_DOUT</t>
  </si>
  <si>
    <t>SPI1_CS1</t>
  </si>
  <si>
    <t>GPIO3_PH.06</t>
  </si>
  <si>
    <t>SPI1_SCK</t>
  </si>
  <si>
    <t>SPI1_DIN</t>
  </si>
  <si>
    <t>SPI1_DOUT</t>
  </si>
  <si>
    <t>SPI1_CS0</t>
  </si>
  <si>
    <t>UA3_RTS</t>
  </si>
  <si>
    <t>UA3_CTS</t>
  </si>
  <si>
    <t>UC3_TXD</t>
  </si>
  <si>
    <t>UC3_RXD</t>
  </si>
  <si>
    <t>I2C8_CLK</t>
  </si>
  <si>
    <t>I2C8_DAT</t>
  </si>
  <si>
    <t>SPI2_SCK</t>
  </si>
  <si>
    <t>SPI2_CS0</t>
  </si>
  <si>
    <t>I2C2_CLK</t>
  </si>
  <si>
    <t>I2C2_DAT</t>
  </si>
  <si>
    <t>GPIO3_PEE.02</t>
  </si>
  <si>
    <t>GPIO3_PAA.04</t>
  </si>
  <si>
    <t>GPIO3_PAA.05</t>
  </si>
  <si>
    <t>GPIO3_PAA.06</t>
  </si>
  <si>
    <t>GPIO3_PAA.07</t>
  </si>
  <si>
    <t>GPIO3_PP.04</t>
  </si>
  <si>
    <t>GPIO3_PP.05</t>
  </si>
  <si>
    <t>GPIO3_PP.06</t>
  </si>
  <si>
    <t>1.0V</t>
  </si>
  <si>
    <t>SDMMC1_CD</t>
  </si>
  <si>
    <t>GP_PWM2</t>
  </si>
  <si>
    <t>GP_PWM1</t>
  </si>
  <si>
    <t>SOC_GPIO30</t>
  </si>
  <si>
    <t>SOC_GPIO31</t>
  </si>
  <si>
    <t>SOC_GPIO32</t>
  </si>
  <si>
    <t>SOC_GPIO33</t>
  </si>
  <si>
    <t>DAP3_SCLK</t>
  </si>
  <si>
    <t>DAP3_DOUT</t>
  </si>
  <si>
    <t>DAP3_DIN</t>
  </si>
  <si>
    <t>DAP3_FS</t>
  </si>
  <si>
    <t>DAP5_SCLK</t>
  </si>
  <si>
    <t>DAP5_DOUT</t>
  </si>
  <si>
    <t>DAP5_DIN</t>
  </si>
  <si>
    <t>DAP5_FS</t>
  </si>
  <si>
    <t>EQOS_SMA_MDIO</t>
  </si>
  <si>
    <t>EQOS_SMA_MDC</t>
  </si>
  <si>
    <t>QSPI0_SCK</t>
  </si>
  <si>
    <t>QSPI0_CS_N</t>
  </si>
  <si>
    <t>QSPI0_IO0</t>
  </si>
  <si>
    <t>QSPI0_IO1</t>
  </si>
  <si>
    <t>QSPI0_IO2</t>
  </si>
  <si>
    <t>QSPI0_IO3</t>
  </si>
  <si>
    <t>QSPI1_SCK</t>
  </si>
  <si>
    <t>QSPI1_CS_N</t>
  </si>
  <si>
    <t>QSPI1_IO0</t>
  </si>
  <si>
    <t>QSPI1_IO1</t>
  </si>
  <si>
    <t>QSPI1_IO2</t>
  </si>
  <si>
    <t>QSPI1_IO3</t>
  </si>
  <si>
    <t>SOC_GPIO00</t>
  </si>
  <si>
    <t>SOC_GPIO01</t>
  </si>
  <si>
    <t>SOC_GPIO02</t>
  </si>
  <si>
    <t>SOC_GPIO03</t>
  </si>
  <si>
    <t>SOC_GPIO08</t>
  </si>
  <si>
    <t>SOC_GPIO09</t>
  </si>
  <si>
    <t>SOC_GPIO10</t>
  </si>
  <si>
    <t>SOC_GPIO11</t>
  </si>
  <si>
    <t>SOC_GPIO12</t>
  </si>
  <si>
    <t>SOC_GPIO13</t>
  </si>
  <si>
    <t>SOC_GPIO14</t>
  </si>
  <si>
    <t>NVDBG_SEL</t>
  </si>
  <si>
    <t>JTAG_TRST_</t>
  </si>
  <si>
    <t>CV_PWR_REQ</t>
  </si>
  <si>
    <t>GP_PWM3</t>
  </si>
  <si>
    <t>SPI3_MISO</t>
  </si>
  <si>
    <t>SPI3_MOSI</t>
  </si>
  <si>
    <t>SPI3_CS1</t>
  </si>
  <si>
    <t>SPI1_MISO</t>
  </si>
  <si>
    <t>SPI1_MOSI</t>
  </si>
  <si>
    <t>SHUTDOWN_N</t>
  </si>
  <si>
    <t>AO_RETENTION_N</t>
  </si>
  <si>
    <t>CAN0_STB</t>
  </si>
  <si>
    <t>CAN0_EN</t>
  </si>
  <si>
    <t>CAN0_WAKE</t>
  </si>
  <si>
    <t>CAN0_ERR</t>
  </si>
  <si>
    <t>CAN1_STB</t>
  </si>
  <si>
    <t>CAN1_EN</t>
  </si>
  <si>
    <t>CAN1_WAKE</t>
  </si>
  <si>
    <t>CAN1_ERR</t>
  </si>
  <si>
    <t>SPI2_MISO</t>
  </si>
  <si>
    <t>SPI2_MOSI</t>
  </si>
  <si>
    <t>GEN2_I2C_SCL</t>
  </si>
  <si>
    <t>GEN2_I2C_SDA</t>
  </si>
  <si>
    <t>SOC_GPIO04</t>
  </si>
  <si>
    <t>SOC_GPIO05</t>
  </si>
  <si>
    <t>SOC_GPIO06</t>
  </si>
  <si>
    <t>SOC_GPIO07</t>
  </si>
  <si>
    <t>SOC_GPIO20</t>
  </si>
  <si>
    <t>SOC_GPIO21</t>
  </si>
  <si>
    <t>SOC_GPIO22</t>
  </si>
  <si>
    <t>SOC_GPIO23</t>
  </si>
  <si>
    <t>SOC_GPIO40</t>
  </si>
  <si>
    <t>SOC_GPIO41</t>
  </si>
  <si>
    <t>SOC_GPIO42</t>
  </si>
  <si>
    <t>SOC_GPIO43</t>
  </si>
  <si>
    <t>SOC_GPIO44</t>
  </si>
  <si>
    <t>SOC_GPIO45</t>
  </si>
  <si>
    <t>DAP6_SCLK</t>
  </si>
  <si>
    <t>DAP6_DOUT</t>
  </si>
  <si>
    <t>DAP6_DIN</t>
  </si>
  <si>
    <t>DAP6_FS</t>
  </si>
  <si>
    <t>CPU_PWR_REQ_0</t>
  </si>
  <si>
    <t>CPU_PWR_REQ_1</t>
  </si>
  <si>
    <t>PWR_CTL</t>
  </si>
  <si>
    <t>PEX_L3_CLKREQ_N</t>
  </si>
  <si>
    <t>PEX_L3_RST_N</t>
  </si>
  <si>
    <t>PEX_L4_CLKREQ_N</t>
  </si>
  <si>
    <t>PEX_L4_RST_N</t>
  </si>
  <si>
    <t>SATA_DEV_SLP</t>
  </si>
  <si>
    <t>PEX_CLK5P</t>
  </si>
  <si>
    <t>PEX_CLK5N</t>
  </si>
  <si>
    <t>PEX_CLK0P</t>
  </si>
  <si>
    <t>PEX_CLK0N</t>
  </si>
  <si>
    <t>PEX_CLK4P</t>
  </si>
  <si>
    <t>PEX_CLK4N</t>
  </si>
  <si>
    <t>DP_AUX_CH2_P</t>
  </si>
  <si>
    <t>DP_AUX_CH2_N</t>
  </si>
  <si>
    <t>DP_AUX_CH2_HPD</t>
  </si>
  <si>
    <t>DP_AUX_CH3_P</t>
  </si>
  <si>
    <t>DP_AUX_CH3_N</t>
  </si>
  <si>
    <t>DP_AUX_CH3_HPD</t>
  </si>
  <si>
    <t>SOC_GPIO50</t>
  </si>
  <si>
    <t>SOC_GPIO51</t>
  </si>
  <si>
    <t>SOC_GPIO52</t>
  </si>
  <si>
    <t>SOC_GPIO53</t>
  </si>
  <si>
    <t>SOC_GPIO54</t>
  </si>
  <si>
    <t>SOC_GPIO55</t>
  </si>
  <si>
    <t>CSI</t>
  </si>
  <si>
    <t>CSI_G_CLK_N</t>
  </si>
  <si>
    <t>CSI_G_CLK_P</t>
  </si>
  <si>
    <t>CSI_G_D0_N</t>
  </si>
  <si>
    <t>CSI_G_D0_P</t>
  </si>
  <si>
    <t>CSI_G_D1_N</t>
  </si>
  <si>
    <t>CSI_G_D1_P</t>
  </si>
  <si>
    <t>CSI_H_CLK_N</t>
  </si>
  <si>
    <t>CSI_H_CLK_P</t>
  </si>
  <si>
    <t>CSI_H_D0_N</t>
  </si>
  <si>
    <t>CSI_H_D0_P</t>
  </si>
  <si>
    <t>CSI_H_D1_N</t>
  </si>
  <si>
    <t>CSI_H_D1_P</t>
  </si>
  <si>
    <t>HDMI_DP2</t>
  </si>
  <si>
    <t>HDMI_DP3</t>
  </si>
  <si>
    <t>HDMI_DP2_TXDP0</t>
  </si>
  <si>
    <t>HDMI_DP2_TXDN0</t>
  </si>
  <si>
    <t>HDMI_DP2_TXDP1</t>
  </si>
  <si>
    <t>HDMI_DP2_TXDN1</t>
  </si>
  <si>
    <t>HDMI_DP2_TXDP2</t>
  </si>
  <si>
    <t>HDMI_DP2_TXDN2</t>
  </si>
  <si>
    <t>HDMI_DP2_TXDP3</t>
  </si>
  <si>
    <t>HDMI_DP2_TXDN3</t>
  </si>
  <si>
    <t>HDMI_DP3_TXDP0</t>
  </si>
  <si>
    <t>HDMI_DP3_TXDN0</t>
  </si>
  <si>
    <t>HDMI_DP3_TXDP1</t>
  </si>
  <si>
    <t>HDMI_DP3_TXDN1</t>
  </si>
  <si>
    <t>HDMI_DP3_TXDP2</t>
  </si>
  <si>
    <t>HDMI_DP3_TXDN2</t>
  </si>
  <si>
    <t>HDMI_DP3_TXDP3</t>
  </si>
  <si>
    <t>HDMI_DP3_TXDN3</t>
  </si>
  <si>
    <t>USB3_DP</t>
  </si>
  <si>
    <t>USB3_DN</t>
  </si>
  <si>
    <t>PEX_REFCLK2P</t>
  </si>
  <si>
    <t>PEX_REFCLK2N</t>
  </si>
  <si>
    <t>PEX_RX6P</t>
  </si>
  <si>
    <t>PEX_RX6N</t>
  </si>
  <si>
    <t>PEX_TX6P</t>
  </si>
  <si>
    <t>PEX_TX6N</t>
  </si>
  <si>
    <t>PEX_RX7P</t>
  </si>
  <si>
    <t>PEX_RX7N</t>
  </si>
  <si>
    <t>PEX_TX7P</t>
  </si>
  <si>
    <t>PEX_TX7N</t>
  </si>
  <si>
    <t>PEX_RX8P</t>
  </si>
  <si>
    <t>PEX_RX8N</t>
  </si>
  <si>
    <t>PEX_TX8P</t>
  </si>
  <si>
    <t>PEX_TX8N</t>
  </si>
  <si>
    <t>PEX_RX9P</t>
  </si>
  <si>
    <t>PEX_RX9N</t>
  </si>
  <si>
    <t>PEX_TX9P</t>
  </si>
  <si>
    <t>PEX_TX9N</t>
  </si>
  <si>
    <t>PEX_RX10P</t>
  </si>
  <si>
    <t>PEX_RX10N</t>
  </si>
  <si>
    <t>PEX_TX10P</t>
  </si>
  <si>
    <t>PEX_TX10N</t>
  </si>
  <si>
    <t>PEX_RX11P</t>
  </si>
  <si>
    <t>PEX_RX11N</t>
  </si>
  <si>
    <t>PEX_TX11P</t>
  </si>
  <si>
    <t>PEX_TX11N</t>
  </si>
  <si>
    <t>NVHS0_REFCLK_P</t>
  </si>
  <si>
    <t>NVHS0_REFCLK_N</t>
  </si>
  <si>
    <t>NVHS0_RX0_P</t>
  </si>
  <si>
    <t>NVHS0_RX0_N</t>
  </si>
  <si>
    <t>NVHS0_TX0_P</t>
  </si>
  <si>
    <t>NVHS0_TX0_N</t>
  </si>
  <si>
    <t>NVHS0_RX1_P</t>
  </si>
  <si>
    <t>NVHS0_RX1_N</t>
  </si>
  <si>
    <t>NVHS0_TX1_P</t>
  </si>
  <si>
    <t>NVHS0_TX1_N</t>
  </si>
  <si>
    <t>NVHS0_RX2_P</t>
  </si>
  <si>
    <t>NVHS0_RX2_N</t>
  </si>
  <si>
    <t>NVHS0_TX2_P</t>
  </si>
  <si>
    <t>NVHS0_TX2_N</t>
  </si>
  <si>
    <t>NVHS0_RX3_P</t>
  </si>
  <si>
    <t>NVHS0_RX3_N</t>
  </si>
  <si>
    <t>NVHS0_TX3_P</t>
  </si>
  <si>
    <t>NVHS0_TX3_N</t>
  </si>
  <si>
    <t>NVHS0_RX4_P</t>
  </si>
  <si>
    <t>NVHS0_RX4_N</t>
  </si>
  <si>
    <t>NVHS0_TX4_P</t>
  </si>
  <si>
    <t>NVHS0_TX4_N</t>
  </si>
  <si>
    <t>NVHS0_RX5_P</t>
  </si>
  <si>
    <t>NVHS0_RX5_N</t>
  </si>
  <si>
    <t>NVHS0_TX5_P</t>
  </si>
  <si>
    <t>NVHS0_TX5_N</t>
  </si>
  <si>
    <t>NVHS0_RX6_P</t>
  </si>
  <si>
    <t>NVHS0_RX6_N</t>
  </si>
  <si>
    <t>NVHS0_TX6_P</t>
  </si>
  <si>
    <t>NVHS0_TX6_N</t>
  </si>
  <si>
    <t>NVHS0_RX7_P</t>
  </si>
  <si>
    <t>NVHS0_RX7_N</t>
  </si>
  <si>
    <t>NVHS0_TX7_P</t>
  </si>
  <si>
    <t>NVHS0_TX7_N</t>
  </si>
  <si>
    <t>XM0_B0D0</t>
  </si>
  <si>
    <t>XM0_B0D1</t>
  </si>
  <si>
    <t>XM0_B0D2</t>
  </si>
  <si>
    <t>XM0_B0D3</t>
  </si>
  <si>
    <t>XM0_B0D4</t>
  </si>
  <si>
    <t>XM0_B0D5</t>
  </si>
  <si>
    <t>XM0_B0D6</t>
  </si>
  <si>
    <t>XM0_B0D7</t>
  </si>
  <si>
    <t>XM0_B0D8</t>
  </si>
  <si>
    <t>XM0_B0DIFFN</t>
  </si>
  <si>
    <t>XM0_B0DIFFP</t>
  </si>
  <si>
    <t>XM0_B0C</t>
  </si>
  <si>
    <t>XM0_B1D0</t>
  </si>
  <si>
    <t>XM0_B1D1</t>
  </si>
  <si>
    <t>XM0_B1D2</t>
  </si>
  <si>
    <t>XM0_B1D3</t>
  </si>
  <si>
    <t>XM0_B1D4</t>
  </si>
  <si>
    <t>XM0_B1D5</t>
  </si>
  <si>
    <t>XM0_B1D6</t>
  </si>
  <si>
    <t>XM0_B1D7</t>
  </si>
  <si>
    <t>XM0_B1D8</t>
  </si>
  <si>
    <t>XM0_B1DIFFN</t>
  </si>
  <si>
    <t>XM0_B1DIFFP</t>
  </si>
  <si>
    <t>XM0_B1C</t>
  </si>
  <si>
    <t>XM0_B2D0</t>
  </si>
  <si>
    <t>XM0_B2D1</t>
  </si>
  <si>
    <t>XM0_B2D2</t>
  </si>
  <si>
    <t>XM0_B2D3</t>
  </si>
  <si>
    <t>XM0_B2D4</t>
  </si>
  <si>
    <t>XM0_B2D5</t>
  </si>
  <si>
    <t>XM0_B2D6</t>
  </si>
  <si>
    <t>XM0_B2D7</t>
  </si>
  <si>
    <t>XM0_B2D8</t>
  </si>
  <si>
    <t>XM0_B2DIFFN</t>
  </si>
  <si>
    <t>XM0_B2DIFFP</t>
  </si>
  <si>
    <t>XM0_B2C</t>
  </si>
  <si>
    <t>XM0_B3D0</t>
  </si>
  <si>
    <t>XM0_B3D1</t>
  </si>
  <si>
    <t>XM0_B3D2</t>
  </si>
  <si>
    <t>XM0_B3D3</t>
  </si>
  <si>
    <t>XM0_B3D4</t>
  </si>
  <si>
    <t>XM0_B3D5</t>
  </si>
  <si>
    <t>XM0_B3D6</t>
  </si>
  <si>
    <t>XM0_B3D7</t>
  </si>
  <si>
    <t>XM0_B3D8</t>
  </si>
  <si>
    <t>XM0_B3DIFFN</t>
  </si>
  <si>
    <t>XM0_B3DIFFP</t>
  </si>
  <si>
    <t>XM0_B3C</t>
  </si>
  <si>
    <t>XM0_B4D0</t>
  </si>
  <si>
    <t>XM0_B4D1</t>
  </si>
  <si>
    <t>XM0_B4D2</t>
  </si>
  <si>
    <t>XM0_B4D3</t>
  </si>
  <si>
    <t>XM0_B4D4</t>
  </si>
  <si>
    <t>XM0_B4D5</t>
  </si>
  <si>
    <t>XM0_B4D6</t>
  </si>
  <si>
    <t>XM0_B4D7</t>
  </si>
  <si>
    <t>XM0_B4D8</t>
  </si>
  <si>
    <t>XM0_B4DIFFN</t>
  </si>
  <si>
    <t>XM0_B4DIFFP</t>
  </si>
  <si>
    <t>XM0_B4C</t>
  </si>
  <si>
    <t>XM0_B5D0</t>
  </si>
  <si>
    <t>XM0_B5D1</t>
  </si>
  <si>
    <t>XM0_B5D2</t>
  </si>
  <si>
    <t>XM0_B5D3</t>
  </si>
  <si>
    <t>XM0_B5D4</t>
  </si>
  <si>
    <t>XM0_B5D5</t>
  </si>
  <si>
    <t>XM0_B5D6</t>
  </si>
  <si>
    <t>XM0_B5D7</t>
  </si>
  <si>
    <t>XM0_B5D8</t>
  </si>
  <si>
    <t>XM0_B5DIFFN</t>
  </si>
  <si>
    <t>XM0_B5DIFFP</t>
  </si>
  <si>
    <t>XM0_B5C</t>
  </si>
  <si>
    <t>XM0_B6D0</t>
  </si>
  <si>
    <t>XM0_B6D1</t>
  </si>
  <si>
    <t>XM0_B6D2</t>
  </si>
  <si>
    <t>XM0_B6D3</t>
  </si>
  <si>
    <t>XM0_B6D4</t>
  </si>
  <si>
    <t>XM0_B6D5</t>
  </si>
  <si>
    <t>XM0_B6D6</t>
  </si>
  <si>
    <t>XM0_B6D7</t>
  </si>
  <si>
    <t>XM0_B6D8</t>
  </si>
  <si>
    <t>XM0_B6DIFFN</t>
  </si>
  <si>
    <t>XM0_B6DIFFP</t>
  </si>
  <si>
    <t>XM0_B6C</t>
  </si>
  <si>
    <t>XM0_B7D0</t>
  </si>
  <si>
    <t>XM0_B7D1</t>
  </si>
  <si>
    <t>XM0_B7D2</t>
  </si>
  <si>
    <t>XM0_B7D3</t>
  </si>
  <si>
    <t>XM0_B7D4</t>
  </si>
  <si>
    <t>XM0_B7D5</t>
  </si>
  <si>
    <t>XM0_B7D6</t>
  </si>
  <si>
    <t>XM0_B7D7</t>
  </si>
  <si>
    <t>XM0_B7D8</t>
  </si>
  <si>
    <t>XM0_B7DIFFN</t>
  </si>
  <si>
    <t>XM0_B7DIFFP</t>
  </si>
  <si>
    <t>XM0_B7C</t>
  </si>
  <si>
    <t>XM0_B8D0</t>
  </si>
  <si>
    <t>XM0_B8D1</t>
  </si>
  <si>
    <t>XM0_B8D2</t>
  </si>
  <si>
    <t>XM0_B8D3</t>
  </si>
  <si>
    <t>XM0_B8D4</t>
  </si>
  <si>
    <t>XM0_B8D5</t>
  </si>
  <si>
    <t>XM0_B8D6</t>
  </si>
  <si>
    <t>XM0_B8D7</t>
  </si>
  <si>
    <t>XM0_B8D8</t>
  </si>
  <si>
    <t>XM0_B8DIFFN</t>
  </si>
  <si>
    <t>XM0_B8DIFFP</t>
  </si>
  <si>
    <t>XM0_B8C</t>
  </si>
  <si>
    <t>XM0_B9D0</t>
  </si>
  <si>
    <t>XM0_B9D1</t>
  </si>
  <si>
    <t>XM0_B9D2</t>
  </si>
  <si>
    <t>XM0_B9D3</t>
  </si>
  <si>
    <t>XM0_B9D4</t>
  </si>
  <si>
    <t>XM0_B9D5</t>
  </si>
  <si>
    <t>XM0_B9D6</t>
  </si>
  <si>
    <t>XM0_B9D7</t>
  </si>
  <si>
    <t>XM0_B9D8</t>
  </si>
  <si>
    <t>XM0_B9DIFFN</t>
  </si>
  <si>
    <t>XM0_B9DIFFP</t>
  </si>
  <si>
    <t>XM0_B9C</t>
  </si>
  <si>
    <t>XM0_B10D0</t>
  </si>
  <si>
    <t>XM0_B10D1</t>
  </si>
  <si>
    <t>XM0_B10D2</t>
  </si>
  <si>
    <t>XM0_B10D3</t>
  </si>
  <si>
    <t>XM0_B10D4</t>
  </si>
  <si>
    <t>XM0_B10D5</t>
  </si>
  <si>
    <t>XM0_B10D6</t>
  </si>
  <si>
    <t>XM0_B10D7</t>
  </si>
  <si>
    <t>XM0_B10D8</t>
  </si>
  <si>
    <t>XM0_B10DIFFN</t>
  </si>
  <si>
    <t>XM0_B10DIFFP</t>
  </si>
  <si>
    <t>XM0_B10C</t>
  </si>
  <si>
    <t>XM0_B11D0</t>
  </si>
  <si>
    <t>XM0_B11D1</t>
  </si>
  <si>
    <t>XM0_B11D2</t>
  </si>
  <si>
    <t>XM0_B11D3</t>
  </si>
  <si>
    <t>XM0_B11D4</t>
  </si>
  <si>
    <t>XM0_B11D5</t>
  </si>
  <si>
    <t>XM0_B11D6</t>
  </si>
  <si>
    <t>XM0_B11D7</t>
  </si>
  <si>
    <t>XM0_B11D8</t>
  </si>
  <si>
    <t>XM0_B11DIFFN</t>
  </si>
  <si>
    <t>XM0_B11DIFFP</t>
  </si>
  <si>
    <t>XM0_B11C</t>
  </si>
  <si>
    <t>XM1_B0D0</t>
  </si>
  <si>
    <t>XM1_B0D1</t>
  </si>
  <si>
    <t>XM1_B0D2</t>
  </si>
  <si>
    <t>XM1_B0D3</t>
  </si>
  <si>
    <t>XM1_B0D4</t>
  </si>
  <si>
    <t>XM1_B0D5</t>
  </si>
  <si>
    <t>XM1_B0D6</t>
  </si>
  <si>
    <t>XM1_B0D7</t>
  </si>
  <si>
    <t>XM1_B0D8</t>
  </si>
  <si>
    <t>XM1_B0DIFFN</t>
  </si>
  <si>
    <t>XM1_B0DIFFP</t>
  </si>
  <si>
    <t>XM1_B0C</t>
  </si>
  <si>
    <t>XM1_B1D0</t>
  </si>
  <si>
    <t>XM1_B1D1</t>
  </si>
  <si>
    <t>XM1_B1D2</t>
  </si>
  <si>
    <t>XM1_B1D3</t>
  </si>
  <si>
    <t>XM1_B1D4</t>
  </si>
  <si>
    <t>XM1_B1D5</t>
  </si>
  <si>
    <t>XM1_B1D6</t>
  </si>
  <si>
    <t>XM1_B1D7</t>
  </si>
  <si>
    <t>XM1_B1D8</t>
  </si>
  <si>
    <t>XM1_B1DIFFN</t>
  </si>
  <si>
    <t>XM1_B1DIFFP</t>
  </si>
  <si>
    <t>XM1_B1C</t>
  </si>
  <si>
    <t>XM1_B2D0</t>
  </si>
  <si>
    <t>XM1_B2D1</t>
  </si>
  <si>
    <t>XM1_B2D2</t>
  </si>
  <si>
    <t>XM1_B2D3</t>
  </si>
  <si>
    <t>XM1_B2D4</t>
  </si>
  <si>
    <t>XM1_B2D5</t>
  </si>
  <si>
    <t>XM1_B2D6</t>
  </si>
  <si>
    <t>XM1_B2D7</t>
  </si>
  <si>
    <t>XM1_B2D8</t>
  </si>
  <si>
    <t>XM1_B2DIFFN</t>
  </si>
  <si>
    <t>XM1_B2DIFFP</t>
  </si>
  <si>
    <t>XM1_B2C</t>
  </si>
  <si>
    <t>XM1_B3D0</t>
  </si>
  <si>
    <t>XM1_B3D1</t>
  </si>
  <si>
    <t>XM1_B3D2</t>
  </si>
  <si>
    <t>XM1_B3D3</t>
  </si>
  <si>
    <t>XM1_B3D4</t>
  </si>
  <si>
    <t>XM1_B3D5</t>
  </si>
  <si>
    <t>XM1_B3D6</t>
  </si>
  <si>
    <t>XM1_B3D7</t>
  </si>
  <si>
    <t>XM1_B3D8</t>
  </si>
  <si>
    <t>XM1_B3DIFFN</t>
  </si>
  <si>
    <t>XM1_B3DIFFP</t>
  </si>
  <si>
    <t>XM1_B3C</t>
  </si>
  <si>
    <t>XM1_B4D0</t>
  </si>
  <si>
    <t>XM1_B4D1</t>
  </si>
  <si>
    <t>XM1_B4D2</t>
  </si>
  <si>
    <t>XM1_B4D3</t>
  </si>
  <si>
    <t>XM1_B4D4</t>
  </si>
  <si>
    <t>XM1_B4D5</t>
  </si>
  <si>
    <t>XM1_B4D6</t>
  </si>
  <si>
    <t>XM1_B4D7</t>
  </si>
  <si>
    <t>XM1_B4D8</t>
  </si>
  <si>
    <t>XM1_B4DIFFN</t>
  </si>
  <si>
    <t>XM1_B4DIFFP</t>
  </si>
  <si>
    <t>XM1_B4C</t>
  </si>
  <si>
    <t>XM1_B5D0</t>
  </si>
  <si>
    <t>XM1_B5D1</t>
  </si>
  <si>
    <t>XM1_B5D2</t>
  </si>
  <si>
    <t>XM1_B5D3</t>
  </si>
  <si>
    <t>XM1_B5D4</t>
  </si>
  <si>
    <t>XM1_B5D5</t>
  </si>
  <si>
    <t>XM1_B5D6</t>
  </si>
  <si>
    <t>XM1_B5D7</t>
  </si>
  <si>
    <t>XM1_B5D8</t>
  </si>
  <si>
    <t>XM1_B5DIFFN</t>
  </si>
  <si>
    <t>XM1_B5DIFFP</t>
  </si>
  <si>
    <t>XM1_B5C</t>
  </si>
  <si>
    <t>XM1_B6D0</t>
  </si>
  <si>
    <t>XM1_B6D1</t>
  </si>
  <si>
    <t>XM1_B6D2</t>
  </si>
  <si>
    <t>XM1_B6D3</t>
  </si>
  <si>
    <t>XM1_B6D4</t>
  </si>
  <si>
    <t>XM1_B6D5</t>
  </si>
  <si>
    <t>XM1_B6D6</t>
  </si>
  <si>
    <t>XM1_B6D7</t>
  </si>
  <si>
    <t>XM1_B6D8</t>
  </si>
  <si>
    <t>XM1_B6DIFFN</t>
  </si>
  <si>
    <t>XM1_B6DIFFP</t>
  </si>
  <si>
    <t>XM1_B6C</t>
  </si>
  <si>
    <t>XM1_B7D0</t>
  </si>
  <si>
    <t>XM1_B7D1</t>
  </si>
  <si>
    <t>XM1_B7D2</t>
  </si>
  <si>
    <t>XM1_B7D3</t>
  </si>
  <si>
    <t>XM1_B7D4</t>
  </si>
  <si>
    <t>XM1_B7D5</t>
  </si>
  <si>
    <t>XM1_B7D6</t>
  </si>
  <si>
    <t>XM1_B7D7</t>
  </si>
  <si>
    <t>XM1_B7D8</t>
  </si>
  <si>
    <t>XM1_B7DIFFN</t>
  </si>
  <si>
    <t>XM1_B7DIFFP</t>
  </si>
  <si>
    <t>XM1_B7C</t>
  </si>
  <si>
    <t>XM1_B8D0</t>
  </si>
  <si>
    <t>XM1_B8D1</t>
  </si>
  <si>
    <t>XM1_B8D2</t>
  </si>
  <si>
    <t>XM1_B8D3</t>
  </si>
  <si>
    <t>XM1_B8D4</t>
  </si>
  <si>
    <t>XM1_B8D5</t>
  </si>
  <si>
    <t>XM1_B8D6</t>
  </si>
  <si>
    <t>XM1_B8D7</t>
  </si>
  <si>
    <t>XM1_B8D8</t>
  </si>
  <si>
    <t>XM1_B8DIFFN</t>
  </si>
  <si>
    <t>XM1_B8DIFFP</t>
  </si>
  <si>
    <t>XM1_B8C</t>
  </si>
  <si>
    <t>XM1_B9D0</t>
  </si>
  <si>
    <t>XM1_B9D1</t>
  </si>
  <si>
    <t>XM1_B9D2</t>
  </si>
  <si>
    <t>XM1_B9D3</t>
  </si>
  <si>
    <t>XM1_B9D4</t>
  </si>
  <si>
    <t>XM1_B9D5</t>
  </si>
  <si>
    <t>XM1_B9D6</t>
  </si>
  <si>
    <t>XM1_B9D7</t>
  </si>
  <si>
    <t>XM1_B9D8</t>
  </si>
  <si>
    <t>XM1_B9DIFFN</t>
  </si>
  <si>
    <t>XM1_B9DIFFP</t>
  </si>
  <si>
    <t>XM1_B9C</t>
  </si>
  <si>
    <t>XM1_B10D0</t>
  </si>
  <si>
    <t>XM1_B10D1</t>
  </si>
  <si>
    <t>XM1_B10D2</t>
  </si>
  <si>
    <t>XM1_B10D3</t>
  </si>
  <si>
    <t>XM1_B10D4</t>
  </si>
  <si>
    <t>XM1_B10D5</t>
  </si>
  <si>
    <t>XM1_B10D6</t>
  </si>
  <si>
    <t>XM1_B10D7</t>
  </si>
  <si>
    <t>XM1_B10D8</t>
  </si>
  <si>
    <t>XM1_B10DIFFN</t>
  </si>
  <si>
    <t>XM1_B10DIFFP</t>
  </si>
  <si>
    <t>XM1_B10C</t>
  </si>
  <si>
    <t>XM1_B11D0</t>
  </si>
  <si>
    <t>XM1_B11D1</t>
  </si>
  <si>
    <t>XM1_B11D2</t>
  </si>
  <si>
    <t>XM1_B11D3</t>
  </si>
  <si>
    <t>XM1_B11D4</t>
  </si>
  <si>
    <t>XM1_B11D5</t>
  </si>
  <si>
    <t>XM1_B11D6</t>
  </si>
  <si>
    <t>XM1_B11D7</t>
  </si>
  <si>
    <t>XM1_B11D8</t>
  </si>
  <si>
    <t>XM1_B11DIFFN</t>
  </si>
  <si>
    <t>XM1_B11DIFFP</t>
  </si>
  <si>
    <t>XM1_B11C</t>
  </si>
  <si>
    <t>XM3_B0D0</t>
  </si>
  <si>
    <t>XM3_B0D1</t>
  </si>
  <si>
    <t>XM3_B0D2</t>
  </si>
  <si>
    <t>XM3_B0D3</t>
  </si>
  <si>
    <t>XM3_B0D4</t>
  </si>
  <si>
    <t>XM3_B0D5</t>
  </si>
  <si>
    <t>XM3_B0D6</t>
  </si>
  <si>
    <t>XM3_B0D7</t>
  </si>
  <si>
    <t>XM3_B0D8</t>
  </si>
  <si>
    <t>XM3_B0DIFFN</t>
  </si>
  <si>
    <t>XM3_B0DIFFP</t>
  </si>
  <si>
    <t>XM3_B0C</t>
  </si>
  <si>
    <t>XM3_B1D0</t>
  </si>
  <si>
    <t>XM3_B1D1</t>
  </si>
  <si>
    <t>XM3_B1D2</t>
  </si>
  <si>
    <t>XM3_B1D3</t>
  </si>
  <si>
    <t>XM3_B1D4</t>
  </si>
  <si>
    <t>XM3_B1D5</t>
  </si>
  <si>
    <t>XM3_B1D6</t>
  </si>
  <si>
    <t>XM3_B1D7</t>
  </si>
  <si>
    <t>XM3_B1D8</t>
  </si>
  <si>
    <t>XM3_B1DIFFN</t>
  </si>
  <si>
    <t>XM3_B1DIFFP</t>
  </si>
  <si>
    <t>XM3_B1C</t>
  </si>
  <si>
    <t>XM3_B2D0</t>
  </si>
  <si>
    <t>XM3_B2D1</t>
  </si>
  <si>
    <t>XM3_B2D2</t>
  </si>
  <si>
    <t>XM3_B2D3</t>
  </si>
  <si>
    <t>XM3_B2D4</t>
  </si>
  <si>
    <t>XM3_B2D5</t>
  </si>
  <si>
    <t>XM3_B2D6</t>
  </si>
  <si>
    <t>XM3_B2D7</t>
  </si>
  <si>
    <t>XM3_B2D8</t>
  </si>
  <si>
    <t>XM3_B2DIFFN</t>
  </si>
  <si>
    <t>XM3_B2DIFFP</t>
  </si>
  <si>
    <t>XM3_B2C</t>
  </si>
  <si>
    <t>XM3_B3D0</t>
  </si>
  <si>
    <t>XM3_B3D1</t>
  </si>
  <si>
    <t>XM3_B3D2</t>
  </si>
  <si>
    <t>XM3_B3D3</t>
  </si>
  <si>
    <t>XM3_B3D4</t>
  </si>
  <si>
    <t>XM3_B3D5</t>
  </si>
  <si>
    <t>XM3_B3D6</t>
  </si>
  <si>
    <t>XM3_B3D7</t>
  </si>
  <si>
    <t>XM3_B3D8</t>
  </si>
  <si>
    <t>XM3_B3DIFFN</t>
  </si>
  <si>
    <t>XM3_B3DIFFP</t>
  </si>
  <si>
    <t>XM3_B3C</t>
  </si>
  <si>
    <t>XM3_B4D0</t>
  </si>
  <si>
    <t>XM3_B4D1</t>
  </si>
  <si>
    <t>XM3_B4D2</t>
  </si>
  <si>
    <t>XM3_B4D3</t>
  </si>
  <si>
    <t>XM3_B4D4</t>
  </si>
  <si>
    <t>XM3_B4D5</t>
  </si>
  <si>
    <t>XM3_B4D6</t>
  </si>
  <si>
    <t>XM3_B4D7</t>
  </si>
  <si>
    <t>XM3_B4D8</t>
  </si>
  <si>
    <t>XM3_B4DIFFN</t>
  </si>
  <si>
    <t>XM3_B4DIFFP</t>
  </si>
  <si>
    <t>XM3_B4C</t>
  </si>
  <si>
    <t>XM3_B5D0</t>
  </si>
  <si>
    <t>XM3_B5D1</t>
  </si>
  <si>
    <t>XM3_B5D2</t>
  </si>
  <si>
    <t>XM3_B5D3</t>
  </si>
  <si>
    <t>XM3_B5D4</t>
  </si>
  <si>
    <t>XM3_B5D5</t>
  </si>
  <si>
    <t>XM3_B5D6</t>
  </si>
  <si>
    <t>XM3_B5D7</t>
  </si>
  <si>
    <t>XM3_B5D8</t>
  </si>
  <si>
    <t>XM3_B5DIFFN</t>
  </si>
  <si>
    <t>XM3_B5DIFFP</t>
  </si>
  <si>
    <t>XM3_B5C</t>
  </si>
  <si>
    <t>XM3_B6D0</t>
  </si>
  <si>
    <t>XM3_B6D1</t>
  </si>
  <si>
    <t>XM3_B6D2</t>
  </si>
  <si>
    <t>XM3_B6D3</t>
  </si>
  <si>
    <t>XM3_B6D4</t>
  </si>
  <si>
    <t>XM3_B6D5</t>
  </si>
  <si>
    <t>XM3_B6D6</t>
  </si>
  <si>
    <t>XM3_B6D7</t>
  </si>
  <si>
    <t>XM3_B6D8</t>
  </si>
  <si>
    <t>XM3_B6DIFFN</t>
  </si>
  <si>
    <t>XM3_B6DIFFP</t>
  </si>
  <si>
    <t>XM3_B6C</t>
  </si>
  <si>
    <t>XM3_B7D0</t>
  </si>
  <si>
    <t>XM3_B7D1</t>
  </si>
  <si>
    <t>XM3_B7D2</t>
  </si>
  <si>
    <t>XM3_B7D3</t>
  </si>
  <si>
    <t>XM3_B7D4</t>
  </si>
  <si>
    <t>XM3_B7D5</t>
  </si>
  <si>
    <t>XM3_B7D6</t>
  </si>
  <si>
    <t>XM3_B7D7</t>
  </si>
  <si>
    <t>XM3_B7D8</t>
  </si>
  <si>
    <t>XM3_B7DIFFN</t>
  </si>
  <si>
    <t>XM3_B7DIFFP</t>
  </si>
  <si>
    <t>XM3_B7C</t>
  </si>
  <si>
    <t>XM3_B8D0</t>
  </si>
  <si>
    <t>XM3_B8D1</t>
  </si>
  <si>
    <t>XM3_B8D2</t>
  </si>
  <si>
    <t>XM3_B8D3</t>
  </si>
  <si>
    <t>XM3_B8D4</t>
  </si>
  <si>
    <t>XM3_B8D5</t>
  </si>
  <si>
    <t>XM3_B8D6</t>
  </si>
  <si>
    <t>XM3_B8D7</t>
  </si>
  <si>
    <t>XM3_B8D8</t>
  </si>
  <si>
    <t>XM3_B8DIFFN</t>
  </si>
  <si>
    <t>XM3_B8DIFFP</t>
  </si>
  <si>
    <t>XM3_B8C</t>
  </si>
  <si>
    <t>XM3_B9D0</t>
  </si>
  <si>
    <t>XM3_B9D1</t>
  </si>
  <si>
    <t>XM3_B9D2</t>
  </si>
  <si>
    <t>XM3_B9D3</t>
  </si>
  <si>
    <t>XM3_B9D4</t>
  </si>
  <si>
    <t>XM3_B9D5</t>
  </si>
  <si>
    <t>XM3_B9D6</t>
  </si>
  <si>
    <t>XM3_B9D7</t>
  </si>
  <si>
    <t>XM3_B9D8</t>
  </si>
  <si>
    <t>XM3_B9DIFFN</t>
  </si>
  <si>
    <t>XM3_B9DIFFP</t>
  </si>
  <si>
    <t>XM3_B9C</t>
  </si>
  <si>
    <t>XM3_B10D0</t>
  </si>
  <si>
    <t>XM3_B10D1</t>
  </si>
  <si>
    <t>XM3_B10D2</t>
  </si>
  <si>
    <t>XM3_B10D3</t>
  </si>
  <si>
    <t>XM3_B10D4</t>
  </si>
  <si>
    <t>XM3_B10D5</t>
  </si>
  <si>
    <t>XM3_B10D6</t>
  </si>
  <si>
    <t>XM3_B10D7</t>
  </si>
  <si>
    <t>XM3_B10D8</t>
  </si>
  <si>
    <t>XM3_B10DIFFN</t>
  </si>
  <si>
    <t>XM3_B10DIFFP</t>
  </si>
  <si>
    <t>XM3_B10C</t>
  </si>
  <si>
    <t>XM3_B11D0</t>
  </si>
  <si>
    <t>XM3_B11D1</t>
  </si>
  <si>
    <t>XM3_B11D2</t>
  </si>
  <si>
    <t>XM3_B11D3</t>
  </si>
  <si>
    <t>XM3_B11D4</t>
  </si>
  <si>
    <t>XM3_B11D5</t>
  </si>
  <si>
    <t>XM3_B11D6</t>
  </si>
  <si>
    <t>XM3_B11D7</t>
  </si>
  <si>
    <t>XM3_B11D8</t>
  </si>
  <si>
    <t>XM3_B11DIFFN</t>
  </si>
  <si>
    <t>XM3_B11DIFFP</t>
  </si>
  <si>
    <t>XM3_B11C</t>
  </si>
  <si>
    <t>XM2_B0D0</t>
  </si>
  <si>
    <t>XM2_B0D1</t>
  </si>
  <si>
    <t>XM2_B0D2</t>
  </si>
  <si>
    <t>XM2_B0D3</t>
  </si>
  <si>
    <t>XM2_B0D4</t>
  </si>
  <si>
    <t>XM2_B0D5</t>
  </si>
  <si>
    <t>XM2_B0D6</t>
  </si>
  <si>
    <t>XM2_B0D7</t>
  </si>
  <si>
    <t>XM2_B0D8</t>
  </si>
  <si>
    <t>XM2_B0DIFFN</t>
  </si>
  <si>
    <t>XM2_B0DIFFP</t>
  </si>
  <si>
    <t>XM2_B0C</t>
  </si>
  <si>
    <t>XM2_B1D0</t>
  </si>
  <si>
    <t>XM2_B1D1</t>
  </si>
  <si>
    <t>XM2_B1D2</t>
  </si>
  <si>
    <t>XM2_B1D3</t>
  </si>
  <si>
    <t>XM2_B1D4</t>
  </si>
  <si>
    <t>XM2_B1D5</t>
  </si>
  <si>
    <t>XM2_B1D6</t>
  </si>
  <si>
    <t>XM2_B1D7</t>
  </si>
  <si>
    <t>XM2_B1D8</t>
  </si>
  <si>
    <t>XM2_B1DIFFN</t>
  </si>
  <si>
    <t>XM2_B1DIFFP</t>
  </si>
  <si>
    <t>XM2_B1C</t>
  </si>
  <si>
    <t>XM2_B2D0</t>
  </si>
  <si>
    <t>XM2_B2D1</t>
  </si>
  <si>
    <t>XM2_B2D2</t>
  </si>
  <si>
    <t>XM2_B2D3</t>
  </si>
  <si>
    <t>XM2_B2D4</t>
  </si>
  <si>
    <t>XM2_B2D5</t>
  </si>
  <si>
    <t>XM2_B2D6</t>
  </si>
  <si>
    <t>XM2_B2D7</t>
  </si>
  <si>
    <t>XM2_B2D8</t>
  </si>
  <si>
    <t>XM2_B2DIFFN</t>
  </si>
  <si>
    <t>XM2_B2DIFFP</t>
  </si>
  <si>
    <t>XM2_B2C</t>
  </si>
  <si>
    <t>XM2_B3D0</t>
  </si>
  <si>
    <t>XM2_B3D1</t>
  </si>
  <si>
    <t>XM2_B3D2</t>
  </si>
  <si>
    <t>XM2_B3D3</t>
  </si>
  <si>
    <t>XM2_B3D4</t>
  </si>
  <si>
    <t>XM2_B3D5</t>
  </si>
  <si>
    <t>XM2_B3D6</t>
  </si>
  <si>
    <t>XM2_B3D7</t>
  </si>
  <si>
    <t>XM2_B3D8</t>
  </si>
  <si>
    <t>XM2_B3DIFFN</t>
  </si>
  <si>
    <t>XM2_B3DIFFP</t>
  </si>
  <si>
    <t>XM2_B3C</t>
  </si>
  <si>
    <t>XM2_B4D0</t>
  </si>
  <si>
    <t>XM2_B4D1</t>
  </si>
  <si>
    <t>XM2_B4D2</t>
  </si>
  <si>
    <t>XM2_B4D3</t>
  </si>
  <si>
    <t>XM2_B4D4</t>
  </si>
  <si>
    <t>XM2_B4D5</t>
  </si>
  <si>
    <t>XM2_B4D6</t>
  </si>
  <si>
    <t>XM2_B4D7</t>
  </si>
  <si>
    <t>XM2_B4D8</t>
  </si>
  <si>
    <t>XM2_B4DIFFN</t>
  </si>
  <si>
    <t>XM2_B4DIFFP</t>
  </si>
  <si>
    <t>XM2_B4C</t>
  </si>
  <si>
    <t>XM2_B5D0</t>
  </si>
  <si>
    <t>XM2_B5D1</t>
  </si>
  <si>
    <t>XM2_B5D2</t>
  </si>
  <si>
    <t>XM2_B5D3</t>
  </si>
  <si>
    <t>XM2_B5D4</t>
  </si>
  <si>
    <t>XM2_B5D5</t>
  </si>
  <si>
    <t>XM2_B5D6</t>
  </si>
  <si>
    <t>XM2_B5D7</t>
  </si>
  <si>
    <t>XM2_B5D8</t>
  </si>
  <si>
    <t>XM2_B5DIFFN</t>
  </si>
  <si>
    <t>XM2_B5DIFFP</t>
  </si>
  <si>
    <t>XM2_B5C</t>
  </si>
  <si>
    <t>XM2_B6D0</t>
  </si>
  <si>
    <t>XM2_B6D1</t>
  </si>
  <si>
    <t>XM2_B6D2</t>
  </si>
  <si>
    <t>XM2_B6D3</t>
  </si>
  <si>
    <t>XM2_B6D4</t>
  </si>
  <si>
    <t>XM2_B6D5</t>
  </si>
  <si>
    <t>XM2_B6D6</t>
  </si>
  <si>
    <t>XM2_B6D7</t>
  </si>
  <si>
    <t>XM2_B6D8</t>
  </si>
  <si>
    <t>XM2_B6DIFFN</t>
  </si>
  <si>
    <t>XM2_B6DIFFP</t>
  </si>
  <si>
    <t>XM2_B6C</t>
  </si>
  <si>
    <t>XM2_B7D0</t>
  </si>
  <si>
    <t>XM2_B7D1</t>
  </si>
  <si>
    <t>XM2_B7D2</t>
  </si>
  <si>
    <t>XM2_B7D3</t>
  </si>
  <si>
    <t>XM2_B7D4</t>
  </si>
  <si>
    <t>XM2_B7D5</t>
  </si>
  <si>
    <t>XM2_B7D6</t>
  </si>
  <si>
    <t>XM2_B7D7</t>
  </si>
  <si>
    <t>XM2_B7D8</t>
  </si>
  <si>
    <t>XM2_B7DIFFN</t>
  </si>
  <si>
    <t>XM2_B7DIFFP</t>
  </si>
  <si>
    <t>XM2_B7C</t>
  </si>
  <si>
    <t>XM2_B8D0</t>
  </si>
  <si>
    <t>XM2_B8D1</t>
  </si>
  <si>
    <t>XM2_B8D2</t>
  </si>
  <si>
    <t>XM2_B8D3</t>
  </si>
  <si>
    <t>XM2_B8D4</t>
  </si>
  <si>
    <t>XM2_B8D5</t>
  </si>
  <si>
    <t>XM2_B8D6</t>
  </si>
  <si>
    <t>XM2_B8D7</t>
  </si>
  <si>
    <t>XM2_B8D8</t>
  </si>
  <si>
    <t>XM2_B8DIFFN</t>
  </si>
  <si>
    <t>XM2_B8DIFFP</t>
  </si>
  <si>
    <t>XM2_B8C</t>
  </si>
  <si>
    <t>XM2_B9D0</t>
  </si>
  <si>
    <t>XM2_B9D1</t>
  </si>
  <si>
    <t>XM2_B9D2</t>
  </si>
  <si>
    <t>XM2_B9D3</t>
  </si>
  <si>
    <t>XM2_B9D4</t>
  </si>
  <si>
    <t>XM2_B9D5</t>
  </si>
  <si>
    <t>XM2_B9D6</t>
  </si>
  <si>
    <t>XM2_B9D7</t>
  </si>
  <si>
    <t>XM2_B9D8</t>
  </si>
  <si>
    <t>XM2_B9DIFFN</t>
  </si>
  <si>
    <t>XM2_B9DIFFP</t>
  </si>
  <si>
    <t>XM2_B9C</t>
  </si>
  <si>
    <t>XM2_B10D0</t>
  </si>
  <si>
    <t>XM2_B10D1</t>
  </si>
  <si>
    <t>XM2_B10D2</t>
  </si>
  <si>
    <t>XM2_B10D3</t>
  </si>
  <si>
    <t>XM2_B10D4</t>
  </si>
  <si>
    <t>XM2_B10D5</t>
  </si>
  <si>
    <t>XM2_B10D6</t>
  </si>
  <si>
    <t>XM2_B10D7</t>
  </si>
  <si>
    <t>XM2_B10D8</t>
  </si>
  <si>
    <t>XM2_B10DIFFN</t>
  </si>
  <si>
    <t>XM2_B10DIFFP</t>
  </si>
  <si>
    <t>XM2_B10C</t>
  </si>
  <si>
    <t>XM2_B11D0</t>
  </si>
  <si>
    <t>XM2_B11D1</t>
  </si>
  <si>
    <t>XM2_B11D2</t>
  </si>
  <si>
    <t>XM2_B11D3</t>
  </si>
  <si>
    <t>XM2_B11D4</t>
  </si>
  <si>
    <t>XM2_B11D5</t>
  </si>
  <si>
    <t>XM2_B11D6</t>
  </si>
  <si>
    <t>XM2_B11D7</t>
  </si>
  <si>
    <t>XM2_B11D8</t>
  </si>
  <si>
    <t>XM2_B11DIFFN</t>
  </si>
  <si>
    <t>XM2_B11DIFFP</t>
  </si>
  <si>
    <t>XM2_B11C</t>
  </si>
  <si>
    <t>XM0_RESET</t>
  </si>
  <si>
    <t>DDR0/1_RESET</t>
  </si>
  <si>
    <t>DDR2</t>
  </si>
  <si>
    <t>DDR3</t>
  </si>
  <si>
    <t>DDR2/3_RESET</t>
  </si>
  <si>
    <t>XM1_RESET</t>
  </si>
  <si>
    <t>PEX_CLK2</t>
  </si>
  <si>
    <t>PEX_L5_CLKREQ_N</t>
  </si>
  <si>
    <t>PEX_L5_RST_N</t>
  </si>
  <si>
    <t>PEX_CTL_2</t>
  </si>
  <si>
    <t>unused_SOC_GPIO30</t>
  </si>
  <si>
    <t>unused_SOC_GPIO31</t>
  </si>
  <si>
    <t>unused_SOC_GPIO32</t>
  </si>
  <si>
    <t>unused_SOC_GPIO33</t>
  </si>
  <si>
    <t>unused_DAP3_SCLK</t>
  </si>
  <si>
    <t>unused_DAP3_DOUT</t>
  </si>
  <si>
    <t>unused_DAP3_DIN</t>
  </si>
  <si>
    <t>unused_DAP3_FS</t>
  </si>
  <si>
    <t>unused_DAP5_SCLK</t>
  </si>
  <si>
    <t>unused_DAP5_DOUT</t>
  </si>
  <si>
    <t>unused_DAP5_DIN</t>
  </si>
  <si>
    <t>unused_DAP5_FS</t>
  </si>
  <si>
    <t>unused_EQOS_SMA_MDIO</t>
  </si>
  <si>
    <t>unused_EQOS_SMA_MDC</t>
  </si>
  <si>
    <t>unused_QSPI0_SCK</t>
  </si>
  <si>
    <t>unused_QSPI0_CS_N</t>
  </si>
  <si>
    <t>unused_QSPI0_IO0</t>
  </si>
  <si>
    <t>unused_QSPI0_IO1</t>
  </si>
  <si>
    <t>unused_QSPI0_IO2</t>
  </si>
  <si>
    <t>unused_QSPI0_IO3</t>
  </si>
  <si>
    <t>unused_QSPI1_SCK</t>
  </si>
  <si>
    <t>unused_QSPI1_IO0</t>
  </si>
  <si>
    <t>unused_QSPI1_CS_N</t>
  </si>
  <si>
    <t>unused_QSPI1_IO1</t>
  </si>
  <si>
    <t>unused_QSPI1_IO2</t>
  </si>
  <si>
    <t>unused_QSPI1_IO3</t>
  </si>
  <si>
    <t>unused_SOC_GPIO00</t>
  </si>
  <si>
    <t>unused_SOC_GPIO01</t>
  </si>
  <si>
    <t>unused_SOC_GPIO02</t>
  </si>
  <si>
    <t>unused_SOC_GPIO03</t>
  </si>
  <si>
    <t>unused_SOC_GPIO08</t>
  </si>
  <si>
    <t>unused_SOC_GPIO09</t>
  </si>
  <si>
    <t>unused_SOC_GPIO10</t>
  </si>
  <si>
    <t>unused_SOC_GPIO11</t>
  </si>
  <si>
    <t>unused_SOC_GPIO12</t>
  </si>
  <si>
    <t>unused_SOC_GPIO13</t>
  </si>
  <si>
    <t>unused_SOC_GPIO14</t>
  </si>
  <si>
    <t>unused_SOC_GPIO55</t>
  </si>
  <si>
    <t>unused_SOC_GPIO54</t>
  </si>
  <si>
    <t>unused_SOC_GPIO53</t>
  </si>
  <si>
    <t>unused_SOC_GPIO52</t>
  </si>
  <si>
    <t>unused_SOC_GPIO51</t>
  </si>
  <si>
    <t>unused_SOC_GPIO50</t>
  </si>
  <si>
    <t>unused_DP_AUX_CH3_HPD</t>
  </si>
  <si>
    <t>unused_DP_AUX_CH3_N</t>
  </si>
  <si>
    <t>unused_DP_AUX_CH3_P</t>
  </si>
  <si>
    <t>unused_DP_AUX_CH2_HPD</t>
  </si>
  <si>
    <t>unused_DP_AUX_CH2_N</t>
  </si>
  <si>
    <t>unused_DP_AUX_CH2_P</t>
  </si>
  <si>
    <t>unused_PEX_CLK5N</t>
  </si>
  <si>
    <t>unused_PEX_CLK5P</t>
  </si>
  <si>
    <t>unused_PEX_CLK0P</t>
  </si>
  <si>
    <t>unused_PEX_CLK0N</t>
  </si>
  <si>
    <t>unused_PEX_CLK3P</t>
  </si>
  <si>
    <t>unused_PEX_CLK3N</t>
  </si>
  <si>
    <t>unused_PEX_CLK4P</t>
  </si>
  <si>
    <t>unused_PEX_CLK4N</t>
  </si>
  <si>
    <t>unused_PEX_L5_CLKREQ_N</t>
  </si>
  <si>
    <t>unused_PEX_L5_RST_N</t>
  </si>
  <si>
    <t>unused_SATA_DEV_SLP</t>
  </si>
  <si>
    <t>unused_PEX_L4_RST_N</t>
  </si>
  <si>
    <t>unused_PEX_L4_CLKREQ_N</t>
  </si>
  <si>
    <t>unused_PEX_L3_RST_N</t>
  </si>
  <si>
    <t>unused_PEX_L3_CLKREQ_N</t>
  </si>
  <si>
    <t>unused_CPU_PWR_REQ_1</t>
  </si>
  <si>
    <t>unused_CPU_PWR_REQ_0</t>
  </si>
  <si>
    <t>unused_DAP6_FS</t>
  </si>
  <si>
    <t>unused_DAP6_DIN</t>
  </si>
  <si>
    <t>unused_DAP6_DOUT</t>
  </si>
  <si>
    <t>unused_DAP6_SCLK</t>
  </si>
  <si>
    <t>unused_NVDBG_SEL</t>
  </si>
  <si>
    <t>unused_JTAG_TRST_</t>
  </si>
  <si>
    <t>unused_CV_PWR_REQ</t>
  </si>
  <si>
    <t>unused_GP_PWM2</t>
  </si>
  <si>
    <t>unused_GP_PWM3</t>
  </si>
  <si>
    <t>unused_SPI3_SCK</t>
  </si>
  <si>
    <t>unused_SPI3_MISO</t>
  </si>
  <si>
    <t>unused_SPI3_MOSI</t>
  </si>
  <si>
    <t>unused_SPI3_CS0</t>
  </si>
  <si>
    <t>unused_SPI3_CS1</t>
  </si>
  <si>
    <t>unused_SPI1_SCK</t>
  </si>
  <si>
    <t>unused_SPI1_MISO</t>
  </si>
  <si>
    <t>unused_SPI1_MOSI</t>
  </si>
  <si>
    <t>unused_SPI1_CS0</t>
  </si>
  <si>
    <t>unused_SPI1_CS1</t>
  </si>
  <si>
    <t>unused_SHUTDOWN_N</t>
  </si>
  <si>
    <t>unused_AO_RETENTION_N</t>
  </si>
  <si>
    <t>unused_CAN0_STB</t>
  </si>
  <si>
    <t>unused_CAN0_EN</t>
  </si>
  <si>
    <t>unused_CAN0_WAKE</t>
  </si>
  <si>
    <t>unused_CAN0_ERR</t>
  </si>
  <si>
    <t>unused_CAN1_STB</t>
  </si>
  <si>
    <t>unused_CAN1_EN</t>
  </si>
  <si>
    <t>unused_CAN1_WAKE</t>
  </si>
  <si>
    <t>unused_CAN1_ERR</t>
  </si>
  <si>
    <t>unused_SOC_GPIO04</t>
  </si>
  <si>
    <t>unused_SOC_GPIO05</t>
  </si>
  <si>
    <t>unused_SOC_GPIO06</t>
  </si>
  <si>
    <t>unused_SOC_GPIO07</t>
  </si>
  <si>
    <t>unused_SOC_GPIO20</t>
  </si>
  <si>
    <t>unused_SOC_GPIO21</t>
  </si>
  <si>
    <t>unused_SOC_GPIO22</t>
  </si>
  <si>
    <t>unused_SOC_GPIO23</t>
  </si>
  <si>
    <t>unused_SOC_GPIO40</t>
  </si>
  <si>
    <t>unused_SOC_GPIO41</t>
  </si>
  <si>
    <t>unused_SOC_GPIO42</t>
  </si>
  <si>
    <t>unused_SOC_GPIO43</t>
  </si>
  <si>
    <t>unused_SOC_GPIO44</t>
  </si>
  <si>
    <t>unused_SOC_GPIO45</t>
  </si>
  <si>
    <t>MIPI</t>
  </si>
  <si>
    <t>SLVS</t>
  </si>
  <si>
    <t>IGPU</t>
  </si>
  <si>
    <t>IQC2</t>
  </si>
  <si>
    <t>PE3</t>
  </si>
  <si>
    <t>PE4</t>
  </si>
  <si>
    <t>DGPU</t>
  </si>
  <si>
    <t>DDR_XM2_B0D0</t>
  </si>
  <si>
    <t>DDR_XM2_B0D1</t>
  </si>
  <si>
    <t>DDR_XM2_B0D2</t>
  </si>
  <si>
    <t>DDR_XM2_B0D3</t>
  </si>
  <si>
    <t>DDR_XM2_B0D4</t>
  </si>
  <si>
    <t>DDR_XM2_B0D5</t>
  </si>
  <si>
    <t>DDR_XM2_B0D6</t>
  </si>
  <si>
    <t>DDR_XM2_B0D7</t>
  </si>
  <si>
    <t>DDR_XM2_B0D8</t>
  </si>
  <si>
    <t>DDR_XM2_B0DIFFN</t>
  </si>
  <si>
    <t>DDR_XM2_B0DIFFP</t>
  </si>
  <si>
    <t>DDR_XM2_B0C</t>
  </si>
  <si>
    <t>DDR_XM2_B1D0</t>
  </si>
  <si>
    <t>DDR_XM2_B1D1</t>
  </si>
  <si>
    <t>DDR_XM2_B1D2</t>
  </si>
  <si>
    <t>DDR_XM2_B1D3</t>
  </si>
  <si>
    <t>DDR_XM2_B1D4</t>
  </si>
  <si>
    <t>DDR_XM2_B1D5</t>
  </si>
  <si>
    <t>DDR_XM2_B1D6</t>
  </si>
  <si>
    <t>DDR_XM2_B1D7</t>
  </si>
  <si>
    <t>DDR_XM2_B1D8</t>
  </si>
  <si>
    <t>DDR_XM2_B1DIFFN</t>
  </si>
  <si>
    <t>DDR_XM2_B1DIFFP</t>
  </si>
  <si>
    <t>DDR_XM2_B1C</t>
  </si>
  <si>
    <t>DDR_XM2_B2D0</t>
  </si>
  <si>
    <t>DDR_XM2_B2D1</t>
  </si>
  <si>
    <t>DDR_XM2_B2D2</t>
  </si>
  <si>
    <t>DDR_XM2_B2D3</t>
  </si>
  <si>
    <t>DDR_XM2_B2D4</t>
  </si>
  <si>
    <t>DDR_XM2_B2D5</t>
  </si>
  <si>
    <t>DDR_XM2_B2D6</t>
  </si>
  <si>
    <t>DDR_XM2_B2D7</t>
  </si>
  <si>
    <t>DDR_XM2_B2D8</t>
  </si>
  <si>
    <t>DDR_XM2_B2DIFFN</t>
  </si>
  <si>
    <t>DDR_XM2_B2DIFFP</t>
  </si>
  <si>
    <t>DDR_XM2_B2C</t>
  </si>
  <si>
    <t>DDR_XM2_B3D0</t>
  </si>
  <si>
    <t>DDR_XM2_B3D1</t>
  </si>
  <si>
    <t>DDR_XM2_B3D2</t>
  </si>
  <si>
    <t>DDR_XM2_B3D3</t>
  </si>
  <si>
    <t>DDR_XM2_B3D4</t>
  </si>
  <si>
    <t>DDR_XM2_B3D5</t>
  </si>
  <si>
    <t>DDR_XM2_B3D6</t>
  </si>
  <si>
    <t>DDR_XM2_B3D7</t>
  </si>
  <si>
    <t>DDR_XM2_B3D8</t>
  </si>
  <si>
    <t>DDR_XM2_B3DIFFN</t>
  </si>
  <si>
    <t>DDR_XM2_B3DIFFP</t>
  </si>
  <si>
    <t>DDR_XM2_B3C</t>
  </si>
  <si>
    <t>DDR_XM2_B4D0</t>
  </si>
  <si>
    <t>DDR_XM2_B4D1</t>
  </si>
  <si>
    <t>DDR_XM2_B4D2</t>
  </si>
  <si>
    <t>DDR_XM2_B4D3</t>
  </si>
  <si>
    <t>DDR_XM2_B4D4</t>
  </si>
  <si>
    <t>DDR_XM2_B4D5</t>
  </si>
  <si>
    <t>DDR_XM2_B4D6</t>
  </si>
  <si>
    <t>DDR_XM2_B4D7</t>
  </si>
  <si>
    <t>DDR_XM2_B4D8</t>
  </si>
  <si>
    <t>DDR_XM2_B4DIFFN</t>
  </si>
  <si>
    <t>DDR_XM2_B4DIFFP</t>
  </si>
  <si>
    <t>DDR_XM2_B4C</t>
  </si>
  <si>
    <t>DDR_XM2_B5D0</t>
  </si>
  <si>
    <t>DDR_XM2_B5D1</t>
  </si>
  <si>
    <t>DDR_XM2_B5D2</t>
  </si>
  <si>
    <t>DDR_XM2_B5D3</t>
  </si>
  <si>
    <t>DDR_XM2_B5D4</t>
  </si>
  <si>
    <t>DDR_XM2_B5D5</t>
  </si>
  <si>
    <t>DDR_XM2_B5D6</t>
  </si>
  <si>
    <t>DDR_XM2_B5D7</t>
  </si>
  <si>
    <t>DDR_XM2_B5D8</t>
  </si>
  <si>
    <t>DDR_XM2_B5DIFFN</t>
  </si>
  <si>
    <t>DDR_XM2_B5DIFFP</t>
  </si>
  <si>
    <t>DDR_XM2_B5C</t>
  </si>
  <si>
    <t>DDR_XM2_B6D0</t>
  </si>
  <si>
    <t>DDR_XM2_B6D1</t>
  </si>
  <si>
    <t>DDR_XM2_B6D2</t>
  </si>
  <si>
    <t>DDR_XM2_B6D3</t>
  </si>
  <si>
    <t>DDR_XM2_B6D4</t>
  </si>
  <si>
    <t>DDR_XM2_B6D5</t>
  </si>
  <si>
    <t>DDR_XM2_B6D6</t>
  </si>
  <si>
    <t>DDR_XM2_B6D7</t>
  </si>
  <si>
    <t>DDR_XM2_B6D8</t>
  </si>
  <si>
    <t>DDR_XM2_B6DIFFN</t>
  </si>
  <si>
    <t>DDR_XM2_B6DIFFP</t>
  </si>
  <si>
    <t>DDR_XM2_B6C</t>
  </si>
  <si>
    <t>DDR_XM2_B7D0</t>
  </si>
  <si>
    <t>DDR_XM2_B7D1</t>
  </si>
  <si>
    <t>DDR_XM2_B7D2</t>
  </si>
  <si>
    <t>DDR_XM2_B7D3</t>
  </si>
  <si>
    <t>DDR_XM2_B7D4</t>
  </si>
  <si>
    <t>DDR_XM2_B7D5</t>
  </si>
  <si>
    <t>DDR_XM2_B7D6</t>
  </si>
  <si>
    <t>DDR_XM2_B7D7</t>
  </si>
  <si>
    <t>DDR_XM2_B7D8</t>
  </si>
  <si>
    <t>DDR_XM2_B7DIFFN</t>
  </si>
  <si>
    <t>DDR_XM2_B7DIFFP</t>
  </si>
  <si>
    <t>DDR_XM2_B7C</t>
  </si>
  <si>
    <t>DDR_XM2_B8D0</t>
  </si>
  <si>
    <t>DDR_XM2_B8D1</t>
  </si>
  <si>
    <t>DDR_XM2_B8D2</t>
  </si>
  <si>
    <t>DDR_XM2_B8D3</t>
  </si>
  <si>
    <t>DDR_XM2_B8D4</t>
  </si>
  <si>
    <t>DDR_XM2_B8D5</t>
  </si>
  <si>
    <t>DDR_XM2_B8D6</t>
  </si>
  <si>
    <t>DDR_XM2_B8D7</t>
  </si>
  <si>
    <t>DDR_XM2_B8D8</t>
  </si>
  <si>
    <t>DDR_XM2_B8DIFFN</t>
  </si>
  <si>
    <t>DDR_XM2_B8DIFFP</t>
  </si>
  <si>
    <t>DDR_XM2_B8C</t>
  </si>
  <si>
    <t>DDR_XM2_B9D0</t>
  </si>
  <si>
    <t>DDR_XM2_B9D1</t>
  </si>
  <si>
    <t>DDR_XM2_B9D2</t>
  </si>
  <si>
    <t>DDR_XM2_B9D3</t>
  </si>
  <si>
    <t>DDR_XM2_B9D4</t>
  </si>
  <si>
    <t>DDR_XM2_B9D5</t>
  </si>
  <si>
    <t>DDR_XM2_B9D6</t>
  </si>
  <si>
    <t>DDR_XM2_B9D7</t>
  </si>
  <si>
    <t>DDR_XM2_B9D8</t>
  </si>
  <si>
    <t>DDR_XM2_B9DIFFN</t>
  </si>
  <si>
    <t>DDR_XM2_B9DIFFP</t>
  </si>
  <si>
    <t>DDR_XM2_B9C</t>
  </si>
  <si>
    <t>DDR_XM2_B10D0</t>
  </si>
  <si>
    <t>DDR_XM2_B10D1</t>
  </si>
  <si>
    <t>DDR_XM2_B10D2</t>
  </si>
  <si>
    <t>DDR_XM2_B10D3</t>
  </si>
  <si>
    <t>DDR_XM2_B10D4</t>
  </si>
  <si>
    <t>DDR_XM2_B10D5</t>
  </si>
  <si>
    <t>DDR_XM2_B10D6</t>
  </si>
  <si>
    <t>DDR_XM2_B10D7</t>
  </si>
  <si>
    <t>DDR_XM2_B10D8</t>
  </si>
  <si>
    <t>DDR_XM2_B10DIFFN</t>
  </si>
  <si>
    <t>DDR_XM2_B10DIFFP</t>
  </si>
  <si>
    <t>DDR_XM2_B10C</t>
  </si>
  <si>
    <t>DDR_XM2_B11D0</t>
  </si>
  <si>
    <t>DDR_XM2_B11D1</t>
  </si>
  <si>
    <t>DDR_XM2_B11D2</t>
  </si>
  <si>
    <t>DDR_XM2_B11D3</t>
  </si>
  <si>
    <t>DDR_XM2_B11D4</t>
  </si>
  <si>
    <t>DDR_XM2_B11D5</t>
  </si>
  <si>
    <t>DDR_XM2_B11D6</t>
  </si>
  <si>
    <t>DDR_XM2_B11D7</t>
  </si>
  <si>
    <t>DDR_XM2_B11D8</t>
  </si>
  <si>
    <t>DDR_XM2_B11DIFFN</t>
  </si>
  <si>
    <t>DDR_XM2_B11DIFFP</t>
  </si>
  <si>
    <t>DDR_XM2_B11C</t>
  </si>
  <si>
    <t>DDR_XM3_B0D0</t>
  </si>
  <si>
    <t>DDR_XM3_B0D1</t>
  </si>
  <si>
    <t>DDR_XM3_B0D2</t>
  </si>
  <si>
    <t>DDR_XM3_B0D3</t>
  </si>
  <si>
    <t>DDR_XM3_B0D4</t>
  </si>
  <si>
    <t>DDR_XM3_B0D5</t>
  </si>
  <si>
    <t>DDR_XM3_B0D6</t>
  </si>
  <si>
    <t>DDR_XM3_B0D7</t>
  </si>
  <si>
    <t>DDR_XM3_B0D8</t>
  </si>
  <si>
    <t>DDR_XM3_B0DIFFN</t>
  </si>
  <si>
    <t>DDR_XM3_B0DIFFP</t>
  </si>
  <si>
    <t>DDR_XM3_B0C</t>
  </si>
  <si>
    <t>DDR_XM3_B1D0</t>
  </si>
  <si>
    <t>DDR_XM3_B1D1</t>
  </si>
  <si>
    <t>DDR_XM3_B1D2</t>
  </si>
  <si>
    <t>DDR_XM3_B1D3</t>
  </si>
  <si>
    <t>DDR_XM3_B1D4</t>
  </si>
  <si>
    <t>DDR_XM3_B1D5</t>
  </si>
  <si>
    <t>DDR_XM3_B1D6</t>
  </si>
  <si>
    <t>DDR_XM3_B1D7</t>
  </si>
  <si>
    <t>DDR_XM3_B1D8</t>
  </si>
  <si>
    <t>DDR_XM3_B1DIFFN</t>
  </si>
  <si>
    <t>DDR_XM3_B1DIFFP</t>
  </si>
  <si>
    <t>DDR_XM3_B1C</t>
  </si>
  <si>
    <t>DDR_XM3_B2D0</t>
  </si>
  <si>
    <t>DDR_XM3_B2D1</t>
  </si>
  <si>
    <t>DDR_XM3_B2D2</t>
  </si>
  <si>
    <t>DDR_XM3_B2D3</t>
  </si>
  <si>
    <t>DDR_XM3_B2D4</t>
  </si>
  <si>
    <t>DDR_XM3_B2D5</t>
  </si>
  <si>
    <t>DDR_XM3_B2D6</t>
  </si>
  <si>
    <t>DDR_XM3_B2D7</t>
  </si>
  <si>
    <t>DDR_XM3_B2D8</t>
  </si>
  <si>
    <t>DDR_XM3_B2DIFFN</t>
  </si>
  <si>
    <t>DDR_XM3_B2DIFFP</t>
  </si>
  <si>
    <t>DDR_XM3_B2C</t>
  </si>
  <si>
    <t>DDR_XM3_B3D0</t>
  </si>
  <si>
    <t>DDR_XM3_B3D1</t>
  </si>
  <si>
    <t>DDR_XM3_B3D2</t>
  </si>
  <si>
    <t>DDR_XM3_B3D3</t>
  </si>
  <si>
    <t>DDR_XM3_B3D4</t>
  </si>
  <si>
    <t>DDR_XM3_B3D5</t>
  </si>
  <si>
    <t>DDR_XM3_B3D6</t>
  </si>
  <si>
    <t>DDR_XM3_B3D7</t>
  </si>
  <si>
    <t>DDR_XM3_B3D8</t>
  </si>
  <si>
    <t>DDR_XM3_B3DIFFN</t>
  </si>
  <si>
    <t>DDR_XM3_B3DIFFP</t>
  </si>
  <si>
    <t>DDR_XM3_B3C</t>
  </si>
  <si>
    <t>DDR_XM3_B4D0</t>
  </si>
  <si>
    <t>DDR_XM3_B4D1</t>
  </si>
  <si>
    <t>DDR_XM3_B4D2</t>
  </si>
  <si>
    <t>DDR_XM3_B4D3</t>
  </si>
  <si>
    <t>DDR_XM3_B4D4</t>
  </si>
  <si>
    <t>DDR_XM3_B4D5</t>
  </si>
  <si>
    <t>DDR_XM3_B4D6</t>
  </si>
  <si>
    <t>DDR_XM3_B4D7</t>
  </si>
  <si>
    <t>DDR_XM3_B4D8</t>
  </si>
  <si>
    <t>DDR_XM3_B4DIFFN</t>
  </si>
  <si>
    <t>DDR_XM3_B4DIFFP</t>
  </si>
  <si>
    <t>DDR_XM3_B4C</t>
  </si>
  <si>
    <t>DDR_XM3_B5D0</t>
  </si>
  <si>
    <t>DDR_XM3_B5D1</t>
  </si>
  <si>
    <t>DDR_XM3_B5D2</t>
  </si>
  <si>
    <t>DDR_XM3_B5D3</t>
  </si>
  <si>
    <t>DDR_XM3_B5D4</t>
  </si>
  <si>
    <t>DDR_XM3_B5D5</t>
  </si>
  <si>
    <t>DDR_XM3_B5D6</t>
  </si>
  <si>
    <t>DDR_XM3_B5D7</t>
  </si>
  <si>
    <t>DDR_XM3_B5D8</t>
  </si>
  <si>
    <t>DDR_XM3_B5DIFFN</t>
  </si>
  <si>
    <t>DDR_XM3_B5DIFFP</t>
  </si>
  <si>
    <t>DDR_XM3_B5C</t>
  </si>
  <si>
    <t>DDR_XM3_B6D0</t>
  </si>
  <si>
    <t>DDR_XM3_B6D1</t>
  </si>
  <si>
    <t>DDR_XM3_B6D2</t>
  </si>
  <si>
    <t>DDR_XM3_B6D3</t>
  </si>
  <si>
    <t>DDR_XM3_B6D4</t>
  </si>
  <si>
    <t>DDR_XM3_B6D5</t>
  </si>
  <si>
    <t>DDR_XM3_B6D6</t>
  </si>
  <si>
    <t>DDR_XM3_B6D7</t>
  </si>
  <si>
    <t>DDR_XM3_B6D8</t>
  </si>
  <si>
    <t>DDR_XM3_B6DIFFN</t>
  </si>
  <si>
    <t>DDR_XM3_B6DIFFP</t>
  </si>
  <si>
    <t>DDR_XM3_B6C</t>
  </si>
  <si>
    <t>DDR_XM3_B7D0</t>
  </si>
  <si>
    <t>DDR_XM3_B7D1</t>
  </si>
  <si>
    <t>DDR_XM3_B7D2</t>
  </si>
  <si>
    <t>DDR_XM3_B7D3</t>
  </si>
  <si>
    <t>DDR_XM3_B7D4</t>
  </si>
  <si>
    <t>DDR_XM3_B7D5</t>
  </si>
  <si>
    <t>DDR_XM3_B7D6</t>
  </si>
  <si>
    <t>DDR_XM3_B7D7</t>
  </si>
  <si>
    <t>DDR_XM3_B7D8</t>
  </si>
  <si>
    <t>DDR_XM3_B7DIFFN</t>
  </si>
  <si>
    <t>DDR_XM3_B7DIFFP</t>
  </si>
  <si>
    <t>DDR_XM3_B7C</t>
  </si>
  <si>
    <t>DDR_XM3_B8D0</t>
  </si>
  <si>
    <t>DDR_XM3_B8D1</t>
  </si>
  <si>
    <t>DDR_XM3_B8D2</t>
  </si>
  <si>
    <t>DDR_XM3_B8D3</t>
  </si>
  <si>
    <t>DDR_XM3_B8D4</t>
  </si>
  <si>
    <t>DDR_XM3_B8D5</t>
  </si>
  <si>
    <t>DDR_XM3_B8D6</t>
  </si>
  <si>
    <t>DDR_XM3_B8D7</t>
  </si>
  <si>
    <t>DDR_XM3_B8D8</t>
  </si>
  <si>
    <t>DDR_XM3_B8DIFFN</t>
  </si>
  <si>
    <t>DDR_XM3_B8DIFFP</t>
  </si>
  <si>
    <t>DDR_XM3_B8C</t>
  </si>
  <si>
    <t>DDR_XM3_B9D0</t>
  </si>
  <si>
    <t>DDR_XM3_B9D1</t>
  </si>
  <si>
    <t>DDR_XM3_B9D2</t>
  </si>
  <si>
    <t>DDR_XM3_B9D3</t>
  </si>
  <si>
    <t>DDR_XM3_B9D4</t>
  </si>
  <si>
    <t>DDR_XM3_B9D5</t>
  </si>
  <si>
    <t>DDR_XM3_B9D6</t>
  </si>
  <si>
    <t>DDR_XM3_B9D7</t>
  </si>
  <si>
    <t>DDR_XM3_B9D8</t>
  </si>
  <si>
    <t>DDR_XM3_B9DIFFN</t>
  </si>
  <si>
    <t>DDR_XM3_B9DIFFP</t>
  </si>
  <si>
    <t>DDR_XM3_B9C</t>
  </si>
  <si>
    <t>DDR_XM3_B10D0</t>
  </si>
  <si>
    <t>DDR_XM3_B10D1</t>
  </si>
  <si>
    <t>DDR_XM3_B10D2</t>
  </si>
  <si>
    <t>DDR_XM3_B10D3</t>
  </si>
  <si>
    <t>DDR_XM3_B10D4</t>
  </si>
  <si>
    <t>DDR_XM3_B10D5</t>
  </si>
  <si>
    <t>DDR_XM3_B10D6</t>
  </si>
  <si>
    <t>DDR_XM3_B10D7</t>
  </si>
  <si>
    <t>DDR_XM3_B10D8</t>
  </si>
  <si>
    <t>DDR_XM3_B10DIFFN</t>
  </si>
  <si>
    <t>DDR_XM3_B10DIFFP</t>
  </si>
  <si>
    <t>DDR_XM3_B10C</t>
  </si>
  <si>
    <t>DDR_XM3_B11D0</t>
  </si>
  <si>
    <t>DDR_XM3_B11D1</t>
  </si>
  <si>
    <t>DDR_XM3_B11D2</t>
  </si>
  <si>
    <t>DDR_XM3_B11D3</t>
  </si>
  <si>
    <t>DDR_XM3_B11D4</t>
  </si>
  <si>
    <t>DDR_XM3_B11D5</t>
  </si>
  <si>
    <t>DDR_XM3_B11D6</t>
  </si>
  <si>
    <t>DDR_XM3_B11D7</t>
  </si>
  <si>
    <t>DDR_XM3_B11D8</t>
  </si>
  <si>
    <t>DDR_XM3_B11DIFFN</t>
  </si>
  <si>
    <t>DDR_XM3_B11DIFFP</t>
  </si>
  <si>
    <t>DDR_XM3_B11C</t>
  </si>
  <si>
    <t>unused_SPI2_SCK</t>
  </si>
  <si>
    <t>unused_SPI2_MISO</t>
  </si>
  <si>
    <t>unused_SPI2_MOSI</t>
  </si>
  <si>
    <t>unused_SPI2_CS0</t>
  </si>
  <si>
    <t>unused_GEN2_I2C_SCL</t>
  </si>
  <si>
    <t>unused_GEN2_I2C_SDA</t>
  </si>
  <si>
    <t>0.6V</t>
  </si>
  <si>
    <t>GPIO3_PS.05</t>
  </si>
  <si>
    <t>SDMMC1_WP</t>
  </si>
  <si>
    <t>QSPI0_IO2:</t>
  </si>
  <si>
    <t>QSPI1_IO2:</t>
  </si>
  <si>
    <t>GPIO3_PG.00</t>
  </si>
  <si>
    <t>GPIO3_PG.01</t>
  </si>
  <si>
    <t>GPIO3_PG.02</t>
  </si>
  <si>
    <t>GPIO3_PG.03</t>
  </si>
  <si>
    <t>GPIO3_PG.04</t>
  </si>
  <si>
    <t>GPIO3_PG.05</t>
  </si>
  <si>
    <t>GP_PWM5</t>
  </si>
  <si>
    <t>GPIO3_PH.02</t>
  </si>
  <si>
    <t>GPIO3_PX.00</t>
  </si>
  <si>
    <t>GPIO3_PX.01</t>
  </si>
  <si>
    <t>UB3_RTS</t>
  </si>
  <si>
    <t>UB3_CTS</t>
  </si>
  <si>
    <t>UE3_TXD</t>
  </si>
  <si>
    <t>UE3_RXD</t>
  </si>
  <si>
    <t>UE3_RTS</t>
  </si>
  <si>
    <t>UE3_CTS</t>
  </si>
  <si>
    <t>GPIO3_PEE.00</t>
  </si>
  <si>
    <t>GPIO3_PEE.01</t>
  </si>
  <si>
    <t>GPIO3_PEE.03</t>
  </si>
  <si>
    <t>GPIO3_PEE.04</t>
  </si>
  <si>
    <t>GPIO3_PBB.00</t>
  </si>
  <si>
    <t>GPIO3_PBB.02</t>
  </si>
  <si>
    <t>GPIO3_PBB.03</t>
  </si>
  <si>
    <t>GP_PWM4</t>
  </si>
  <si>
    <t>GPIO3_PP.07</t>
  </si>
  <si>
    <t>GPIO3_PQ.00</t>
  </si>
  <si>
    <t>GPIO3_PQ.01</t>
  </si>
  <si>
    <t>NV_THERM_FAN_TACH</t>
  </si>
  <si>
    <t>WDT_RESET_OUTA</t>
  </si>
  <si>
    <t>GPIO3_PQ.04</t>
  </si>
  <si>
    <t>GPIO3_PQ.07</t>
  </si>
  <si>
    <t>GP_PWM8</t>
  </si>
  <si>
    <t>GPIO3_PR.01</t>
  </si>
  <si>
    <t>GPIO3_PB.00</t>
  </si>
  <si>
    <t>GPIO3_PB.01</t>
  </si>
  <si>
    <t>PE0_CLKREQ_L</t>
  </si>
  <si>
    <t>PE0_RST_L</t>
  </si>
  <si>
    <t>PE2_CLKREQ_L</t>
  </si>
  <si>
    <t>PE2_RST_L</t>
  </si>
  <si>
    <t>PE3_CLKREQ_L</t>
  </si>
  <si>
    <t>PE3_RST_L</t>
  </si>
  <si>
    <t>PE4_CLKREQ_L</t>
  </si>
  <si>
    <t>PE4_RST_L</t>
  </si>
  <si>
    <t>GPIO3_PL.02</t>
  </si>
  <si>
    <t>GPIO3_PL.03</t>
  </si>
  <si>
    <t>PE5_CLKREQ_L</t>
  </si>
  <si>
    <t>PE5_RST_L</t>
  </si>
  <si>
    <t>PEX_CLK_OUT_0_N</t>
  </si>
  <si>
    <t>PEX_CLK_OUT_1_P</t>
  </si>
  <si>
    <t>PEX_CLK_OUT_1_N</t>
  </si>
  <si>
    <t>PEX_CLK_OUT_3_P</t>
  </si>
  <si>
    <t>PEX_CLK_OUT_3_N</t>
  </si>
  <si>
    <t>PEX_CLK_OUT_4_P</t>
  </si>
  <si>
    <t>PEX_CLK_OUT_4_N</t>
  </si>
  <si>
    <t>GPIO3_PM.06</t>
  </si>
  <si>
    <t>GPIO3_PM.07</t>
  </si>
  <si>
    <t>Revision #</t>
  </si>
  <si>
    <t>PEX_CLK_OUT_0_P</t>
  </si>
  <si>
    <t xml:space="preserve"> LPDDR4 / LPDDR4x</t>
  </si>
  <si>
    <t>DDR RESET</t>
  </si>
  <si>
    <t>CVM only</t>
  </si>
  <si>
    <t>Debug Select</t>
  </si>
  <si>
    <t>JTAG Select</t>
  </si>
  <si>
    <t>Master Slave Mode</t>
  </si>
  <si>
    <t>Master</t>
  </si>
  <si>
    <t>unused_HDMI_DP3_TXDP0</t>
  </si>
  <si>
    <t>unused_HDMI_DP3_TXDN0</t>
  </si>
  <si>
    <t>unused_HDMI_DP3_TXDP1</t>
  </si>
  <si>
    <t>unused_HDMI_DP3_TXDN1</t>
  </si>
  <si>
    <t>unused_HDMI_DP3_TXDP2</t>
  </si>
  <si>
    <t>unused_HDMI_DP3_TXDN2</t>
  </si>
  <si>
    <t>unused_HDMI_DP3_TXDP3</t>
  </si>
  <si>
    <t>unused_HDMI_DP3_TXDN3</t>
  </si>
  <si>
    <t>DP0_HPD</t>
  </si>
  <si>
    <t>DP1_HPD</t>
  </si>
  <si>
    <t>FORCE_RECOVERY_N</t>
  </si>
  <si>
    <t>HDMI CEC</t>
  </si>
  <si>
    <t>GPIO3_PT.05</t>
  </si>
  <si>
    <t>GPIO3_PT.06</t>
  </si>
  <si>
    <t>GPIO3_PS.07</t>
  </si>
  <si>
    <t>CVM only, RDC_DET</t>
  </si>
  <si>
    <t>GPIO3_PH.03</t>
  </si>
  <si>
    <t>GPIO3_PH.05</t>
  </si>
  <si>
    <t>GPIO3_PR.02</t>
  </si>
  <si>
    <t>unused_CSI_E_D0_P</t>
  </si>
  <si>
    <t>unused_CSI_E_CLK_N</t>
  </si>
  <si>
    <t>unused_CSI_E_CLK_P</t>
  </si>
  <si>
    <t>unused_CSI_E_D0_N</t>
  </si>
  <si>
    <t>unused_CSI_E_D1_N</t>
  </si>
  <si>
    <t>unused_CSI_E_D1_P</t>
  </si>
  <si>
    <t>unused_CSI_F_D0_N</t>
  </si>
  <si>
    <t>unused_CSI_F_D0_P</t>
  </si>
  <si>
    <t>unused_CSI_F_D1_N</t>
  </si>
  <si>
    <t>unused_CSI_F_D1_P</t>
  </si>
  <si>
    <t>unused_CSI_G_CLK_N</t>
  </si>
  <si>
    <t>unused_CSI_G_CLK_P</t>
  </si>
  <si>
    <t>unused_CSI_G_D0_N</t>
  </si>
  <si>
    <t>unused_CSI_G_D0_P</t>
  </si>
  <si>
    <t>unused_CSI_G_D1_N</t>
  </si>
  <si>
    <t>unused_CSI_G_D1_P</t>
  </si>
  <si>
    <t>unused_CSI_H_CLK_N</t>
  </si>
  <si>
    <t>unused_CSI_H_CLK_P</t>
  </si>
  <si>
    <t>unused_CSI_H_D0_N</t>
  </si>
  <si>
    <t>unused_CSI_H_D0_P</t>
  </si>
  <si>
    <t>unused_HDMI_DP2_TXDN1</t>
  </si>
  <si>
    <t>unused_HDMI_DP2_TXDP2</t>
  </si>
  <si>
    <t>unused_HDMI_DP2_TXDN2</t>
  </si>
  <si>
    <t>unused_HDMI_DP2_TXDP3</t>
  </si>
  <si>
    <t>unused_HDMI_DP2_TXDN3</t>
  </si>
  <si>
    <t>unused_USB3_DN</t>
  </si>
  <si>
    <t>unused_PEX_REFCLK2P</t>
  </si>
  <si>
    <t>unused_PEX_REFCLK2N</t>
  </si>
  <si>
    <t>unused_PEX_RX6P</t>
  </si>
  <si>
    <t>unused_PEX_RX6N</t>
  </si>
  <si>
    <t>unused_PEX_TX6P</t>
  </si>
  <si>
    <t>unused_PEX_TX6N</t>
  </si>
  <si>
    <t>unused_PEX_RX7P</t>
  </si>
  <si>
    <t>unused_PEX_RX7N</t>
  </si>
  <si>
    <t>unused_PEX_TX7P</t>
  </si>
  <si>
    <t>unused_PEX_TX7N</t>
  </si>
  <si>
    <t>unused_PEX_RX8P</t>
  </si>
  <si>
    <t>unused_PEX_RX8N</t>
  </si>
  <si>
    <t>unused_PEX_TX8P</t>
  </si>
  <si>
    <t>unused_PEX_TX8N</t>
  </si>
  <si>
    <t>unused_PEX_RX9P</t>
  </si>
  <si>
    <t>unused_PEX_RX9N</t>
  </si>
  <si>
    <t>unused_PEX_TX9P</t>
  </si>
  <si>
    <t>unused_PEX_TX9N</t>
  </si>
  <si>
    <t>unused_PEX_RX10P</t>
  </si>
  <si>
    <t>unused_PEX_RX10N</t>
  </si>
  <si>
    <t>unused_PEX_TX10P</t>
  </si>
  <si>
    <t>unused_PEX_TX10N</t>
  </si>
  <si>
    <t>unused_PEX_RX11P</t>
  </si>
  <si>
    <t>unused_PEX_RX11N</t>
  </si>
  <si>
    <t>unused_PEX_TX11P</t>
  </si>
  <si>
    <t>unused_PEX_TX11N</t>
  </si>
  <si>
    <t>unused_NVHS0_REFCLK_P</t>
  </si>
  <si>
    <t>unused_NVHS0_REFCLK_N</t>
  </si>
  <si>
    <t>unused_NVHS0_RX0_P</t>
  </si>
  <si>
    <t>unused_NVHS0_RX0_N</t>
  </si>
  <si>
    <t>unused_NVHS0_TX0_P</t>
  </si>
  <si>
    <t>unused_NVHS0_TX0_N</t>
  </si>
  <si>
    <t>unused_NVHS0_RX1_P</t>
  </si>
  <si>
    <t>unused_NVHS0_RX1_N</t>
  </si>
  <si>
    <t>unused_NVHS0_TX1_P</t>
  </si>
  <si>
    <t>unused_NVHS0_TX1_N</t>
  </si>
  <si>
    <t>unused_NVHS0_RX2_P</t>
  </si>
  <si>
    <t>unused_NVHS0_RX2_N</t>
  </si>
  <si>
    <t>unused_NVHS0_TX2_P</t>
  </si>
  <si>
    <t>unused_NVHS0_TX2_N</t>
  </si>
  <si>
    <t>unused_NVHS0_RX3_P</t>
  </si>
  <si>
    <t>unused_NVHS0_RX3_N</t>
  </si>
  <si>
    <t>unused_NVHS0_TX3_P</t>
  </si>
  <si>
    <t>unused_NVHS0_TX3_N</t>
  </si>
  <si>
    <t>unused_NVHS0_RX4_P</t>
  </si>
  <si>
    <t>unused_NVHS0_RX4_N</t>
  </si>
  <si>
    <t>unused_NVHS0_TX4_P</t>
  </si>
  <si>
    <t>unused_NVHS0_TX4_N</t>
  </si>
  <si>
    <t>unused_NVHS0_TX5_P</t>
  </si>
  <si>
    <t>unused_NVHS0_RX5_P</t>
  </si>
  <si>
    <t>unused_NVHS0_RX5_N</t>
  </si>
  <si>
    <t>unused_NVHS0_TX5_N</t>
  </si>
  <si>
    <t>unused_NVHS0_RX6_P</t>
  </si>
  <si>
    <t>unused_NVHS0_RX6_N</t>
  </si>
  <si>
    <t>unused_NVHS0_TX6_P</t>
  </si>
  <si>
    <t>unused_NVHS0_TX6_N</t>
  </si>
  <si>
    <t>unused_NVHS0_RX7_P</t>
  </si>
  <si>
    <t>unused_NVHS0_RX7_N</t>
  </si>
  <si>
    <t>unused_NVHS0_TX7_P</t>
  </si>
  <si>
    <t>unused_NVHS0_TX7_N</t>
  </si>
  <si>
    <t>unused_CSI_H_D1_N</t>
  </si>
  <si>
    <t>unused_CSI_H_D1_P</t>
  </si>
  <si>
    <t>unused_HDMI_DP2_TXDP0</t>
  </si>
  <si>
    <t>unused_HDMI_DP2_TXDN0</t>
  </si>
  <si>
    <t>unused_HDMI_DP2_TXDP1</t>
  </si>
  <si>
    <t>unused_USB3_DP</t>
  </si>
  <si>
    <t>USB3_RX2P</t>
  </si>
  <si>
    <t>USB3_RX2N</t>
  </si>
  <si>
    <t>USB3_TX2P</t>
  </si>
  <si>
    <t>USB3_TX2N</t>
  </si>
  <si>
    <t>PEX0_RX0P</t>
  </si>
  <si>
    <t>PEX0_RX0N</t>
  </si>
  <si>
    <t>PEX0_TX0P</t>
  </si>
  <si>
    <t>PEX0_TX0N</t>
  </si>
  <si>
    <t>PEX0_RX1P</t>
  </si>
  <si>
    <t>PEX0_RX1N</t>
  </si>
  <si>
    <t>PEX0_TX1P</t>
  </si>
  <si>
    <t>PEX0_TX1N</t>
  </si>
  <si>
    <t>PEX0_RX2P</t>
  </si>
  <si>
    <t>PEX0_RX2N</t>
  </si>
  <si>
    <t>PEX0_TX2P</t>
  </si>
  <si>
    <t>PEX0_TX2N</t>
  </si>
  <si>
    <t>PEX0_RX3P</t>
  </si>
  <si>
    <t>PEX0_RX3N</t>
  </si>
  <si>
    <t>PEX0_TX3P</t>
  </si>
  <si>
    <t>PEX0_TX3N</t>
  </si>
  <si>
    <t>USB3_RX0P</t>
  </si>
  <si>
    <t>USB3_RX0N</t>
  </si>
  <si>
    <t>USB3_TX0P</t>
  </si>
  <si>
    <t>USB3_TX0N</t>
  </si>
  <si>
    <t>PEX3_RX0P</t>
  </si>
  <si>
    <t>PEX3_RX0N</t>
  </si>
  <si>
    <t>PEX3_TX0P</t>
  </si>
  <si>
    <t>PEX3_TX0N</t>
  </si>
  <si>
    <t>PEX4_RX0P</t>
  </si>
  <si>
    <t>PEX4_RX0N</t>
  </si>
  <si>
    <t>PEX4_TX0P</t>
  </si>
  <si>
    <t>PEX4_TX0N</t>
  </si>
  <si>
    <t>PEX4_RX1P</t>
  </si>
  <si>
    <t>PEX4_RX1N</t>
  </si>
  <si>
    <t>PEX4_TX1P</t>
  </si>
  <si>
    <t>PEX4_TX1N</t>
  </si>
  <si>
    <t>UFS_L0_RXP</t>
  </si>
  <si>
    <t>UFS_L0_RXN</t>
  </si>
  <si>
    <t>UFS_L0_TXP</t>
  </si>
  <si>
    <t>UFS_L0_TXN</t>
  </si>
  <si>
    <t>PEX4_RX2P</t>
  </si>
  <si>
    <t>PEX4_RX2N</t>
  </si>
  <si>
    <t>PEX4_TX2P</t>
  </si>
  <si>
    <t>PEX4_TX2N</t>
  </si>
  <si>
    <t>PEX4_RX3P</t>
  </si>
  <si>
    <t>PEX4_RX3N</t>
  </si>
  <si>
    <t>PEX4_TX3P</t>
  </si>
  <si>
    <t>PEX4_TX3N</t>
  </si>
  <si>
    <t>GPIO3_PT.00</t>
  </si>
  <si>
    <t>GPIO3_PM.03</t>
  </si>
  <si>
    <t>GPIO3_PT.07</t>
  </si>
  <si>
    <t>GPIO3_PU.00</t>
  </si>
  <si>
    <t>GPIO3_PR.04</t>
  </si>
  <si>
    <t>EXTPERIPH4_CLK</t>
  </si>
  <si>
    <t>O</t>
  </si>
  <si>
    <t>B</t>
  </si>
  <si>
    <t>GPIO3_PS.06</t>
  </si>
  <si>
    <t>I2S3_SDATA_IN</t>
  </si>
  <si>
    <t>GPIO3_PG.07</t>
  </si>
  <si>
    <t>100k</t>
  </si>
  <si>
    <t>GPIO3_PY.05</t>
  </si>
  <si>
    <t>GPIO3_PY.07</t>
  </si>
  <si>
    <t>SHUTDOWN_N:</t>
  </si>
  <si>
    <t>GPIO3_PQ.03</t>
  </si>
  <si>
    <t>GPIO3_PQ.05</t>
  </si>
  <si>
    <t>GPIO3_PQ.06</t>
  </si>
  <si>
    <t>GPIO3_PA.00</t>
  </si>
  <si>
    <t>GPIO3_PA.01</t>
  </si>
  <si>
    <t>GPIO3_PA.02</t>
  </si>
  <si>
    <t>GPIO3_PA.03</t>
  </si>
  <si>
    <t>GPIO3_PA.05</t>
  </si>
  <si>
    <t>GPIO3_PA.06</t>
  </si>
  <si>
    <t>GPIO3_PA.07</t>
  </si>
  <si>
    <t>I2C6_CLK</t>
  </si>
  <si>
    <t>I2C6_DAT</t>
  </si>
  <si>
    <t>I2C4_CLK</t>
  </si>
  <si>
    <t>I2C4_DAT</t>
  </si>
  <si>
    <t>I2C7_CLK</t>
  </si>
  <si>
    <t>I2C7_DAT</t>
  </si>
  <si>
    <t>I2C9_CLK</t>
  </si>
  <si>
    <t>I2C9_DAT</t>
  </si>
  <si>
    <t>GPIO3_PN.01</t>
  </si>
  <si>
    <t>UFS_L1_RXP</t>
  </si>
  <si>
    <t>UFS_L1_RXN</t>
  </si>
  <si>
    <t>UFS_L1_TXP</t>
  </si>
  <si>
    <t>UFS_L1_TXN</t>
  </si>
  <si>
    <t>GPIO3_PM.00</t>
  </si>
  <si>
    <t>GPIO3_PM.01</t>
  </si>
  <si>
    <t>GPIO3_PM.02</t>
  </si>
  <si>
    <t>DMIC3_DAT</t>
  </si>
  <si>
    <t>DMIC3_CLK</t>
  </si>
  <si>
    <t>GP</t>
  </si>
  <si>
    <t>QSPI0</t>
  </si>
  <si>
    <t>QSPI1</t>
  </si>
  <si>
    <t>DMIC1_DAT</t>
  </si>
  <si>
    <t>DMIC1_CLK</t>
  </si>
  <si>
    <t>DMIC2_DAT</t>
  </si>
  <si>
    <t>DMIC2_CLK</t>
  </si>
  <si>
    <t>I2S5_SCLK</t>
  </si>
  <si>
    <t>I2S5_SDATA_IN</t>
  </si>
  <si>
    <t>GPIO3_PO.00</t>
  </si>
  <si>
    <t>GPIO3_PO.04</t>
  </si>
  <si>
    <t>GPIO3_PO.05</t>
  </si>
  <si>
    <t>GPIO3_PE.00</t>
  </si>
  <si>
    <t>GPIO3_PE.01</t>
  </si>
  <si>
    <t>GPIO3_PE.02</t>
  </si>
  <si>
    <t>GPIO3_PE.03</t>
  </si>
  <si>
    <t>GPIO3_PE.04</t>
  </si>
  <si>
    <t>GPIO3_PE.05</t>
  </si>
  <si>
    <t>GPIO3_PE.06</t>
  </si>
  <si>
    <t>GPIO3_PE.07</t>
  </si>
  <si>
    <t>GPIO3_PF.00</t>
  </si>
  <si>
    <t>GPIO3_PF.01</t>
  </si>
  <si>
    <t>GPIO3_PF.02</t>
  </si>
  <si>
    <t>GPIO3_PF.03</t>
  </si>
  <si>
    <t>GPIO3_PF.04</t>
  </si>
  <si>
    <t>GPIO3_PF.05</t>
  </si>
  <si>
    <t>GPIO3_PZ.07</t>
  </si>
  <si>
    <t>GPIO3_PAA.00</t>
  </si>
  <si>
    <t>GPIO3_PAA.01</t>
  </si>
  <si>
    <t>GPIO3_PAA.02</t>
  </si>
  <si>
    <t>GPIO3_PAA.03</t>
  </si>
  <si>
    <t>DMIC5_DAT</t>
  </si>
  <si>
    <t>DMIC5_CLK</t>
  </si>
  <si>
    <t>GPIO3_PCC.02</t>
  </si>
  <si>
    <t>GPIO3_PP.01</t>
  </si>
  <si>
    <t>GPIO3_PQ.02</t>
  </si>
  <si>
    <t>4.7K</t>
  </si>
  <si>
    <t>Signal Name</t>
  </si>
  <si>
    <t>Pin #</t>
  </si>
  <si>
    <t>I2S5_SDATA_OUT</t>
  </si>
  <si>
    <t>I2S5_LRCK</t>
  </si>
  <si>
    <t>I2S1_FS</t>
  </si>
  <si>
    <t>I2S3_FS</t>
  </si>
  <si>
    <t>PEX_CLK_OUT_5_P</t>
  </si>
  <si>
    <t>PEX_CLK_OUT_5_N</t>
  </si>
  <si>
    <t>SLVS_HSYNC</t>
  </si>
  <si>
    <t>GPIO3_PT.03</t>
  </si>
  <si>
    <t>GPIO3_PT.04</t>
  </si>
  <si>
    <t>GPIO3_PY.01</t>
  </si>
  <si>
    <t>GPIO3_PY.02</t>
  </si>
  <si>
    <t>SLVS_VSYNC</t>
  </si>
  <si>
    <t>SD_POWER_SW_ON</t>
  </si>
  <si>
    <t>GPIO3_PZ.01</t>
  </si>
  <si>
    <t>GPIO3_PZ.02</t>
  </si>
  <si>
    <t>GPIO3_PCC.00</t>
  </si>
  <si>
    <t>GPIO3_PCC.01</t>
  </si>
  <si>
    <t>GPIO3_PCC.03</t>
  </si>
  <si>
    <t>GPIO3_PR.05</t>
  </si>
  <si>
    <t>GPIO3_PO.01</t>
  </si>
  <si>
    <t>UPHY_REFCLK1_P</t>
  </si>
  <si>
    <t>UPHY_REFCLK1_N</t>
  </si>
  <si>
    <t>UPHY_REFCLK2_P</t>
  </si>
  <si>
    <t>UPHY_REFCLK2_N</t>
  </si>
  <si>
    <t>GPIO3_PR.00</t>
  </si>
  <si>
    <t>100K</t>
  </si>
  <si>
    <t>DISPLAYB</t>
  </si>
  <si>
    <t>DISPLAYA</t>
  </si>
  <si>
    <t>GPIO3_PH.07</t>
  </si>
  <si>
    <t>GPIO3_PI.00</t>
  </si>
  <si>
    <t>GPIO3_PI.01</t>
  </si>
  <si>
    <t>GPIO3_PBB.01</t>
  </si>
  <si>
    <t>GPIO3_PK.07</t>
  </si>
  <si>
    <t>GPIO3_PH.00</t>
  </si>
  <si>
    <t>GPIO3_PZ.05</t>
  </si>
  <si>
    <t>GPIO3_PZ.04</t>
  </si>
  <si>
    <t>GPIO3_PZ.03</t>
  </si>
  <si>
    <t>GPIO3_PZ.06</t>
  </si>
  <si>
    <t>GPIO3_PI.02</t>
  </si>
  <si>
    <t>GPIO3_PY.00</t>
  </si>
  <si>
    <t>GPIO3_PY.03</t>
  </si>
  <si>
    <t>GPIO3_PY.04</t>
  </si>
  <si>
    <t>SOC_THERM_OC3</t>
  </si>
  <si>
    <t>SOC_THERM_OC2</t>
  </si>
  <si>
    <t>CAM0_PWDN</t>
  </si>
  <si>
    <t>M5</t>
  </si>
  <si>
    <t>GPIO3_PS.00</t>
  </si>
  <si>
    <t/>
  </si>
  <si>
    <t>dap1_sclk_ps0</t>
  </si>
  <si>
    <t>vddio_audio</t>
  </si>
  <si>
    <t>ST</t>
  </si>
  <si>
    <t>BDPGLP_JFCR90M14L_VXVDP1P1P1</t>
  </si>
  <si>
    <t>pd</t>
  </si>
  <si>
    <t>L6</t>
  </si>
  <si>
    <t>GPIO3_PS.01</t>
  </si>
  <si>
    <t>E</t>
  </si>
  <si>
    <t>dap1_dout_ps1</t>
  </si>
  <si>
    <t>M4</t>
  </si>
  <si>
    <t>GPIO3_PS.02</t>
  </si>
  <si>
    <t>I</t>
  </si>
  <si>
    <t>dap1_din_ps2</t>
  </si>
  <si>
    <t>C7</t>
  </si>
  <si>
    <t>L7</t>
  </si>
  <si>
    <t>GPIO3_PS.03</t>
  </si>
  <si>
    <t>dap1_fs_ps3</t>
  </si>
  <si>
    <t>BDPGLP_JFCM14L_VXVDP1P1P1</t>
  </si>
  <si>
    <t>H9</t>
  </si>
  <si>
    <t>L4</t>
  </si>
  <si>
    <t>GPIO3_PS.04</t>
  </si>
  <si>
    <t>aud_mclk_ps4</t>
  </si>
  <si>
    <t>GPIO11</t>
  </si>
  <si>
    <t>K5</t>
  </si>
  <si>
    <t>soc_gpio30_ps5</t>
  </si>
  <si>
    <t>wake12</t>
  </si>
  <si>
    <t>BDPGLP_JFCM14L_VDVXP1P1P1</t>
  </si>
  <si>
    <t>K4</t>
  </si>
  <si>
    <t>soc_gpio31_ps6</t>
  </si>
  <si>
    <t>wake13</t>
  </si>
  <si>
    <t>K6</t>
  </si>
  <si>
    <t>soc_gpio32_ps7</t>
  </si>
  <si>
    <t>GPIO12</t>
  </si>
  <si>
    <t>K10</t>
  </si>
  <si>
    <t>soc_gpio33_pt0</t>
  </si>
  <si>
    <t>wake15</t>
  </si>
  <si>
    <t>pu</t>
  </si>
  <si>
    <t>M1</t>
  </si>
  <si>
    <t>GPIO3_PT.01</t>
  </si>
  <si>
    <t>dap3_sclk_pt1</t>
  </si>
  <si>
    <t>M3</t>
  </si>
  <si>
    <t>GPIO3_PT.02</t>
  </si>
  <si>
    <t>dap3_dout_pt2</t>
  </si>
  <si>
    <t>GPIO13</t>
  </si>
  <si>
    <t>L1</t>
  </si>
  <si>
    <t>dap3_din_pt3</t>
  </si>
  <si>
    <t>GPIO14</t>
  </si>
  <si>
    <t>L3</t>
  </si>
  <si>
    <t>dap3_fs_pt4</t>
  </si>
  <si>
    <t>F10</t>
  </si>
  <si>
    <t>L9</t>
  </si>
  <si>
    <t>DSPK0_DAT</t>
  </si>
  <si>
    <t>dap5_sclk_pt5</t>
  </si>
  <si>
    <t>F9</t>
  </si>
  <si>
    <t>L8</t>
  </si>
  <si>
    <t>DSPK0_CLK</t>
  </si>
  <si>
    <t>dap5_dout_pt6</t>
  </si>
  <si>
    <t>K7</t>
  </si>
  <si>
    <t>DMIC4_DAT</t>
  </si>
  <si>
    <t>DSPK1_DAT</t>
  </si>
  <si>
    <t>dap5_din_pt7</t>
  </si>
  <si>
    <t>K8</t>
  </si>
  <si>
    <t>DMIC4_CLK</t>
  </si>
  <si>
    <t>DSPK1_CLK</t>
  </si>
  <si>
    <t>dap5_fs_pu0</t>
  </si>
  <si>
    <t>SDCARD_CLK</t>
  </si>
  <si>
    <t>N8</t>
  </si>
  <si>
    <t>GPIO3_PJ.00</t>
  </si>
  <si>
    <t>sdmmc1_clk_pj0</t>
  </si>
  <si>
    <t>vddio_sdmmc1_hv</t>
  </si>
  <si>
    <t>CZ</t>
  </si>
  <si>
    <t>BDSDMEM_DFCR90M14L_VXVDP1P1P1VC</t>
  </si>
  <si>
    <t>19.5K +/- 35%</t>
  </si>
  <si>
    <t>SDCARD_CMD</t>
  </si>
  <si>
    <t>A5</t>
  </si>
  <si>
    <t>N7</t>
  </si>
  <si>
    <t>GPIO3_PJ.01</t>
  </si>
  <si>
    <t>sdmmc1_cmd_pj1</t>
  </si>
  <si>
    <t>SDCARD_D0</t>
  </si>
  <si>
    <t>M9</t>
  </si>
  <si>
    <t>GPIO3_PJ.02</t>
  </si>
  <si>
    <t>sdmmc1_dat0_pj2</t>
  </si>
  <si>
    <t>SDCARD_D1</t>
  </si>
  <si>
    <t>F8</t>
  </si>
  <si>
    <t>M10</t>
  </si>
  <si>
    <t>GPIO3_PJ.03</t>
  </si>
  <si>
    <t>sdmmc1_dat1_pj3</t>
  </si>
  <si>
    <t>wake3</t>
  </si>
  <si>
    <t>SDCARD_D2</t>
  </si>
  <si>
    <t>N4</t>
  </si>
  <si>
    <t>GPIO3_PJ.04</t>
  </si>
  <si>
    <t>sdmmc1_dat2_pj4</t>
  </si>
  <si>
    <t>SDCARD_D3</t>
  </si>
  <si>
    <t>N5</t>
  </si>
  <si>
    <t>GPIO3_PJ.05</t>
  </si>
  <si>
    <t>sdmmc1_dat3_pj5</t>
  </si>
  <si>
    <t>P3</t>
  </si>
  <si>
    <t>sdmmc3_clk_po0</t>
  </si>
  <si>
    <t>vddio_sdmmc3_hv</t>
  </si>
  <si>
    <t>P4</t>
  </si>
  <si>
    <t>sdmmc3_cmd_po1</t>
  </si>
  <si>
    <t>P9</t>
  </si>
  <si>
    <t>GPIO3_PO.02</t>
  </si>
  <si>
    <t>sdmmc3_dat0_po2</t>
  </si>
  <si>
    <t>P8</t>
  </si>
  <si>
    <t>GPIO3_PO.03</t>
  </si>
  <si>
    <t>sdmmc3_dat1_po3</t>
  </si>
  <si>
    <t>wake5</t>
  </si>
  <si>
    <t>P7</t>
  </si>
  <si>
    <t>sdmmc3_dat2_po4</t>
  </si>
  <si>
    <t>P6</t>
  </si>
  <si>
    <t>sdmmc3_dat3_po5</t>
  </si>
  <si>
    <t>RGMII_TXC</t>
  </si>
  <si>
    <t>R7</t>
  </si>
  <si>
    <t>eqos_txc_pe0</t>
  </si>
  <si>
    <t>vddio_eqos</t>
  </si>
  <si>
    <t>LV_CZ</t>
  </si>
  <si>
    <t>BDSDMEMLV_CFCR90M14L_VXVDP1P1P1</t>
  </si>
  <si>
    <t>18k +/- 30%</t>
  </si>
  <si>
    <t>z</t>
  </si>
  <si>
    <t>RGMII_TD0</t>
  </si>
  <si>
    <t>J6</t>
  </si>
  <si>
    <t>R4</t>
  </si>
  <si>
    <t>eqos_td0_pe1</t>
  </si>
  <si>
    <t>RGMII_TD1</t>
  </si>
  <si>
    <t>G5</t>
  </si>
  <si>
    <t>R3</t>
  </si>
  <si>
    <t>eqos_td1_pe2</t>
  </si>
  <si>
    <t>RGMII_TD2</t>
  </si>
  <si>
    <t>J7</t>
  </si>
  <si>
    <t>R1</t>
  </si>
  <si>
    <t>eqos_td2_pe3</t>
  </si>
  <si>
    <t>RGMII_TD3</t>
  </si>
  <si>
    <t>G6</t>
  </si>
  <si>
    <t>P1</t>
  </si>
  <si>
    <t>eqos_td3_pe4</t>
  </si>
  <si>
    <t>RGMII_TX_CTL</t>
  </si>
  <si>
    <t>R5</t>
  </si>
  <si>
    <t>eqos_tx_ctl_pe5</t>
  </si>
  <si>
    <t>RGMII_RD0</t>
  </si>
  <si>
    <t>C4</t>
  </si>
  <si>
    <t>T5</t>
  </si>
  <si>
    <t>eqos_rd0_pe6</t>
  </si>
  <si>
    <t>RGMII_RD1</t>
  </si>
  <si>
    <t>U1</t>
  </si>
  <si>
    <t>eqos_rd1_pe7</t>
  </si>
  <si>
    <t>RGMII_RD2</t>
  </si>
  <si>
    <t>H6</t>
  </si>
  <si>
    <t>U3</t>
  </si>
  <si>
    <t>eqos_rd2_pf0</t>
  </si>
  <si>
    <t>RGMII_RD3</t>
  </si>
  <si>
    <t>T4</t>
  </si>
  <si>
    <t>eqos_rd3_pf1</t>
  </si>
  <si>
    <t>RGMII_RX_CTL</t>
  </si>
  <si>
    <t>T7</t>
  </si>
  <si>
    <t>eqos_rx_ctl_pf2</t>
  </si>
  <si>
    <t>wake28</t>
  </si>
  <si>
    <t>RGMII_RXC</t>
  </si>
  <si>
    <t>C5</t>
  </si>
  <si>
    <t>R6</t>
  </si>
  <si>
    <t>eqos_rxc_pf3</t>
  </si>
  <si>
    <t>RGMII_SMA_MDIO</t>
  </si>
  <si>
    <t>R9</t>
  </si>
  <si>
    <t>eqos_sma_mdio_pf4</t>
  </si>
  <si>
    <t>wake17</t>
  </si>
  <si>
    <t>RGMII_SMA_MDC</t>
  </si>
  <si>
    <t>R10</t>
  </si>
  <si>
    <t>eqos_sma_mdc_pf5</t>
  </si>
  <si>
    <t>V3</t>
  </si>
  <si>
    <t>GPIO3_PC.00</t>
  </si>
  <si>
    <t>qspi0_sck_pc0</t>
  </si>
  <si>
    <t>vddio_qspi</t>
  </si>
  <si>
    <t>U4</t>
  </si>
  <si>
    <t>GPIO3_PC.01</t>
  </si>
  <si>
    <t>qspi0_cs_n_pc1</t>
  </si>
  <si>
    <t>wake23</t>
  </si>
  <si>
    <t>V5</t>
  </si>
  <si>
    <t>GPIO3_PC.02</t>
  </si>
  <si>
    <t>qspi0_io0_pc2</t>
  </si>
  <si>
    <t>V4</t>
  </si>
  <si>
    <t>GPIO3_PC.03</t>
  </si>
  <si>
    <t>qspi0_io1_pc3</t>
  </si>
  <si>
    <t>V1</t>
  </si>
  <si>
    <t>GPIO3_PC.04</t>
  </si>
  <si>
    <t>qspi0_io2_pc4</t>
  </si>
  <si>
    <t>U6</t>
  </si>
  <si>
    <t>GPIO3_PC.05</t>
  </si>
  <si>
    <t>qspi0_io3_pc5</t>
  </si>
  <si>
    <t>wake11</t>
  </si>
  <si>
    <t>U7</t>
  </si>
  <si>
    <t>GPIO3_PC.06</t>
  </si>
  <si>
    <t>qspi1_sck_pc6</t>
  </si>
  <si>
    <t>V7</t>
  </si>
  <si>
    <t>GPIO3_PC.07</t>
  </si>
  <si>
    <t>qspi1_cs_n_pc7</t>
  </si>
  <si>
    <t>wake18</t>
  </si>
  <si>
    <t>V6</t>
  </si>
  <si>
    <t>GPIO3_PD.00</t>
  </si>
  <si>
    <t>qspi1_io0_pd0</t>
  </si>
  <si>
    <t>U8</t>
  </si>
  <si>
    <t>GPIO3_PD.01</t>
  </si>
  <si>
    <t>qspi1_io1_pd1</t>
  </si>
  <si>
    <t>U9</t>
  </si>
  <si>
    <t>GPIO3_PD.02</t>
  </si>
  <si>
    <t>qspi1_io2_pd2</t>
  </si>
  <si>
    <t>V9</t>
  </si>
  <si>
    <t>GPIO3_PD.03</t>
  </si>
  <si>
    <t>qspi1_io3_pd3</t>
  </si>
  <si>
    <t>wake19</t>
  </si>
  <si>
    <t>AB4</t>
  </si>
  <si>
    <t>sdmmc4_clk</t>
  </si>
  <si>
    <t>vddio_sdmmc4</t>
  </si>
  <si>
    <t>ST_MEM</t>
  </si>
  <si>
    <t>BDEMMC_IOBRICK_DFCR90M14L</t>
  </si>
  <si>
    <t>15k</t>
  </si>
  <si>
    <t>AB10</t>
  </si>
  <si>
    <t>sdmmc4_cmd</t>
  </si>
  <si>
    <t>AC6</t>
  </si>
  <si>
    <t>sdmmc4_dat0</t>
  </si>
  <si>
    <t>AC3</t>
  </si>
  <si>
    <t>sdmmc4_dat1</t>
  </si>
  <si>
    <t>wake6</t>
  </si>
  <si>
    <t>AC1</t>
  </si>
  <si>
    <t>sdmmc4_dat2</t>
  </si>
  <si>
    <t>AD1</t>
  </si>
  <si>
    <t>sdmmc4_dat3</t>
  </si>
  <si>
    <t>AD5</t>
  </si>
  <si>
    <t>sdmmc4_dat4</t>
  </si>
  <si>
    <t>AC4</t>
  </si>
  <si>
    <t>sdmmc4_dat5</t>
  </si>
  <si>
    <t>AB7</t>
  </si>
  <si>
    <t>sdmmc4_dat6</t>
  </si>
  <si>
    <t>AB8</t>
  </si>
  <si>
    <t>sdmmc4_dat7</t>
  </si>
  <si>
    <t>AB5</t>
  </si>
  <si>
    <t>sdmmc4_dqs</t>
  </si>
  <si>
    <t>Y3</t>
  </si>
  <si>
    <t>soc_gpio00_pg0</t>
  </si>
  <si>
    <t>vddio_conn</t>
  </si>
  <si>
    <t>wake67</t>
  </si>
  <si>
    <t>rcm_0</t>
  </si>
  <si>
    <t>BDPGLP_JFCR90M14L_VDVXP1P1P1</t>
  </si>
  <si>
    <t>Y4</t>
  </si>
  <si>
    <t>soc_gpio01_pg1</t>
  </si>
  <si>
    <t>wake68</t>
  </si>
  <si>
    <t>rcm_1</t>
  </si>
  <si>
    <t>AA5</t>
  </si>
  <si>
    <t>soc_gpio02_pg2</t>
  </si>
  <si>
    <t>wake69</t>
  </si>
  <si>
    <t>GPIO01</t>
  </si>
  <si>
    <t>J4</t>
  </si>
  <si>
    <t>AA6</t>
  </si>
  <si>
    <t>soc_gpio03_pg3</t>
  </si>
  <si>
    <t>wake30</t>
  </si>
  <si>
    <t>rcm_2</t>
  </si>
  <si>
    <t>J5</t>
  </si>
  <si>
    <t>AA7</t>
  </si>
  <si>
    <t>soc_gpio08_pg4</t>
  </si>
  <si>
    <t>wake20</t>
  </si>
  <si>
    <t>Y7</t>
  </si>
  <si>
    <t>soc_gpio09_pg5</t>
  </si>
  <si>
    <t>AA4</t>
  </si>
  <si>
    <t>GPIO3_PG.06</t>
  </si>
  <si>
    <t>soc_gpio10_pg6</t>
  </si>
  <si>
    <t>GPIO02</t>
  </si>
  <si>
    <t>AA3</t>
  </si>
  <si>
    <t>soc_gpio11_pg7</t>
  </si>
  <si>
    <t>wake8</t>
  </si>
  <si>
    <t>L50</t>
  </si>
  <si>
    <t>AA10</t>
  </si>
  <si>
    <t>soc_gpio12_ph0</t>
  </si>
  <si>
    <t>AA9</t>
  </si>
  <si>
    <t>GPIO3_PH.01</t>
  </si>
  <si>
    <t>soc_gpio13_ph1</t>
  </si>
  <si>
    <t>wake9</t>
  </si>
  <si>
    <t>Y6</t>
  </si>
  <si>
    <t>soc_gpio14_ph2</t>
  </si>
  <si>
    <t>W10</t>
  </si>
  <si>
    <t>uart4_tx_ph3</t>
  </si>
  <si>
    <t>boot_sel1</t>
  </si>
  <si>
    <t>L48</t>
  </si>
  <si>
    <t>W11</t>
  </si>
  <si>
    <t>uart4_rx_ph4</t>
  </si>
  <si>
    <t>Y8</t>
  </si>
  <si>
    <t>uart4_rts_ph5</t>
  </si>
  <si>
    <t>boot_sel0</t>
  </si>
  <si>
    <t>L49</t>
  </si>
  <si>
    <t>Y9</t>
  </si>
  <si>
    <t>uart4_cts_ph6</t>
  </si>
  <si>
    <t>wake7</t>
  </si>
  <si>
    <t>G4</t>
  </si>
  <si>
    <t>W4</t>
  </si>
  <si>
    <t>dap2_sclk_ph7</t>
  </si>
  <si>
    <t>F5</t>
  </si>
  <si>
    <t>W7</t>
  </si>
  <si>
    <t>dap2_dout_pi0</t>
  </si>
  <si>
    <t>F6</t>
  </si>
  <si>
    <t>W8</t>
  </si>
  <si>
    <t>dap2_din_pi1</t>
  </si>
  <si>
    <t>E4</t>
  </si>
  <si>
    <t>W5</t>
  </si>
  <si>
    <t>dap2_fs_pi2</t>
  </si>
  <si>
    <t>Y1</t>
  </si>
  <si>
    <t>GPIO3_PI.03</t>
  </si>
  <si>
    <t>gen1_i2c_scl_pi3</t>
  </si>
  <si>
    <t>DD</t>
  </si>
  <si>
    <t>BDPGLPHVIN_EFCR90M14L_VDVXP1P1P1</t>
  </si>
  <si>
    <t>AA1</t>
  </si>
  <si>
    <t>GPIO3_PI.04</t>
  </si>
  <si>
    <t>gen1_i2c_sda_pi4</t>
  </si>
  <si>
    <t>wake31</t>
  </si>
  <si>
    <t>unused_DEBUG</t>
  </si>
  <si>
    <t>vddio_debug</t>
  </si>
  <si>
    <t>V52</t>
  </si>
  <si>
    <t>nvdbg_sel</t>
  </si>
  <si>
    <t>wake14</t>
  </si>
  <si>
    <t>JT_RST</t>
  </si>
  <si>
    <t>BILPRST_DFCR90M14L_VDP1P1P1</t>
  </si>
  <si>
    <t>V49</t>
  </si>
  <si>
    <t>jtag_trst_</t>
  </si>
  <si>
    <t>V45</t>
  </si>
  <si>
    <t>jtag_tdo</t>
  </si>
  <si>
    <t>BDPGLP_JFCR90M14L_VDP1P1P1</t>
  </si>
  <si>
    <t>V44</t>
  </si>
  <si>
    <t>jtag_tms</t>
  </si>
  <si>
    <t>V47</t>
  </si>
  <si>
    <t>jtag_tck</t>
  </si>
  <si>
    <t>V46</t>
  </si>
  <si>
    <t>jtag_tdi</t>
  </si>
  <si>
    <t>U52</t>
  </si>
  <si>
    <t>nvjtag_sel</t>
  </si>
  <si>
    <t>unused_UART</t>
  </si>
  <si>
    <t>M50</t>
  </si>
  <si>
    <t>gpu_pwr_req_px0</t>
  </si>
  <si>
    <t>vddio_uart</t>
  </si>
  <si>
    <t>N49</t>
  </si>
  <si>
    <t>cv_pwr_req_px1</t>
  </si>
  <si>
    <t>M52</t>
  </si>
  <si>
    <t>GPIO3_PX.02</t>
  </si>
  <si>
    <t>gp_pwm2_px2</t>
  </si>
  <si>
    <t>N48</t>
  </si>
  <si>
    <t>GPIO3_PX.03</t>
  </si>
  <si>
    <t>gp_pwm3_px3</t>
  </si>
  <si>
    <t>P46</t>
  </si>
  <si>
    <t>GPIO3_PX.04</t>
  </si>
  <si>
    <t>uart2_tx_px4</t>
  </si>
  <si>
    <t>ram_code3</t>
  </si>
  <si>
    <t>BDPGLPHVIN_EFCR90M14L_VXVDP1P1P1</t>
  </si>
  <si>
    <t>N46</t>
  </si>
  <si>
    <t>GPIO3_PX.05</t>
  </si>
  <si>
    <t>uart2_rx_px5</t>
  </si>
  <si>
    <t>P48</t>
  </si>
  <si>
    <t>GPIO3_PX.06</t>
  </si>
  <si>
    <t>uart2_rts_px6</t>
  </si>
  <si>
    <t>ram_code2</t>
  </si>
  <si>
    <t>P47</t>
  </si>
  <si>
    <t>GPIO3_PX.07</t>
  </si>
  <si>
    <t>uart2_cts_px7</t>
  </si>
  <si>
    <t>wake52</t>
  </si>
  <si>
    <t>N43</t>
  </si>
  <si>
    <t>spi3_sck_py0</t>
  </si>
  <si>
    <t>wake44</t>
  </si>
  <si>
    <t>N42</t>
  </si>
  <si>
    <t>spi3_miso_py1</t>
  </si>
  <si>
    <t>P44</t>
  </si>
  <si>
    <t>spi3_mosi_py2</t>
  </si>
  <si>
    <t>N45</t>
  </si>
  <si>
    <t>spi3_cs0_py3</t>
  </si>
  <si>
    <t>wake56</t>
  </si>
  <si>
    <t>P43</t>
  </si>
  <si>
    <t>spi3_cs1_py4</t>
  </si>
  <si>
    <t>wake58</t>
  </si>
  <si>
    <t>P52</t>
  </si>
  <si>
    <t>uart5_tx_py5</t>
  </si>
  <si>
    <t>ram_code1</t>
  </si>
  <si>
    <t>R52</t>
  </si>
  <si>
    <t>GPIO3_PY.06</t>
  </si>
  <si>
    <t>uart5_rx_py6</t>
  </si>
  <si>
    <t>P50</t>
  </si>
  <si>
    <t>uart5_rts_py7</t>
  </si>
  <si>
    <t>ram_code0</t>
  </si>
  <si>
    <t>P49</t>
  </si>
  <si>
    <t>GPIO3_PZ.00</t>
  </si>
  <si>
    <t>uart5_cts_pz0</t>
  </si>
  <si>
    <t>wake53</t>
  </si>
  <si>
    <t>L43</t>
  </si>
  <si>
    <t>usb_vbus_en0_pz1</t>
  </si>
  <si>
    <t>wake61</t>
  </si>
  <si>
    <t>L44</t>
  </si>
  <si>
    <t>usb_vbus_en1_pz2</t>
  </si>
  <si>
    <t>wake62</t>
  </si>
  <si>
    <t>M49</t>
  </si>
  <si>
    <t>spi1_sck_pz3</t>
  </si>
  <si>
    <t>M46</t>
  </si>
  <si>
    <t>spi1_miso_pz4</t>
  </si>
  <si>
    <t>M44</t>
  </si>
  <si>
    <t>spi1_mosi_pz5</t>
  </si>
  <si>
    <t>M45</t>
  </si>
  <si>
    <t>spi1_cs0_pz6</t>
  </si>
  <si>
    <t>wake45</t>
  </si>
  <si>
    <t>M47</t>
  </si>
  <si>
    <t>spi1_cs1_pz7</t>
  </si>
  <si>
    <t>wake50</t>
  </si>
  <si>
    <t>Y52</t>
  </si>
  <si>
    <t>sys_reset_n</t>
  </si>
  <si>
    <t>vddio_sys</t>
  </si>
  <si>
    <t>AA52</t>
  </si>
  <si>
    <t>shutdown_n</t>
  </si>
  <si>
    <t>BDPGLPHVIN_EFCR90M14L_VDP1P1P1</t>
  </si>
  <si>
    <t>V50</t>
  </si>
  <si>
    <t>safe_state_pee0</t>
  </si>
  <si>
    <t>wake25</t>
  </si>
  <si>
    <t>Y49</t>
  </si>
  <si>
    <t>SOC_THERM_OC1</t>
  </si>
  <si>
    <t>vcomp_alert_pee1</t>
  </si>
  <si>
    <t>wake26</t>
  </si>
  <si>
    <t>W46</t>
  </si>
  <si>
    <t>GPIO3_PEE.05</t>
  </si>
  <si>
    <t>pwr_i2c_scl_pee5</t>
  </si>
  <si>
    <t>W45</t>
  </si>
  <si>
    <t>GPIO3_PEE.06</t>
  </si>
  <si>
    <t>pwr_i2c_sda_pee6</t>
  </si>
  <si>
    <t>wake27</t>
  </si>
  <si>
    <t>W49</t>
  </si>
  <si>
    <t>pmu_int_n</t>
  </si>
  <si>
    <t>wake24</t>
  </si>
  <si>
    <t>Y50</t>
  </si>
  <si>
    <t>soc_pwr_req</t>
  </si>
  <si>
    <t>Y48</t>
  </si>
  <si>
    <t>GPIO_AO_RET</t>
  </si>
  <si>
    <t>ao_retention_n_pee2</t>
  </si>
  <si>
    <t>wake2</t>
  </si>
  <si>
    <t>Y46</t>
  </si>
  <si>
    <t>batt_oc_pee3</t>
  </si>
  <si>
    <t>wake10</t>
  </si>
  <si>
    <t>Y47</t>
  </si>
  <si>
    <t>clk_32k_in</t>
  </si>
  <si>
    <t>W48</t>
  </si>
  <si>
    <t>power_on_pee4</t>
  </si>
  <si>
    <t>wake29</t>
  </si>
  <si>
    <t>Y44</t>
  </si>
  <si>
    <t>P</t>
  </si>
  <si>
    <t>therm_dp</t>
  </si>
  <si>
    <t>TDIODE_FFCR90M14L</t>
  </si>
  <si>
    <t>Y43</t>
  </si>
  <si>
    <t>N</t>
  </si>
  <si>
    <t>therm_dn</t>
  </si>
  <si>
    <t>AA49</t>
  </si>
  <si>
    <t>can1_dout_paa0</t>
  </si>
  <si>
    <t>vddio_ao_hv</t>
  </si>
  <si>
    <t>BDSDMEM_DFCR90M14L_VDP1P1P1VC</t>
  </si>
  <si>
    <t>AA47</t>
  </si>
  <si>
    <t>can1_din_paa1</t>
  </si>
  <si>
    <t>wake42</t>
  </si>
  <si>
    <t>AB42</t>
  </si>
  <si>
    <t>can0_dout_paa2</t>
  </si>
  <si>
    <t>AB43</t>
  </si>
  <si>
    <t>can0_din_paa3</t>
  </si>
  <si>
    <t>wake43</t>
  </si>
  <si>
    <t>AB46</t>
  </si>
  <si>
    <t>WDT_RESET_OUTB</t>
  </si>
  <si>
    <t>can0_stb_paa4</t>
  </si>
  <si>
    <t>GPIO06</t>
  </si>
  <si>
    <t>AB45</t>
  </si>
  <si>
    <t>can0_en_paa5</t>
  </si>
  <si>
    <t>GPIO07</t>
  </si>
  <si>
    <t>AC44</t>
  </si>
  <si>
    <t>can0_wake_paa6</t>
  </si>
  <si>
    <t>wake46</t>
  </si>
  <si>
    <t>AC43</t>
  </si>
  <si>
    <t>can0_err_paa7</t>
  </si>
  <si>
    <t>wake49</t>
  </si>
  <si>
    <t>GPIO08</t>
  </si>
  <si>
    <t>AB49</t>
  </si>
  <si>
    <t>can1_stb_pbb0</t>
  </si>
  <si>
    <t>GPIO09</t>
  </si>
  <si>
    <t>AB48</t>
  </si>
  <si>
    <t>can1_en_pbb1</t>
  </si>
  <si>
    <t>GPIO10</t>
  </si>
  <si>
    <t>AA46</t>
  </si>
  <si>
    <t>can1_wake_pbb2</t>
  </si>
  <si>
    <t>wake48</t>
  </si>
  <si>
    <t>AA50</t>
  </si>
  <si>
    <t>can1_err_pbb3</t>
  </si>
  <si>
    <t>wake47</t>
  </si>
  <si>
    <t>AD46</t>
  </si>
  <si>
    <t>spi2_sck_pcc0</t>
  </si>
  <si>
    <t>vddio_ao</t>
  </si>
  <si>
    <t>AD47</t>
  </si>
  <si>
    <t>spi2_miso_pcc1</t>
  </si>
  <si>
    <t>AD45</t>
  </si>
  <si>
    <t>spi2_mosi_pcc2</t>
  </si>
  <si>
    <t>AD44</t>
  </si>
  <si>
    <t>spi2_cs0_pcc3</t>
  </si>
  <si>
    <t>wake39</t>
  </si>
  <si>
    <t>AD52</t>
  </si>
  <si>
    <t>GPIO3_PCC.04</t>
  </si>
  <si>
    <t>touch_clk_pcc4</t>
  </si>
  <si>
    <t>AC52</t>
  </si>
  <si>
    <t>GPIO3_PCC.05</t>
  </si>
  <si>
    <t>uart3_tx_pcc5</t>
  </si>
  <si>
    <t>AC50</t>
  </si>
  <si>
    <t>GPIO3_PCC.06</t>
  </si>
  <si>
    <t>uart3_rx_pcc6</t>
  </si>
  <si>
    <t>AC49</t>
  </si>
  <si>
    <t>GPIO3_PCC.07</t>
  </si>
  <si>
    <t>gen2_i2c_scl_pcc7</t>
  </si>
  <si>
    <t>AC48</t>
  </si>
  <si>
    <t>GPIO3_PDD.00</t>
  </si>
  <si>
    <t>gen2_i2c_sda_pdd0</t>
  </si>
  <si>
    <t>wake41</t>
  </si>
  <si>
    <t>AC46</t>
  </si>
  <si>
    <t>GPIO3_PDD.01</t>
  </si>
  <si>
    <t>gen8_i2c_scl_pdd1</t>
  </si>
  <si>
    <t>AC47</t>
  </si>
  <si>
    <t>GPIO3_PDD.02</t>
  </si>
  <si>
    <t>gen8_i2c_sda_pdd2</t>
  </si>
  <si>
    <t>wake21</t>
  </si>
  <si>
    <t>H48</t>
  </si>
  <si>
    <t>GPIO3_PP.00</t>
  </si>
  <si>
    <t>extperiph1_clk_pp0</t>
  </si>
  <si>
    <t>vddio_cam</t>
  </si>
  <si>
    <t>H49</t>
  </si>
  <si>
    <t>extperiph2_clk_pp1</t>
  </si>
  <si>
    <t>K44</t>
  </si>
  <si>
    <t>GPIO3_PP.02</t>
  </si>
  <si>
    <t>cam_i2c_scl_pp2</t>
  </si>
  <si>
    <t>J44</t>
  </si>
  <si>
    <t>GPIO3_PP.03</t>
  </si>
  <si>
    <t>cam_i2c_sda_pp3</t>
  </si>
  <si>
    <t>wake22</t>
  </si>
  <si>
    <t>J49</t>
  </si>
  <si>
    <t>soc_gpio04_pp4</t>
  </si>
  <si>
    <t>wake34</t>
  </si>
  <si>
    <t>J47</t>
  </si>
  <si>
    <t>soc_gpio05_pp5</t>
  </si>
  <si>
    <t>wake36</t>
  </si>
  <si>
    <t>L47</t>
  </si>
  <si>
    <t>soc_gpio06_pp6</t>
  </si>
  <si>
    <t>wake37</t>
  </si>
  <si>
    <t>K48</t>
  </si>
  <si>
    <t>soc_gpio07_pp7</t>
  </si>
  <si>
    <t>K45</t>
  </si>
  <si>
    <t>soc_gpio20_pq0</t>
  </si>
  <si>
    <t>wake35</t>
  </si>
  <si>
    <t>J46</t>
  </si>
  <si>
    <t>soc_gpio21_pq1</t>
  </si>
  <si>
    <t>wake40</t>
  </si>
  <si>
    <t>J45</t>
  </si>
  <si>
    <t>soc_gpio22_pq2</t>
  </si>
  <si>
    <t>wake51</t>
  </si>
  <si>
    <t>K46</t>
  </si>
  <si>
    <t>soc_gpio23_pq3</t>
  </si>
  <si>
    <t>wake38</t>
  </si>
  <si>
    <t>L46</t>
  </si>
  <si>
    <t>soc_gpio40_pq4</t>
  </si>
  <si>
    <t>soc_gpio41_pq5</t>
  </si>
  <si>
    <t>L52</t>
  </si>
  <si>
    <t>soc_gpio42_pq6</t>
  </si>
  <si>
    <t>soc_gpio43_pq7</t>
  </si>
  <si>
    <t>soc_gpio44_pr0</t>
  </si>
  <si>
    <t>K49</t>
  </si>
  <si>
    <t>soc_gpio45_pr1</t>
  </si>
  <si>
    <t>H50</t>
  </si>
  <si>
    <t>uart1_tx_pr2</t>
  </si>
  <si>
    <t>boot_sel2</t>
  </si>
  <si>
    <t>J50</t>
  </si>
  <si>
    <t>GPIO3_PR.03</t>
  </si>
  <si>
    <t>uart1_rx_pr3</t>
  </si>
  <si>
    <t>H52</t>
  </si>
  <si>
    <t>uart1_rts_pr4</t>
  </si>
  <si>
    <t>ufs_sel</t>
  </si>
  <si>
    <t>J52</t>
  </si>
  <si>
    <t>uart1_cts_pr5</t>
  </si>
  <si>
    <t>wake33</t>
  </si>
  <si>
    <t>R45</t>
  </si>
  <si>
    <t>dap6_sclk_pa0</t>
  </si>
  <si>
    <t>vddio_audio_hv</t>
  </si>
  <si>
    <t>GPIO05</t>
  </si>
  <si>
    <t>T43</t>
  </si>
  <si>
    <t>dap6_dout_pa1</t>
  </si>
  <si>
    <t>GPIO04</t>
  </si>
  <si>
    <t>T42</t>
  </si>
  <si>
    <t>dap6_din_pa2</t>
  </si>
  <si>
    <t>R44</t>
  </si>
  <si>
    <t>dap6_fs_pa3</t>
  </si>
  <si>
    <t>R47</t>
  </si>
  <si>
    <t>GPIO3_PA.04</t>
  </si>
  <si>
    <t>dap4_sclk_pa4</t>
  </si>
  <si>
    <t>R50</t>
  </si>
  <si>
    <t>dap4_dout_pa5</t>
  </si>
  <si>
    <t>R49</t>
  </si>
  <si>
    <t>dap4_din_pa6</t>
  </si>
  <si>
    <t>R46</t>
  </si>
  <si>
    <t>dap4_fs_pa7</t>
  </si>
  <si>
    <t>AD7</t>
  </si>
  <si>
    <t>cpu_pwr_req_0_pb0</t>
  </si>
  <si>
    <t>AC7</t>
  </si>
  <si>
    <t>cpu_pwr_req_1_pb1</t>
  </si>
  <si>
    <t>A6</t>
  </si>
  <si>
    <t>M7</t>
  </si>
  <si>
    <t>GPIO3_PFF.00</t>
  </si>
  <si>
    <t>ufs0_ref_clk_pff0</t>
  </si>
  <si>
    <t>vddio_ufs</t>
  </si>
  <si>
    <t>M6</t>
  </si>
  <si>
    <t>GPIO3_PFF.01</t>
  </si>
  <si>
    <t>ufs0_rst_pff1</t>
  </si>
  <si>
    <t>E11</t>
  </si>
  <si>
    <t>GPIO3_PK.00</t>
  </si>
  <si>
    <t>pex_l0_clkreq_n_pk0</t>
  </si>
  <si>
    <t>vddio_pex_ctl</t>
  </si>
  <si>
    <t>BDPGLPHVIN_EFCM14L_VDVXP1P1P1</t>
  </si>
  <si>
    <t>GPIO3_PK.01</t>
  </si>
  <si>
    <t>pex_l0_rst_n_pk1</t>
  </si>
  <si>
    <t>GPIO3_PK.02</t>
  </si>
  <si>
    <t>pex_l1_clkreq_n_pk2</t>
  </si>
  <si>
    <t>wake54</t>
  </si>
  <si>
    <t>H7</t>
  </si>
  <si>
    <t>GPIO3_PK.03</t>
  </si>
  <si>
    <t>pex_l1_rst_n_pk3</t>
  </si>
  <si>
    <t>H4</t>
  </si>
  <si>
    <t>GPIO3_PK.04</t>
  </si>
  <si>
    <t>pex_l2_clkreq_n_pk4</t>
  </si>
  <si>
    <t>wake0</t>
  </si>
  <si>
    <t>H3</t>
  </si>
  <si>
    <t>GPIO3_PK.05</t>
  </si>
  <si>
    <t>pex_l2_rst_n_pk5</t>
  </si>
  <si>
    <t>J10</t>
  </si>
  <si>
    <t>H1</t>
  </si>
  <si>
    <t>GPIO3_PK.06</t>
  </si>
  <si>
    <t>pex_l3_clkreq_n_pk6</t>
  </si>
  <si>
    <t>wake65</t>
  </si>
  <si>
    <t>J1</t>
  </si>
  <si>
    <t>pex_l3_rst_n_pk7</t>
  </si>
  <si>
    <t>G8</t>
  </si>
  <si>
    <t>GPIO3_PL.00</t>
  </si>
  <si>
    <t>pex_l4_clkreq_n_pl0</t>
  </si>
  <si>
    <t>wake55</t>
  </si>
  <si>
    <t>J9</t>
  </si>
  <si>
    <t>J3</t>
  </si>
  <si>
    <t>GPIO3_PL.01</t>
  </si>
  <si>
    <t>pex_l4_rst_n_pl1</t>
  </si>
  <si>
    <t>A8</t>
  </si>
  <si>
    <t>pex_wake_n_pl2</t>
  </si>
  <si>
    <t>wake1</t>
  </si>
  <si>
    <t>sata_dev_slp_pl3</t>
  </si>
  <si>
    <t>wake57</t>
  </si>
  <si>
    <t>pex_l5_clkreq_n</t>
  </si>
  <si>
    <t>vddio_pex_ctl_2</t>
  </si>
  <si>
    <t>wake32</t>
  </si>
  <si>
    <t>H10</t>
  </si>
  <si>
    <t>pex_l5_rst_n</t>
  </si>
  <si>
    <t>E15</t>
  </si>
  <si>
    <t>pex_clk0p</t>
  </si>
  <si>
    <t>vddio_pex_clk</t>
  </si>
  <si>
    <t>BOPEXCLKX3_JFCM14L_VXVDP1P1NCP1</t>
  </si>
  <si>
    <t>pex_clk0n</t>
  </si>
  <si>
    <t>F16</t>
  </si>
  <si>
    <t>pex_clk1p</t>
  </si>
  <si>
    <t>F17</t>
  </si>
  <si>
    <t>pex_clk1n</t>
  </si>
  <si>
    <t>E19</t>
  </si>
  <si>
    <t>H12</t>
  </si>
  <si>
    <t>pex_clk2p</t>
  </si>
  <si>
    <t>J12</t>
  </si>
  <si>
    <t>pex_clk2n</t>
  </si>
  <si>
    <t>H13</t>
  </si>
  <si>
    <t>pex_clk3p</t>
  </si>
  <si>
    <t>F21</t>
  </si>
  <si>
    <t>J13</t>
  </si>
  <si>
    <t>pex_clk3n</t>
  </si>
  <si>
    <t>H15</t>
  </si>
  <si>
    <t>pex_clk4p</t>
  </si>
  <si>
    <t>E22</t>
  </si>
  <si>
    <t>J15</t>
  </si>
  <si>
    <t>pex_clk4n</t>
  </si>
  <si>
    <t>F24</t>
  </si>
  <si>
    <t>H16</t>
  </si>
  <si>
    <t>pex_clk5p</t>
  </si>
  <si>
    <t>vddio_pex_clk_2</t>
  </si>
  <si>
    <t>BOPEXCLKX1_JFCM14L_VXVDP1P1NCP1</t>
  </si>
  <si>
    <t>F25</t>
  </si>
  <si>
    <t>J16</t>
  </si>
  <si>
    <t>pex_clk5n</t>
  </si>
  <si>
    <t>F52</t>
  </si>
  <si>
    <t>E50</t>
  </si>
  <si>
    <t>dp_aux_ch0_p</t>
  </si>
  <si>
    <t>vddio_edp</t>
  </si>
  <si>
    <t>DP_AUX</t>
  </si>
  <si>
    <t>BDDPAUX_F4FCM14L_VD181818NC</t>
  </si>
  <si>
    <t>E49</t>
  </si>
  <si>
    <t>dp_aux_ch0_n</t>
  </si>
  <si>
    <t>F48</t>
  </si>
  <si>
    <t>dp_aux_ch0_hpd_pm0</t>
  </si>
  <si>
    <t>wake60</t>
  </si>
  <si>
    <t>E52</t>
  </si>
  <si>
    <t>dp_aux_ch1_p</t>
  </si>
  <si>
    <t>dp_aux_ch1_n</t>
  </si>
  <si>
    <t>C48</t>
  </si>
  <si>
    <t>dp_aux_ch1_hpd_pm1</t>
  </si>
  <si>
    <t>wake63</t>
  </si>
  <si>
    <t>F50</t>
  </si>
  <si>
    <t>dp_aux_ch2_p</t>
  </si>
  <si>
    <t>F49</t>
  </si>
  <si>
    <t>dp_aux_ch2_n</t>
  </si>
  <si>
    <t>E47</t>
  </si>
  <si>
    <t>dp_aux_ch2_hpd_pm2</t>
  </si>
  <si>
    <t>wake71</t>
  </si>
  <si>
    <t>G49</t>
  </si>
  <si>
    <t>dp_aux_ch3_p</t>
  </si>
  <si>
    <t>G48</t>
  </si>
  <si>
    <t>dp_aux_ch3_n</t>
  </si>
  <si>
    <t>D48</t>
  </si>
  <si>
    <t>dp_aux_ch3_hpd_pm3</t>
  </si>
  <si>
    <t>wake66</t>
  </si>
  <si>
    <t>A48</t>
  </si>
  <si>
    <t>GPIO3_PM.04</t>
  </si>
  <si>
    <t>hdmi_cec_pm4</t>
  </si>
  <si>
    <t>wake70</t>
  </si>
  <si>
    <t>A47</t>
  </si>
  <si>
    <t>DCA_VSYNC</t>
  </si>
  <si>
    <t>soc_gpio50_pm5</t>
  </si>
  <si>
    <t>C49</t>
  </si>
  <si>
    <t>DCA_HSYNC</t>
  </si>
  <si>
    <t>soc_gpio51_pm6</t>
  </si>
  <si>
    <t>GPIO03</t>
  </si>
  <si>
    <t>H46</t>
  </si>
  <si>
    <t>DCB_VSYNC</t>
  </si>
  <si>
    <t>soc_gpio52_pm7</t>
  </si>
  <si>
    <t>wake59</t>
  </si>
  <si>
    <t>H47</t>
  </si>
  <si>
    <t>DCB_HSYNC</t>
  </si>
  <si>
    <t>soc_gpio53_pn0</t>
  </si>
  <si>
    <t>D50</t>
  </si>
  <si>
    <t>SDMMC3_WP</t>
  </si>
  <si>
    <t>soc_gpio54_pn1</t>
  </si>
  <si>
    <t>wake4</t>
  </si>
  <si>
    <t>G47</t>
  </si>
  <si>
    <t>SDMMC3_CD</t>
  </si>
  <si>
    <t>soc_gpio55_pn2</t>
  </si>
  <si>
    <t>wake64</t>
  </si>
  <si>
    <t>CSI0_CLK_N</t>
  </si>
  <si>
    <t>F42</t>
  </si>
  <si>
    <t>H33</t>
  </si>
  <si>
    <t>csi_a_clk_n</t>
  </si>
  <si>
    <t>avdd_csi</t>
  </si>
  <si>
    <t>BDMIPI4X_FFCM14L160P79B</t>
  </si>
  <si>
    <t>CSI0_CLK_P</t>
  </si>
  <si>
    <t>J33</t>
  </si>
  <si>
    <t>csi_a_clk_p</t>
  </si>
  <si>
    <t>CSI0_D0_N</t>
  </si>
  <si>
    <t>K34</t>
  </si>
  <si>
    <t>csi_a_d0_n</t>
  </si>
  <si>
    <t>CSI0_D0_P</t>
  </si>
  <si>
    <t>L34</t>
  </si>
  <si>
    <t>csi_a_d0_p</t>
  </si>
  <si>
    <t>CSI0_D1_N</t>
  </si>
  <si>
    <t>K32</t>
  </si>
  <si>
    <t>csi_a_d1_n</t>
  </si>
  <si>
    <t>CSI0_D1_P</t>
  </si>
  <si>
    <t>J32</t>
  </si>
  <si>
    <t>csi_a_d1_p</t>
  </si>
  <si>
    <t>CSI1_CLK_N</t>
  </si>
  <si>
    <t>H42</t>
  </si>
  <si>
    <t>A35</t>
  </si>
  <si>
    <t>csi_b_clk_n</t>
  </si>
  <si>
    <t>CSI1_CLK_P</t>
  </si>
  <si>
    <t>H43</t>
  </si>
  <si>
    <t>A36</t>
  </si>
  <si>
    <t>csi_b_clk_p</t>
  </si>
  <si>
    <t>CSI1_D0_N</t>
  </si>
  <si>
    <t>G42</t>
  </si>
  <si>
    <t>D36</t>
  </si>
  <si>
    <t>csi_b_d0_n</t>
  </si>
  <si>
    <t>CSI1_D0_P</t>
  </si>
  <si>
    <t>G41</t>
  </si>
  <si>
    <t>C36</t>
  </si>
  <si>
    <t>csi_b_d0_p</t>
  </si>
  <si>
    <t>CSI1_D1_N</t>
  </si>
  <si>
    <t>J42</t>
  </si>
  <si>
    <t>C35</t>
  </si>
  <si>
    <t>csi_b_d1_n</t>
  </si>
  <si>
    <t>CSI1_D1_P</t>
  </si>
  <si>
    <t>J41</t>
  </si>
  <si>
    <t>D35</t>
  </si>
  <si>
    <t>csi_b_d1_p</t>
  </si>
  <si>
    <t>CSI2_CLK_N</t>
  </si>
  <si>
    <t>F32</t>
  </si>
  <si>
    <t>csi_c_clk_n</t>
  </si>
  <si>
    <t>CSI2_CLK_P</t>
  </si>
  <si>
    <t>G32</t>
  </si>
  <si>
    <t>csi_c_clk_p</t>
  </si>
  <si>
    <t>CSI2_D0_N</t>
  </si>
  <si>
    <t>A42</t>
  </si>
  <si>
    <t>G33</t>
  </si>
  <si>
    <t>csi_c_d0_n</t>
  </si>
  <si>
    <t>CSI2_D0_P</t>
  </si>
  <si>
    <t>A41</t>
  </si>
  <si>
    <t>F33</t>
  </si>
  <si>
    <t>csi_c_d0_p</t>
  </si>
  <si>
    <t>CSI2_D1_N</t>
  </si>
  <si>
    <t>G31</t>
  </si>
  <si>
    <t>csi_c_d1_n</t>
  </si>
  <si>
    <t>CSI2_D1_P</t>
  </si>
  <si>
    <t>C42</t>
  </si>
  <si>
    <t>H31</t>
  </si>
  <si>
    <t>csi_c_d1_p</t>
  </si>
  <si>
    <t>CSI3_CLK_N</t>
  </si>
  <si>
    <t>F45</t>
  </si>
  <si>
    <t>H36</t>
  </si>
  <si>
    <t>csi_d_clk_n</t>
  </si>
  <si>
    <t>CSI3_CLK_P</t>
  </si>
  <si>
    <t>J36</t>
  </si>
  <si>
    <t>csi_d_clk_p</t>
  </si>
  <si>
    <t>CSI3_D0_N</t>
  </si>
  <si>
    <t>K37</t>
  </si>
  <si>
    <t>csi_d_d0_n</t>
  </si>
  <si>
    <t>CSI3_D0_P</t>
  </si>
  <si>
    <t>L37</t>
  </si>
  <si>
    <t>csi_d_d0_p</t>
  </si>
  <si>
    <t>CSI3_D1_N</t>
  </si>
  <si>
    <t>G45</t>
  </si>
  <si>
    <t>J35</t>
  </si>
  <si>
    <t>csi_d_d1_n</t>
  </si>
  <si>
    <t>CSI3_D1_P</t>
  </si>
  <si>
    <t>G44</t>
  </si>
  <si>
    <t>K35</t>
  </si>
  <si>
    <t>csi_d_d1_p</t>
  </si>
  <si>
    <t>CSI4_CLK_N</t>
  </si>
  <si>
    <t>H39</t>
  </si>
  <si>
    <t>csi_e_clk_n</t>
  </si>
  <si>
    <t>CSI4_CLK_P</t>
  </si>
  <si>
    <t>J39</t>
  </si>
  <si>
    <t>csi_e_clk_p</t>
  </si>
  <si>
    <t>CSI4_D0_N</t>
  </si>
  <si>
    <t>K38</t>
  </si>
  <si>
    <t>csi_e_d0_n</t>
  </si>
  <si>
    <t>CSI4_D0_P</t>
  </si>
  <si>
    <t>J38</t>
  </si>
  <si>
    <t>csi_e_d0_p</t>
  </si>
  <si>
    <t>CSI4_D1_N</t>
  </si>
  <si>
    <t>L40</t>
  </si>
  <si>
    <t>csi_e_d1_n</t>
  </si>
  <si>
    <t>CSI4_D1_P</t>
  </si>
  <si>
    <t>K40</t>
  </si>
  <si>
    <t>csi_e_d1_p</t>
  </si>
  <si>
    <t>C45</t>
  </si>
  <si>
    <t>F35</t>
  </si>
  <si>
    <t>csi_f_clk_n</t>
  </si>
  <si>
    <t>C44</t>
  </si>
  <si>
    <t>G35</t>
  </si>
  <si>
    <t>csi_f_clk_p</t>
  </si>
  <si>
    <t>D43</t>
  </si>
  <si>
    <t>H34</t>
  </si>
  <si>
    <t>csi_f_d0_n</t>
  </si>
  <si>
    <t>D42</t>
  </si>
  <si>
    <t>G34</t>
  </si>
  <si>
    <t>csi_f_d0_p</t>
  </si>
  <si>
    <t>D45</t>
  </si>
  <si>
    <t>F36</t>
  </si>
  <si>
    <t>csi_f_d1_n</t>
  </si>
  <si>
    <t>D46</t>
  </si>
  <si>
    <t>G36</t>
  </si>
  <si>
    <t>csi_f_d1_p</t>
  </si>
  <si>
    <t>A39</t>
  </si>
  <si>
    <t>csi_g_clk_n</t>
  </si>
  <si>
    <t>A38</t>
  </si>
  <si>
    <t>csi_g_clk_p</t>
  </si>
  <si>
    <t>D38</t>
  </si>
  <si>
    <t>csi_g_d0_n</t>
  </si>
  <si>
    <t>C38</t>
  </si>
  <si>
    <t>csi_g_d0_p</t>
  </si>
  <si>
    <t>C39</t>
  </si>
  <si>
    <t>csi_g_d1_n</t>
  </si>
  <si>
    <t>D39</t>
  </si>
  <si>
    <t>csi_g_d1_p</t>
  </si>
  <si>
    <t>G38</t>
  </si>
  <si>
    <t>csi_h_clk_n</t>
  </si>
  <si>
    <t>F38</t>
  </si>
  <si>
    <t>csi_h_clk_p</t>
  </si>
  <si>
    <t>A45</t>
  </si>
  <si>
    <t>H37</t>
  </si>
  <si>
    <t>csi_h_d0_n</t>
  </si>
  <si>
    <t>A44</t>
  </si>
  <si>
    <t>G37</t>
  </si>
  <si>
    <t>csi_h_d0_p</t>
  </si>
  <si>
    <t>G39</t>
  </si>
  <si>
    <t>csi_h_d1_n</t>
  </si>
  <si>
    <t>C47</t>
  </si>
  <si>
    <t>F39</t>
  </si>
  <si>
    <t>csi_h_d1_p</t>
  </si>
  <si>
    <t>hdmi_dp0_txdp0</t>
  </si>
  <si>
    <t>avddio_hdmi_dp0</t>
  </si>
  <si>
    <t>DP_SINGLE_IFCM14L160P79B</t>
  </si>
  <si>
    <t>D44</t>
  </si>
  <si>
    <t>hdmi_dp0_txdn0</t>
  </si>
  <si>
    <t>hdmi_dp0_txdp1</t>
  </si>
  <si>
    <t>E43</t>
  </si>
  <si>
    <t>hdmi_dp0_txdn1</t>
  </si>
  <si>
    <t>hdmi_dp0_txdp2</t>
  </si>
  <si>
    <t>hdmi_dp0_txdn2</t>
  </si>
  <si>
    <t>hdmi_dp0_txdp3</t>
  </si>
  <si>
    <t>hdmi_dp0_txdn3</t>
  </si>
  <si>
    <t>F41</t>
  </si>
  <si>
    <t>hdmi_dp1_txdp0</t>
  </si>
  <si>
    <t>avddio_hdmi_dp1</t>
  </si>
  <si>
    <t>hdmi_dp1_txdn0</t>
  </si>
  <si>
    <t>H40</t>
  </si>
  <si>
    <t>hdmi_dp1_txdp1</t>
  </si>
  <si>
    <t>G40</t>
  </si>
  <si>
    <t>hdmi_dp1_txdn1</t>
  </si>
  <si>
    <t>hdmi_dp1_txdp2</t>
  </si>
  <si>
    <t>K41</t>
  </si>
  <si>
    <t>hdmi_dp1_txdn2</t>
  </si>
  <si>
    <t>hdmi_dp1_txdp3</t>
  </si>
  <si>
    <t>hdmi_dp1_txdn3</t>
  </si>
  <si>
    <t>hdmi_dp2_txdp0</t>
  </si>
  <si>
    <t>avddio_hdmi_dp2</t>
  </si>
  <si>
    <t>hdmi_dp2_txdn0</t>
  </si>
  <si>
    <t>F44</t>
  </si>
  <si>
    <t>hdmi_dp2_txdp1</t>
  </si>
  <si>
    <t>hdmi_dp2_txdn1</t>
  </si>
  <si>
    <t>hdmi_dp2_txdp2</t>
  </si>
  <si>
    <t>G43</t>
  </si>
  <si>
    <t>hdmi_dp2_txdn2</t>
  </si>
  <si>
    <t>hdmi_dp2_txdp3</t>
  </si>
  <si>
    <t>hdmi_dp2_txdn3</t>
  </si>
  <si>
    <t>hdmi_dp3_txdp0</t>
  </si>
  <si>
    <t>avddio_hdmi_dp3</t>
  </si>
  <si>
    <t>hdmi_dp3_txdn0</t>
  </si>
  <si>
    <t>hdmi_dp3_txdp1</t>
  </si>
  <si>
    <t>hdmi_dp3_txdn1</t>
  </si>
  <si>
    <t>hdmi_dp3_txdp2</t>
  </si>
  <si>
    <t>E46</t>
  </si>
  <si>
    <t>hdmi_dp3_txdn2</t>
  </si>
  <si>
    <t>hdmi_dp3_txdp3</t>
  </si>
  <si>
    <t>D47</t>
  </si>
  <si>
    <t>hdmi_dp3_txdn3</t>
  </si>
  <si>
    <t>F13</t>
  </si>
  <si>
    <t>usb0_dn</t>
  </si>
  <si>
    <t>avdd_usb</t>
  </si>
  <si>
    <t>BDUSB2_LFCM14L_VXVDP1VC</t>
  </si>
  <si>
    <t>F12</t>
  </si>
  <si>
    <t>E3</t>
  </si>
  <si>
    <t>usb0_dp</t>
  </si>
  <si>
    <t>C10</t>
  </si>
  <si>
    <t>F4</t>
  </si>
  <si>
    <t>usb1_dn</t>
  </si>
  <si>
    <t>usb1_dp</t>
  </si>
  <si>
    <t>A11</t>
  </si>
  <si>
    <t>usb2_dn</t>
  </si>
  <si>
    <t>usb2_dp</t>
  </si>
  <si>
    <t>G10</t>
  </si>
  <si>
    <t>usb3_dn</t>
  </si>
  <si>
    <t>E1</t>
  </si>
  <si>
    <t>usb3_dp</t>
  </si>
  <si>
    <t>E27</t>
  </si>
  <si>
    <t>H18</t>
  </si>
  <si>
    <t>pex_refclk1p</t>
  </si>
  <si>
    <t>vddio_uphy</t>
  </si>
  <si>
    <t>UPHYDS_PLL4DS12_E2FCM14L180P79B</t>
  </si>
  <si>
    <t>E26</t>
  </si>
  <si>
    <t>J18</t>
  </si>
  <si>
    <t>pex_refclk1n</t>
  </si>
  <si>
    <t>F28</t>
  </si>
  <si>
    <t>H19</t>
  </si>
  <si>
    <t>pex_refclk2p</t>
  </si>
  <si>
    <t>F29</t>
  </si>
  <si>
    <t>J19</t>
  </si>
  <si>
    <t>pex_refclk2n</t>
  </si>
  <si>
    <t>pex_rx0p</t>
  </si>
  <si>
    <t>A23</t>
  </si>
  <si>
    <t>F19</t>
  </si>
  <si>
    <t>pex_rx0n</t>
  </si>
  <si>
    <t>A20</t>
  </si>
  <si>
    <t>pex_tx0p</t>
  </si>
  <si>
    <t>A21</t>
  </si>
  <si>
    <t>pex_tx0n</t>
  </si>
  <si>
    <t>G18</t>
  </si>
  <si>
    <t>pex_rx1p</t>
  </si>
  <si>
    <t>C22</t>
  </si>
  <si>
    <t>F18</t>
  </si>
  <si>
    <t>pex_rx1n</t>
  </si>
  <si>
    <t>G23</t>
  </si>
  <si>
    <t>C19</t>
  </si>
  <si>
    <t>pex_tx1p</t>
  </si>
  <si>
    <t>C18</t>
  </si>
  <si>
    <t>pex_tx1n</t>
  </si>
  <si>
    <t>pex_rx2p</t>
  </si>
  <si>
    <t>E17</t>
  </si>
  <si>
    <t>pex_rx2n</t>
  </si>
  <si>
    <t>A18</t>
  </si>
  <si>
    <t>pex_tx2p</t>
  </si>
  <si>
    <t>A17</t>
  </si>
  <si>
    <t>pex_tx2n</t>
  </si>
  <si>
    <t>pex_rx3p</t>
  </si>
  <si>
    <t>G16</t>
  </si>
  <si>
    <t>pex_rx3n</t>
  </si>
  <si>
    <t>C15</t>
  </si>
  <si>
    <t>pex_tx3p</t>
  </si>
  <si>
    <t>C16</t>
  </si>
  <si>
    <t>pex_tx3n</t>
  </si>
  <si>
    <t>USB3_RX1P</t>
  </si>
  <si>
    <t>pex_rx4p</t>
  </si>
  <si>
    <t>F15</t>
  </si>
  <si>
    <t>USB3_RX1N</t>
  </si>
  <si>
    <t>pex_rx4n</t>
  </si>
  <si>
    <t>A14</t>
  </si>
  <si>
    <t>USB3_TX1P</t>
  </si>
  <si>
    <t>pex_tx4p</t>
  </si>
  <si>
    <t>A15</t>
  </si>
  <si>
    <t>USB3_TX1N</t>
  </si>
  <si>
    <t>pex_tx4n</t>
  </si>
  <si>
    <t>G14</t>
  </si>
  <si>
    <t>PEX2_RX0P</t>
  </si>
  <si>
    <t>pex_rx5p</t>
  </si>
  <si>
    <t>F14</t>
  </si>
  <si>
    <t>PEX2_RX0N</t>
  </si>
  <si>
    <t>pex_rx5n</t>
  </si>
  <si>
    <t>C13</t>
  </si>
  <si>
    <t>PEX2_TX0P</t>
  </si>
  <si>
    <t>pex_tx5p</t>
  </si>
  <si>
    <t>C12</t>
  </si>
  <si>
    <t>PEX2_TX0N</t>
  </si>
  <si>
    <t>pex_tx5n</t>
  </si>
  <si>
    <t>E13</t>
  </si>
  <si>
    <t>PEX0_RX4P</t>
  </si>
  <si>
    <t>pex_rx6p</t>
  </si>
  <si>
    <t>PEX0_RX4N</t>
  </si>
  <si>
    <t>pex_rx6n</t>
  </si>
  <si>
    <t>A12</t>
  </si>
  <si>
    <t>PEX0_TX4P</t>
  </si>
  <si>
    <t>pex_tx6p</t>
  </si>
  <si>
    <t>PEX0_TX4N</t>
  </si>
  <si>
    <t>pex_tx6n</t>
  </si>
  <si>
    <t>PEX0_RX5P</t>
  </si>
  <si>
    <t>pex_rx7p</t>
  </si>
  <si>
    <t>G12</t>
  </si>
  <si>
    <t>PEX0_RX5N</t>
  </si>
  <si>
    <t>pex_rx7n</t>
  </si>
  <si>
    <t>C9</t>
  </si>
  <si>
    <t>PEX0_TX5P</t>
  </si>
  <si>
    <t>pex_tx7p</t>
  </si>
  <si>
    <t>PEX0_TX5N</t>
  </si>
  <si>
    <t>pex_tx7n</t>
  </si>
  <si>
    <t>F11</t>
  </si>
  <si>
    <t>PEX0_RX6P</t>
  </si>
  <si>
    <t>pex_rx8p</t>
  </si>
  <si>
    <t>PEX0_RX6N</t>
  </si>
  <si>
    <t>pex_rx8n</t>
  </si>
  <si>
    <t>PEX0_TX6P</t>
  </si>
  <si>
    <t>pex_tx8p</t>
  </si>
  <si>
    <t>A9</t>
  </si>
  <si>
    <t>PEX0_TX6N</t>
  </si>
  <si>
    <t>pex_tx8n</t>
  </si>
  <si>
    <t>PEX0_RX7P</t>
  </si>
  <si>
    <t>pex_rx9p</t>
  </si>
  <si>
    <t>PEX0_RX7N</t>
  </si>
  <si>
    <t>pex_rx9n</t>
  </si>
  <si>
    <t>PEX0_TX7P</t>
  </si>
  <si>
    <t>pex_tx9p</t>
  </si>
  <si>
    <t>D7</t>
  </si>
  <si>
    <t>PEX0_TX7N</t>
  </si>
  <si>
    <t>pex_tx9n</t>
  </si>
  <si>
    <t>E9</t>
  </si>
  <si>
    <t>pex_rx10p</t>
  </si>
  <si>
    <t>pex_rx10n</t>
  </si>
  <si>
    <t>pex_tx10p</t>
  </si>
  <si>
    <t>pex_tx10n</t>
  </si>
  <si>
    <t>pex_rx11p</t>
  </si>
  <si>
    <t>pex_rx11n</t>
  </si>
  <si>
    <t>pex_tx11p</t>
  </si>
  <si>
    <t>pex_tx11n</t>
  </si>
  <si>
    <t>NVHS0_SLVS_REFCLK0_P</t>
  </si>
  <si>
    <t>E30</t>
  </si>
  <si>
    <t>nvhs0_refclk_p</t>
  </si>
  <si>
    <t>dvddio_nvhs0</t>
  </si>
  <si>
    <t>UPHYDS_PLL1DS8_E2FCM14L180P79B</t>
  </si>
  <si>
    <t>NVHS0_SLVS_REFCLK0_N</t>
  </si>
  <si>
    <t>E31</t>
  </si>
  <si>
    <t>G25</t>
  </si>
  <si>
    <t>nvhs0_refclk_n</t>
  </si>
  <si>
    <t>nvhs0_rx0_p</t>
  </si>
  <si>
    <t>G21</t>
  </si>
  <si>
    <t>nvhs0_rx0_n</t>
  </si>
  <si>
    <t>C21</t>
  </si>
  <si>
    <t>nvhs0_tx0_p</t>
  </si>
  <si>
    <t>nvhs0_tx0_n</t>
  </si>
  <si>
    <t>F22</t>
  </si>
  <si>
    <t>nvhs0_rx1_p</t>
  </si>
  <si>
    <t>nvhs0_rx1_n</t>
  </si>
  <si>
    <t>A24</t>
  </si>
  <si>
    <t>nvhs0_tx1_p</t>
  </si>
  <si>
    <t>nvhs0_tx1_n</t>
  </si>
  <si>
    <t>C27</t>
  </si>
  <si>
    <t>nvhs0_rx2_p</t>
  </si>
  <si>
    <t>F23</t>
  </si>
  <si>
    <t>nvhs0_rx2_n</t>
  </si>
  <si>
    <t>G27</t>
  </si>
  <si>
    <t>C25</t>
  </si>
  <si>
    <t>nvhs0_tx2_p</t>
  </si>
  <si>
    <t>C24</t>
  </si>
  <si>
    <t>nvhs0_tx2_n</t>
  </si>
  <si>
    <t>A26</t>
  </si>
  <si>
    <t>E24</t>
  </si>
  <si>
    <t>nvhs0_rx3_p</t>
  </si>
  <si>
    <t>A27</t>
  </si>
  <si>
    <t>nvhs0_rx3_n</t>
  </si>
  <si>
    <t>nvhs0_tx3_p</t>
  </si>
  <si>
    <t>nvhs0_tx3_n</t>
  </si>
  <si>
    <t>SLVS_RX4P</t>
  </si>
  <si>
    <t>nvhs0_rx4_p</t>
  </si>
  <si>
    <t>F26</t>
  </si>
  <si>
    <t>SLVS_RX4N</t>
  </si>
  <si>
    <t>nvhs0_rx4_n</t>
  </si>
  <si>
    <t>nvhs0_tx4_p</t>
  </si>
  <si>
    <t>C28</t>
  </si>
  <si>
    <t>nvhs0_tx4_n</t>
  </si>
  <si>
    <t>SLVS_RX5P</t>
  </si>
  <si>
    <t>nvhs0_rx5_p</t>
  </si>
  <si>
    <t>F27</t>
  </si>
  <si>
    <t>SLVS_RX5N</t>
  </si>
  <si>
    <t>nvhs0_rx5_n</t>
  </si>
  <si>
    <t>A30</t>
  </si>
  <si>
    <t>nvhs0_tx5_p</t>
  </si>
  <si>
    <t>A29</t>
  </si>
  <si>
    <t>nvhs0_tx5_n</t>
  </si>
  <si>
    <t>C31</t>
  </si>
  <si>
    <t>SLVS_RX6P</t>
  </si>
  <si>
    <t>nvhs0_rx6_p</t>
  </si>
  <si>
    <t>C30</t>
  </si>
  <si>
    <t>E28</t>
  </si>
  <si>
    <t>SLVS_RX6N</t>
  </si>
  <si>
    <t>nvhs0_rx6_n</t>
  </si>
  <si>
    <t>nvhs0_tx6_p</t>
  </si>
  <si>
    <t>nvhs0_tx6_n</t>
  </si>
  <si>
    <t>SLVS_RX7P</t>
  </si>
  <si>
    <t>nvhs0_rx7_p</t>
  </si>
  <si>
    <t>G29</t>
  </si>
  <si>
    <t>SLVS_RX7N</t>
  </si>
  <si>
    <t>nvhs0_rx7_n</t>
  </si>
  <si>
    <t>A32</t>
  </si>
  <si>
    <t>nvhs0_tx7_p</t>
  </si>
  <si>
    <t>A33</t>
  </si>
  <si>
    <t>nvhs0_tx7_n</t>
  </si>
  <si>
    <t>AF50</t>
  </si>
  <si>
    <t>unused_XM0_B0D0</t>
  </si>
  <si>
    <t>xm0_b0d0</t>
  </si>
  <si>
    <t>vddio_ddr0</t>
  </si>
  <si>
    <t>LP4X_IOBRICK_ESD_CFCR90M14L</t>
  </si>
  <si>
    <t>AF49</t>
  </si>
  <si>
    <t>unused_XM0_B0D1</t>
  </si>
  <si>
    <t>xm0_b0d1</t>
  </si>
  <si>
    <t>AF43</t>
  </si>
  <si>
    <t>unused_XM0_B0D2</t>
  </si>
  <si>
    <t>xm0_b0d2</t>
  </si>
  <si>
    <t>AF47</t>
  </si>
  <si>
    <t>unused_XM0_B0D3</t>
  </si>
  <si>
    <t>xm0_b0d3</t>
  </si>
  <si>
    <t>AE49</t>
  </si>
  <si>
    <t>unused_XM0_B0D4</t>
  </si>
  <si>
    <t>xm0_b0d4</t>
  </si>
  <si>
    <t>AF46</t>
  </si>
  <si>
    <t>unused_XM0_B0D5</t>
  </si>
  <si>
    <t>xm0_b0d5</t>
  </si>
  <si>
    <t>AD50</t>
  </si>
  <si>
    <t>unused_XM0_B0D6</t>
  </si>
  <si>
    <t>xm0_b0d6</t>
  </si>
  <si>
    <t>AF44</t>
  </si>
  <si>
    <t>unused_XM0_B0D7</t>
  </si>
  <si>
    <t>xm0_b0d7</t>
  </si>
  <si>
    <t>AD49</t>
  </si>
  <si>
    <t>unused_XM0_B0D8</t>
  </si>
  <si>
    <t>xm0_b0d8</t>
  </si>
  <si>
    <t>AE46</t>
  </si>
  <si>
    <t>unused_XM0_B0DIFFN</t>
  </si>
  <si>
    <t>xm0_b0diffn</t>
  </si>
  <si>
    <t>AE45</t>
  </si>
  <si>
    <t>unused_XM0_B0DIFFP</t>
  </si>
  <si>
    <t>xm0_b0diffp</t>
  </si>
  <si>
    <t>AE48</t>
  </si>
  <si>
    <t>unused_XM0_B0C</t>
  </si>
  <si>
    <t>xm0_b0c</t>
  </si>
  <si>
    <t>AG49</t>
  </si>
  <si>
    <t>unused_XM0_B1D0</t>
  </si>
  <si>
    <t>xm0_b1d0</t>
  </si>
  <si>
    <t>AG47</t>
  </si>
  <si>
    <t>unused_XM0_B1D1</t>
  </si>
  <si>
    <t>xm0_b1d1</t>
  </si>
  <si>
    <t>AG46</t>
  </si>
  <si>
    <t>unused_XM0_B1D2</t>
  </si>
  <si>
    <t>xm0_b1d2</t>
  </si>
  <si>
    <t>AG45</t>
  </si>
  <si>
    <t>unused_XM0_B1D3</t>
  </si>
  <si>
    <t>xm0_b1d3</t>
  </si>
  <si>
    <t>AF48</t>
  </si>
  <si>
    <t>unused_XM0_B1D4</t>
  </si>
  <si>
    <t>xm0_b1d4</t>
  </si>
  <si>
    <t>AG52</t>
  </si>
  <si>
    <t>unused_XM0_B1D5</t>
  </si>
  <si>
    <t>xm0_b1d5</t>
  </si>
  <si>
    <t>AG50</t>
  </si>
  <si>
    <t>unused_XM0_B1D6</t>
  </si>
  <si>
    <t>xm0_b1d6</t>
  </si>
  <si>
    <t>AF52</t>
  </si>
  <si>
    <t>unused_XM0_B1D7</t>
  </si>
  <si>
    <t>xm0_b1d7</t>
  </si>
  <si>
    <t>AG44</t>
  </si>
  <si>
    <t>unused_XM0_B1D8</t>
  </si>
  <si>
    <t>xm0_b1d8</t>
  </si>
  <si>
    <t>AH48</t>
  </si>
  <si>
    <t>unused_XM0_B1DIFFN</t>
  </si>
  <si>
    <t>xm0_b1diffn</t>
  </si>
  <si>
    <t>AH49</t>
  </si>
  <si>
    <t>unused_XM0_B1DIFFP</t>
  </si>
  <si>
    <t>xm0_b1diffp</t>
  </si>
  <si>
    <t>AH46</t>
  </si>
  <si>
    <t>unused_XM0_B1C</t>
  </si>
  <si>
    <t>xm0_b1c</t>
  </si>
  <si>
    <t>AH43</t>
  </si>
  <si>
    <t>unused_XM0_B2D0</t>
  </si>
  <si>
    <t>xm0_b2d0</t>
  </si>
  <si>
    <t>AK52</t>
  </si>
  <si>
    <t>unused_XM0_B2D1</t>
  </si>
  <si>
    <t>xm0_b2d1</t>
  </si>
  <si>
    <t>AJ48</t>
  </si>
  <si>
    <t>unused_XM0_B2D2</t>
  </si>
  <si>
    <t>xm0_b2d2</t>
  </si>
  <si>
    <t>AJ52</t>
  </si>
  <si>
    <t>unused_XM0_B2D3</t>
  </si>
  <si>
    <t>xm0_b2d3</t>
  </si>
  <si>
    <t>AH45</t>
  </si>
  <si>
    <t>unused_XM0_B2D4</t>
  </si>
  <si>
    <t>xm0_b2d4</t>
  </si>
  <si>
    <t>AK47</t>
  </si>
  <si>
    <t>unused_XM0_B2D5</t>
  </si>
  <si>
    <t>xm0_b2d5</t>
  </si>
  <si>
    <t>AJ46</t>
  </si>
  <si>
    <t>unused_XM0_B2D6</t>
  </si>
  <si>
    <t>xm0_b2d6</t>
  </si>
  <si>
    <t>AJ47</t>
  </si>
  <si>
    <t>unused_XM0_B2D7</t>
  </si>
  <si>
    <t>xm0_b2d7</t>
  </si>
  <si>
    <t>AH42</t>
  </si>
  <si>
    <t>unused_XM0_B2D8</t>
  </si>
  <si>
    <t>xm0_b2d8</t>
  </si>
  <si>
    <t>AJ49</t>
  </si>
  <si>
    <t>unused_XM0_B2DIFFN</t>
  </si>
  <si>
    <t>xm0_b2diffn</t>
  </si>
  <si>
    <t>AJ50</t>
  </si>
  <si>
    <t>unused_XM0_B2DIFFP</t>
  </si>
  <si>
    <t>xm0_b2diffp</t>
  </si>
  <si>
    <t>AK46</t>
  </si>
  <si>
    <t>unused_XM0_B2C</t>
  </si>
  <si>
    <t>xm0_b2c</t>
  </si>
  <si>
    <t>AK44</t>
  </si>
  <si>
    <t>unused_XM0_B3D0</t>
  </si>
  <si>
    <t>xm0_b3d0</t>
  </si>
  <si>
    <t>AK45</t>
  </si>
  <si>
    <t>unused_XM0_B3D1</t>
  </si>
  <si>
    <t>xm0_b3d1</t>
  </si>
  <si>
    <t>AJ43</t>
  </si>
  <si>
    <t>unused_XM0_B3D2</t>
  </si>
  <si>
    <t>xm0_b3d2</t>
  </si>
  <si>
    <t>AJ44</t>
  </si>
  <si>
    <t>unused_XM0_B3D3</t>
  </si>
  <si>
    <t>xm0_b3d3</t>
  </si>
  <si>
    <t>AK49</t>
  </si>
  <si>
    <t>unused_XM0_B3D4</t>
  </si>
  <si>
    <t>xm0_b3d4</t>
  </si>
  <si>
    <t>AM49</t>
  </si>
  <si>
    <t>unused_XM0_B3D5</t>
  </si>
  <si>
    <t>xm0_b3d5</t>
  </si>
  <si>
    <t>AM50</t>
  </si>
  <si>
    <t>unused_XM0_B3D6</t>
  </si>
  <si>
    <t>xm0_b3d6</t>
  </si>
  <si>
    <t>AK50</t>
  </si>
  <si>
    <t>unused_XM0_B3D7</t>
  </si>
  <si>
    <t>xm0_b3d7</t>
  </si>
  <si>
    <t>AL49</t>
  </si>
  <si>
    <t>unused_XM0_B3D8</t>
  </si>
  <si>
    <t>xm0_b3d8</t>
  </si>
  <si>
    <t>AL46</t>
  </si>
  <si>
    <t>unused_XM0_B3DIFFN</t>
  </si>
  <si>
    <t>xm0_b3diffn</t>
  </si>
  <si>
    <t>AL45</t>
  </si>
  <si>
    <t>unused_XM0_B3DIFFP</t>
  </si>
  <si>
    <t>xm0_b3diffp</t>
  </si>
  <si>
    <t>AL48</t>
  </si>
  <si>
    <t>unused_XM0_B3C</t>
  </si>
  <si>
    <t>xm0_b3c</t>
  </si>
  <si>
    <t>AL42</t>
  </si>
  <si>
    <t>unused_XM0_B4D0</t>
  </si>
  <si>
    <t>xm0_b4d0</t>
  </si>
  <si>
    <t>AL43</t>
  </si>
  <si>
    <t>unused_XM0_B4D1</t>
  </si>
  <si>
    <t>xm0_b4d1</t>
  </si>
  <si>
    <t>AN52</t>
  </si>
  <si>
    <t>unused_XM0_B4D2</t>
  </si>
  <si>
    <t>xm0_b4d2</t>
  </si>
  <si>
    <t>AM52</t>
  </si>
  <si>
    <t>unused_XM0_B4D3</t>
  </si>
  <si>
    <t>xm0_b4d3</t>
  </si>
  <si>
    <t>AM47</t>
  </si>
  <si>
    <t>unused_XM0_B4D4</t>
  </si>
  <si>
    <t>xm0_b4d4</t>
  </si>
  <si>
    <t>AN47</t>
  </si>
  <si>
    <t>unused_XM0_B4D5</t>
  </si>
  <si>
    <t>xm0_b4d5</t>
  </si>
  <si>
    <t>AM48</t>
  </si>
  <si>
    <t>unused_XM0_B4D6</t>
  </si>
  <si>
    <t>xm0_b4d6</t>
  </si>
  <si>
    <t>AM43</t>
  </si>
  <si>
    <t>unused_XM0_B4D7</t>
  </si>
  <si>
    <t>xm0_b4d7</t>
  </si>
  <si>
    <t>AM44</t>
  </si>
  <si>
    <t>unused_XM0_B4D8</t>
  </si>
  <si>
    <t>xm0_b4d8</t>
  </si>
  <si>
    <t>AN49</t>
  </si>
  <si>
    <t>unused_XM0_B4DIFFN</t>
  </si>
  <si>
    <t>xm0_b4diffn</t>
  </si>
  <si>
    <t>AN50</t>
  </si>
  <si>
    <t>unused_XM0_B4DIFFP</t>
  </si>
  <si>
    <t>xm0_b4diffp</t>
  </si>
  <si>
    <t>AM46</t>
  </si>
  <si>
    <t>unused_XM0_B4C</t>
  </si>
  <si>
    <t>xm0_b4c</t>
  </si>
  <si>
    <t>AP42</t>
  </si>
  <si>
    <t>unused_XM0_B5D0</t>
  </si>
  <si>
    <t>xm0_b5d0</t>
  </si>
  <si>
    <t>AP43</t>
  </si>
  <si>
    <t>unused_XM0_B5D1</t>
  </si>
  <si>
    <t>xm0_b5d1</t>
  </si>
  <si>
    <t>AR49</t>
  </si>
  <si>
    <t>unused_XM0_B5D2</t>
  </si>
  <si>
    <t>xm0_b5d2</t>
  </si>
  <si>
    <t>AN44</t>
  </si>
  <si>
    <t>unused_XM0_B5D3</t>
  </si>
  <si>
    <t>xm0_b5d3</t>
  </si>
  <si>
    <t>AN45</t>
  </si>
  <si>
    <t>unused_XM0_B5D4</t>
  </si>
  <si>
    <t>xm0_b5d4</t>
  </si>
  <si>
    <t>AR52</t>
  </si>
  <si>
    <t>unused_XM0_B5D5</t>
  </si>
  <si>
    <t>xm0_b5d5</t>
  </si>
  <si>
    <t>AR50</t>
  </si>
  <si>
    <t>unused_XM0_B5D6</t>
  </si>
  <si>
    <t>xm0_b5d6</t>
  </si>
  <si>
    <t>AP49</t>
  </si>
  <si>
    <t>unused_XM0_B5D7</t>
  </si>
  <si>
    <t>xm0_b5d7</t>
  </si>
  <si>
    <t>AP48</t>
  </si>
  <si>
    <t>unused_XM0_B5D8</t>
  </si>
  <si>
    <t>xm0_b5d8</t>
  </si>
  <si>
    <t>AP45</t>
  </si>
  <si>
    <t>unused_XM0_B5DIFFN</t>
  </si>
  <si>
    <t>xm0_b5diffn</t>
  </si>
  <si>
    <t>AP46</t>
  </si>
  <si>
    <t>unused_XM0_B5DIFFP</t>
  </si>
  <si>
    <t>xm0_b5diffp</t>
  </si>
  <si>
    <t>AN46</t>
  </si>
  <si>
    <t>unused_XM0_B5C</t>
  </si>
  <si>
    <t>xm0_b5c</t>
  </si>
  <si>
    <t>AR48</t>
  </si>
  <si>
    <t>unused_XM0_B6D0</t>
  </si>
  <si>
    <t>xm0_b6d0</t>
  </si>
  <si>
    <t>AU48</t>
  </si>
  <si>
    <t>unused_XM0_B6D1</t>
  </si>
  <si>
    <t>xm0_b6d1</t>
  </si>
  <si>
    <t>AT44</t>
  </si>
  <si>
    <t>unused_XM0_B6D2</t>
  </si>
  <si>
    <t>xm0_b6d2</t>
  </si>
  <si>
    <t>AT50</t>
  </si>
  <si>
    <t>unused_XM0_B6D3</t>
  </si>
  <si>
    <t>xm0_b6d3</t>
  </si>
  <si>
    <t>AR47</t>
  </si>
  <si>
    <t>unused_XM0_B6D4</t>
  </si>
  <si>
    <t>xm0_b6d4</t>
  </si>
  <si>
    <t>AT49</t>
  </si>
  <si>
    <t>unused_XM0_B6D5</t>
  </si>
  <si>
    <t>xm0_b6d5</t>
  </si>
  <si>
    <t>AT45</t>
  </si>
  <si>
    <t>unused_XM0_B6D6</t>
  </si>
  <si>
    <t>xm0_b6d6</t>
  </si>
  <si>
    <t>AT52</t>
  </si>
  <si>
    <t>unused_XM0_B6D7</t>
  </si>
  <si>
    <t>xm0_b6d7</t>
  </si>
  <si>
    <t>AU49</t>
  </si>
  <si>
    <t>unused_XM0_B6D8</t>
  </si>
  <si>
    <t>xm0_b6d8</t>
  </si>
  <si>
    <t>AT46</t>
  </si>
  <si>
    <t>unused_XM0_B6DIFFN</t>
  </si>
  <si>
    <t>xm0_b6diffn</t>
  </si>
  <si>
    <t>AT47</t>
  </si>
  <si>
    <t>unused_XM0_B6DIFFP</t>
  </si>
  <si>
    <t>xm0_b6diffp</t>
  </si>
  <si>
    <t>AR46</t>
  </si>
  <si>
    <t>unused_XM0_B6C</t>
  </si>
  <si>
    <t>xm0_b6c</t>
  </si>
  <si>
    <t>AV43</t>
  </si>
  <si>
    <t>unused_XM0_B7D0</t>
  </si>
  <si>
    <t>xm0_b7d0</t>
  </si>
  <si>
    <t>AU42</t>
  </si>
  <si>
    <t>unused_XM0_B7D1</t>
  </si>
  <si>
    <t>xm0_b7d1</t>
  </si>
  <si>
    <t>AV48</t>
  </si>
  <si>
    <t>unused_XM0_B7D2</t>
  </si>
  <si>
    <t>xm0_b7d2</t>
  </si>
  <si>
    <t>AU43</t>
  </si>
  <si>
    <t>unused_XM0_B7D3</t>
  </si>
  <si>
    <t>xm0_b7d3</t>
  </si>
  <si>
    <t>AV52</t>
  </si>
  <si>
    <t>unused_XM0_B7D4</t>
  </si>
  <si>
    <t>xm0_b7d4</t>
  </si>
  <si>
    <t>AV47</t>
  </si>
  <si>
    <t>unused_XM0_B7D5</t>
  </si>
  <si>
    <t>xm0_b7d5</t>
  </si>
  <si>
    <t>AW52</t>
  </si>
  <si>
    <t>unused_XM0_B7D6</t>
  </si>
  <si>
    <t>xm0_b7d6</t>
  </si>
  <si>
    <t>AV50</t>
  </si>
  <si>
    <t>unused_XM0_B7D7</t>
  </si>
  <si>
    <t>xm0_b7d7</t>
  </si>
  <si>
    <t>AV49</t>
  </si>
  <si>
    <t>unused_XM0_B7D8</t>
  </si>
  <si>
    <t>xm0_b7d8</t>
  </si>
  <si>
    <t>AU46</t>
  </si>
  <si>
    <t>unused_XM0_B7DIFFN</t>
  </si>
  <si>
    <t>xm0_b7diffn</t>
  </si>
  <si>
    <t>AU45</t>
  </si>
  <si>
    <t>unused_XM0_B7DIFFP</t>
  </si>
  <si>
    <t>xm0_b7diffp</t>
  </si>
  <si>
    <t>AV46</t>
  </si>
  <si>
    <t>unused_XM0_B7C</t>
  </si>
  <si>
    <t>xm0_b7c</t>
  </si>
  <si>
    <t>AV44</t>
  </si>
  <si>
    <t>unused_XM0_B8D0</t>
  </si>
  <si>
    <t>xm0_b8d0</t>
  </si>
  <si>
    <t>AY42</t>
  </si>
  <si>
    <t>unused_XM0_B8D1</t>
  </si>
  <si>
    <t>xm0_b8d1</t>
  </si>
  <si>
    <t>AY43</t>
  </si>
  <si>
    <t>unused_XM0_B8D2</t>
  </si>
  <si>
    <t>xm0_b8d2</t>
  </si>
  <si>
    <t>AY48</t>
  </si>
  <si>
    <t>unused_XM0_B8D3</t>
  </si>
  <si>
    <t>xm0_b8d3</t>
  </si>
  <si>
    <t>AW45</t>
  </si>
  <si>
    <t>unused_XM0_B8D4</t>
  </si>
  <si>
    <t>xm0_b8d4</t>
  </si>
  <si>
    <t>AW47</t>
  </si>
  <si>
    <t>unused_XM0_B8D5</t>
  </si>
  <si>
    <t>xm0_b8d5</t>
  </si>
  <si>
    <t>AY49</t>
  </si>
  <si>
    <t>unused_XM0_B8D6</t>
  </si>
  <si>
    <t>xm0_b8d6</t>
  </si>
  <si>
    <t>AW46</t>
  </si>
  <si>
    <t>unused_XM0_B8D7</t>
  </si>
  <si>
    <t>xm0_b8d7</t>
  </si>
  <si>
    <t>AW44</t>
  </si>
  <si>
    <t>unused_XM0_B8D8</t>
  </si>
  <si>
    <t>xm0_b8d8</t>
  </si>
  <si>
    <t>AW50</t>
  </si>
  <si>
    <t>unused_XM0_B8DIFFN</t>
  </si>
  <si>
    <t>xm0_b8diffn</t>
  </si>
  <si>
    <t>AW49</t>
  </si>
  <si>
    <t>unused_XM0_B8DIFFP</t>
  </si>
  <si>
    <t>xm0_b8diffp</t>
  </si>
  <si>
    <t>BA49</t>
  </si>
  <si>
    <t>unused_XM0_B8C</t>
  </si>
  <si>
    <t>xm0_b8c</t>
  </si>
  <si>
    <t>BB45</t>
  </si>
  <si>
    <t>unused_XM0_B9D0</t>
  </si>
  <si>
    <t>xm0_b9d0</t>
  </si>
  <si>
    <t>BA50</t>
  </si>
  <si>
    <t>unused_XM0_B9D1</t>
  </si>
  <si>
    <t>xm0_b9d1</t>
  </si>
  <si>
    <t>BA46</t>
  </si>
  <si>
    <t>unused_XM0_B9D2</t>
  </si>
  <si>
    <t>xm0_b9d2</t>
  </si>
  <si>
    <t>BB44</t>
  </si>
  <si>
    <t>unused_XM0_B9D3</t>
  </si>
  <si>
    <t>xm0_b9d3</t>
  </si>
  <si>
    <t>BA52</t>
  </si>
  <si>
    <t>unused_XM0_B9D4</t>
  </si>
  <si>
    <t>xm0_b9d4</t>
  </si>
  <si>
    <t>BA43</t>
  </si>
  <si>
    <t>unused_XM0_B9D5</t>
  </si>
  <si>
    <t>xm0_b9d5</t>
  </si>
  <si>
    <t>BA48</t>
  </si>
  <si>
    <t>unused_XM0_B9D6</t>
  </si>
  <si>
    <t>xm0_b9d6</t>
  </si>
  <si>
    <t>BA47</t>
  </si>
  <si>
    <t>unused_XM0_B9D7</t>
  </si>
  <si>
    <t>xm0_b9d7</t>
  </si>
  <si>
    <t>BA44</t>
  </si>
  <si>
    <t>unused_XM0_B9D8</t>
  </si>
  <si>
    <t>xm0_b9d8</t>
  </si>
  <si>
    <t>AY46</t>
  </si>
  <si>
    <t>unused_XM0_B9DIFFN</t>
  </si>
  <si>
    <t>xm0_b9diffn</t>
  </si>
  <si>
    <t>AY45</t>
  </si>
  <si>
    <t>unused_XM0_B9DIFFP</t>
  </si>
  <si>
    <t>xm0_b9diffp</t>
  </si>
  <si>
    <t>BB52</t>
  </si>
  <si>
    <t>unused_XM0_B9C</t>
  </si>
  <si>
    <t>xm0_b9c</t>
  </si>
  <si>
    <t>BD52</t>
  </si>
  <si>
    <t>unused_XM0_B10D0</t>
  </si>
  <si>
    <t>xm0_b10d0</t>
  </si>
  <si>
    <t>BD50</t>
  </si>
  <si>
    <t>unused_XM0_B10D1</t>
  </si>
  <si>
    <t>xm0_b10d1</t>
  </si>
  <si>
    <t>BD49</t>
  </si>
  <si>
    <t>unused_XM0_B10D2</t>
  </si>
  <si>
    <t>xm0_b10d2</t>
  </si>
  <si>
    <t>BC49</t>
  </si>
  <si>
    <t>unused_XM0_B10D3</t>
  </si>
  <si>
    <t>xm0_b10d3</t>
  </si>
  <si>
    <t>BC45</t>
  </si>
  <si>
    <t>unused_XM0_B10D4</t>
  </si>
  <si>
    <t>xm0_b10d4</t>
  </si>
  <si>
    <t>BB47</t>
  </si>
  <si>
    <t>unused_XM0_B10D5</t>
  </si>
  <si>
    <t>xm0_b10d5</t>
  </si>
  <si>
    <t>BD48</t>
  </si>
  <si>
    <t>unused_XM0_B10D6</t>
  </si>
  <si>
    <t>xm0_b10d6</t>
  </si>
  <si>
    <t>BC48</t>
  </si>
  <si>
    <t>unused_XM0_B10D7</t>
  </si>
  <si>
    <t>xm0_b10d7</t>
  </si>
  <si>
    <t>BB46</t>
  </si>
  <si>
    <t>unused_XM0_B10D8</t>
  </si>
  <si>
    <t>xm0_b10d8</t>
  </si>
  <si>
    <t>BB49</t>
  </si>
  <si>
    <t>unused_XM0_B10DIFFN</t>
  </si>
  <si>
    <t>xm0_b10diffn</t>
  </si>
  <si>
    <t>BB50</t>
  </si>
  <si>
    <t>unused_XM0_B10DIFFP</t>
  </si>
  <si>
    <t>xm0_b10diffp</t>
  </si>
  <si>
    <t>BC46</t>
  </si>
  <si>
    <t>unused_XM0_B10C</t>
  </si>
  <si>
    <t>xm0_b10c</t>
  </si>
  <si>
    <t>BG52</t>
  </si>
  <si>
    <t>unused_XM0_B11D0</t>
  </si>
  <si>
    <t>xm0_b11d0</t>
  </si>
  <si>
    <t>BG50</t>
  </si>
  <si>
    <t>unused_XM0_B11D1</t>
  </si>
  <si>
    <t>xm0_b11d1</t>
  </si>
  <si>
    <t>BE49</t>
  </si>
  <si>
    <t>unused_XM0_B11D2</t>
  </si>
  <si>
    <t>xm0_b11d2</t>
  </si>
  <si>
    <t>BE50</t>
  </si>
  <si>
    <t>unused_XM0_B11D3</t>
  </si>
  <si>
    <t>xm0_b11d3</t>
  </si>
  <si>
    <t>BG49</t>
  </si>
  <si>
    <t>unused_XM0_B11D4</t>
  </si>
  <si>
    <t>xm0_b11d4</t>
  </si>
  <si>
    <t>BE47</t>
  </si>
  <si>
    <t>unused_XM0_B11D5</t>
  </si>
  <si>
    <t>xm0_b11d5</t>
  </si>
  <si>
    <t>BF49</t>
  </si>
  <si>
    <t>unused_XM0_B11D6</t>
  </si>
  <si>
    <t>xm0_b11d6</t>
  </si>
  <si>
    <t>BF48</t>
  </si>
  <si>
    <t>unused_XM0_B11D7</t>
  </si>
  <si>
    <t>xm0_b11d7</t>
  </si>
  <si>
    <t>BE46</t>
  </si>
  <si>
    <t>unused_XM0_B11D8</t>
  </si>
  <si>
    <t>xm0_b11d8</t>
  </si>
  <si>
    <t>BD46</t>
  </si>
  <si>
    <t>unused_XM0_B11DIFFN</t>
  </si>
  <si>
    <t>xm0_b11diffn</t>
  </si>
  <si>
    <t>BD47</t>
  </si>
  <si>
    <t>unused_XM0_B11DIFFP</t>
  </si>
  <si>
    <t>xm0_b11diffp</t>
  </si>
  <si>
    <t>BE52</t>
  </si>
  <si>
    <t>unused_XM0_B11C</t>
  </si>
  <si>
    <t>xm0_b11c</t>
  </si>
  <si>
    <t>AE5</t>
  </si>
  <si>
    <t>unused_XM1_B0D0</t>
  </si>
  <si>
    <t>xm1_b0d0</t>
  </si>
  <si>
    <t>vddio_ddr1</t>
  </si>
  <si>
    <t>AE4</t>
  </si>
  <si>
    <t>unused_XM1_B0D1</t>
  </si>
  <si>
    <t>xm1_b0d1</t>
  </si>
  <si>
    <t>AD3</t>
  </si>
  <si>
    <t>unused_XM1_B0D2</t>
  </si>
  <si>
    <t>xm1_b0d2</t>
  </si>
  <si>
    <t>AF8</t>
  </si>
  <si>
    <t>unused_XM1_B0D3</t>
  </si>
  <si>
    <t>xm1_b0d3</t>
  </si>
  <si>
    <t>AE7</t>
  </si>
  <si>
    <t>unused_XM1_B0D4</t>
  </si>
  <si>
    <t>xm1_b0d4</t>
  </si>
  <si>
    <t>AD6</t>
  </si>
  <si>
    <t>unused_XM1_B0D5</t>
  </si>
  <si>
    <t>xm1_b0d5</t>
  </si>
  <si>
    <t>AE11</t>
  </si>
  <si>
    <t>unused_XM1_B0D6</t>
  </si>
  <si>
    <t>xm1_b0d6</t>
  </si>
  <si>
    <t>AE10</t>
  </si>
  <si>
    <t>unused_XM1_B0D7</t>
  </si>
  <si>
    <t>xm1_b0d7</t>
  </si>
  <si>
    <t>AE8</t>
  </si>
  <si>
    <t>unused_XM1_B0D8</t>
  </si>
  <si>
    <t>xm1_b0d8</t>
  </si>
  <si>
    <t>AF7</t>
  </si>
  <si>
    <t>unused_XM1_B0DIFFN</t>
  </si>
  <si>
    <t>xm1_b0diffn</t>
  </si>
  <si>
    <t>AF6</t>
  </si>
  <si>
    <t>unused_XM1_B0DIFFP</t>
  </si>
  <si>
    <t>xm1_b0diffp</t>
  </si>
  <si>
    <t>AD4</t>
  </si>
  <si>
    <t>unused_XM1_B0C</t>
  </si>
  <si>
    <t>xm1_b0c</t>
  </si>
  <si>
    <t>AG1</t>
  </si>
  <si>
    <t>unused_XM1_B1D0</t>
  </si>
  <si>
    <t>xm1_b1d0</t>
  </si>
  <si>
    <t>AG5</t>
  </si>
  <si>
    <t>unused_XM1_B1D1</t>
  </si>
  <si>
    <t>xm1_b1d1</t>
  </si>
  <si>
    <t>AF3</t>
  </si>
  <si>
    <t>unused_XM1_B1D2</t>
  </si>
  <si>
    <t>xm1_b1d2</t>
  </si>
  <si>
    <t>AF4</t>
  </si>
  <si>
    <t>unused_XM1_B1D3</t>
  </si>
  <si>
    <t>xm1_b1d3</t>
  </si>
  <si>
    <t>AG7</t>
  </si>
  <si>
    <t>unused_XM1_B1D4</t>
  </si>
  <si>
    <t>xm1_b1d4</t>
  </si>
  <si>
    <t>AF1</t>
  </si>
  <si>
    <t>unused_XM1_B1D5</t>
  </si>
  <si>
    <t>xm1_b1d5</t>
  </si>
  <si>
    <t>AG9</t>
  </si>
  <si>
    <t>unused_XM1_B1D6</t>
  </si>
  <si>
    <t>xm1_b1d6</t>
  </si>
  <si>
    <t>AG10</t>
  </si>
  <si>
    <t>unused_XM1_B1D7</t>
  </si>
  <si>
    <t>xm1_b1d7</t>
  </si>
  <si>
    <t>AF9</t>
  </si>
  <si>
    <t>unused_XM1_B1D8</t>
  </si>
  <si>
    <t>xm1_b1d8</t>
  </si>
  <si>
    <t>AG3</t>
  </si>
  <si>
    <t>unused_XM1_B1DIFFN</t>
  </si>
  <si>
    <t>xm1_b1diffn</t>
  </si>
  <si>
    <t>AG4</t>
  </si>
  <si>
    <t>unused_XM1_B1DIFFP</t>
  </si>
  <si>
    <t>xm1_b1diffp</t>
  </si>
  <si>
    <t>AG6</t>
  </si>
  <si>
    <t>unused_XM1_B1C</t>
  </si>
  <si>
    <t>xm1_b1c</t>
  </si>
  <si>
    <t>AH11</t>
  </si>
  <si>
    <t>unused_XM1_B2D0</t>
  </si>
  <si>
    <t>xm1_b2d0</t>
  </si>
  <si>
    <t>AH4</t>
  </si>
  <si>
    <t>unused_XM1_B2D1</t>
  </si>
  <si>
    <t>xm1_b2d1</t>
  </si>
  <si>
    <t>AH5</t>
  </si>
  <si>
    <t>unused_XM1_B2D2</t>
  </si>
  <si>
    <t>xm1_b2d2</t>
  </si>
  <si>
    <t>AH7</t>
  </si>
  <si>
    <t>unused_XM1_B2D3</t>
  </si>
  <si>
    <t>xm1_b2d3</t>
  </si>
  <si>
    <t>AJ4</t>
  </si>
  <si>
    <t>unused_XM1_B2D4</t>
  </si>
  <si>
    <t>xm1_b2d4</t>
  </si>
  <si>
    <t>AJ8</t>
  </si>
  <si>
    <t>unused_XM1_B2D5</t>
  </si>
  <si>
    <t>xm1_b2d5</t>
  </si>
  <si>
    <t>AH10</t>
  </si>
  <si>
    <t>unused_XM1_B2D6</t>
  </si>
  <si>
    <t>xm1_b2d6</t>
  </si>
  <si>
    <t>AJ3</t>
  </si>
  <si>
    <t>unused_XM1_B2D7</t>
  </si>
  <si>
    <t>xm1_b2d7</t>
  </si>
  <si>
    <t>AJ1</t>
  </si>
  <si>
    <t>unused_XM1_B2D8</t>
  </si>
  <si>
    <t>xm1_b2d8</t>
  </si>
  <si>
    <t>AJ6</t>
  </si>
  <si>
    <t>unused_XM1_B2DIFFN</t>
  </si>
  <si>
    <t>xm1_b2diffn</t>
  </si>
  <si>
    <t>AJ7</t>
  </si>
  <si>
    <t>unused_XM1_B2DIFFP</t>
  </si>
  <si>
    <t>xm1_b2diffp</t>
  </si>
  <si>
    <t>AH8</t>
  </si>
  <si>
    <t>unused_XM1_B2C</t>
  </si>
  <si>
    <t>xm1_b2c</t>
  </si>
  <si>
    <t>AL11</t>
  </si>
  <si>
    <t>unused_XM1_B3D0</t>
  </si>
  <si>
    <t>xm1_b3d0</t>
  </si>
  <si>
    <t>AJ9</t>
  </si>
  <si>
    <t>unused_XM1_B3D1</t>
  </si>
  <si>
    <t>xm1_b3d1</t>
  </si>
  <si>
    <t>AK5</t>
  </si>
  <si>
    <t>unused_XM1_B3D2</t>
  </si>
  <si>
    <t>xm1_b3d2</t>
  </si>
  <si>
    <t>AK1</t>
  </si>
  <si>
    <t>unused_XM1_B3D3</t>
  </si>
  <si>
    <t>xm1_b3d3</t>
  </si>
  <si>
    <t>AL8</t>
  </si>
  <si>
    <t>unused_XM1_B3D4</t>
  </si>
  <si>
    <t>xm1_b3d4</t>
  </si>
  <si>
    <t>AL7</t>
  </si>
  <si>
    <t>unused_XM1_B3D5</t>
  </si>
  <si>
    <t>xm1_b3d5</t>
  </si>
  <si>
    <t>AK7</t>
  </si>
  <si>
    <t>unused_XM1_B3D6</t>
  </si>
  <si>
    <t>xm1_b3d6</t>
  </si>
  <si>
    <t>AK6</t>
  </si>
  <si>
    <t>unused_XM1_B3D7</t>
  </si>
  <si>
    <t>xm1_b3d7</t>
  </si>
  <si>
    <t>AK10</t>
  </si>
  <si>
    <t>unused_XM1_B3D8</t>
  </si>
  <si>
    <t>xm1_b3d8</t>
  </si>
  <si>
    <t>AK3</t>
  </si>
  <si>
    <t>unused_XM1_B3DIFFN</t>
  </si>
  <si>
    <t>xm1_b3diffn</t>
  </si>
  <si>
    <t>AK4</t>
  </si>
  <si>
    <t>unused_XM1_B3DIFFP</t>
  </si>
  <si>
    <t>xm1_b3diffp</t>
  </si>
  <si>
    <t>AK9</t>
  </si>
  <si>
    <t>unused_XM1_B3C</t>
  </si>
  <si>
    <t>xm1_b3c</t>
  </si>
  <si>
    <t>AN9</t>
  </si>
  <si>
    <t>unused_XM1_B4D0</t>
  </si>
  <si>
    <t>xm1_b4d0</t>
  </si>
  <si>
    <t>AL10</t>
  </si>
  <si>
    <t>unused_XM1_B4D1</t>
  </si>
  <si>
    <t>xm1_b4d1</t>
  </si>
  <si>
    <t>AM9</t>
  </si>
  <si>
    <t>unused_XM1_B4D2</t>
  </si>
  <si>
    <t>xm1_b4d2</t>
  </si>
  <si>
    <t>AN5</t>
  </si>
  <si>
    <t>unused_XM1_B4D3</t>
  </si>
  <si>
    <t>xm1_b4d3</t>
  </si>
  <si>
    <t>AM3</t>
  </si>
  <si>
    <t>unused_XM1_B4D4</t>
  </si>
  <si>
    <t>xm1_b4d4</t>
  </si>
  <si>
    <t>AL5</t>
  </si>
  <si>
    <t>unused_XM1_B4D5</t>
  </si>
  <si>
    <t>xm1_b4d5</t>
  </si>
  <si>
    <t>AL4</t>
  </si>
  <si>
    <t>unused_XM1_B4D6</t>
  </si>
  <si>
    <t>xm1_b4d6</t>
  </si>
  <si>
    <t>AM4</t>
  </si>
  <si>
    <t>unused_XM1_B4D7</t>
  </si>
  <si>
    <t>xm1_b4d7</t>
  </si>
  <si>
    <t>AM1</t>
  </si>
  <si>
    <t>unused_XM1_B4D8</t>
  </si>
  <si>
    <t>xm1_b4d8</t>
  </si>
  <si>
    <t>AM7</t>
  </si>
  <si>
    <t>unused_XM1_B4DIFFN</t>
  </si>
  <si>
    <t>xm1_b4diffn</t>
  </si>
  <si>
    <t>AM6</t>
  </si>
  <si>
    <t>unused_XM1_B4DIFFP</t>
  </si>
  <si>
    <t>xm1_b4diffp</t>
  </si>
  <si>
    <t>AM8</t>
  </si>
  <si>
    <t>unused_XM1_B4C</t>
  </si>
  <si>
    <t>xm1_b4c</t>
  </si>
  <si>
    <t>AP11</t>
  </si>
  <si>
    <t>unused_XM1_B5D0</t>
  </si>
  <si>
    <t>xm1_b5d0</t>
  </si>
  <si>
    <t>AN7</t>
  </si>
  <si>
    <t>unused_XM1_B5D1</t>
  </si>
  <si>
    <t>xm1_b5d1</t>
  </si>
  <si>
    <t>AP10</t>
  </si>
  <si>
    <t>unused_XM1_B5D2</t>
  </si>
  <si>
    <t>xm1_b5d2</t>
  </si>
  <si>
    <t>AN10</t>
  </si>
  <si>
    <t>unused_XM1_B5D3</t>
  </si>
  <si>
    <t>xm1_b5d3</t>
  </si>
  <si>
    <t>AN3</t>
  </si>
  <si>
    <t>unused_XM1_B5D4</t>
  </si>
  <si>
    <t>xm1_b5d4</t>
  </si>
  <si>
    <t>AN4</t>
  </si>
  <si>
    <t>unused_XM1_B5D5</t>
  </si>
  <si>
    <t>xm1_b5d5</t>
  </si>
  <si>
    <t>AP4</t>
  </si>
  <si>
    <t>unused_XM1_B5D6</t>
  </si>
  <si>
    <t>xm1_b5d6</t>
  </si>
  <si>
    <t>AP5</t>
  </si>
  <si>
    <t>unused_XM1_B5D7</t>
  </si>
  <si>
    <t>xm1_b5d7</t>
  </si>
  <si>
    <t>AN1</t>
  </si>
  <si>
    <t>unused_XM1_B5D8</t>
  </si>
  <si>
    <t>xm1_b5d8</t>
  </si>
  <si>
    <t>AP7</t>
  </si>
  <si>
    <t>unused_XM1_B5DIFFN</t>
  </si>
  <si>
    <t>xm1_b5diffn</t>
  </si>
  <si>
    <t>AP8</t>
  </si>
  <si>
    <t>unused_XM1_B5DIFFP</t>
  </si>
  <si>
    <t>xm1_b5diffp</t>
  </si>
  <si>
    <t>AN6</t>
  </si>
  <si>
    <t>unused_XM1_B5C</t>
  </si>
  <si>
    <t>xm1_b5c</t>
  </si>
  <si>
    <t>AT9</t>
  </si>
  <si>
    <t>unused_XM1_B6D0</t>
  </si>
  <si>
    <t>xm1_b6d0</t>
  </si>
  <si>
    <t>AT3</t>
  </si>
  <si>
    <t>unused_XM1_B6D1</t>
  </si>
  <si>
    <t>xm1_b6d1</t>
  </si>
  <si>
    <t>AR1</t>
  </si>
  <si>
    <t>unused_XM1_B6D2</t>
  </si>
  <si>
    <t>xm1_b6d2</t>
  </si>
  <si>
    <t>AT1</t>
  </si>
  <si>
    <t>unused_XM1_B6D3</t>
  </si>
  <si>
    <t>xm1_b6d3</t>
  </si>
  <si>
    <t>AR3</t>
  </si>
  <si>
    <t>unused_XM1_B6D4</t>
  </si>
  <si>
    <t>xm1_b6d4</t>
  </si>
  <si>
    <t>AU11</t>
  </si>
  <si>
    <t>unused_XM1_B6D5</t>
  </si>
  <si>
    <t>xm1_b6d5</t>
  </si>
  <si>
    <t>AT10</t>
  </si>
  <si>
    <t>unused_XM1_B6D6</t>
  </si>
  <si>
    <t>xm1_b6d6</t>
  </si>
  <si>
    <t>AR4</t>
  </si>
  <si>
    <t>unused_XM1_B6D7</t>
  </si>
  <si>
    <t>xm1_b6d7</t>
  </si>
  <si>
    <t>AT5</t>
  </si>
  <si>
    <t>unused_XM1_B6D8</t>
  </si>
  <si>
    <t>xm1_b6d8</t>
  </si>
  <si>
    <t>AR7</t>
  </si>
  <si>
    <t>unused_XM1_B6DIFFN</t>
  </si>
  <si>
    <t>xm1_b6diffn</t>
  </si>
  <si>
    <t>AR6</t>
  </si>
  <si>
    <t>unused_XM1_B6DIFFP</t>
  </si>
  <si>
    <t>xm1_b6diffp</t>
  </si>
  <si>
    <t>AT4</t>
  </si>
  <si>
    <t>unused_XM1_B6C</t>
  </si>
  <si>
    <t>xm1_b6c</t>
  </si>
  <si>
    <t>AU4</t>
  </si>
  <si>
    <t>unused_XM1_B7D0</t>
  </si>
  <si>
    <t>xm1_b7d0</t>
  </si>
  <si>
    <t>AV1</t>
  </si>
  <si>
    <t>unused_XM1_B7D1</t>
  </si>
  <si>
    <t>xm1_b7d1</t>
  </si>
  <si>
    <t>AU7</t>
  </si>
  <si>
    <t>unused_XM1_B7D2</t>
  </si>
  <si>
    <t>xm1_b7d2</t>
  </si>
  <si>
    <t>AT7</t>
  </si>
  <si>
    <t>unused_XM1_B7D3</t>
  </si>
  <si>
    <t>xm1_b7d3</t>
  </si>
  <si>
    <t>AU10</t>
  </si>
  <si>
    <t>unused_XM1_B7D4</t>
  </si>
  <si>
    <t>xm1_b7d4</t>
  </si>
  <si>
    <t>AV9</t>
  </si>
  <si>
    <t>unused_XM1_B7D5</t>
  </si>
  <si>
    <t>xm1_b7d5</t>
  </si>
  <si>
    <t>AV8</t>
  </si>
  <si>
    <t>unused_XM1_B7D6</t>
  </si>
  <si>
    <t>xm1_b7d6</t>
  </si>
  <si>
    <t>AU8</t>
  </si>
  <si>
    <t>unused_XM1_B7D7</t>
  </si>
  <si>
    <t>xm1_b7d7</t>
  </si>
  <si>
    <t>AT6</t>
  </si>
  <si>
    <t>unused_XM1_B7D8</t>
  </si>
  <si>
    <t>xm1_b7d8</t>
  </si>
  <si>
    <t>AV4</t>
  </si>
  <si>
    <t>unused_XM1_B7DIFFN</t>
  </si>
  <si>
    <t>xm1_b7diffn</t>
  </si>
  <si>
    <t>AV3</t>
  </si>
  <si>
    <t>unused_XM1_B7DIFFP</t>
  </si>
  <si>
    <t>xm1_b7diffp</t>
  </si>
  <si>
    <t>AU5</t>
  </si>
  <si>
    <t>unused_XM1_B7C</t>
  </si>
  <si>
    <t>xm1_b7c</t>
  </si>
  <si>
    <t>AW7</t>
  </si>
  <si>
    <t>unused_XM1_B8D0</t>
  </si>
  <si>
    <t>xm1_b8d0</t>
  </si>
  <si>
    <t>AW1</t>
  </si>
  <si>
    <t>unused_XM1_B8D1</t>
  </si>
  <si>
    <t>xm1_b8d1</t>
  </si>
  <si>
    <t>AW10</t>
  </si>
  <si>
    <t>unused_XM1_B8D2</t>
  </si>
  <si>
    <t>xm1_b8d2</t>
  </si>
  <si>
    <t>AW9</t>
  </si>
  <si>
    <t>unused_XM1_B8D3</t>
  </si>
  <si>
    <t>xm1_b8d3</t>
  </si>
  <si>
    <t>AY8</t>
  </si>
  <si>
    <t>unused_XM1_B8D4</t>
  </si>
  <si>
    <t>xm1_b8d4</t>
  </si>
  <si>
    <t>AW4</t>
  </si>
  <si>
    <t>unused_XM1_B8D5</t>
  </si>
  <si>
    <t>xm1_b8d5</t>
  </si>
  <si>
    <t>AW3</t>
  </si>
  <si>
    <t>unused_XM1_B8D6</t>
  </si>
  <si>
    <t>xm1_b8d6</t>
  </si>
  <si>
    <t>AW5</t>
  </si>
  <si>
    <t>unused_XM1_B8D7</t>
  </si>
  <si>
    <t>xm1_b8d7</t>
  </si>
  <si>
    <t>AW6</t>
  </si>
  <si>
    <t>unused_XM1_B8D8</t>
  </si>
  <si>
    <t>xm1_b8d8</t>
  </si>
  <si>
    <t>AV6</t>
  </si>
  <si>
    <t>unused_XM1_B8DIFFN</t>
  </si>
  <si>
    <t>xm1_b8diffn</t>
  </si>
  <si>
    <t>AV7</t>
  </si>
  <si>
    <t>unused_XM1_B8DIFFP</t>
  </si>
  <si>
    <t>xm1_b8diffp</t>
  </si>
  <si>
    <t>AY7</t>
  </si>
  <si>
    <t>unused_XM1_B8C</t>
  </si>
  <si>
    <t>xm1_b8c</t>
  </si>
  <si>
    <t>AY11</t>
  </si>
  <si>
    <t>unused_XM1_B9D0</t>
  </si>
  <si>
    <t>xm1_b9d0</t>
  </si>
  <si>
    <t>AY10</t>
  </si>
  <si>
    <t>unused_XM1_B9D1</t>
  </si>
  <si>
    <t>xm1_b9d1</t>
  </si>
  <si>
    <t>BA9</t>
  </si>
  <si>
    <t>unused_XM1_B9D2</t>
  </si>
  <si>
    <t>xm1_b9d2</t>
  </si>
  <si>
    <t>BA8</t>
  </si>
  <si>
    <t>unused_XM1_B9D3</t>
  </si>
  <si>
    <t>xm1_b9d3</t>
  </si>
  <si>
    <t>BA6</t>
  </si>
  <si>
    <t>unused_XM1_B9D4</t>
  </si>
  <si>
    <t>xm1_b9d4</t>
  </si>
  <si>
    <t>BA7</t>
  </si>
  <si>
    <t>unused_XM1_B9D5</t>
  </si>
  <si>
    <t>xm1_b9d5</t>
  </si>
  <si>
    <t>BA1</t>
  </si>
  <si>
    <t>unused_XM1_B9D6</t>
  </si>
  <si>
    <t>xm1_b9d6</t>
  </si>
  <si>
    <t>AY4</t>
  </si>
  <si>
    <t>unused_XM1_B9D7</t>
  </si>
  <si>
    <t>xm1_b9d7</t>
  </si>
  <si>
    <t>BB7</t>
  </si>
  <si>
    <t>unused_XM1_B9D8</t>
  </si>
  <si>
    <t>xm1_b9d8</t>
  </si>
  <si>
    <t>BA4</t>
  </si>
  <si>
    <t>unused_XM1_B9DIFFN</t>
  </si>
  <si>
    <t>xm1_b9diffn</t>
  </si>
  <si>
    <t>BA3</t>
  </si>
  <si>
    <t>unused_XM1_B9DIFFP</t>
  </si>
  <si>
    <t>xm1_b9diffp</t>
  </si>
  <si>
    <t>AY5</t>
  </si>
  <si>
    <t>unused_XM1_B9C</t>
  </si>
  <si>
    <t>xm1_b9c</t>
  </si>
  <si>
    <t>BB10</t>
  </si>
  <si>
    <t>unused_XM1_B10D0</t>
  </si>
  <si>
    <t>xm1_b10d0</t>
  </si>
  <si>
    <t>BB6</t>
  </si>
  <si>
    <t>unused_XM1_B10D1</t>
  </si>
  <si>
    <t>xm1_b10d1</t>
  </si>
  <si>
    <t>BC8</t>
  </si>
  <si>
    <t>unused_XM1_B10D2</t>
  </si>
  <si>
    <t>xm1_b10d2</t>
  </si>
  <si>
    <t>BB9</t>
  </si>
  <si>
    <t>unused_XM1_B10D3</t>
  </si>
  <si>
    <t>xm1_b10d3</t>
  </si>
  <si>
    <t>BD7</t>
  </si>
  <si>
    <t>unused_XM1_B10D4</t>
  </si>
  <si>
    <t>xm1_b10d4</t>
  </si>
  <si>
    <t>BB5</t>
  </si>
  <si>
    <t>unused_XM1_B10D5</t>
  </si>
  <si>
    <t>xm1_b10d5</t>
  </si>
  <si>
    <t>BB4</t>
  </si>
  <si>
    <t>unused_XM1_B10D6</t>
  </si>
  <si>
    <t>xm1_b10d6</t>
  </si>
  <si>
    <t>BB1</t>
  </si>
  <si>
    <t>unused_XM1_B10D7</t>
  </si>
  <si>
    <t>xm1_b10d7</t>
  </si>
  <si>
    <t>BB3</t>
  </si>
  <si>
    <t>unused_XM1_B10D8</t>
  </si>
  <si>
    <t>xm1_b10d8</t>
  </si>
  <si>
    <t>BC5</t>
  </si>
  <si>
    <t>unused_XM1_B10DIFFN</t>
  </si>
  <si>
    <t>xm1_b10diffn</t>
  </si>
  <si>
    <t>BC4</t>
  </si>
  <si>
    <t>unused_XM1_B10DIFFP</t>
  </si>
  <si>
    <t>xm1_b10diffp</t>
  </si>
  <si>
    <t>BD6</t>
  </si>
  <si>
    <t>unused_XM1_B10C</t>
  </si>
  <si>
    <t>xm1_b10c</t>
  </si>
  <si>
    <t>BD4</t>
  </si>
  <si>
    <t>unused_XM1_B11D0</t>
  </si>
  <si>
    <t>xm1_b11d0</t>
  </si>
  <si>
    <t>BD3</t>
  </si>
  <si>
    <t>unused_XM1_B11D1</t>
  </si>
  <si>
    <t>xm1_b11d1</t>
  </si>
  <si>
    <t>BD1</t>
  </si>
  <si>
    <t>unused_XM1_B11D2</t>
  </si>
  <si>
    <t>xm1_b11d2</t>
  </si>
  <si>
    <t>BE3</t>
  </si>
  <si>
    <t>unused_XM1_B11D3</t>
  </si>
  <si>
    <t>xm1_b11d3</t>
  </si>
  <si>
    <t>BE1</t>
  </si>
  <si>
    <t>unused_XM1_B11D4</t>
  </si>
  <si>
    <t>xm1_b11d4</t>
  </si>
  <si>
    <t>BE6</t>
  </si>
  <si>
    <t>unused_XM1_B11D5</t>
  </si>
  <si>
    <t>xm1_b11d5</t>
  </si>
  <si>
    <t>BD8</t>
  </si>
  <si>
    <t>unused_XM1_B11D6</t>
  </si>
  <si>
    <t>xm1_b11d6</t>
  </si>
  <si>
    <t>BE7</t>
  </si>
  <si>
    <t>unused_XM1_B11D7</t>
  </si>
  <si>
    <t>xm1_b11d7</t>
  </si>
  <si>
    <t>BF6</t>
  </si>
  <si>
    <t>unused_XM1_B11D8</t>
  </si>
  <si>
    <t>xm1_b11d8</t>
  </si>
  <si>
    <t>BE5</t>
  </si>
  <si>
    <t>unused_XM1_B11DIFFN</t>
  </si>
  <si>
    <t>xm1_b11diffn</t>
  </si>
  <si>
    <t>BE4</t>
  </si>
  <si>
    <t>unused_XM1_B11DIFFP</t>
  </si>
  <si>
    <t>xm1_b11diffp</t>
  </si>
  <si>
    <t>BC7</t>
  </si>
  <si>
    <t>unused_XM1_B11C</t>
  </si>
  <si>
    <t>xm1_b11c</t>
  </si>
  <si>
    <t>BF47</t>
  </si>
  <si>
    <t>unused_XM0_RESET</t>
  </si>
  <si>
    <t>xm0_reset</t>
  </si>
  <si>
    <t>vddio_vdd2_ddr0</t>
  </si>
  <si>
    <t>LP4X_RESET_BFCR90M14L</t>
  </si>
  <si>
    <t>BM47</t>
  </si>
  <si>
    <t>unused_XM2_B0D0</t>
  </si>
  <si>
    <t>xm2_b0d0</t>
  </si>
  <si>
    <t>vddio_ddr2</t>
  </si>
  <si>
    <t>LP4X_IOBRICK_ESD_CFCM14L</t>
  </si>
  <si>
    <t>BJ47</t>
  </si>
  <si>
    <t>unused_XM2_B0D1</t>
  </si>
  <si>
    <t>xm2_b0d1</t>
  </si>
  <si>
    <t>BK47</t>
  </si>
  <si>
    <t>unused_XM2_B0D2</t>
  </si>
  <si>
    <t>xm2_b0d2</t>
  </si>
  <si>
    <t>BJ48</t>
  </si>
  <si>
    <t>unused_XM2_B0D3</t>
  </si>
  <si>
    <t>xm2_b0d3</t>
  </si>
  <si>
    <t>BH50</t>
  </si>
  <si>
    <t>unused_XM2_B0D4</t>
  </si>
  <si>
    <t>xm2_b0d4</t>
  </si>
  <si>
    <t>BH49</t>
  </si>
  <si>
    <t>unused_XM2_B0D5</t>
  </si>
  <si>
    <t>xm2_b0d5</t>
  </si>
  <si>
    <t>BH52</t>
  </si>
  <si>
    <t>unused_XM2_B0D6</t>
  </si>
  <si>
    <t>xm2_b0d6</t>
  </si>
  <si>
    <t>BM48</t>
  </si>
  <si>
    <t>unused_XM2_B0D7</t>
  </si>
  <si>
    <t>xm2_b0d7</t>
  </si>
  <si>
    <t>BJ50</t>
  </si>
  <si>
    <t>unused_XM2_B0D8</t>
  </si>
  <si>
    <t>xm2_b0d8</t>
  </si>
  <si>
    <t>BK49</t>
  </si>
  <si>
    <t>unused_XM2_B0DIFFN</t>
  </si>
  <si>
    <t>xm2_b0diffn</t>
  </si>
  <si>
    <t>BK48</t>
  </si>
  <si>
    <t>unused_XM2_B0DIFFP</t>
  </si>
  <si>
    <t>xm2_b0diffp</t>
  </si>
  <si>
    <t>BG48</t>
  </si>
  <si>
    <t>unused_XM2_B0C</t>
  </si>
  <si>
    <t>xm2_b0c</t>
  </si>
  <si>
    <t>BJ45</t>
  </si>
  <si>
    <t>unused_XM2_B1D0</t>
  </si>
  <si>
    <t>xm2_b1d0</t>
  </si>
  <si>
    <t>BK44</t>
  </si>
  <si>
    <t>unused_XM2_B1D1</t>
  </si>
  <si>
    <t>xm2_b1d1</t>
  </si>
  <si>
    <t>BK45</t>
  </si>
  <si>
    <t>unused_XM2_B1D2</t>
  </si>
  <si>
    <t>xm2_b1d2</t>
  </si>
  <si>
    <t>BG45</t>
  </si>
  <si>
    <t>unused_XM2_B1D3</t>
  </si>
  <si>
    <t>xm2_b1d3</t>
  </si>
  <si>
    <t>BM45</t>
  </si>
  <si>
    <t>unused_XM2_B1D4</t>
  </si>
  <si>
    <t>xm2_b1d4</t>
  </si>
  <si>
    <t>BF45</t>
  </si>
  <si>
    <t>unused_XM2_B1D5</t>
  </si>
  <si>
    <t>xm2_b1d5</t>
  </si>
  <si>
    <t>BG46</t>
  </si>
  <si>
    <t>unused_XM2_B1D6</t>
  </si>
  <si>
    <t>xm2_b1d6</t>
  </si>
  <si>
    <t>BH45</t>
  </si>
  <si>
    <t>unused_XM2_B1D7</t>
  </si>
  <si>
    <t>xm2_b1d7</t>
  </si>
  <si>
    <t>BM44</t>
  </si>
  <si>
    <t>unused_XM2_B1D8</t>
  </si>
  <si>
    <t>xm2_b1d8</t>
  </si>
  <si>
    <t>BH46</t>
  </si>
  <si>
    <t>unused_XM2_B1DIFFN</t>
  </si>
  <si>
    <t>xm2_b1diffn</t>
  </si>
  <si>
    <t>BJ46</t>
  </si>
  <si>
    <t>unused_XM2_B1DIFFP</t>
  </si>
  <si>
    <t>xm2_b1diffp</t>
  </si>
  <si>
    <t>BH47</t>
  </si>
  <si>
    <t>unused_XM2_B1C</t>
  </si>
  <si>
    <t>xm2_b1c</t>
  </si>
  <si>
    <t>BH43</t>
  </si>
  <si>
    <t>unused_XM2_B2D0</t>
  </si>
  <si>
    <t>xm2_b2d0</t>
  </si>
  <si>
    <t>BH42</t>
  </si>
  <si>
    <t>unused_XM2_B2D1</t>
  </si>
  <si>
    <t>xm2_b2d1</t>
  </si>
  <si>
    <t>BM42</t>
  </si>
  <si>
    <t>unused_XM2_B2D2</t>
  </si>
  <si>
    <t>xm2_b2d2</t>
  </si>
  <si>
    <t>BG44</t>
  </si>
  <si>
    <t>unused_XM2_B2D3</t>
  </si>
  <si>
    <t>xm2_b2d3</t>
  </si>
  <si>
    <t>BE44</t>
  </si>
  <si>
    <t>unused_XM2_B2D4</t>
  </si>
  <si>
    <t>xm2_b2d4</t>
  </si>
  <si>
    <t>BE43</t>
  </si>
  <si>
    <t>unused_XM2_B2D5</t>
  </si>
  <si>
    <t>xm2_b2d5</t>
  </si>
  <si>
    <t>BF44</t>
  </si>
  <si>
    <t>unused_XM2_B2D6</t>
  </si>
  <si>
    <t>xm2_b2d6</t>
  </si>
  <si>
    <t>BF43</t>
  </si>
  <si>
    <t>unused_XM2_B2D7</t>
  </si>
  <si>
    <t>xm2_b2d7</t>
  </si>
  <si>
    <t>BJ44</t>
  </si>
  <si>
    <t>unused_XM2_B2D8</t>
  </si>
  <si>
    <t>xm2_b2d8</t>
  </si>
  <si>
    <t>BJ42</t>
  </si>
  <si>
    <t>unused_XM2_B2DIFFN</t>
  </si>
  <si>
    <t>xm2_b2diffn</t>
  </si>
  <si>
    <t>BK42</t>
  </si>
  <si>
    <t>unused_XM2_B2DIFFP</t>
  </si>
  <si>
    <t>xm2_b2diffp</t>
  </si>
  <si>
    <t>BJ43</t>
  </si>
  <si>
    <t>unused_XM2_B2C</t>
  </si>
  <si>
    <t>xm2_b2c</t>
  </si>
  <si>
    <t>BK41</t>
  </si>
  <si>
    <t>unused_XM2_B3D0</t>
  </si>
  <si>
    <t>xm2_b3d0</t>
  </si>
  <si>
    <t>BM41</t>
  </si>
  <si>
    <t>unused_XM2_B3D1</t>
  </si>
  <si>
    <t>xm2_b3d1</t>
  </si>
  <si>
    <t>BD41</t>
  </si>
  <si>
    <t>unused_XM2_B3D2</t>
  </si>
  <si>
    <t>xm2_b3d2</t>
  </si>
  <si>
    <t>BH40</t>
  </si>
  <si>
    <t>unused_XM2_B3D3</t>
  </si>
  <si>
    <t>xm2_b3d3</t>
  </si>
  <si>
    <t>BJ41</t>
  </si>
  <si>
    <t>unused_XM2_B3D4</t>
  </si>
  <si>
    <t>xm2_b3d4</t>
  </si>
  <si>
    <t>BD42</t>
  </si>
  <si>
    <t>unused_XM2_B3D5</t>
  </si>
  <si>
    <t>xm2_b3d5</t>
  </si>
  <si>
    <t>BC42</t>
  </si>
  <si>
    <t>unused_XM2_B3D6</t>
  </si>
  <si>
    <t>xm2_b3d6</t>
  </si>
  <si>
    <t>BF42</t>
  </si>
  <si>
    <t>unused_XM2_B3D7</t>
  </si>
  <si>
    <t>xm2_b3d7</t>
  </si>
  <si>
    <t>BG42</t>
  </si>
  <si>
    <t>unused_XM2_B3D8</t>
  </si>
  <si>
    <t>xm2_b3d8</t>
  </si>
  <si>
    <t>BG41</t>
  </si>
  <si>
    <t>unused_XM2_B3DIFFN</t>
  </si>
  <si>
    <t>xm2_b3diffn</t>
  </si>
  <si>
    <t>BF41</t>
  </si>
  <si>
    <t>unused_XM2_B3DIFFP</t>
  </si>
  <si>
    <t>xm2_b3diffp</t>
  </si>
  <si>
    <t>BE41</t>
  </si>
  <si>
    <t>unused_XM2_B3C</t>
  </si>
  <si>
    <t>xm2_b3c</t>
  </si>
  <si>
    <t>BD39</t>
  </si>
  <si>
    <t>unused_XM2_B4D0</t>
  </si>
  <si>
    <t>xm2_b4d0</t>
  </si>
  <si>
    <t>BB40</t>
  </si>
  <si>
    <t>unused_XM2_B4D1</t>
  </si>
  <si>
    <t>xm2_b4d1</t>
  </si>
  <si>
    <t>BC39</t>
  </si>
  <si>
    <t>unused_XM2_B4D2</t>
  </si>
  <si>
    <t>xm2_b4d2</t>
  </si>
  <si>
    <t>BG39</t>
  </si>
  <si>
    <t>unused_XM2_B4D3</t>
  </si>
  <si>
    <t>xm2_b4d3</t>
  </si>
  <si>
    <t>BC40</t>
  </si>
  <si>
    <t>unused_XM2_B4D4</t>
  </si>
  <si>
    <t>xm2_b4d4</t>
  </si>
  <si>
    <t>BE40</t>
  </si>
  <si>
    <t>unused_XM2_B4D5</t>
  </si>
  <si>
    <t>xm2_b4d5</t>
  </si>
  <si>
    <t>BF40</t>
  </si>
  <si>
    <t>unused_XM2_B4D6</t>
  </si>
  <si>
    <t>xm2_b4d6</t>
  </si>
  <si>
    <t>BF39</t>
  </si>
  <si>
    <t>unused_XM2_B4D7</t>
  </si>
  <si>
    <t>xm2_b4d7</t>
  </si>
  <si>
    <t>BJ40</t>
  </si>
  <si>
    <t>unused_XM2_B4D8</t>
  </si>
  <si>
    <t>xm2_b4d8</t>
  </si>
  <si>
    <t>BK39</t>
  </si>
  <si>
    <t>unused_XM2_B4DIFFN</t>
  </si>
  <si>
    <t>xm2_b4diffn</t>
  </si>
  <si>
    <t>BJ39</t>
  </si>
  <si>
    <t>unused_XM2_B4DIFFP</t>
  </si>
  <si>
    <t>xm2_b4diffp</t>
  </si>
  <si>
    <t>BM39</t>
  </si>
  <si>
    <t>unused_XM2_B4C</t>
  </si>
  <si>
    <t>xm2_b4c</t>
  </si>
  <si>
    <t>BC37</t>
  </si>
  <si>
    <t>unused_XM2_B5D0</t>
  </si>
  <si>
    <t>xm2_b5d0</t>
  </si>
  <si>
    <t>BH37</t>
  </si>
  <si>
    <t>unused_XM2_B5D1</t>
  </si>
  <si>
    <t>xm2_b5d1</t>
  </si>
  <si>
    <t>BJ37</t>
  </si>
  <si>
    <t>unused_XM2_B5D2</t>
  </si>
  <si>
    <t>xm2_b5d2</t>
  </si>
  <si>
    <t>BM38</t>
  </si>
  <si>
    <t>unused_XM2_B5D3</t>
  </si>
  <si>
    <t>xm2_b5d3</t>
  </si>
  <si>
    <t>BB37</t>
  </si>
  <si>
    <t>unused_XM2_B5D4</t>
  </si>
  <si>
    <t>xm2_b5d4</t>
  </si>
  <si>
    <t>BE38</t>
  </si>
  <si>
    <t>unused_XM2_B5D5</t>
  </si>
  <si>
    <t>xm2_b5d5</t>
  </si>
  <si>
    <t>BD38</t>
  </si>
  <si>
    <t>unused_XM2_B5D6</t>
  </si>
  <si>
    <t>xm2_b5d6</t>
  </si>
  <si>
    <t>BK38</t>
  </si>
  <si>
    <t>unused_XM2_B5D7</t>
  </si>
  <si>
    <t>xm2_b5d7</t>
  </si>
  <si>
    <t>BJ38</t>
  </si>
  <si>
    <t>unused_XM2_B5D8</t>
  </si>
  <si>
    <t>xm2_b5d8</t>
  </si>
  <si>
    <t>BF38</t>
  </si>
  <si>
    <t>unused_XM2_B5DIFFN</t>
  </si>
  <si>
    <t>xm2_b5diffn</t>
  </si>
  <si>
    <t>BG38</t>
  </si>
  <si>
    <t>unused_XM2_B5DIFFP</t>
  </si>
  <si>
    <t>xm2_b5diffp</t>
  </si>
  <si>
    <t>BH39</t>
  </si>
  <si>
    <t>unused_XM2_B5C</t>
  </si>
  <si>
    <t>xm2_b5c</t>
  </si>
  <si>
    <t>BF37</t>
  </si>
  <si>
    <t>unused_XM2_B6D0</t>
  </si>
  <si>
    <t>xm2_b6d0</t>
  </si>
  <si>
    <t>BE37</t>
  </si>
  <si>
    <t>unused_XM2_B6D1</t>
  </si>
  <si>
    <t>xm2_b6d1</t>
  </si>
  <si>
    <t>BD36</t>
  </si>
  <si>
    <t>unused_XM2_B6D2</t>
  </si>
  <si>
    <t>xm2_b6d2</t>
  </si>
  <si>
    <t>BG35</t>
  </si>
  <si>
    <t>unused_XM2_B6D3</t>
  </si>
  <si>
    <t>xm2_b6d3</t>
  </si>
  <si>
    <t>BC36</t>
  </si>
  <si>
    <t>unused_XM2_B6D4</t>
  </si>
  <si>
    <t>xm2_b6d4</t>
  </si>
  <si>
    <t>BH36</t>
  </si>
  <si>
    <t>unused_XM2_B6D5</t>
  </si>
  <si>
    <t>xm2_b6d5</t>
  </si>
  <si>
    <t>BM36</t>
  </si>
  <si>
    <t>unused_XM2_B6D6</t>
  </si>
  <si>
    <t>xm2_b6d6</t>
  </si>
  <si>
    <t>BK36</t>
  </si>
  <si>
    <t>unused_XM2_B6D7</t>
  </si>
  <si>
    <t>xm2_b6d7</t>
  </si>
  <si>
    <t>BJ36</t>
  </si>
  <si>
    <t>unused_XM2_B6D8</t>
  </si>
  <si>
    <t>xm2_b6d8</t>
  </si>
  <si>
    <t>BG36</t>
  </si>
  <si>
    <t>unused_XM2_B6DIFFN</t>
  </si>
  <si>
    <t>xm2_b6diffn</t>
  </si>
  <si>
    <t>BF36</t>
  </si>
  <si>
    <t>unused_XM2_B6DIFFP</t>
  </si>
  <si>
    <t>xm2_b6diffp</t>
  </si>
  <si>
    <t>BF35</t>
  </si>
  <si>
    <t>unused_XM2_B6C</t>
  </si>
  <si>
    <t>xm2_b6c</t>
  </si>
  <si>
    <t>BC34</t>
  </si>
  <si>
    <t>unused_XM2_B7D0</t>
  </si>
  <si>
    <t>xm2_b7d0</t>
  </si>
  <si>
    <t>BB34</t>
  </si>
  <si>
    <t>unused_XM2_B7D1</t>
  </si>
  <si>
    <t>xm2_b7d1</t>
  </si>
  <si>
    <t>BF34</t>
  </si>
  <si>
    <t>unused_XM2_B7D2</t>
  </si>
  <si>
    <t>xm2_b7d2</t>
  </si>
  <si>
    <t>BD33</t>
  </si>
  <si>
    <t>unused_XM2_B7D3</t>
  </si>
  <si>
    <t>xm2_b7d3</t>
  </si>
  <si>
    <t>BM35</t>
  </si>
  <si>
    <t>unused_XM2_B7D4</t>
  </si>
  <si>
    <t>xm2_b7d4</t>
  </si>
  <si>
    <t>BG33</t>
  </si>
  <si>
    <t>unused_XM2_B7D5</t>
  </si>
  <si>
    <t>xm2_b7d5</t>
  </si>
  <si>
    <t>BC33</t>
  </si>
  <si>
    <t>unused_XM2_B7D6</t>
  </si>
  <si>
    <t>xm2_b7d6</t>
  </si>
  <si>
    <t>BJ35</t>
  </si>
  <si>
    <t>unused_XM2_B7D7</t>
  </si>
  <si>
    <t>xm2_b7d7</t>
  </si>
  <si>
    <t>BK35</t>
  </si>
  <si>
    <t>unused_XM2_B7D8</t>
  </si>
  <si>
    <t>xm2_b7d8</t>
  </si>
  <si>
    <t>BJ34</t>
  </si>
  <si>
    <t>unused_XM2_B7DIFFN</t>
  </si>
  <si>
    <t>xm2_b7diffn</t>
  </si>
  <si>
    <t>BH34</t>
  </si>
  <si>
    <t>unused_XM2_B7DIFFP</t>
  </si>
  <si>
    <t>xm2_b7diffp</t>
  </si>
  <si>
    <t>BE34</t>
  </si>
  <si>
    <t>unused_XM2_B7C</t>
  </si>
  <si>
    <t>xm2_b7c</t>
  </si>
  <si>
    <t>BK32</t>
  </si>
  <si>
    <t>unused_XM2_B8D0</t>
  </si>
  <si>
    <t>xm2_b8d0</t>
  </si>
  <si>
    <t>BF33</t>
  </si>
  <si>
    <t>unused_XM2_B8D1</t>
  </si>
  <si>
    <t>xm2_b8d1</t>
  </si>
  <si>
    <t>BM32</t>
  </si>
  <si>
    <t>unused_XM2_B8D2</t>
  </si>
  <si>
    <t>xm2_b8d2</t>
  </si>
  <si>
    <t>BM33</t>
  </si>
  <si>
    <t>unused_XM2_B8D3</t>
  </si>
  <si>
    <t>xm2_b8d3</t>
  </si>
  <si>
    <t>BG32</t>
  </si>
  <si>
    <t>unused_XM2_B8D4</t>
  </si>
  <si>
    <t>xm2_b8d4</t>
  </si>
  <si>
    <t>BD32</t>
  </si>
  <si>
    <t>unused_XM2_B8D5</t>
  </si>
  <si>
    <t>xm2_b8d5</t>
  </si>
  <si>
    <t>BE32</t>
  </si>
  <si>
    <t>unused_XM2_B8D6</t>
  </si>
  <si>
    <t>xm2_b8d6</t>
  </si>
  <si>
    <t>BJ32</t>
  </si>
  <si>
    <t>unused_XM2_B8D7</t>
  </si>
  <si>
    <t>xm2_b8d7</t>
  </si>
  <si>
    <t>BH33</t>
  </si>
  <si>
    <t>unused_XM2_B8D8</t>
  </si>
  <si>
    <t>xm2_b8d8</t>
  </si>
  <si>
    <t>BJ33</t>
  </si>
  <si>
    <t>unused_XM2_B8DIFFN</t>
  </si>
  <si>
    <t>xm2_b8diffn</t>
  </si>
  <si>
    <t>BK33</t>
  </si>
  <si>
    <t>unused_XM2_B8DIFFP</t>
  </si>
  <si>
    <t>xm2_b8diffp</t>
  </si>
  <si>
    <t>BF32</t>
  </si>
  <si>
    <t>unused_XM2_B8C</t>
  </si>
  <si>
    <t>xm2_b8c</t>
  </si>
  <si>
    <t>BC31</t>
  </si>
  <si>
    <t>unused_XM2_B9D0</t>
  </si>
  <si>
    <t>xm2_b9d0</t>
  </si>
  <si>
    <t>BJ31</t>
  </si>
  <si>
    <t>unused_XM2_B9D1</t>
  </si>
  <si>
    <t>xm2_b9d1</t>
  </si>
  <si>
    <t>BH31</t>
  </si>
  <si>
    <t>unused_XM2_B9D2</t>
  </si>
  <si>
    <t>xm2_b9d2</t>
  </si>
  <si>
    <t>BG30</t>
  </si>
  <si>
    <t>unused_XM2_B9D3</t>
  </si>
  <si>
    <t>xm2_b9d3</t>
  </si>
  <si>
    <t>BK30</t>
  </si>
  <si>
    <t>unused_XM2_B9D4</t>
  </si>
  <si>
    <t>xm2_b9d4</t>
  </si>
  <si>
    <t>BH30</t>
  </si>
  <si>
    <t>unused_XM2_B9D5</t>
  </si>
  <si>
    <t>xm2_b9d5</t>
  </si>
  <si>
    <t>BF30</t>
  </si>
  <si>
    <t>unused_XM2_B9D6</t>
  </si>
  <si>
    <t>xm2_b9d6</t>
  </si>
  <si>
    <t>BM30</t>
  </si>
  <si>
    <t>unused_XM2_B9D7</t>
  </si>
  <si>
    <t>xm2_b9d7</t>
  </si>
  <si>
    <t>BJ30</t>
  </si>
  <si>
    <t>unused_XM2_B9D8</t>
  </si>
  <si>
    <t>xm2_b9d8</t>
  </si>
  <si>
    <t>BE31</t>
  </si>
  <si>
    <t>unused_XM2_B9DIFFN</t>
  </si>
  <si>
    <t>xm2_b9diffn</t>
  </si>
  <si>
    <t>BF31</t>
  </si>
  <si>
    <t>unused_XM2_B9DIFFP</t>
  </si>
  <si>
    <t>xm2_b9diffp</t>
  </si>
  <si>
    <t>BB31</t>
  </si>
  <si>
    <t>unused_XM2_B9C</t>
  </si>
  <si>
    <t>xm2_b9c</t>
  </si>
  <si>
    <t>BG29</t>
  </si>
  <si>
    <t>unused_XM2_B10D0</t>
  </si>
  <si>
    <t>xm2_b10d0</t>
  </si>
  <si>
    <t>BD30</t>
  </si>
  <si>
    <t>unused_XM2_B10D1</t>
  </si>
  <si>
    <t>xm2_b10d1</t>
  </si>
  <si>
    <t>BM29</t>
  </si>
  <si>
    <t>unused_XM2_B10D2</t>
  </si>
  <si>
    <t>xm2_b10d2</t>
  </si>
  <si>
    <t>BJ28</t>
  </si>
  <si>
    <t>unused_XM2_B10D3</t>
  </si>
  <si>
    <t>xm2_b10d3</t>
  </si>
  <si>
    <t>BH28</t>
  </si>
  <si>
    <t>unused_XM2_B10D4</t>
  </si>
  <si>
    <t>xm2_b10d4</t>
  </si>
  <si>
    <t>BD29</t>
  </si>
  <si>
    <t>unused_XM2_B10D5</t>
  </si>
  <si>
    <t>xm2_b10d5</t>
  </si>
  <si>
    <t>BF28</t>
  </si>
  <si>
    <t>unused_XM2_B10D6</t>
  </si>
  <si>
    <t>xm2_b10d6</t>
  </si>
  <si>
    <t>BF29</t>
  </si>
  <si>
    <t>unused_XM2_B10D7</t>
  </si>
  <si>
    <t>xm2_b10d7</t>
  </si>
  <si>
    <t>BE29</t>
  </si>
  <si>
    <t>unused_XM2_B10D8</t>
  </si>
  <si>
    <t>xm2_b10d8</t>
  </si>
  <si>
    <t>BJ29</t>
  </si>
  <si>
    <t>unused_XM2_B10DIFFN</t>
  </si>
  <si>
    <t>xm2_b10diffn</t>
  </si>
  <si>
    <t>BK29</t>
  </si>
  <si>
    <t>unused_XM2_B10DIFFP</t>
  </si>
  <si>
    <t>xm2_b10diffp</t>
  </si>
  <si>
    <t>BC30</t>
  </si>
  <si>
    <t>unused_XM2_B10C</t>
  </si>
  <si>
    <t>xm2_b10c</t>
  </si>
  <si>
    <t>BM27</t>
  </si>
  <si>
    <t>unused_XM2_B11D0</t>
  </si>
  <si>
    <t>xm2_b11d0</t>
  </si>
  <si>
    <t>BB28</t>
  </si>
  <si>
    <t>unused_XM2_B11D1</t>
  </si>
  <si>
    <t>xm2_b11d1</t>
  </si>
  <si>
    <t>BC28</t>
  </si>
  <si>
    <t>unused_XM2_B11D2</t>
  </si>
  <si>
    <t>xm2_b11d2</t>
  </si>
  <si>
    <t>BE28</t>
  </si>
  <si>
    <t>unused_XM2_B11D3</t>
  </si>
  <si>
    <t>xm2_b11d3</t>
  </si>
  <si>
    <t>BC27</t>
  </si>
  <si>
    <t>unused_XM2_B11D4</t>
  </si>
  <si>
    <t>xm2_b11d4</t>
  </si>
  <si>
    <t>BH27</t>
  </si>
  <si>
    <t>unused_XM2_B11D5</t>
  </si>
  <si>
    <t>xm2_b11d5</t>
  </si>
  <si>
    <t>BD27</t>
  </si>
  <si>
    <t>unused_XM2_B11D6</t>
  </si>
  <si>
    <t>xm2_b11d6</t>
  </si>
  <si>
    <t>BK27</t>
  </si>
  <si>
    <t>unused_XM2_B11D7</t>
  </si>
  <si>
    <t>xm2_b11d7</t>
  </si>
  <si>
    <t>BM26</t>
  </si>
  <si>
    <t>unused_XM2_B11D8</t>
  </si>
  <si>
    <t>xm2_b11d8</t>
  </si>
  <si>
    <t>BF27</t>
  </si>
  <si>
    <t>unused_XM2_B11DIFFN</t>
  </si>
  <si>
    <t>xm2_b11diffn</t>
  </si>
  <si>
    <t>BG27</t>
  </si>
  <si>
    <t>unused_XM2_B11DIFFP</t>
  </si>
  <si>
    <t>xm2_b11diffp</t>
  </si>
  <si>
    <t>BJ27</t>
  </si>
  <si>
    <t>unused_XM2_B11C</t>
  </si>
  <si>
    <t>xm2_b11c</t>
  </si>
  <si>
    <t>BG4</t>
  </si>
  <si>
    <t>unused_XM3_B0D0</t>
  </si>
  <si>
    <t>xm3_b0d0</t>
  </si>
  <si>
    <t>vddio_ddr3</t>
  </si>
  <si>
    <t>BH3</t>
  </si>
  <si>
    <t>unused_XM3_B0D1</t>
  </si>
  <si>
    <t>xm3_b0d1</t>
  </si>
  <si>
    <t>BH1</t>
  </si>
  <si>
    <t>unused_XM3_B0D2</t>
  </si>
  <si>
    <t>xm3_b0d2</t>
  </si>
  <si>
    <t>BK4</t>
  </si>
  <si>
    <t>unused_XM3_B0D3</t>
  </si>
  <si>
    <t>xm3_b0d3</t>
  </si>
  <si>
    <t>BH4</t>
  </si>
  <si>
    <t>unused_XM3_B0D4</t>
  </si>
  <si>
    <t>xm3_b0d4</t>
  </si>
  <si>
    <t>BG1</t>
  </si>
  <si>
    <t>unused_XM3_B0D5</t>
  </si>
  <si>
    <t>xm3_b0d5</t>
  </si>
  <si>
    <t>BF5</t>
  </si>
  <si>
    <t>unused_XM3_B0D6</t>
  </si>
  <si>
    <t>xm3_b0d6</t>
  </si>
  <si>
    <t>BG3</t>
  </si>
  <si>
    <t>unused_XM3_B0D7</t>
  </si>
  <si>
    <t>xm3_b0d7</t>
  </si>
  <si>
    <t>BG5</t>
  </si>
  <si>
    <t>unused_XM3_B0D8</t>
  </si>
  <si>
    <t>xm3_b0d8</t>
  </si>
  <si>
    <t>BJ5</t>
  </si>
  <si>
    <t>unused_XM3_B0DIFFN</t>
  </si>
  <si>
    <t>xm3_b0diffn</t>
  </si>
  <si>
    <t>BK5</t>
  </si>
  <si>
    <t>unused_XM3_B0DIFFP</t>
  </si>
  <si>
    <t>xm3_b0diffp</t>
  </si>
  <si>
    <t>BJ3</t>
  </si>
  <si>
    <t>unused_XM3_B0C</t>
  </si>
  <si>
    <t>xm3_b0c</t>
  </si>
  <si>
    <t>BH7</t>
  </si>
  <si>
    <t>unused_XM3_B1D0</t>
  </si>
  <si>
    <t>xm3_b1d0</t>
  </si>
  <si>
    <t>BG8</t>
  </si>
  <si>
    <t>unused_XM3_B1D1</t>
  </si>
  <si>
    <t>xm3_b1d1</t>
  </si>
  <si>
    <t>BF8</t>
  </si>
  <si>
    <t>unused_XM3_B1D2</t>
  </si>
  <si>
    <t>xm3_b1d2</t>
  </si>
  <si>
    <t>BJ6</t>
  </si>
  <si>
    <t>unused_XM3_B1D3</t>
  </si>
  <si>
    <t>xm3_b1d3</t>
  </si>
  <si>
    <t>BM6</t>
  </si>
  <si>
    <t>unused_XM3_B1D4</t>
  </si>
  <si>
    <t>xm3_b1d4</t>
  </si>
  <si>
    <t>BK6</t>
  </si>
  <si>
    <t>unused_XM3_B1D5</t>
  </si>
  <si>
    <t>xm3_b1d5</t>
  </si>
  <si>
    <t>BM5</t>
  </si>
  <si>
    <t>unused_XM3_B1D6</t>
  </si>
  <si>
    <t>xm3_b1d6</t>
  </si>
  <si>
    <t>BG7</t>
  </si>
  <si>
    <t>unused_XM3_B1D7</t>
  </si>
  <si>
    <t>xm3_b1d7</t>
  </si>
  <si>
    <t>BH6</t>
  </si>
  <si>
    <t>unused_XM3_B1D8</t>
  </si>
  <si>
    <t>xm3_b1d8</t>
  </si>
  <si>
    <t>BJ8</t>
  </si>
  <si>
    <t>unused_XM3_B1DIFFN</t>
  </si>
  <si>
    <t>xm3_b1diffn</t>
  </si>
  <si>
    <t>BK8</t>
  </si>
  <si>
    <t>unused_XM3_B1DIFFP</t>
  </si>
  <si>
    <t>xm3_b1diffp</t>
  </si>
  <si>
    <t>BJ7</t>
  </si>
  <si>
    <t>unused_XM3_B1C</t>
  </si>
  <si>
    <t>xm3_b1c</t>
  </si>
  <si>
    <t>BH9</t>
  </si>
  <si>
    <t>unused_XM3_B2D0</t>
  </si>
  <si>
    <t>xm3_b2d0</t>
  </si>
  <si>
    <t>BM8</t>
  </si>
  <si>
    <t>unused_XM3_B2D1</t>
  </si>
  <si>
    <t>xm3_b2d1</t>
  </si>
  <si>
    <t>BK9</t>
  </si>
  <si>
    <t>unused_XM3_B2D2</t>
  </si>
  <si>
    <t>xm3_b2d2</t>
  </si>
  <si>
    <t>BG9</t>
  </si>
  <si>
    <t>unused_XM3_B2D3</t>
  </si>
  <si>
    <t>xm3_b2d3</t>
  </si>
  <si>
    <t>BM9</t>
  </si>
  <si>
    <t>unused_XM3_B2D4</t>
  </si>
  <si>
    <t>xm3_b2d4</t>
  </si>
  <si>
    <t>BF9</t>
  </si>
  <si>
    <t>unused_XM3_B2D5</t>
  </si>
  <si>
    <t>xm3_b2d5</t>
  </si>
  <si>
    <t>BE10</t>
  </si>
  <si>
    <t>unused_XM3_B2D6</t>
  </si>
  <si>
    <t>xm3_b2d6</t>
  </si>
  <si>
    <t>BF10</t>
  </si>
  <si>
    <t>unused_XM3_B2D7</t>
  </si>
  <si>
    <t>xm3_b2d7</t>
  </si>
  <si>
    <t>BJ9</t>
  </si>
  <si>
    <t>unused_XM3_B2D8</t>
  </si>
  <si>
    <t>xm3_b2d8</t>
  </si>
  <si>
    <t>BH10</t>
  </si>
  <si>
    <t>unused_XM3_B2DIFFN</t>
  </si>
  <si>
    <t>xm3_b2diffn</t>
  </si>
  <si>
    <t>BJ10</t>
  </si>
  <si>
    <t>unused_XM3_B2DIFFP</t>
  </si>
  <si>
    <t>xm3_b2diffp</t>
  </si>
  <si>
    <t>BE11</t>
  </si>
  <si>
    <t>unused_XM3_B2C</t>
  </si>
  <si>
    <t>xm3_b2c</t>
  </si>
  <si>
    <t>BM11</t>
  </si>
  <si>
    <t>unused_XM3_B3D0</t>
  </si>
  <si>
    <t>xm3_b3d0</t>
  </si>
  <si>
    <t>BH12</t>
  </si>
  <si>
    <t>unused_XM3_B3D1</t>
  </si>
  <si>
    <t>xm3_b3d1</t>
  </si>
  <si>
    <t>BM12</t>
  </si>
  <si>
    <t>unused_XM3_B3D2</t>
  </si>
  <si>
    <t>xm3_b3d2</t>
  </si>
  <si>
    <t>BG12</t>
  </si>
  <si>
    <t>unused_XM3_B3D3</t>
  </si>
  <si>
    <t>xm3_b3d3</t>
  </si>
  <si>
    <t>BC12</t>
  </si>
  <si>
    <t>unused_XM3_B3D4</t>
  </si>
  <si>
    <t>xm3_b3d4</t>
  </si>
  <si>
    <t>BD12</t>
  </si>
  <si>
    <t>unused_XM3_B3D5</t>
  </si>
  <si>
    <t>xm3_b3d5</t>
  </si>
  <si>
    <t>BF11</t>
  </si>
  <si>
    <t>unused_XM3_B3D6</t>
  </si>
  <si>
    <t>xm3_b3d6</t>
  </si>
  <si>
    <t>BG11</t>
  </si>
  <si>
    <t>unused_XM3_B3D7</t>
  </si>
  <si>
    <t>xm3_b3d7</t>
  </si>
  <si>
    <t>BF12</t>
  </si>
  <si>
    <t>unused_XM3_B3D8</t>
  </si>
  <si>
    <t>xm3_b3d8</t>
  </si>
  <si>
    <t>BK11</t>
  </si>
  <si>
    <t>unused_XM3_B3DIFFN</t>
  </si>
  <si>
    <t>xm3_b3diffn</t>
  </si>
  <si>
    <t>BJ11</t>
  </si>
  <si>
    <t>unused_XM3_B3DIFFP</t>
  </si>
  <si>
    <t>xm3_b3diffp</t>
  </si>
  <si>
    <t>BD11</t>
  </si>
  <si>
    <t>unused_XM3_B3C</t>
  </si>
  <si>
    <t>xm3_b3c</t>
  </si>
  <si>
    <t>BF13</t>
  </si>
  <si>
    <t>unused_XM3_B4D0</t>
  </si>
  <si>
    <t>xm3_b4d0</t>
  </si>
  <si>
    <t>BM14</t>
  </si>
  <si>
    <t>unused_XM3_B4D1</t>
  </si>
  <si>
    <t>xm3_b4d1</t>
  </si>
  <si>
    <t>BK14</t>
  </si>
  <si>
    <t>unused_XM3_B4D2</t>
  </si>
  <si>
    <t>xm3_b4d2</t>
  </si>
  <si>
    <t>BB13</t>
  </si>
  <si>
    <t>unused_XM3_B4D3</t>
  </si>
  <si>
    <t>xm3_b4d3</t>
  </si>
  <si>
    <t>BJ14</t>
  </si>
  <si>
    <t>unused_XM3_B4D4</t>
  </si>
  <si>
    <t>xm3_b4d4</t>
  </si>
  <si>
    <t>BE13</t>
  </si>
  <si>
    <t>unused_XM3_B4D5</t>
  </si>
  <si>
    <t>xm3_b4d5</t>
  </si>
  <si>
    <t>BC13</t>
  </si>
  <si>
    <t>unused_XM3_B4D6</t>
  </si>
  <si>
    <t>xm3_b4d6</t>
  </si>
  <si>
    <t>BJ12</t>
  </si>
  <si>
    <t>unused_XM3_B4D7</t>
  </si>
  <si>
    <t>xm3_b4d7</t>
  </si>
  <si>
    <t>BK12</t>
  </si>
  <si>
    <t>unused_XM3_B4D8</t>
  </si>
  <si>
    <t>xm3_b4d8</t>
  </si>
  <si>
    <t>BJ13</t>
  </si>
  <si>
    <t>unused_XM3_B4DIFFN</t>
  </si>
  <si>
    <t>xm3_b4diffn</t>
  </si>
  <si>
    <t>BH13</t>
  </si>
  <si>
    <t>unused_XM3_B4DIFFP</t>
  </si>
  <si>
    <t>xm3_b4diffp</t>
  </si>
  <si>
    <t>BF14</t>
  </si>
  <si>
    <t>unused_XM3_B4C</t>
  </si>
  <si>
    <t>xm3_b4c</t>
  </si>
  <si>
    <t>BH15</t>
  </si>
  <si>
    <t>unused_XM3_B5D0</t>
  </si>
  <si>
    <t>xm3_b5d0</t>
  </si>
  <si>
    <t>BM15</t>
  </si>
  <si>
    <t>unused_XM3_B5D1</t>
  </si>
  <si>
    <t>xm3_b5d1</t>
  </si>
  <si>
    <t>BK15</t>
  </si>
  <si>
    <t>unused_XM3_B5D2</t>
  </si>
  <si>
    <t>xm3_b5d2</t>
  </si>
  <si>
    <t>BG14</t>
  </si>
  <si>
    <t>unused_XM3_B5D3</t>
  </si>
  <si>
    <t>xm3_b5d3</t>
  </si>
  <si>
    <t>BD14</t>
  </si>
  <si>
    <t>unused_XM3_B5D4</t>
  </si>
  <si>
    <t>xm3_b5d4</t>
  </si>
  <si>
    <t>BD15</t>
  </si>
  <si>
    <t>unused_XM3_B5D5</t>
  </si>
  <si>
    <t>xm3_b5d5</t>
  </si>
  <si>
    <t>BC15</t>
  </si>
  <si>
    <t>unused_XM3_B5D6</t>
  </si>
  <si>
    <t>xm3_b5d6</t>
  </si>
  <si>
    <t>BE14</t>
  </si>
  <si>
    <t>unused_XM3_B5D7</t>
  </si>
  <si>
    <t>xm3_b5d7</t>
  </si>
  <si>
    <t>BJ15</t>
  </si>
  <si>
    <t>unused_XM3_B5D8</t>
  </si>
  <si>
    <t>xm3_b5d8</t>
  </si>
  <si>
    <t>BG15</t>
  </si>
  <si>
    <t>unused_XM3_B5DIFFN</t>
  </si>
  <si>
    <t>xm3_b5diffn</t>
  </si>
  <si>
    <t>BF15</t>
  </si>
  <si>
    <t>unused_XM3_B5DIFFP</t>
  </si>
  <si>
    <t>xm3_b5diffp</t>
  </si>
  <si>
    <t>BB16</t>
  </si>
  <si>
    <t>unused_XM3_B5C</t>
  </si>
  <si>
    <t>xm3_b5c</t>
  </si>
  <si>
    <t>BF16</t>
  </si>
  <si>
    <t>unused_XM3_B6D0</t>
  </si>
  <si>
    <t>xm3_b6d0</t>
  </si>
  <si>
    <t>BD17</t>
  </si>
  <si>
    <t>unused_XM3_B6D1</t>
  </si>
  <si>
    <t>xm3_b6d1</t>
  </si>
  <si>
    <t>BE16</t>
  </si>
  <si>
    <t>unused_XM3_B6D2</t>
  </si>
  <si>
    <t>xm3_b6d2</t>
  </si>
  <si>
    <t>BG17</t>
  </si>
  <si>
    <t>unused_XM3_B6D3</t>
  </si>
  <si>
    <t>xm3_b6d3</t>
  </si>
  <si>
    <t>BE17</t>
  </si>
  <si>
    <t>unused_XM3_B6D4</t>
  </si>
  <si>
    <t>xm3_b6d4</t>
  </si>
  <si>
    <t>BK17</t>
  </si>
  <si>
    <t>unused_XM3_B6D5</t>
  </si>
  <si>
    <t>xm3_b6d5</t>
  </si>
  <si>
    <t>BJ17</t>
  </si>
  <si>
    <t>unused_XM3_B6D6</t>
  </si>
  <si>
    <t>xm3_b6d6</t>
  </si>
  <si>
    <t>BF17</t>
  </si>
  <si>
    <t>unused_XM3_B6D7</t>
  </si>
  <si>
    <t>xm3_b6d7</t>
  </si>
  <si>
    <t>BC16</t>
  </si>
  <si>
    <t>unused_XM3_B6D8</t>
  </si>
  <si>
    <t>xm3_b6d8</t>
  </si>
  <si>
    <t>BJ16</t>
  </si>
  <si>
    <t>unused_XM3_B6DIFFN</t>
  </si>
  <si>
    <t>xm3_b6diffn</t>
  </si>
  <si>
    <t>BH16</t>
  </si>
  <si>
    <t>unused_XM3_B6DIFFP</t>
  </si>
  <si>
    <t>xm3_b6diffp</t>
  </si>
  <si>
    <t>BM17</t>
  </si>
  <si>
    <t>unused_XM3_B6C</t>
  </si>
  <si>
    <t>xm3_b6c</t>
  </si>
  <si>
    <t>BG18</t>
  </si>
  <si>
    <t>unused_XM3_B7D0</t>
  </si>
  <si>
    <t>xm3_b7d0</t>
  </si>
  <si>
    <t>BC19</t>
  </si>
  <si>
    <t>unused_XM3_B7D1</t>
  </si>
  <si>
    <t>xm3_b7d1</t>
  </si>
  <si>
    <t>BF18</t>
  </si>
  <si>
    <t>unused_XM3_B7D2</t>
  </si>
  <si>
    <t>xm3_b7d2</t>
  </si>
  <si>
    <t>BJ19</t>
  </si>
  <si>
    <t>unused_XM3_B7D3</t>
  </si>
  <si>
    <t>xm3_b7d3</t>
  </si>
  <si>
    <t>BE19</t>
  </si>
  <si>
    <t>unused_XM3_B7D4</t>
  </si>
  <si>
    <t>xm3_b7d4</t>
  </si>
  <si>
    <t>BB19</t>
  </si>
  <si>
    <t>unused_XM3_B7D5</t>
  </si>
  <si>
    <t>xm3_b7d5</t>
  </si>
  <si>
    <t>BH19</t>
  </si>
  <si>
    <t>unused_XM3_B7D6</t>
  </si>
  <si>
    <t>xm3_b7d6</t>
  </si>
  <si>
    <t>BH18</t>
  </si>
  <si>
    <t>unused_XM3_B7D7</t>
  </si>
  <si>
    <t>xm3_b7d7</t>
  </si>
  <si>
    <t>BM18</t>
  </si>
  <si>
    <t>unused_XM3_B7D8</t>
  </si>
  <si>
    <t>xm3_b7d8</t>
  </si>
  <si>
    <t>BK18</t>
  </si>
  <si>
    <t>unused_XM3_B7DIFFN</t>
  </si>
  <si>
    <t>xm3_b7diffn</t>
  </si>
  <si>
    <t>BJ18</t>
  </si>
  <si>
    <t>unused_XM3_B7DIFFP</t>
  </si>
  <si>
    <t>xm3_b7diffp</t>
  </si>
  <si>
    <t>BF19</t>
  </si>
  <si>
    <t>unused_XM3_B7C</t>
  </si>
  <si>
    <t>xm3_b7c</t>
  </si>
  <si>
    <t>BM20</t>
  </si>
  <si>
    <t>unused_XM3_B8D0</t>
  </si>
  <si>
    <t>xm3_b8d0</t>
  </si>
  <si>
    <t>BD20</t>
  </si>
  <si>
    <t>unused_XM3_B8D1</t>
  </si>
  <si>
    <t>xm3_b8d1</t>
  </si>
  <si>
    <t>BK20</t>
  </si>
  <si>
    <t>unused_XM3_B8D2</t>
  </si>
  <si>
    <t>xm3_b8d2</t>
  </si>
  <si>
    <t>BE20</t>
  </si>
  <si>
    <t>unused_XM3_B8D3</t>
  </si>
  <si>
    <t>xm3_b8d3</t>
  </si>
  <si>
    <t>BH21</t>
  </si>
  <si>
    <t>unused_XM3_B8D4</t>
  </si>
  <si>
    <t>xm3_b8d4</t>
  </si>
  <si>
    <t>BK21</t>
  </si>
  <si>
    <t>unused_XM3_B8D5</t>
  </si>
  <si>
    <t>xm3_b8d5</t>
  </si>
  <si>
    <t>BJ21</t>
  </si>
  <si>
    <t>unused_XM3_B8D6</t>
  </si>
  <si>
    <t>xm3_b8d6</t>
  </si>
  <si>
    <t>BF21</t>
  </si>
  <si>
    <t>unused_XM3_B8D7</t>
  </si>
  <si>
    <t>xm3_b8d7</t>
  </si>
  <si>
    <t>BM21</t>
  </si>
  <si>
    <t>unused_XM3_B8D8</t>
  </si>
  <si>
    <t>xm3_b8d8</t>
  </si>
  <si>
    <t>BG20</t>
  </si>
  <si>
    <t>unused_XM3_B8DIFFN</t>
  </si>
  <si>
    <t>xm3_b8diffn</t>
  </si>
  <si>
    <t>BF20</t>
  </si>
  <si>
    <t>unused_XM3_B8DIFFP</t>
  </si>
  <si>
    <t>xm3_b8diffp</t>
  </si>
  <si>
    <t>BJ20</t>
  </si>
  <si>
    <t>unused_XM3_B8C</t>
  </si>
  <si>
    <t>xm3_b8c</t>
  </si>
  <si>
    <t>BC22</t>
  </si>
  <si>
    <t>unused_XM3_B9D0</t>
  </si>
  <si>
    <t>xm3_b9d0</t>
  </si>
  <si>
    <t>BC21</t>
  </si>
  <si>
    <t>unused_XM3_B9D1</t>
  </si>
  <si>
    <t>xm3_b9d1</t>
  </si>
  <si>
    <t>BD21</t>
  </si>
  <si>
    <t>unused_XM3_B9D2</t>
  </si>
  <si>
    <t>xm3_b9d2</t>
  </si>
  <si>
    <t>BM23</t>
  </si>
  <si>
    <t>unused_XM3_B9D3</t>
  </si>
  <si>
    <t>xm3_b9d3</t>
  </si>
  <si>
    <t>BH22</t>
  </si>
  <si>
    <t>unused_XM3_B9D4</t>
  </si>
  <si>
    <t>xm3_b9d4</t>
  </si>
  <si>
    <t>BE22</t>
  </si>
  <si>
    <t>unused_XM3_B9D5</t>
  </si>
  <si>
    <t>xm3_b9d5</t>
  </si>
  <si>
    <t>BB22</t>
  </si>
  <si>
    <t>unused_XM3_B9D6</t>
  </si>
  <si>
    <t>xm3_b9d6</t>
  </si>
  <si>
    <t>BG21</t>
  </si>
  <si>
    <t>unused_XM3_B9D7</t>
  </si>
  <si>
    <t>xm3_b9d7</t>
  </si>
  <si>
    <t>BJ22</t>
  </si>
  <si>
    <t>unused_XM3_B9D8</t>
  </si>
  <si>
    <t>xm3_b9d8</t>
  </si>
  <si>
    <t>BK23</t>
  </si>
  <si>
    <t>unused_XM3_B9DIFFN</t>
  </si>
  <si>
    <t>xm3_b9diffn</t>
  </si>
  <si>
    <t>BJ23</t>
  </si>
  <si>
    <t>unused_XM3_B9DIFFP</t>
  </si>
  <si>
    <t>xm3_b9diffp</t>
  </si>
  <si>
    <t>BF22</t>
  </si>
  <si>
    <t>unused_XM3_B9C</t>
  </si>
  <si>
    <t>xm3_b9c</t>
  </si>
  <si>
    <t>BC24</t>
  </si>
  <si>
    <t>unused_XM3_B10D0</t>
  </si>
  <si>
    <t>xm3_b10d0</t>
  </si>
  <si>
    <t>BD23</t>
  </si>
  <si>
    <t>unused_XM3_B10D1</t>
  </si>
  <si>
    <t>xm3_b10d1</t>
  </si>
  <si>
    <t>BE23</t>
  </si>
  <si>
    <t>unused_XM3_B10D2</t>
  </si>
  <si>
    <t>xm3_b10d2</t>
  </si>
  <si>
    <t>BD24</t>
  </si>
  <si>
    <t>unused_XM3_B10D3</t>
  </si>
  <si>
    <t>xm3_b10d3</t>
  </si>
  <si>
    <t>BK24</t>
  </si>
  <si>
    <t>unused_XM3_B10D4</t>
  </si>
  <si>
    <t>xm3_b10d4</t>
  </si>
  <si>
    <t>BJ24</t>
  </si>
  <si>
    <t>unused_XM3_B10D5</t>
  </si>
  <si>
    <t>xm3_b10d5</t>
  </si>
  <si>
    <t>BM24</t>
  </si>
  <si>
    <t>unused_XM3_B10D6</t>
  </si>
  <si>
    <t>xm3_b10d6</t>
  </si>
  <si>
    <t>BF24</t>
  </si>
  <si>
    <t>unused_XM3_B10D7</t>
  </si>
  <si>
    <t>xm3_b10d7</t>
  </si>
  <si>
    <t>BH24</t>
  </si>
  <si>
    <t>unused_XM3_B10D8</t>
  </si>
  <si>
    <t>xm3_b10d8</t>
  </si>
  <si>
    <t>BG23</t>
  </si>
  <si>
    <t>unused_XM3_B10DIFFN</t>
  </si>
  <si>
    <t>xm3_b10diffn</t>
  </si>
  <si>
    <t>BF23</t>
  </si>
  <si>
    <t>unused_XM3_B10DIFFP</t>
  </si>
  <si>
    <t>xm3_b10diffp</t>
  </si>
  <si>
    <t>BG24</t>
  </si>
  <si>
    <t>unused_XM3_B10C</t>
  </si>
  <si>
    <t>xm3_b10c</t>
  </si>
  <si>
    <t>BB25</t>
  </si>
  <si>
    <t>unused_XM3_B11D0</t>
  </si>
  <si>
    <t>xm3_b11d0</t>
  </si>
  <si>
    <t>BC25</t>
  </si>
  <si>
    <t>unused_XM3_B11D1</t>
  </si>
  <si>
    <t>xm3_b11d1</t>
  </si>
  <si>
    <t>BE25</t>
  </si>
  <si>
    <t>unused_XM3_B11D2</t>
  </si>
  <si>
    <t>xm3_b11d2</t>
  </si>
  <si>
    <t>BF25</t>
  </si>
  <si>
    <t>unused_XM3_B11D3</t>
  </si>
  <si>
    <t>xm3_b11d3</t>
  </si>
  <si>
    <t>BF26</t>
  </si>
  <si>
    <t>unused_XM3_B11D4</t>
  </si>
  <si>
    <t>xm3_b11d4</t>
  </si>
  <si>
    <t>BJ26</t>
  </si>
  <si>
    <t>unused_XM3_B11D5</t>
  </si>
  <si>
    <t>xm3_b11d5</t>
  </si>
  <si>
    <t>BK26</t>
  </si>
  <si>
    <t>unused_XM3_B11D6</t>
  </si>
  <si>
    <t>xm3_b11d6</t>
  </si>
  <si>
    <t>BE26</t>
  </si>
  <si>
    <t>unused_XM3_B11D7</t>
  </si>
  <si>
    <t>xm3_b11d7</t>
  </si>
  <si>
    <t>BD26</t>
  </si>
  <si>
    <t>unused_XM3_B11D8</t>
  </si>
  <si>
    <t>xm3_b11d8</t>
  </si>
  <si>
    <t>BH25</t>
  </si>
  <si>
    <t>unused_XM3_B11DIFFN</t>
  </si>
  <si>
    <t>xm3_b11diffn</t>
  </si>
  <si>
    <t>BJ25</t>
  </si>
  <si>
    <t>unused_XM3_B11DIFFP</t>
  </si>
  <si>
    <t>xm3_b11diffp</t>
  </si>
  <si>
    <t>BG26</t>
  </si>
  <si>
    <t>unused_XM3_B11C</t>
  </si>
  <si>
    <t>xm3_b11c</t>
  </si>
  <si>
    <t>BF4</t>
  </si>
  <si>
    <t>unused_XM1_RESET</t>
  </si>
  <si>
    <t>xm1_reset</t>
  </si>
  <si>
    <t>vddio_vdd2_ddr1</t>
  </si>
  <si>
    <t>AA45</t>
  </si>
  <si>
    <t>unused_XTAL_IN</t>
  </si>
  <si>
    <t>OSCFI</t>
  </si>
  <si>
    <t>xtal_in</t>
  </si>
  <si>
    <t>avdd_osc</t>
  </si>
  <si>
    <t>OSCI27LP_EFCR90M14L_VDNCP1NCNC</t>
  </si>
  <si>
    <t>T</t>
  </si>
  <si>
    <t>AA44</t>
  </si>
  <si>
    <t>unused_XTAL_OUT</t>
  </si>
  <si>
    <t>OSCFO</t>
  </si>
  <si>
    <t>xtal_out</t>
  </si>
  <si>
    <t>zt</t>
  </si>
  <si>
    <t>NVHS</t>
  </si>
  <si>
    <t>NCHS</t>
  </si>
  <si>
    <t>XTAL (CVM Only)</t>
  </si>
  <si>
    <t>SHUTDOWN</t>
  </si>
  <si>
    <t>PE5</t>
  </si>
  <si>
    <t>I2S0_SCLK</t>
  </si>
  <si>
    <t>I2S0_FS</t>
  </si>
  <si>
    <t>I2S0_DOUT</t>
  </si>
  <si>
    <t>I2S0_DIN</t>
  </si>
  <si>
    <t>I2S1_DOUT</t>
  </si>
  <si>
    <t>I2S1_DIN</t>
  </si>
  <si>
    <t>CAM0_MCLK</t>
  </si>
  <si>
    <t>CAN_TX</t>
  </si>
  <si>
    <t>CAN_RX</t>
  </si>
  <si>
    <t>CSI4_D2_N</t>
  </si>
  <si>
    <t>CSI4_D2_P</t>
  </si>
  <si>
    <t>CSI4_D3_N</t>
  </si>
  <si>
    <t>CSI4_D3_P</t>
  </si>
  <si>
    <t>DP0_TXD0_N</t>
  </si>
  <si>
    <t>DP0_TXD0_P</t>
  </si>
  <si>
    <t>DP0_TXD1_N</t>
  </si>
  <si>
    <t>DP0_TXD1_P</t>
  </si>
  <si>
    <t>DP0_TXD2_N</t>
  </si>
  <si>
    <t>DP0_TXD2_P</t>
  </si>
  <si>
    <t>DP0_TXD3_N</t>
  </si>
  <si>
    <t>DP0_TXD3_P</t>
  </si>
  <si>
    <t>DP0_AUX_N</t>
  </si>
  <si>
    <t>DP0_AUX_P</t>
  </si>
  <si>
    <t>DP1_TXD0_P</t>
  </si>
  <si>
    <t>DP1_TXD0_N</t>
  </si>
  <si>
    <t>DP1_TXD1_P</t>
  </si>
  <si>
    <t>DP1_TXD1_N</t>
  </si>
  <si>
    <t>DP1_TXD2_P</t>
  </si>
  <si>
    <t>DP1_TXD2_N</t>
  </si>
  <si>
    <t>DP1_TXD3_P</t>
  </si>
  <si>
    <t>DP1_TXD3_N</t>
  </si>
  <si>
    <t>DP1_AUX_N</t>
  </si>
  <si>
    <t>DP1_AUX_P</t>
  </si>
  <si>
    <t>GPIO00</t>
  </si>
  <si>
    <t>I2C0_SCL</t>
  </si>
  <si>
    <t>I2C0_SDA</t>
  </si>
  <si>
    <t>I2C1_SCL</t>
  </si>
  <si>
    <t>I2C1_SDA</t>
  </si>
  <si>
    <t>I2C2_SCL</t>
  </si>
  <si>
    <t>I2C2_SDA</t>
  </si>
  <si>
    <t>PCIE0_RX0_N</t>
  </si>
  <si>
    <t>PCIE0_RX0_P</t>
  </si>
  <si>
    <t>PCIE0_RX1_P</t>
  </si>
  <si>
    <t>PCIE0_RX1_N</t>
  </si>
  <si>
    <t>PCIE0_RX2_P</t>
  </si>
  <si>
    <t>PCIE0_RX2_N</t>
  </si>
  <si>
    <t>PCIE0_RX3_P</t>
  </si>
  <si>
    <t>PCIE0_RX3_N</t>
  </si>
  <si>
    <t>PCIE0_TX0_P</t>
  </si>
  <si>
    <t>PCIE0_TX0_N</t>
  </si>
  <si>
    <t>PCIE0_TX1_P</t>
  </si>
  <si>
    <t>PCIE0_TX1_N</t>
  </si>
  <si>
    <t>PCIE0_TX2_P</t>
  </si>
  <si>
    <t>PCIE0_TX2_N</t>
  </si>
  <si>
    <t>PCIE0_TX3_P</t>
  </si>
  <si>
    <t>PCIE0_TX3_N</t>
  </si>
  <si>
    <t>PCIE0_RST*</t>
  </si>
  <si>
    <t>PCIE0_CLKREQ*</t>
  </si>
  <si>
    <t>PCIE0_CLK_N</t>
  </si>
  <si>
    <t>PCIE0_CLK_P</t>
  </si>
  <si>
    <t>PCIE1_RX0_P</t>
  </si>
  <si>
    <t>PCIE1_RX0_N</t>
  </si>
  <si>
    <t>PCIE1_TX0_P</t>
  </si>
  <si>
    <t>PCIE1_TX0_N</t>
  </si>
  <si>
    <t>PCIE1_RST_N</t>
  </si>
  <si>
    <t>PCIE1_CLKREQ_N</t>
  </si>
  <si>
    <t>PCIE1_CLK_P</t>
  </si>
  <si>
    <t>PCIE1_CLK_N</t>
  </si>
  <si>
    <t>SDMMC_CLK</t>
  </si>
  <si>
    <t>SDMMC_CMD</t>
  </si>
  <si>
    <t>SDMMC_DAT0</t>
  </si>
  <si>
    <t>SDMMC_DAT1</t>
  </si>
  <si>
    <t>SDMMC_DAT2</t>
  </si>
  <si>
    <t>SDMMC_DAT3</t>
  </si>
  <si>
    <t>SPI0_MISO</t>
  </si>
  <si>
    <t>SPI0_MOSI</t>
  </si>
  <si>
    <t>SYS_RESET*</t>
  </si>
  <si>
    <t>FORCE_RECOVERY*</t>
  </si>
  <si>
    <t>SLEEP/WAKE*</t>
  </si>
  <si>
    <t>UART0_TXD</t>
  </si>
  <si>
    <t>UART0_RXD</t>
  </si>
  <si>
    <t>UART0_RTS*</t>
  </si>
  <si>
    <t>UART0_CTS*</t>
  </si>
  <si>
    <t>UART1_TXD</t>
  </si>
  <si>
    <t>UART1_RXD</t>
  </si>
  <si>
    <t>UART1_RTS*</t>
  </si>
  <si>
    <t>UART1_CTS*</t>
  </si>
  <si>
    <t>UART2_TXD</t>
  </si>
  <si>
    <t>UART2_RXD</t>
  </si>
  <si>
    <t>USB0_D_N</t>
  </si>
  <si>
    <t>USB0_D_P</t>
  </si>
  <si>
    <t>USB1_D_N</t>
  </si>
  <si>
    <t>USB1_D_P</t>
  </si>
  <si>
    <t>USB2_D_N</t>
  </si>
  <si>
    <t>USB2_D_P</t>
  </si>
  <si>
    <t>USBSS_RX_N</t>
  </si>
  <si>
    <t>USBSS_RX_P</t>
  </si>
  <si>
    <t>USBSS_TX_N</t>
  </si>
  <si>
    <t>USBSS_TX_P</t>
  </si>
  <si>
    <t>DSI_CLK_N</t>
  </si>
  <si>
    <t>DSI_CLK_P</t>
  </si>
  <si>
    <t>DSI_D0_N</t>
  </si>
  <si>
    <t>DSI_D0_P</t>
  </si>
  <si>
    <t>DSI_D1_N</t>
  </si>
  <si>
    <t>DSI_D1_P</t>
  </si>
  <si>
    <t>Baseboard 40 Pin Header CLK</t>
  </si>
  <si>
    <t>Baseboard M.2 Connector</t>
  </si>
  <si>
    <t>Baseboard 40 Pin Header I2S</t>
  </si>
  <si>
    <t>Baseboard SDMMC</t>
  </si>
  <si>
    <t>Module SPI Flash</t>
  </si>
  <si>
    <t>QSPI_SCK_AP</t>
  </si>
  <si>
    <t>QSPI_CS_AP*</t>
  </si>
  <si>
    <t>QSPI_IO0_AP</t>
  </si>
  <si>
    <t>QSPI_IO1_AP</t>
  </si>
  <si>
    <t>QSPI_WP_AP*</t>
  </si>
  <si>
    <t>QSPI_RST_AP*</t>
  </si>
  <si>
    <t>eMMC SDMMC</t>
  </si>
  <si>
    <t>RGMII Ethernet</t>
  </si>
  <si>
    <t>Module Enable VDD to SDCARD</t>
  </si>
  <si>
    <t>Force Recovery</t>
  </si>
  <si>
    <t>Ethernet PHY Interrupt to AP</t>
  </si>
  <si>
    <t>Module SOC OVR VID</t>
  </si>
  <si>
    <t>Module SDCARD Detect</t>
  </si>
  <si>
    <t>Baseboard FAN PWM</t>
  </si>
  <si>
    <t>Module Boot SEL1</t>
  </si>
  <si>
    <t>Module Boot SEL0</t>
  </si>
  <si>
    <t>Baseboard I2C Bus</t>
  </si>
  <si>
    <t>2.2K</t>
  </si>
  <si>
    <t>Module GPU Power Request</t>
  </si>
  <si>
    <t>Module GPU OVR VID</t>
  </si>
  <si>
    <t>Baseboard M.2 UART</t>
  </si>
  <si>
    <t>Baseboard 40 Pin Header SPI</t>
  </si>
  <si>
    <t>Module Ramcode 1</t>
  </si>
  <si>
    <t>Module Ramcode 0</t>
  </si>
  <si>
    <t>Baseboard USB VBUS Detect</t>
  </si>
  <si>
    <t>GPIO09 (AUD_MCLK)</t>
  </si>
  <si>
    <t>RDC_DET</t>
  </si>
  <si>
    <t>I2S3_SDOUT</t>
  </si>
  <si>
    <t>I2S3_SDIN</t>
  </si>
  <si>
    <t>I2S5_CLK</t>
  </si>
  <si>
    <t>I2S5_SDOUT</t>
  </si>
  <si>
    <t>I2S5_SDIN</t>
  </si>
  <si>
    <t>I2S5_FS</t>
  </si>
  <si>
    <t>1.5K</t>
  </si>
  <si>
    <t>ETH_INT</t>
  </si>
  <si>
    <t>SOC_OVR_VID</t>
  </si>
  <si>
    <t>GPIO2_SD_DET</t>
  </si>
  <si>
    <t>GPIO14 (PWM)</t>
  </si>
  <si>
    <t>BOOT_STRAP1</t>
  </si>
  <si>
    <t>BOOT_STRAP0</t>
  </si>
  <si>
    <t>GPU_OVR_VID</t>
  </si>
  <si>
    <t>UART0_TX</t>
  </si>
  <si>
    <t>UART0_RX</t>
  </si>
  <si>
    <t>UART5_RTS_N</t>
  </si>
  <si>
    <t>GPIO0 (USB_VBUS_EN0)</t>
  </si>
  <si>
    <t>SPI0_SCK</t>
  </si>
  <si>
    <t>SPI0_CS0</t>
  </si>
  <si>
    <t>SPI0_CS1</t>
  </si>
  <si>
    <t>CVM_SYS_RESET_N</t>
  </si>
  <si>
    <t>Module AP Reset</t>
  </si>
  <si>
    <t>SYS_SHUTDOWN_N</t>
  </si>
  <si>
    <t>AP Shutdown Request</t>
  </si>
  <si>
    <t>GPIO31_SAFESTATE</t>
  </si>
  <si>
    <t>SOC_THERM_N</t>
  </si>
  <si>
    <t>Module Current Monitor</t>
  </si>
  <si>
    <t>Module Power I2C</t>
  </si>
  <si>
    <t>PMIC_PWR_INT_N</t>
  </si>
  <si>
    <t>Module PMIC Interrupt</t>
  </si>
  <si>
    <t>Module SOC Power Request</t>
  </si>
  <si>
    <t>COMP_SOC_THERM_N</t>
  </si>
  <si>
    <t>Module Vin Monitor</t>
  </si>
  <si>
    <t>PMIC_CLK32K</t>
  </si>
  <si>
    <t>32KHz Input Clock</t>
  </si>
  <si>
    <t>SLEEP/WAKE_N</t>
  </si>
  <si>
    <t>Button Signal from Baseboard</t>
  </si>
  <si>
    <t>CAN Output</t>
  </si>
  <si>
    <t>CAN Input</t>
  </si>
  <si>
    <t>REFCLK_SELECT</t>
  </si>
  <si>
    <t>Select between PCIE and SLVS in CLK mux</t>
  </si>
  <si>
    <t>GPIO3</t>
  </si>
  <si>
    <t>Baseboard BT Enable</t>
  </si>
  <si>
    <t>GPIO4</t>
  </si>
  <si>
    <t>Baseboard Power LED Control</t>
  </si>
  <si>
    <t>GPIO5</t>
  </si>
  <si>
    <t>Baseboard Wifi Disable Control</t>
  </si>
  <si>
    <t>GPIO6</t>
  </si>
  <si>
    <t>Baseboard CAM MUX Sel</t>
  </si>
  <si>
    <t>Baseboard 40 Pin Header PWM</t>
  </si>
  <si>
    <t>UART2_TX (DEBUG)</t>
  </si>
  <si>
    <t>Debug UART</t>
  </si>
  <si>
    <t>UART2_RX (DEBUG)</t>
  </si>
  <si>
    <t>Baseboard 40 Pin Header ID I2C (3.3V)</t>
  </si>
  <si>
    <t>I2C_GP8_CLK</t>
  </si>
  <si>
    <t>Module 3.3V I2C to INA</t>
  </si>
  <si>
    <t>I2C_GP8_DAT</t>
  </si>
  <si>
    <t>Baseboard Camera CLK</t>
  </si>
  <si>
    <t>CAM1_MCLK</t>
  </si>
  <si>
    <t>I2C_CAM_SCL</t>
  </si>
  <si>
    <t>Baseboard Camera I2C (3.3V)</t>
  </si>
  <si>
    <t>I2C_CAM_SDA</t>
  </si>
  <si>
    <t>Baseboard Camera PWDN</t>
  </si>
  <si>
    <t>CAM1_PWDN</t>
  </si>
  <si>
    <t>THERM1_WARN_N</t>
  </si>
  <si>
    <t>Module INA Warning</t>
  </si>
  <si>
    <t>Baseboard M.2 Alert</t>
  </si>
  <si>
    <t>GPIO08 (SDMMC_CD)/FAN_TACH</t>
  </si>
  <si>
    <t>Baseboard FAN TACH</t>
  </si>
  <si>
    <t>Baseboard M.2 Wake Request to AP</t>
  </si>
  <si>
    <t>SLVS HSYNC</t>
  </si>
  <si>
    <t>GPIO01 (CLK)</t>
  </si>
  <si>
    <t>Baseboard 40 Pin GPIO</t>
  </si>
  <si>
    <t>GPIO011 (CLK)</t>
  </si>
  <si>
    <t>SLVS VSYNC</t>
  </si>
  <si>
    <t>GPIO07 (PWM)</t>
  </si>
  <si>
    <t>ETH_RST</t>
  </si>
  <si>
    <t>Ethernet PHY Reset</t>
  </si>
  <si>
    <t>Baseboard 40 Pin Header UART</t>
  </si>
  <si>
    <t>UART1_RTS_N</t>
  </si>
  <si>
    <t>UART1_CTS_N</t>
  </si>
  <si>
    <t>OFF</t>
  </si>
  <si>
    <t>CPU_PWR_REQ</t>
  </si>
  <si>
    <t>Module CPU Rail PWR REQ</t>
  </si>
  <si>
    <t>PEX Wake</t>
  </si>
  <si>
    <t>PEX Controller 5 CLKREQ</t>
  </si>
  <si>
    <t>PEX Controller 5 RST</t>
  </si>
  <si>
    <t>DP AUX CH0</t>
  </si>
  <si>
    <t>HPD CH0</t>
  </si>
  <si>
    <t>DP AUX CH1</t>
  </si>
  <si>
    <t>HPD CH1</t>
  </si>
  <si>
    <t>Baseboard 40 Pin I2C (3.3V)</t>
  </si>
  <si>
    <t>GPIO13 (PWM)</t>
  </si>
  <si>
    <t>Baseboard 40 Pin Header</t>
  </si>
  <si>
    <t>CSI_F_D2_N</t>
  </si>
  <si>
    <t>CSI_F_D2_P</t>
  </si>
  <si>
    <t>CSI_F_D3_N</t>
  </si>
  <si>
    <t>CSI_F_D3_P</t>
  </si>
  <si>
    <t>HDMI_DP0_TXD0_P</t>
  </si>
  <si>
    <t>HDMI_DP0_TXD0_N</t>
  </si>
  <si>
    <t>HDMI_DP0_TXD1_P</t>
  </si>
  <si>
    <t>HDMI_DP0_TXD1_N</t>
  </si>
  <si>
    <t>HDMI_DP0_TXD2_P</t>
  </si>
  <si>
    <t>HDMI_DP0_TXD2_N</t>
  </si>
  <si>
    <t>HDMI_DP0_TXD3_P</t>
  </si>
  <si>
    <t>HDMI_DP0_TXD3_N</t>
  </si>
  <si>
    <t>HDMI_DP1_TXD0_P</t>
  </si>
  <si>
    <t>HDMI_DP1_TXD0_N</t>
  </si>
  <si>
    <t>HDMI_DP1_TXD1_P</t>
  </si>
  <si>
    <t>HDMI_DP1_TXD1_N</t>
  </si>
  <si>
    <t>HDMI_DP1_TXD2_P</t>
  </si>
  <si>
    <t>HDMI_DP1_TXD2_N</t>
  </si>
  <si>
    <t>HDMI_DP1_TXD3_P</t>
  </si>
  <si>
    <t>HDMI_DP1_TXD3_N</t>
  </si>
  <si>
    <t>DP_HDMI 1</t>
  </si>
  <si>
    <t>DP_HDMI 2</t>
  </si>
  <si>
    <t>USB0</t>
  </si>
  <si>
    <t>USB1</t>
  </si>
  <si>
    <t>USB2</t>
  </si>
  <si>
    <t>PCIe x1 to Baseboard</t>
  </si>
  <si>
    <t>USB SS to Baseboard</t>
  </si>
  <si>
    <t>PCIe x4 to Baseboard</t>
  </si>
  <si>
    <t>SPI1_CS0*</t>
  </si>
  <si>
    <t>SPI1_CS1*</t>
  </si>
  <si>
    <t>SPI0_CS0*</t>
  </si>
  <si>
    <t>SPI0_CS1*</t>
  </si>
  <si>
    <t>MOD_SLEEP*</t>
  </si>
  <si>
    <t>PCIE_WAKE*</t>
  </si>
  <si>
    <t>This spreadsheet is a companion to the Jetson Xavier NX Module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</si>
  <si>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Jetson Xavier NX Signal Name</t>
  </si>
  <si>
    <t>Sample Usage</t>
  </si>
  <si>
    <t>Unstuffed SD Card slot</t>
  </si>
  <si>
    <t>Preliminary information: Initial Release</t>
  </si>
  <si>
    <t>Change PCIe x 1 controller from C1 to C4 and associated sideband signals</t>
  </si>
  <si>
    <t>PEX Controller 4 CLKREQ</t>
  </si>
  <si>
    <t>PEX Controller 4 RST</t>
  </si>
  <si>
    <t>PEX_CLK4_P</t>
  </si>
  <si>
    <t>PEX_CLK4_N</t>
  </si>
  <si>
    <t>PEX C4 REFCLK Output</t>
  </si>
  <si>
    <t>PEX_CLK5_P</t>
  </si>
  <si>
    <t>PEX C5 REFCLK Output</t>
  </si>
  <si>
    <t>PEX_CLK5_N</t>
  </si>
  <si>
    <t>Change CAM_I2C LPDR setting from "ENABLE" to "DISABLE" to increase drive strength</t>
  </si>
  <si>
    <t>Change PCIE1_CLKREQ_N and PCIE1_RST_N confogurations</t>
  </si>
  <si>
    <t>Change 40-pin header signals previously configured as "un-used" to GPIO</t>
  </si>
  <si>
    <t>Change GPIO04 from "input" to "output"</t>
  </si>
  <si>
    <t>Change SOC_GPIO11 to GPIO from SFIO for SDCard Detect by the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</si>
</sst>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0.00_)"/>
  </numFmts>
  <fonts count="68">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1"/>
      <name val="Calibri"/>
      <family val="2"/>
      <scheme val="minor"/>
    </font>
  </fonts>
  <fills count="93">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2" tint="-0.499984740745262"/>
        <bgColor indexed="64"/>
      </patternFill>
    </fill>
    <fill>
      <patternFill patternType="solid">
        <fgColor rgb="FFFF0000"/>
        <bgColor indexed="64"/>
      </patternFill>
    </fill>
  </fills>
  <borders count="71">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bottom style="thin">
        <color theme="0" tint="-0.499984740745262"/>
      </bottom>
      <diagonal/>
    </border>
    <border>
      <left/>
      <right style="thin">
        <color auto="1"/>
      </right>
      <top/>
      <bottom style="thin">
        <color theme="0" tint="-0.499984740745262"/>
      </bottom>
      <diagonal/>
    </border>
  </borders>
  <cellStyleXfs count="53471">
    <xf numFmtId="0" fontId="0" fillId="0" borderId="0"/>
    <xf numFmtId="0" fontId="3" fillId="4" borderId="0" applyNumberFormat="0" applyBorder="0" applyAlignment="0" applyProtection="0"/>
    <xf numFmtId="0" fontId="6" fillId="0" borderId="0"/>
    <xf numFmtId="0" fontId="8"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60" applyNumberFormat="0" applyAlignment="0" applyProtection="0"/>
    <xf numFmtId="0" fontId="43" fillId="36" borderId="13" applyNumberFormat="0" applyAlignment="0" applyProtection="0"/>
    <xf numFmtId="0" fontId="44" fillId="0" borderId="61" applyNumberFormat="0" applyFill="0" applyAlignment="0" applyProtection="0"/>
    <xf numFmtId="0" fontId="45" fillId="37" borderId="62" applyNumberFormat="0" applyAlignment="0" applyProtection="0"/>
    <xf numFmtId="0" fontId="46" fillId="0" borderId="0" applyNumberFormat="0" applyFill="0" applyBorder="0" applyAlignment="0" applyProtection="0"/>
    <xf numFmtId="0" fontId="14" fillId="38" borderId="63" applyNumberFormat="0" applyFont="0" applyAlignment="0" applyProtection="0"/>
    <xf numFmtId="0" fontId="47" fillId="0" borderId="0" applyNumberFormat="0" applyFill="0" applyBorder="0" applyAlignment="0" applyProtection="0"/>
    <xf numFmtId="0" fontId="48" fillId="0" borderId="64"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43" fillId="36" borderId="13"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0" fontId="38" fillId="0" borderId="57"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8" fillId="6"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4"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42" fillId="36" borderId="60"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4"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6" fillId="0" borderId="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30" borderId="40"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30" borderId="47"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4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27" fillId="0" borderId="44"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 fillId="0" borderId="0"/>
    <xf numFmtId="0" fontId="60" fillId="0" borderId="0"/>
    <xf numFmtId="0" fontId="60" fillId="0" borderId="0"/>
    <xf numFmtId="0" fontId="60" fillId="0" borderId="0"/>
    <xf numFmtId="0" fontId="60" fillId="0" borderId="0"/>
    <xf numFmtId="0" fontId="60"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3"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6"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6" fillId="0" borderId="0"/>
    <xf numFmtId="0" fontId="3"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1" fillId="30" borderId="40" applyNumberFormat="0" applyAlignment="0" applyProtection="0"/>
    <xf numFmtId="0" fontId="21" fillId="30" borderId="40" applyNumberFormat="0" applyAlignment="0" applyProtection="0"/>
    <xf numFmtId="0" fontId="6" fillId="0" borderId="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2" fillId="31" borderId="41" applyNumberFormat="0" applyAlignment="0" applyProtection="0"/>
    <xf numFmtId="0" fontId="45" fillId="37" borderId="62"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6" fillId="0" borderId="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8" fillId="6" borderId="13" applyNumberFormat="0" applyAlignment="0" applyProtection="0"/>
    <xf numFmtId="0" fontId="42" fillId="36" borderId="60" applyNumberFormat="0" applyAlignment="0" applyProtection="0"/>
    <xf numFmtId="0" fontId="43" fillId="36" borderId="13" applyNumberFormat="0" applyAlignment="0" applyProtection="0"/>
    <xf numFmtId="0" fontId="14" fillId="38" borderId="63" applyNumberFormat="0" applyFont="0" applyAlignment="0" applyProtection="0"/>
    <xf numFmtId="0" fontId="48" fillId="0" borderId="64"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8"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3"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3" fillId="0" borderId="66" applyNumberFormat="0" applyFill="0" applyAlignment="0" applyProtection="0"/>
    <xf numFmtId="0" fontId="64" fillId="0" borderId="67"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4" fillId="0" borderId="0"/>
    <xf numFmtId="0" fontId="19" fillId="81"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4" borderId="0" applyNumberFormat="0" applyBorder="0" applyAlignment="0" applyProtection="0"/>
    <xf numFmtId="0" fontId="21" fillId="65" borderId="40"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40" applyNumberFormat="0" applyAlignment="0" applyProtection="0"/>
    <xf numFmtId="0" fontId="43" fillId="36" borderId="13"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42" applyNumberFormat="0" applyFill="0" applyAlignment="0" applyProtection="0"/>
    <xf numFmtId="0" fontId="54" fillId="0" borderId="42"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0" applyNumberFormat="0" applyFill="0" applyBorder="0" applyAlignment="0" applyProtection="0"/>
    <xf numFmtId="0" fontId="6" fillId="0" borderId="0"/>
    <xf numFmtId="0" fontId="51" fillId="0" borderId="0" applyNumberFormat="0" applyFill="0" applyBorder="0" applyAlignment="0" applyProtection="0">
      <alignment vertical="top"/>
      <protection locked="0"/>
    </xf>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7" applyNumberFormat="0" applyAlignment="0" applyProtection="0"/>
    <xf numFmtId="0" fontId="32" fillId="73" borderId="47" applyNumberFormat="0" applyAlignment="0" applyProtection="0"/>
    <xf numFmtId="0" fontId="42" fillId="36" borderId="60"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4" fillId="0" borderId="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65"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1" fillId="73"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0" fontId="29" fillId="17" borderId="40"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6" fillId="0" borderId="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6"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66" applyNumberFormat="0" applyFill="0" applyAlignment="0" applyProtection="0"/>
    <xf numFmtId="0" fontId="56" fillId="0" borderId="67"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56" fillId="0" borderId="67" applyNumberFormat="0" applyFill="0" applyAlignment="0" applyProtection="0"/>
    <xf numFmtId="0" fontId="29" fillId="17" borderId="40" applyNumberFormat="0" applyAlignment="0" applyProtection="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58" fillId="0" borderId="0" applyNumberFormat="0" applyFill="0" applyBorder="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cellStyleXfs>
  <cellXfs count="385">
    <xf numFmtId="0" fontId="0" fillId="0" borderId="0" xfId="0"/>
    <xf numFmtId="0" fontId="7" fillId="11" borderId="26" xfId="0" applyFont="1" applyFill="1" applyBorder="1" applyAlignment="1" applyProtection="1">
      <alignment horizontal="center"/>
      <protection locked="0"/>
    </xf>
    <xf numFmtId="0" fontId="7" fillId="11" borderId="20" xfId="0" applyFont="1" applyFill="1" applyBorder="1" applyAlignment="1" applyProtection="1">
      <alignment horizontal="center" vertical="center"/>
      <protection locked="0"/>
    </xf>
    <xf numFmtId="0" fontId="7" fillId="9" borderId="20" xfId="0" applyFont="1" applyFill="1" applyBorder="1" applyAlignment="1" applyProtection="1">
      <alignment horizontal="center"/>
    </xf>
    <xf numFmtId="0" fontId="7" fillId="11" borderId="20" xfId="0" applyFont="1" applyFill="1" applyBorder="1" applyAlignment="1" applyProtection="1">
      <alignment horizontal="center"/>
      <protection locked="0"/>
    </xf>
    <xf numFmtId="0" fontId="7" fillId="9" borderId="21" xfId="0" applyFont="1" applyFill="1" applyBorder="1" applyAlignment="1" applyProtection="1">
      <alignment horizontal="center"/>
      <protection locked="0"/>
    </xf>
    <xf numFmtId="0" fontId="7" fillId="9" borderId="23" xfId="0" applyFont="1" applyFill="1" applyBorder="1" applyAlignment="1" applyProtection="1">
      <alignment horizontal="center"/>
    </xf>
    <xf numFmtId="0" fontId="1" fillId="0" borderId="0" xfId="0" applyFont="1" applyFill="1" applyAlignment="1" applyProtection="1">
      <alignment horizontal="left"/>
      <protection hidden="1"/>
    </xf>
    <xf numFmtId="0" fontId="7" fillId="11" borderId="24"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9" borderId="31" xfId="0" applyFont="1" applyFill="1" applyBorder="1" applyAlignment="1" applyProtection="1">
      <alignment horizontal="center"/>
    </xf>
    <xf numFmtId="0" fontId="7" fillId="11" borderId="32" xfId="0" applyFont="1" applyFill="1" applyBorder="1" applyAlignment="1" applyProtection="1">
      <alignment horizontal="center"/>
      <protection locked="0"/>
    </xf>
    <xf numFmtId="0" fontId="7" fillId="11" borderId="34" xfId="0" applyFont="1" applyFill="1" applyBorder="1" applyAlignment="1" applyProtection="1">
      <alignment horizontal="center"/>
      <protection locked="0"/>
    </xf>
    <xf numFmtId="0" fontId="7" fillId="11" borderId="35" xfId="0" quotePrefix="1" applyFont="1" applyFill="1" applyBorder="1" applyAlignment="1" applyProtection="1">
      <alignment horizontal="center"/>
      <protection locked="0"/>
    </xf>
    <xf numFmtId="0" fontId="7" fillId="11" borderId="37" xfId="0" applyFont="1" applyFill="1" applyBorder="1" applyAlignment="1" applyProtection="1">
      <alignment horizontal="center"/>
      <protection locked="0"/>
    </xf>
    <xf numFmtId="0" fontId="7" fillId="11" borderId="24" xfId="0" quotePrefix="1" applyFont="1" applyFill="1" applyBorder="1" applyAlignment="1" applyProtection="1">
      <alignment horizontal="center"/>
      <protection locked="0"/>
    </xf>
    <xf numFmtId="0" fontId="7" fillId="9" borderId="24" xfId="0" applyFont="1" applyFill="1" applyBorder="1" applyAlignment="1" applyProtection="1">
      <alignment horizontal="center"/>
    </xf>
    <xf numFmtId="0" fontId="7" fillId="11" borderId="38" xfId="0" quotePrefix="1" applyFont="1" applyFill="1" applyBorder="1" applyAlignment="1" applyProtection="1">
      <alignment horizontal="center"/>
      <protection locked="0"/>
    </xf>
    <xf numFmtId="0" fontId="7" fillId="11" borderId="32" xfId="0" quotePrefix="1" applyFont="1" applyFill="1" applyBorder="1" applyAlignment="1" applyProtection="1">
      <alignment horizontal="center"/>
      <protection locked="0"/>
    </xf>
    <xf numFmtId="0" fontId="8" fillId="6" borderId="38" xfId="3" applyBorder="1" applyAlignment="1" applyProtection="1">
      <alignment horizontal="center" vertical="center"/>
    </xf>
    <xf numFmtId="0" fontId="8" fillId="6" borderId="32" xfId="3" applyBorder="1" applyAlignment="1" applyProtection="1">
      <alignment horizontal="center" vertical="center"/>
    </xf>
    <xf numFmtId="0" fontId="8" fillId="6" borderId="33" xfId="3" applyBorder="1" applyAlignment="1" applyProtection="1">
      <alignment horizontal="center" vertical="center"/>
    </xf>
    <xf numFmtId="0" fontId="7" fillId="9" borderId="39" xfId="0" applyFont="1" applyFill="1" applyBorder="1" applyAlignment="1" applyProtection="1">
      <alignment horizontal="center"/>
    </xf>
    <xf numFmtId="0" fontId="9" fillId="0" borderId="0" xfId="0" applyFont="1" applyAlignment="1" applyProtection="1">
      <alignment horizontal="center"/>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6"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17" xfId="0" applyFont="1" applyBorder="1" applyAlignment="1">
      <alignment horizontal="left"/>
    </xf>
    <xf numFmtId="0" fontId="9" fillId="0" borderId="11" xfId="0" applyFont="1" applyBorder="1" applyAlignment="1">
      <alignment horizontal="left"/>
    </xf>
    <xf numFmtId="0" fontId="9" fillId="0" borderId="9" xfId="0" applyFont="1" applyBorder="1" applyAlignment="1">
      <alignment horizontal="center" wrapText="1"/>
    </xf>
    <xf numFmtId="0" fontId="9" fillId="0" borderId="18"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6" xfId="0" applyFont="1" applyBorder="1" applyAlignment="1">
      <alignment horizontal="left" shrinkToFit="1"/>
    </xf>
    <xf numFmtId="0" fontId="9" fillId="0" borderId="16"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6" xfId="0" applyNumberFormat="1" applyFont="1" applyBorder="1" applyAlignment="1">
      <alignment horizontal="left" wrapText="1"/>
    </xf>
    <xf numFmtId="0" fontId="9" fillId="0" borderId="1" xfId="0" applyFont="1" applyBorder="1" applyAlignment="1">
      <alignment horizontal="center"/>
    </xf>
    <xf numFmtId="0" fontId="9" fillId="0" borderId="0" xfId="0" applyFont="1" applyBorder="1" applyAlignment="1">
      <alignment horizontal="center"/>
    </xf>
    <xf numFmtId="0" fontId="9" fillId="0" borderId="16" xfId="0" applyFont="1" applyBorder="1" applyAlignment="1">
      <alignment horizontal="center" vertical="center" wrapText="1"/>
    </xf>
    <xf numFmtId="0" fontId="12" fillId="9" borderId="14" xfId="0" applyFont="1" applyFill="1" applyBorder="1" applyAlignment="1">
      <alignment horizontal="left" wrapText="1"/>
    </xf>
    <xf numFmtId="0" fontId="12" fillId="9" borderId="14" xfId="0" applyFont="1" applyFill="1" applyBorder="1" applyAlignment="1">
      <alignment horizontal="left" shrinkToFit="1"/>
    </xf>
    <xf numFmtId="49" fontId="12" fillId="9" borderId="14" xfId="0" applyNumberFormat="1" applyFont="1" applyFill="1" applyBorder="1" applyAlignment="1">
      <alignment horizontal="left"/>
    </xf>
    <xf numFmtId="0" fontId="12" fillId="9" borderId="14" xfId="0" applyFont="1" applyFill="1" applyBorder="1" applyAlignment="1">
      <alignment horizontal="left"/>
    </xf>
    <xf numFmtId="0" fontId="12" fillId="9" borderId="14"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1"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0" xfId="0" applyNumberFormat="1" applyFont="1" applyBorder="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7" fillId="9" borderId="21" xfId="0" applyFont="1" applyFill="1" applyBorder="1" applyAlignment="1" applyProtection="1">
      <alignment horizontal="center"/>
    </xf>
    <xf numFmtId="0" fontId="12" fillId="9" borderId="14" xfId="0" applyFont="1" applyFill="1" applyBorder="1" applyAlignment="1" applyProtection="1">
      <alignment horizontal="left" wrapText="1"/>
      <protection hidden="1"/>
    </xf>
    <xf numFmtId="0" fontId="12" fillId="9" borderId="14" xfId="0" applyFont="1" applyFill="1" applyBorder="1" applyAlignment="1" applyProtection="1">
      <alignment horizontal="left" shrinkToFit="1"/>
      <protection hidden="1"/>
    </xf>
    <xf numFmtId="49" fontId="12" fillId="9" borderId="14" xfId="0" applyNumberFormat="1" applyFont="1" applyFill="1" applyBorder="1" applyAlignment="1" applyProtection="1">
      <alignment horizontal="left"/>
      <protection hidden="1"/>
    </xf>
    <xf numFmtId="0" fontId="12" fillId="9" borderId="14" xfId="0" applyFont="1" applyFill="1" applyBorder="1" applyAlignment="1" applyProtection="1">
      <alignment horizontal="left"/>
      <protection locked="0"/>
    </xf>
    <xf numFmtId="0" fontId="13" fillId="9" borderId="14" xfId="0" applyFont="1" applyFill="1" applyBorder="1" applyAlignment="1" applyProtection="1">
      <alignment horizontal="center"/>
      <protection locked="0"/>
    </xf>
    <xf numFmtId="0" fontId="1" fillId="0" borderId="0" xfId="0" applyFont="1" applyBorder="1" applyAlignment="1">
      <alignment horizontal="left" shrinkToFit="1"/>
    </xf>
    <xf numFmtId="49" fontId="1" fillId="0" borderId="10"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12" fillId="9" borderId="15"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shrinkToFit="1"/>
      <protection hidden="1"/>
    </xf>
    <xf numFmtId="49" fontId="12" fillId="9" borderId="14" xfId="0" applyNumberFormat="1" applyFont="1" applyFill="1" applyBorder="1" applyAlignment="1" applyProtection="1">
      <alignment horizontal="left" vertical="center"/>
      <protection hidden="1"/>
    </xf>
    <xf numFmtId="0" fontId="12" fillId="9" borderId="14" xfId="0" applyFont="1" applyFill="1" applyBorder="1" applyAlignment="1">
      <alignment horizontal="left" vertical="center"/>
    </xf>
    <xf numFmtId="0" fontId="13" fillId="9" borderId="14" xfId="0" applyFont="1" applyFill="1" applyBorder="1" applyAlignment="1">
      <alignment horizontal="center" vertical="center"/>
    </xf>
    <xf numFmtId="0" fontId="12" fillId="0" borderId="0" xfId="0" applyFont="1" applyBorder="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8" fillId="6" borderId="27"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4" xfId="0" applyFont="1" applyFill="1" applyBorder="1" applyAlignment="1" applyProtection="1">
      <alignment horizontal="left" vertical="center"/>
    </xf>
    <xf numFmtId="0" fontId="13" fillId="9" borderId="14" xfId="0" applyFont="1" applyFill="1" applyBorder="1" applyAlignment="1" applyProtection="1">
      <alignment horizontal="center" vertical="center"/>
    </xf>
    <xf numFmtId="0" fontId="8" fillId="6" borderId="0" xfId="3" applyBorder="1" applyAlignment="1">
      <alignment horizontal="left" vertical="center"/>
    </xf>
    <xf numFmtId="0" fontId="8" fillId="6" borderId="26" xfId="3" applyBorder="1" applyAlignment="1">
      <alignment horizontal="left" vertical="center"/>
    </xf>
    <xf numFmtId="0" fontId="8" fillId="6" borderId="28" xfId="3" applyBorder="1" applyAlignment="1">
      <alignment horizontal="left" vertical="center"/>
    </xf>
    <xf numFmtId="0" fontId="8" fillId="6" borderId="25" xfId="3" applyBorder="1" applyAlignment="1">
      <alignment horizontal="left" vertical="center"/>
    </xf>
    <xf numFmtId="0" fontId="1" fillId="0" borderId="11" xfId="0" applyFont="1" applyBorder="1" applyAlignment="1" applyProtection="1">
      <alignment horizontal="left"/>
      <protection hidden="1"/>
    </xf>
    <xf numFmtId="49" fontId="1" fillId="10" borderId="9" xfId="0" applyNumberFormat="1" applyFont="1" applyFill="1" applyBorder="1" applyAlignment="1" applyProtection="1">
      <alignment horizontal="left" vertical="center"/>
      <protection hidden="1"/>
    </xf>
    <xf numFmtId="0" fontId="8" fillId="6" borderId="29"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0" fontId="8" fillId="6" borderId="30" xfId="3" applyBorder="1" applyAlignment="1">
      <alignment vertical="center"/>
    </xf>
    <xf numFmtId="49" fontId="1" fillId="0" borderId="0" xfId="0" applyNumberFormat="1" applyFont="1" applyBorder="1" applyAlignment="1">
      <alignment horizontal="left"/>
    </xf>
    <xf numFmtId="0" fontId="8" fillId="0" borderId="0" xfId="3" applyFill="1" applyBorder="1"/>
    <xf numFmtId="0" fontId="8" fillId="0" borderId="0" xfId="3" applyFill="1" applyBorder="1" applyAlignment="1">
      <alignment horizontal="center"/>
    </xf>
    <xf numFmtId="49" fontId="1" fillId="0" borderId="0" xfId="0" applyNumberFormat="1" applyFont="1" applyBorder="1" applyAlignment="1" applyProtection="1">
      <alignment horizontal="left"/>
    </xf>
    <xf numFmtId="0" fontId="8" fillId="0" borderId="0" xfId="3" applyFill="1" applyBorder="1" applyProtection="1"/>
    <xf numFmtId="0" fontId="8"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4"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4" xfId="0" applyFont="1" applyFill="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11" xfId="0" applyFont="1" applyBorder="1" applyAlignment="1" applyProtection="1">
      <alignment horizontal="center" vertical="center"/>
    </xf>
    <xf numFmtId="0" fontId="9" fillId="0" borderId="0" xfId="0" applyFont="1" applyBorder="1" applyAlignment="1" applyProtection="1">
      <alignment horizontal="center" vertical="center" wrapText="1"/>
    </xf>
    <xf numFmtId="0" fontId="1" fillId="0" borderId="9" xfId="0" applyFont="1" applyBorder="1" applyAlignment="1" applyProtection="1">
      <alignment horizontal="left"/>
      <protection hidden="1"/>
    </xf>
    <xf numFmtId="0" fontId="1" fillId="0" borderId="10" xfId="0" applyFont="1" applyBorder="1" applyAlignment="1" applyProtection="1">
      <alignment horizontal="left"/>
      <protection hidden="1"/>
    </xf>
    <xf numFmtId="0" fontId="7" fillId="12" borderId="20" xfId="0" quotePrefix="1" applyFont="1" applyFill="1" applyBorder="1" applyAlignment="1" applyProtection="1">
      <alignment horizontal="center"/>
    </xf>
    <xf numFmtId="0" fontId="7" fillId="12" borderId="21" xfId="0" applyFont="1" applyFill="1" applyBorder="1" applyAlignment="1" applyProtection="1">
      <alignment horizontal="center"/>
    </xf>
    <xf numFmtId="0" fontId="7" fillId="12" borderId="31" xfId="0" applyFont="1" applyFill="1" applyBorder="1" applyAlignment="1" applyProtection="1">
      <alignment horizontal="center"/>
    </xf>
    <xf numFmtId="0" fontId="7" fillId="12" borderId="21" xfId="0" quotePrefix="1" applyFont="1" applyFill="1" applyBorder="1" applyAlignment="1" applyProtection="1">
      <alignment horizontal="center"/>
    </xf>
    <xf numFmtId="0" fontId="7" fillId="12" borderId="24" xfId="0" applyFont="1" applyFill="1" applyBorder="1" applyAlignment="1" applyProtection="1">
      <alignment horizontal="center"/>
    </xf>
    <xf numFmtId="0" fontId="9" fillId="7" borderId="7" xfId="0" applyFont="1" applyFill="1" applyBorder="1" applyAlignment="1">
      <alignment horizontal="center" shrinkToFit="1"/>
    </xf>
    <xf numFmtId="0" fontId="9" fillId="5" borderId="7" xfId="0" applyFont="1" applyFill="1" applyBorder="1" applyAlignment="1">
      <alignment horizontal="center" shrinkToFit="1"/>
    </xf>
    <xf numFmtId="0" fontId="9" fillId="8" borderId="9" xfId="0" applyFont="1" applyFill="1" applyBorder="1" applyAlignment="1">
      <alignment horizontal="center" shrinkToFit="1"/>
    </xf>
    <xf numFmtId="0" fontId="9" fillId="2" borderId="7" xfId="0" applyFont="1" applyFill="1" applyBorder="1" applyAlignment="1">
      <alignment horizontal="center" vertical="center"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64" fontId="6" fillId="0" borderId="0" xfId="0" applyNumberFormat="1" applyFont="1" applyBorder="1" applyAlignment="1">
      <alignment horizontal="center"/>
    </xf>
    <xf numFmtId="49" fontId="6" fillId="0" borderId="0" xfId="0" applyNumberFormat="1" applyFont="1" applyBorder="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8" fillId="6" borderId="49" xfId="3" applyBorder="1" applyAlignment="1" applyProtection="1">
      <alignment horizontal="left" vertical="center"/>
    </xf>
    <xf numFmtId="0" fontId="8" fillId="6" borderId="50" xfId="3" applyBorder="1" applyProtection="1"/>
    <xf numFmtId="0" fontId="8" fillId="6" borderId="51" xfId="3" applyBorder="1"/>
    <xf numFmtId="0" fontId="8" fillId="6" borderId="50" xfId="3" applyBorder="1"/>
    <xf numFmtId="0" fontId="8" fillId="11" borderId="50" xfId="3" applyFill="1" applyBorder="1"/>
    <xf numFmtId="0" fontId="8" fillId="6" borderId="52" xfId="3" applyBorder="1"/>
    <xf numFmtId="0" fontId="8" fillId="6" borderId="53" xfId="3" applyBorder="1"/>
    <xf numFmtId="0" fontId="7" fillId="11" borderId="31" xfId="0" applyFont="1" applyFill="1" applyBorder="1" applyAlignment="1" applyProtection="1">
      <alignment horizontal="center" vertical="center"/>
      <protection locked="0"/>
    </xf>
    <xf numFmtId="0" fontId="8" fillId="6" borderId="54" xfId="3" applyBorder="1" applyProtection="1"/>
    <xf numFmtId="0" fontId="1" fillId="0" borderId="0" xfId="0" applyFont="1" applyAlignment="1">
      <alignment horizontal="center"/>
    </xf>
    <xf numFmtId="0" fontId="3" fillId="4" borderId="0" xfId="1" applyAlignment="1">
      <alignment horizontal="center"/>
    </xf>
    <xf numFmtId="0" fontId="36" fillId="5" borderId="0" xfId="148" applyFill="1" applyAlignment="1">
      <alignment horizontal="center"/>
    </xf>
    <xf numFmtId="0" fontId="9" fillId="11" borderId="14" xfId="0" quotePrefix="1" applyFont="1" applyFill="1" applyBorder="1" applyAlignment="1" applyProtection="1">
      <alignment horizontal="center"/>
      <protection locked="0"/>
    </xf>
    <xf numFmtId="0" fontId="8" fillId="6" borderId="54" xfId="3" applyBorder="1"/>
    <xf numFmtId="0" fontId="8" fillId="11" borderId="53" xfId="3" applyFill="1" applyBorder="1"/>
    <xf numFmtId="0" fontId="8" fillId="6" borderId="55" xfId="3" applyBorder="1"/>
    <xf numFmtId="0" fontId="7" fillId="11" borderId="39" xfId="0" applyFont="1" applyFill="1" applyBorder="1" applyAlignment="1" applyProtection="1">
      <alignment horizontal="center" vertical="center"/>
      <protection locked="0"/>
    </xf>
    <xf numFmtId="0" fontId="7" fillId="11" borderId="39" xfId="0" applyFont="1" applyFill="1" applyBorder="1" applyAlignment="1" applyProtection="1">
      <alignment horizontal="center"/>
      <protection locked="0"/>
    </xf>
    <xf numFmtId="0" fontId="7" fillId="12" borderId="39" xfId="0" applyFont="1" applyFill="1" applyBorder="1" applyAlignment="1" applyProtection="1">
      <alignment horizontal="center"/>
    </xf>
    <xf numFmtId="0" fontId="7" fillId="11" borderId="56" xfId="0" quotePrefix="1" applyFont="1" applyFill="1" applyBorder="1" applyAlignment="1" applyProtection="1">
      <alignment horizontal="center"/>
      <protection locked="0"/>
    </xf>
    <xf numFmtId="0" fontId="7" fillId="12" borderId="39" xfId="0" quotePrefix="1" applyFont="1" applyFill="1" applyBorder="1" applyAlignment="1" applyProtection="1">
      <alignment horizontal="center"/>
    </xf>
    <xf numFmtId="0" fontId="7" fillId="12" borderId="20" xfId="0" applyFont="1" applyFill="1" applyBorder="1" applyAlignment="1" applyProtection="1">
      <alignment horizontal="center"/>
    </xf>
    <xf numFmtId="0" fontId="12" fillId="9" borderId="14" xfId="0" applyFont="1" applyFill="1" applyBorder="1" applyAlignment="1"/>
    <xf numFmtId="0" fontId="13" fillId="9" borderId="14" xfId="0" applyFont="1" applyFill="1" applyBorder="1" applyAlignment="1" applyProtection="1">
      <protection locked="0"/>
    </xf>
    <xf numFmtId="0" fontId="12" fillId="9" borderId="12" xfId="0" applyFont="1" applyFill="1" applyBorder="1" applyAlignment="1">
      <alignment shrinkToFit="1"/>
    </xf>
    <xf numFmtId="0" fontId="7" fillId="11" borderId="21" xfId="0" applyFont="1" applyFill="1" applyBorder="1" applyAlignment="1" applyProtection="1">
      <alignment horizontal="center"/>
    </xf>
    <xf numFmtId="0" fontId="1" fillId="0" borderId="10" xfId="0" applyNumberFormat="1" applyFont="1" applyBorder="1" applyAlignment="1" applyProtection="1">
      <alignment horizontal="left"/>
      <protection locked="0"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21" xfId="0" applyFont="1" applyFill="1" applyBorder="1" applyAlignment="1" applyProtection="1">
      <alignment horizontal="center"/>
      <protection locked="0"/>
    </xf>
    <xf numFmtId="0" fontId="7" fillId="11" borderId="21" xfId="0" applyFont="1" applyFill="1" applyBorder="1" applyAlignment="1" applyProtection="1">
      <alignment horizontal="center" vertical="center"/>
      <protection locked="0"/>
    </xf>
    <xf numFmtId="0" fontId="8" fillId="6" borderId="49" xfId="3" applyBorder="1"/>
    <xf numFmtId="0" fontId="8" fillId="11" borderId="49" xfId="3" applyFill="1" applyBorder="1"/>
    <xf numFmtId="0" fontId="12" fillId="9" borderId="12" xfId="0" applyFont="1" applyFill="1" applyBorder="1" applyAlignment="1"/>
    <xf numFmtId="0" fontId="7" fillId="9" borderId="35" xfId="0" applyFont="1" applyFill="1" applyBorder="1" applyAlignment="1" applyProtection="1">
      <alignment horizontal="center"/>
    </xf>
    <xf numFmtId="0" fontId="7" fillId="9" borderId="36" xfId="0" applyFont="1" applyFill="1" applyBorder="1" applyAlignment="1" applyProtection="1">
      <alignment horizontal="center"/>
    </xf>
    <xf numFmtId="0" fontId="12" fillId="9" borderId="11" xfId="0" applyFont="1" applyFill="1" applyBorder="1" applyAlignment="1" applyProtection="1">
      <alignment horizontal="left" wrapText="1"/>
      <protection hidden="1"/>
    </xf>
    <xf numFmtId="0" fontId="13" fillId="9" borderId="12" xfId="0" applyFont="1" applyFill="1" applyBorder="1" applyAlignment="1">
      <alignment horizontal="center" vertical="center"/>
    </xf>
    <xf numFmtId="0" fontId="1" fillId="0" borderId="0" xfId="0" applyNumberFormat="1" applyFont="1" applyFill="1" applyBorder="1" applyAlignment="1" applyProtection="1">
      <alignment horizontal="left"/>
      <protection hidden="1"/>
    </xf>
    <xf numFmtId="0" fontId="1" fillId="0" borderId="2" xfId="0" applyFont="1" applyBorder="1" applyAlignment="1" applyProtection="1">
      <alignment horizontal="left" shrinkToFit="1"/>
      <protection hidden="1"/>
    </xf>
    <xf numFmtId="0" fontId="1" fillId="0" borderId="3" xfId="0" applyFont="1" applyBorder="1" applyAlignment="1" applyProtection="1">
      <alignment horizontal="left" wrapText="1" shrinkToFit="1"/>
      <protection hidden="1"/>
    </xf>
    <xf numFmtId="0" fontId="1" fillId="0" borderId="8" xfId="0" applyFont="1" applyBorder="1" applyAlignment="1" applyProtection="1">
      <alignment horizontal="left"/>
      <protection hidden="1"/>
    </xf>
    <xf numFmtId="0" fontId="1" fillId="0" borderId="19" xfId="0" applyFont="1" applyBorder="1" applyAlignment="1" applyProtection="1">
      <alignment horizontal="left" shrinkToFit="1"/>
      <protection hidden="1"/>
    </xf>
    <xf numFmtId="0" fontId="12" fillId="9" borderId="14" xfId="0" applyFont="1" applyFill="1" applyBorder="1" applyAlignment="1">
      <alignment shrinkToFit="1"/>
    </xf>
    <xf numFmtId="0" fontId="1" fillId="0" borderId="3" xfId="0" applyFont="1" applyBorder="1" applyAlignment="1" applyProtection="1">
      <alignment horizontal="left" shrinkToFit="1"/>
      <protection hidden="1"/>
    </xf>
    <xf numFmtId="49" fontId="1" fillId="0" borderId="7" xfId="0" applyNumberFormat="1" applyFont="1" applyBorder="1" applyAlignment="1">
      <alignment horizontal="left"/>
    </xf>
    <xf numFmtId="49" fontId="1" fillId="0" borderId="7" xfId="0" applyNumberFormat="1" applyFont="1" applyBorder="1" applyAlignment="1" applyProtection="1">
      <alignment horizontal="left"/>
    </xf>
    <xf numFmtId="0" fontId="1" fillId="0" borderId="7" xfId="0" applyNumberFormat="1" applyFont="1" applyBorder="1" applyAlignment="1" applyProtection="1">
      <alignment horizontal="left"/>
    </xf>
    <xf numFmtId="0" fontId="1" fillId="0" borderId="7" xfId="0" applyNumberFormat="1" applyFont="1" applyBorder="1" applyAlignment="1">
      <alignment horizontal="left"/>
    </xf>
    <xf numFmtId="0" fontId="1" fillId="0" borderId="7" xfId="0" applyNumberFormat="1" applyFont="1" applyBorder="1"/>
    <xf numFmtId="49" fontId="9" fillId="0" borderId="10"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9" xfId="0" applyFont="1" applyBorder="1" applyAlignment="1">
      <alignment horizontal="center" wrapText="1"/>
    </xf>
    <xf numFmtId="0" fontId="1" fillId="63" borderId="0" xfId="0" applyFont="1" applyFill="1" applyAlignment="1" applyProtection="1">
      <alignment horizontal="left"/>
      <protection hidden="1"/>
    </xf>
    <xf numFmtId="0" fontId="1" fillId="0" borderId="0" xfId="0" applyNumberFormat="1" applyFont="1" applyBorder="1" applyAlignment="1" applyProtection="1">
      <alignment horizontal="center"/>
      <protection hidden="1"/>
    </xf>
    <xf numFmtId="0" fontId="8" fillId="6" borderId="69" xfId="3" applyBorder="1"/>
    <xf numFmtId="0" fontId="8" fillId="6" borderId="21" xfId="3" applyBorder="1"/>
    <xf numFmtId="0" fontId="7" fillId="11" borderId="21" xfId="0" quotePrefix="1" applyFont="1" applyFill="1" applyBorder="1" applyAlignment="1" applyProtection="1">
      <alignment horizontal="center"/>
      <protection locked="0"/>
    </xf>
    <xf numFmtId="0" fontId="7" fillId="11" borderId="25" xfId="0" quotePrefix="1" applyFont="1" applyFill="1" applyBorder="1" applyAlignment="1" applyProtection="1">
      <alignment horizontal="center"/>
      <protection locked="0"/>
    </xf>
    <xf numFmtId="0" fontId="1" fillId="3" borderId="0" xfId="0" applyFont="1" applyFill="1" applyAlignment="1" applyProtection="1">
      <alignment horizontal="left"/>
      <protection hidden="1"/>
    </xf>
    <xf numFmtId="0" fontId="1" fillId="3" borderId="11" xfId="0" applyFont="1" applyFill="1" applyBorder="1" applyAlignment="1" applyProtection="1">
      <alignment horizontal="left"/>
      <protection hidden="1"/>
    </xf>
    <xf numFmtId="0" fontId="1" fillId="3" borderId="0" xfId="0" applyFont="1" applyFill="1" applyBorder="1" applyAlignment="1" applyProtection="1">
      <alignment horizontal="left"/>
      <protection hidden="1"/>
    </xf>
    <xf numFmtId="0" fontId="12" fillId="9" borderId="12" xfId="0" applyFont="1" applyFill="1" applyBorder="1" applyAlignment="1" applyProtection="1">
      <alignment shrinkToFit="1"/>
      <protection locked="0"/>
    </xf>
    <xf numFmtId="0" fontId="12" fillId="9" borderId="12" xfId="0" applyFont="1" applyFill="1" applyBorder="1" applyAlignment="1" applyProtection="1">
      <protection locked="0"/>
    </xf>
    <xf numFmtId="0" fontId="12" fillId="9" borderId="12" xfId="0" applyFont="1" applyFill="1" applyBorder="1" applyAlignment="1" applyProtection="1">
      <alignment horizontal="left" vertical="center"/>
    </xf>
    <xf numFmtId="0" fontId="12" fillId="9" borderId="14" xfId="0" applyFont="1" applyFill="1" applyBorder="1" applyAlignment="1" applyProtection="1">
      <alignment shrinkToFit="1"/>
      <protection locked="0"/>
    </xf>
    <xf numFmtId="0" fontId="12" fillId="9" borderId="14" xfId="0" applyFont="1" applyFill="1" applyBorder="1" applyAlignment="1" applyProtection="1">
      <protection locked="0"/>
    </xf>
    <xf numFmtId="0" fontId="13" fillId="9" borderId="2" xfId="0" applyFont="1" applyFill="1" applyBorder="1" applyAlignment="1">
      <alignment horizontal="center" vertical="center"/>
    </xf>
    <xf numFmtId="0" fontId="12" fillId="9" borderId="12" xfId="0" applyFont="1" applyFill="1" applyBorder="1" applyAlignment="1">
      <alignment horizontal="left" vertical="center"/>
    </xf>
    <xf numFmtId="0" fontId="12" fillId="9" borderId="16" xfId="0" applyFont="1" applyFill="1" applyBorder="1" applyAlignment="1" applyProtection="1">
      <alignment horizontal="left" vertical="center" shrinkToFit="1"/>
    </xf>
    <xf numFmtId="0" fontId="12" fillId="9" borderId="7" xfId="0" applyFont="1" applyFill="1" applyBorder="1" applyAlignment="1" applyProtection="1">
      <alignment horizontal="left" vertical="center" shrinkToFit="1"/>
    </xf>
    <xf numFmtId="0" fontId="1" fillId="5" borderId="7" xfId="0" applyFont="1" applyFill="1" applyBorder="1" applyAlignment="1">
      <alignment vertical="center" shrinkToFit="1"/>
    </xf>
    <xf numFmtId="0" fontId="1" fillId="0" borderId="0" xfId="0" applyFont="1" applyBorder="1" applyAlignment="1" applyProtection="1">
      <alignment horizontal="left" shrinkToFit="1"/>
    </xf>
    <xf numFmtId="0" fontId="1" fillId="7" borderId="16" xfId="0" applyFont="1" applyFill="1" applyBorder="1" applyAlignment="1" applyProtection="1">
      <alignment horizontal="center" vertical="center" shrinkToFit="1"/>
    </xf>
    <xf numFmtId="0" fontId="1" fillId="0" borderId="7" xfId="0" applyFont="1" applyBorder="1" applyAlignment="1" applyProtection="1">
      <alignment horizontal="left"/>
      <protection hidden="1"/>
    </xf>
    <xf numFmtId="0" fontId="1" fillId="0" borderId="2" xfId="0" applyFont="1" applyBorder="1" applyAlignment="1" applyProtection="1">
      <alignment horizontal="left" wrapText="1" shrinkToFit="1"/>
      <protection hidden="1"/>
    </xf>
    <xf numFmtId="0" fontId="1" fillId="0" borderId="2" xfId="0" applyFont="1" applyBorder="1" applyAlignment="1" applyProtection="1">
      <alignment horizontal="center" shrinkToFit="1"/>
      <protection hidden="1"/>
    </xf>
    <xf numFmtId="0" fontId="1" fillId="7" borderId="7" xfId="0" applyFont="1" applyFill="1" applyBorder="1" applyAlignment="1">
      <alignment shrinkToFit="1"/>
    </xf>
    <xf numFmtId="0" fontId="1" fillId="10" borderId="0" xfId="0" applyFont="1" applyFill="1" applyAlignment="1" applyProtection="1">
      <alignment horizontal="left"/>
      <protection hidden="1"/>
    </xf>
    <xf numFmtId="0" fontId="1" fillId="10" borderId="0" xfId="0" applyFont="1" applyFill="1" applyBorder="1" applyAlignment="1" applyProtection="1">
      <alignment horizontal="left"/>
      <protection hidden="1"/>
    </xf>
    <xf numFmtId="0" fontId="9" fillId="0" borderId="0" xfId="0" applyFont="1" applyFill="1" applyAlignment="1">
      <alignment shrinkToFit="1"/>
    </xf>
    <xf numFmtId="0" fontId="13" fillId="9" borderId="7" xfId="0" applyFont="1" applyFill="1" applyBorder="1" applyAlignment="1">
      <alignment horizontal="center" vertical="center"/>
    </xf>
    <xf numFmtId="0" fontId="1" fillId="0" borderId="7" xfId="0" applyFont="1" applyBorder="1" applyAlignment="1">
      <alignment horizontal="left"/>
    </xf>
    <xf numFmtId="0" fontId="1" fillId="91" borderId="7" xfId="0" applyFont="1" applyFill="1" applyBorder="1" applyAlignment="1">
      <alignment horizontal="left"/>
    </xf>
    <xf numFmtId="0" fontId="1" fillId="91" borderId="16" xfId="0" applyFont="1" applyFill="1" applyBorder="1" applyAlignment="1" applyProtection="1">
      <alignment horizontal="center" vertical="center" shrinkToFit="1"/>
    </xf>
    <xf numFmtId="0" fontId="1" fillId="0" borderId="7" xfId="0" applyFont="1" applyFill="1" applyBorder="1" applyAlignment="1">
      <alignment horizontal="left"/>
    </xf>
    <xf numFmtId="0" fontId="1" fillId="0" borderId="15" xfId="0" applyFont="1" applyBorder="1" applyAlignment="1">
      <alignment horizontal="left"/>
    </xf>
    <xf numFmtId="0" fontId="1" fillId="91" borderId="15" xfId="0" applyFont="1" applyFill="1" applyBorder="1" applyAlignment="1">
      <alignment horizontal="left"/>
    </xf>
    <xf numFmtId="0" fontId="1" fillId="0" borderId="15" xfId="0" applyFont="1" applyFill="1" applyBorder="1" applyAlignment="1">
      <alignment horizontal="left"/>
    </xf>
    <xf numFmtId="0" fontId="1" fillId="91" borderId="0" xfId="0" applyFont="1" applyFill="1" applyBorder="1" applyAlignment="1" applyProtection="1">
      <alignment horizontal="center" vertical="center" shrinkToFit="1"/>
    </xf>
    <xf numFmtId="0" fontId="9" fillId="0" borderId="0" xfId="0" applyFont="1" applyFill="1" applyBorder="1" applyAlignment="1">
      <alignment horizontal="center" shrinkToFit="1"/>
    </xf>
    <xf numFmtId="0" fontId="9" fillId="0" borderId="0" xfId="0" applyFont="1" applyFill="1" applyBorder="1" applyAlignment="1">
      <alignment horizontal="center" vertical="center" shrinkToFit="1"/>
    </xf>
    <xf numFmtId="0" fontId="7" fillId="0" borderId="0" xfId="0" applyFont="1" applyBorder="1" applyAlignment="1" applyProtection="1"/>
    <xf numFmtId="0" fontId="7" fillId="0" borderId="0" xfId="0" applyFont="1" applyBorder="1" applyAlignment="1" applyProtection="1">
      <alignment horizontal="left" vertical="center"/>
    </xf>
    <xf numFmtId="0" fontId="12" fillId="9" borderId="7" xfId="0" applyFont="1" applyFill="1" applyBorder="1" applyAlignment="1" applyProtection="1">
      <alignment shrinkToFit="1"/>
      <protection locked="0"/>
    </xf>
    <xf numFmtId="0" fontId="1" fillId="7" borderId="7" xfId="0" applyFont="1" applyFill="1" applyBorder="1" applyAlignment="1" applyProtection="1">
      <alignment horizontal="left" vertical="center" shrinkToFit="1"/>
    </xf>
    <xf numFmtId="0" fontId="12" fillId="9" borderId="12" xfId="0" applyFont="1" applyFill="1" applyBorder="1" applyAlignment="1" applyProtection="1">
      <alignment vertical="center"/>
    </xf>
    <xf numFmtId="0" fontId="9" fillId="91" borderId="14" xfId="0" applyFont="1" applyFill="1" applyBorder="1" applyAlignment="1">
      <alignment horizontal="center" vertical="center" shrinkToFit="1"/>
    </xf>
    <xf numFmtId="0" fontId="1" fillId="91" borderId="7" xfId="0" applyFont="1" applyFill="1" applyBorder="1" applyAlignment="1" applyProtection="1">
      <alignment horizontal="left"/>
      <protection hidden="1"/>
    </xf>
    <xf numFmtId="0" fontId="12" fillId="9" borderId="7" xfId="0" applyFont="1" applyFill="1" applyBorder="1" applyAlignment="1">
      <alignment horizontal="left" wrapText="1"/>
    </xf>
    <xf numFmtId="0" fontId="12" fillId="9" borderId="7" xfId="0" applyFont="1" applyFill="1" applyBorder="1" applyAlignment="1" applyProtection="1">
      <alignment horizontal="left"/>
      <protection hidden="1"/>
    </xf>
    <xf numFmtId="0" fontId="12" fillId="9" borderId="7" xfId="0" applyFont="1" applyFill="1" applyBorder="1" applyAlignment="1" applyProtection="1">
      <alignment horizontal="left" wrapText="1"/>
      <protection hidden="1"/>
    </xf>
    <xf numFmtId="0" fontId="1" fillId="0" borderId="7" xfId="0" applyFont="1" applyBorder="1" applyAlignment="1" applyProtection="1">
      <alignment horizontal="left" vertical="center"/>
      <protection hidden="1"/>
    </xf>
    <xf numFmtId="0" fontId="12" fillId="9" borderId="7" xfId="0" applyFont="1" applyFill="1" applyBorder="1" applyAlignment="1" applyProtection="1">
      <alignment horizontal="left" vertical="center" wrapText="1"/>
      <protection hidden="1"/>
    </xf>
    <xf numFmtId="0" fontId="1" fillId="91" borderId="7" xfId="0" applyFont="1" applyFill="1" applyBorder="1" applyAlignment="1" applyProtection="1">
      <alignment horizontal="left" vertical="center"/>
      <protection hidden="1"/>
    </xf>
    <xf numFmtId="0" fontId="1" fillId="91" borderId="7" xfId="0" applyFont="1" applyFill="1" applyBorder="1"/>
    <xf numFmtId="0" fontId="1" fillId="91" borderId="7" xfId="0" applyFont="1" applyFill="1" applyBorder="1" applyAlignment="1">
      <alignment horizontal="left" vertical="center"/>
    </xf>
    <xf numFmtId="2" fontId="17"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0" fontId="6" fillId="0" borderId="0" xfId="0" applyNumberFormat="1" applyFont="1" applyBorder="1" applyAlignment="1">
      <alignment horizontal="center"/>
    </xf>
    <xf numFmtId="0" fontId="13" fillId="9" borderId="7" xfId="0" applyFont="1" applyFill="1" applyBorder="1" applyAlignment="1" applyProtection="1">
      <alignment horizontal="center" vertical="center" shrinkToFit="1"/>
    </xf>
    <xf numFmtId="0" fontId="12" fillId="9" borderId="7" xfId="0" applyFont="1" applyFill="1" applyBorder="1" applyAlignment="1" applyProtection="1">
      <alignment horizontal="center" vertical="center" shrinkToFit="1"/>
    </xf>
    <xf numFmtId="0" fontId="1" fillId="0" borderId="0" xfId="0" applyNumberFormat="1" applyFont="1" applyBorder="1" applyAlignment="1" applyProtection="1">
      <alignment horizontal="left"/>
    </xf>
    <xf numFmtId="0" fontId="1" fillId="0" borderId="0" xfId="0" applyNumberFormat="1" applyFont="1" applyBorder="1" applyAlignment="1">
      <alignment horizontal="left"/>
    </xf>
    <xf numFmtId="0" fontId="1" fillId="0" borderId="0" xfId="0" applyNumberFormat="1" applyFont="1" applyBorder="1"/>
    <xf numFmtId="0" fontId="1" fillId="92" borderId="7" xfId="0" applyFont="1" applyFill="1" applyBorder="1" applyAlignment="1">
      <alignment horizontal="left"/>
    </xf>
    <xf numFmtId="0" fontId="1" fillId="92" borderId="15" xfId="0" applyFont="1" applyFill="1" applyBorder="1" applyAlignment="1">
      <alignment horizontal="left"/>
    </xf>
    <xf numFmtId="0" fontId="1" fillId="92" borderId="7" xfId="0" applyFont="1" applyFill="1" applyBorder="1" applyAlignment="1" applyProtection="1">
      <alignment horizontal="left"/>
      <protection hidden="1"/>
    </xf>
    <xf numFmtId="0" fontId="1" fillId="0" borderId="7" xfId="0" applyFont="1" applyFill="1" applyBorder="1" applyAlignment="1" applyProtection="1">
      <alignment horizontal="left"/>
      <protection hidden="1"/>
    </xf>
    <xf numFmtId="0" fontId="1" fillId="0" borderId="1"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shrinkToFit="1"/>
      <protection hidden="1"/>
    </xf>
    <xf numFmtId="0" fontId="1" fillId="0" borderId="16" xfId="0" applyFont="1" applyFill="1" applyBorder="1" applyAlignment="1" applyProtection="1">
      <alignment horizontal="left" shrinkToFit="1"/>
      <protection hidden="1"/>
    </xf>
    <xf numFmtId="0" fontId="1" fillId="0" borderId="1" xfId="0" applyFont="1" applyFill="1" applyBorder="1" applyAlignment="1" applyProtection="1">
      <alignment horizontal="left" shrinkToFit="1"/>
      <protection hidden="1"/>
    </xf>
    <xf numFmtId="0" fontId="1" fillId="0" borderId="0" xfId="0" applyFont="1" applyFill="1" applyBorder="1" applyAlignment="1" applyProtection="1">
      <alignment horizontal="left"/>
      <protection hidden="1"/>
    </xf>
    <xf numFmtId="0" fontId="1" fillId="0" borderId="10" xfId="0" applyFont="1" applyFill="1" applyBorder="1" applyAlignment="1" applyProtection="1">
      <alignment horizontal="left"/>
      <protection hidden="1"/>
    </xf>
    <xf numFmtId="0" fontId="1" fillId="0" borderId="1" xfId="0" applyFont="1" applyFill="1" applyBorder="1" applyAlignment="1" applyProtection="1">
      <alignment horizontal="left"/>
      <protection hidden="1"/>
    </xf>
    <xf numFmtId="0" fontId="1" fillId="0" borderId="0" xfId="0" applyFont="1" applyFill="1" applyBorder="1" applyAlignment="1" applyProtection="1">
      <alignment horizontal="center" shrinkToFit="1"/>
      <protection hidden="1"/>
    </xf>
    <xf numFmtId="0" fontId="1" fillId="0" borderId="1" xfId="0" applyNumberFormat="1" applyFont="1" applyFill="1" applyBorder="1" applyAlignment="1" applyProtection="1">
      <alignment horizontal="left"/>
      <protection hidden="1"/>
    </xf>
    <xf numFmtId="0" fontId="1" fillId="0" borderId="16" xfId="0" applyNumberFormat="1" applyFont="1" applyFill="1" applyBorder="1" applyAlignment="1" applyProtection="1">
      <alignment horizontal="left"/>
      <protection hidden="1"/>
    </xf>
    <xf numFmtId="0" fontId="1" fillId="0" borderId="10" xfId="0" applyNumberFormat="1" applyFont="1" applyFill="1" applyBorder="1" applyAlignment="1" applyProtection="1">
      <alignment horizontal="left"/>
      <protection locked="0" hidden="1"/>
    </xf>
    <xf numFmtId="0" fontId="1" fillId="0" borderId="10" xfId="0" applyNumberFormat="1" applyFont="1" applyFill="1" applyBorder="1" applyAlignment="1" applyProtection="1">
      <alignment horizontal="left"/>
      <protection hidden="1"/>
    </xf>
    <xf numFmtId="0" fontId="7" fillId="0" borderId="21" xfId="0" applyFont="1" applyFill="1" applyBorder="1" applyAlignment="1" applyProtection="1">
      <alignment horizontal="center"/>
    </xf>
    <xf numFmtId="0" fontId="7" fillId="0" borderId="24" xfId="0" applyFont="1" applyFill="1" applyBorder="1" applyAlignment="1" applyProtection="1">
      <alignment horizontal="center"/>
      <protection locked="0"/>
    </xf>
    <xf numFmtId="0" fontId="1" fillId="0" borderId="0" xfId="0" applyFont="1" applyFill="1"/>
    <xf numFmtId="0" fontId="1" fillId="91" borderId="7" xfId="0" applyFont="1" applyFill="1" applyBorder="1" applyAlignment="1" applyProtection="1">
      <alignment horizontal="center" vertical="center"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7" fillId="0" borderId="0" xfId="0" applyFont="1" applyBorder="1" applyAlignment="1" applyProtection="1">
      <alignment horizontal="left"/>
    </xf>
    <xf numFmtId="0" fontId="9" fillId="0" borderId="18" xfId="0" applyFont="1" applyBorder="1" applyAlignment="1">
      <alignment horizontal="center"/>
    </xf>
    <xf numFmtId="0" fontId="1" fillId="0" borderId="0" xfId="0" applyFont="1" applyBorder="1" applyAlignment="1" applyProtection="1">
      <alignment horizontal="left"/>
    </xf>
    <xf numFmtId="0" fontId="7" fillId="7" borderId="9" xfId="0" applyFont="1" applyFill="1" applyBorder="1" applyAlignment="1">
      <alignment horizontal="center" vertical="center" shrinkToFit="1"/>
    </xf>
    <xf numFmtId="0" fontId="1" fillId="91" borderId="12" xfId="0" applyFont="1" applyFill="1" applyBorder="1" applyAlignment="1" applyProtection="1">
      <alignment horizontal="left"/>
      <protection hidden="1"/>
    </xf>
    <xf numFmtId="0" fontId="1" fillId="0" borderId="3" xfId="0" applyFont="1" applyBorder="1" applyAlignment="1">
      <alignment horizontal="left"/>
    </xf>
    <xf numFmtId="0" fontId="7" fillId="5" borderId="7" xfId="0" applyFont="1" applyFill="1" applyBorder="1" applyAlignment="1">
      <alignment horizontal="center" shrinkToFit="1"/>
    </xf>
    <xf numFmtId="0" fontId="7" fillId="7" borderId="7" xfId="0" applyFont="1" applyFill="1" applyBorder="1" applyAlignment="1">
      <alignment horizontal="center" shrinkToFit="1"/>
    </xf>
    <xf numFmtId="0" fontId="7" fillId="11" borderId="70" xfId="0" quotePrefix="1" applyFont="1" applyFill="1" applyBorder="1" applyAlignment="1" applyProtection="1">
      <alignment horizontal="center"/>
      <protection locked="0"/>
    </xf>
    <xf numFmtId="0" fontId="1" fillId="7" borderId="7" xfId="0" applyFont="1" applyFill="1" applyBorder="1" applyAlignment="1">
      <alignment horizontal="center" shrinkToFit="1"/>
    </xf>
    <xf numFmtId="0" fontId="1" fillId="5" borderId="7" xfId="0" applyFont="1" applyFill="1" applyBorder="1" applyAlignment="1">
      <alignment horizontal="center" vertical="center" shrinkToFit="1"/>
    </xf>
    <xf numFmtId="0" fontId="67" fillId="6" borderId="22" xfId="3" applyFont="1" applyBorder="1" applyAlignment="1" applyProtection="1">
      <alignment horizontal="center" vertical="center"/>
      <protection locked="0"/>
    </xf>
    <xf numFmtId="0" fontId="67" fillId="6" borderId="32" xfId="3" applyFont="1" applyBorder="1" applyAlignment="1" applyProtection="1">
      <alignment horizontal="center" vertical="center"/>
      <protection locked="0"/>
    </xf>
    <xf numFmtId="0" fontId="67" fillId="6" borderId="34" xfId="3" applyFont="1" applyBorder="1" applyAlignment="1" applyProtection="1">
      <alignment horizontal="center" vertical="center"/>
      <protection locked="0"/>
    </xf>
    <xf numFmtId="0" fontId="8" fillId="6" borderId="32" xfId="3" applyBorder="1" applyAlignment="1">
      <alignment horizontal="center" vertical="center"/>
    </xf>
    <xf numFmtId="0" fontId="1" fillId="7" borderId="7" xfId="0" applyFont="1" applyFill="1" applyBorder="1" applyAlignment="1">
      <alignment horizontal="left"/>
    </xf>
    <xf numFmtId="0" fontId="1" fillId="0" borderId="7" xfId="0" applyFont="1" applyFill="1" applyBorder="1" applyAlignment="1" applyProtection="1">
      <alignment horizontal="left" vertical="center"/>
      <protection hidden="1"/>
    </xf>
    <xf numFmtId="0" fontId="7" fillId="0" borderId="7" xfId="0" applyFont="1" applyFill="1" applyBorder="1" applyAlignment="1">
      <alignment horizontal="center" shrinkToFit="1"/>
    </xf>
    <xf numFmtId="0" fontId="6" fillId="0" borderId="0" xfId="0" applyFont="1" applyBorder="1" applyAlignment="1">
      <alignment wrapText="1"/>
    </xf>
    <xf numFmtId="49" fontId="6" fillId="0" borderId="0" xfId="0" applyNumberFormat="1" applyFont="1" applyAlignment="1">
      <alignment vertical="top" wrapText="1"/>
    </xf>
    <xf numFmtId="49" fontId="0" fillId="0" borderId="0" xfId="0" applyNumberFormat="1" applyAlignment="1">
      <alignment vertical="top" wrapText="1"/>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0" fillId="0" borderId="0" xfId="0" applyAlignment="1">
      <alignment horizontal="left" vertical="top" wrapText="1"/>
    </xf>
    <xf numFmtId="0" fontId="7" fillId="7" borderId="9" xfId="0" applyFont="1" applyFill="1" applyBorder="1" applyAlignment="1">
      <alignment horizontal="center" vertical="center" shrinkToFit="1"/>
    </xf>
    <xf numFmtId="0" fontId="7" fillId="7" borderId="10" xfId="0" applyFont="1" applyFill="1" applyBorder="1" applyAlignment="1">
      <alignment horizontal="center" vertical="center" shrinkToFit="1"/>
    </xf>
    <xf numFmtId="0" fontId="7" fillId="7" borderId="8" xfId="0" applyFont="1" applyFill="1" applyBorder="1" applyAlignment="1">
      <alignment horizontal="center" vertical="center" shrinkToFit="1"/>
    </xf>
    <xf numFmtId="0" fontId="1" fillId="7" borderId="9" xfId="0" applyFont="1" applyFill="1" applyBorder="1" applyAlignment="1">
      <alignment horizontal="center" vertical="center" shrinkToFit="1"/>
    </xf>
    <xf numFmtId="0" fontId="1" fillId="7" borderId="10" xfId="0" applyFont="1" applyFill="1" applyBorder="1" applyAlignment="1">
      <alignment horizontal="center" vertical="center" shrinkToFit="1"/>
    </xf>
    <xf numFmtId="0" fontId="1" fillId="7" borderId="8" xfId="0" applyFont="1" applyFill="1" applyBorder="1" applyAlignment="1">
      <alignment horizontal="center" vertical="center" shrinkToFit="1"/>
    </xf>
    <xf numFmtId="0" fontId="7" fillId="7" borderId="9" xfId="0" applyFont="1" applyFill="1" applyBorder="1" applyAlignment="1">
      <alignment horizontal="center" vertical="center" wrapText="1" shrinkToFit="1"/>
    </xf>
    <xf numFmtId="0" fontId="7" fillId="7" borderId="8" xfId="0" applyFont="1" applyFill="1" applyBorder="1" applyAlignment="1">
      <alignment horizontal="center" vertical="center" wrapText="1" shrinkToFit="1"/>
    </xf>
    <xf numFmtId="0" fontId="1" fillId="7" borderId="7" xfId="0" applyFont="1" applyFill="1" applyBorder="1" applyAlignment="1">
      <alignment horizontal="center" vertical="center" shrinkToFit="1"/>
    </xf>
    <xf numFmtId="0" fontId="1" fillId="91" borderId="7" xfId="0" applyFont="1" applyFill="1" applyBorder="1" applyAlignment="1" applyProtection="1">
      <alignment horizontal="center" vertical="center" shrinkToFit="1"/>
    </xf>
    <xf numFmtId="0" fontId="1" fillId="91" borderId="18" xfId="0" applyFont="1" applyFill="1" applyBorder="1" applyAlignment="1" applyProtection="1">
      <alignment horizontal="center" vertical="center" shrinkToFit="1"/>
    </xf>
    <xf numFmtId="0" fontId="1" fillId="91" borderId="19" xfId="0" applyFont="1" applyFill="1" applyBorder="1" applyAlignment="1" applyProtection="1">
      <alignment horizontal="center" vertical="center" shrinkToFit="1"/>
    </xf>
    <xf numFmtId="0" fontId="7" fillId="0" borderId="0" xfId="0" applyFont="1" applyBorder="1" applyAlignment="1" applyProtection="1">
      <alignment horizontal="left"/>
    </xf>
    <xf numFmtId="0" fontId="1" fillId="0" borderId="0" xfId="0" applyFont="1" applyBorder="1" applyAlignment="1" applyProtection="1">
      <alignment horizontal="left"/>
    </xf>
    <xf numFmtId="0" fontId="1" fillId="91" borderId="9" xfId="0" applyFont="1" applyFill="1" applyBorder="1" applyAlignment="1" applyProtection="1">
      <alignment horizontal="center" vertical="center" shrinkToFit="1"/>
    </xf>
    <xf numFmtId="0" fontId="1" fillId="91" borderId="10" xfId="0" applyFont="1" applyFill="1" applyBorder="1" applyAlignment="1" applyProtection="1">
      <alignment horizontal="center" vertical="center" shrinkToFit="1"/>
    </xf>
    <xf numFmtId="0" fontId="1" fillId="91" borderId="17" xfId="0" applyFont="1" applyFill="1" applyBorder="1" applyAlignment="1" applyProtection="1">
      <alignment horizontal="center" vertical="center" shrinkToFit="1"/>
    </xf>
    <xf numFmtId="0" fontId="1" fillId="91" borderId="1" xfId="0" applyFont="1" applyFill="1" applyBorder="1" applyAlignment="1" applyProtection="1">
      <alignment horizontal="center" vertical="center" shrinkToFit="1"/>
    </xf>
    <xf numFmtId="0" fontId="1" fillId="7" borderId="9" xfId="0" applyFont="1" applyFill="1" applyBorder="1" applyAlignment="1" applyProtection="1">
      <alignment horizontal="center" vertical="center" shrinkToFit="1"/>
    </xf>
    <xf numFmtId="0" fontId="1" fillId="7" borderId="10" xfId="0" applyFont="1" applyFill="1" applyBorder="1" applyAlignment="1" applyProtection="1">
      <alignment horizontal="center" vertical="center" shrinkToFit="1"/>
    </xf>
    <xf numFmtId="0" fontId="12" fillId="9" borderId="7" xfId="0" applyFont="1" applyFill="1" applyBorder="1" applyAlignment="1" applyProtection="1">
      <alignment horizontal="left" vertical="center"/>
    </xf>
    <xf numFmtId="0" fontId="12" fillId="9" borderId="15" xfId="0" applyFont="1" applyFill="1" applyBorder="1" applyAlignment="1" applyProtection="1">
      <alignment horizontal="left" vertical="center"/>
    </xf>
    <xf numFmtId="0" fontId="12" fillId="9" borderId="7" xfId="0" applyFont="1" applyFill="1" applyBorder="1" applyAlignment="1" applyProtection="1">
      <alignment horizontal="left"/>
      <protection locked="0"/>
    </xf>
    <xf numFmtId="0" fontId="12" fillId="9" borderId="15" xfId="0" applyFont="1" applyFill="1" applyBorder="1" applyAlignment="1" applyProtection="1">
      <alignment horizontal="left"/>
      <protection locked="0"/>
    </xf>
    <xf numFmtId="0" fontId="13" fillId="9" borderId="7" xfId="0" applyFont="1" applyFill="1" applyBorder="1" applyAlignment="1" applyProtection="1">
      <alignment horizontal="center" vertical="center"/>
    </xf>
    <xf numFmtId="0" fontId="13" fillId="9" borderId="15" xfId="0" applyFont="1" applyFill="1" applyBorder="1" applyAlignment="1" applyProtection="1">
      <alignment horizontal="center" vertical="center"/>
    </xf>
    <xf numFmtId="0" fontId="12" fillId="9" borderId="7" xfId="0" applyFont="1" applyFill="1" applyBorder="1" applyAlignment="1" applyProtection="1">
      <alignment vertical="center"/>
    </xf>
    <xf numFmtId="0" fontId="12" fillId="9" borderId="15" xfId="0" applyFont="1" applyFill="1" applyBorder="1" applyAlignment="1" applyProtection="1">
      <alignment vertical="center"/>
    </xf>
    <xf numFmtId="0" fontId="12" fillId="9" borderId="7" xfId="0" applyFont="1" applyFill="1" applyBorder="1" applyAlignment="1">
      <alignment horizontal="left" shrinkToFit="1"/>
    </xf>
    <xf numFmtId="0" fontId="12" fillId="9" borderId="15" xfId="0" applyFont="1" applyFill="1" applyBorder="1" applyAlignment="1">
      <alignment horizontal="left" shrinkToFit="1"/>
    </xf>
    <xf numFmtId="0" fontId="12" fillId="9" borderId="7" xfId="0" applyFont="1" applyFill="1" applyBorder="1" applyAlignment="1" applyProtection="1">
      <alignment horizontal="left" shrinkToFit="1"/>
      <protection locked="0"/>
    </xf>
    <xf numFmtId="0" fontId="12" fillId="9" borderId="15" xfId="0" applyFont="1" applyFill="1" applyBorder="1" applyAlignment="1" applyProtection="1">
      <alignment horizontal="left" shrinkToFit="1"/>
      <protection locked="0"/>
    </xf>
    <xf numFmtId="0" fontId="9" fillId="0" borderId="9" xfId="0" applyFont="1" applyFill="1" applyBorder="1" applyAlignment="1" applyProtection="1">
      <alignment horizontal="center" vertical="center" wrapText="1" shrinkToFit="1"/>
      <protection locked="0"/>
    </xf>
    <xf numFmtId="0" fontId="9" fillId="0" borderId="10" xfId="0" applyFont="1" applyFill="1" applyBorder="1" applyAlignment="1" applyProtection="1">
      <alignment horizontal="center" vertical="center" wrapText="1" shrinkToFit="1"/>
      <protection locked="0"/>
    </xf>
    <xf numFmtId="0" fontId="12" fillId="9" borderId="9" xfId="0" applyFont="1" applyFill="1" applyBorder="1" applyAlignment="1">
      <alignment horizontal="left"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9" fillId="0" borderId="17" xfId="0" applyFont="1" applyBorder="1" applyAlignment="1">
      <alignment horizontal="center" wrapText="1"/>
    </xf>
    <xf numFmtId="0" fontId="9" fillId="0" borderId="11" xfId="0" applyFont="1" applyBorder="1" applyAlignment="1">
      <alignment horizontal="center" wrapText="1"/>
    </xf>
    <xf numFmtId="0" fontId="9" fillId="0" borderId="18" xfId="0" applyFont="1" applyBorder="1" applyAlignment="1">
      <alignment horizontal="center" wrapText="1"/>
    </xf>
    <xf numFmtId="0" fontId="9" fillId="0" borderId="17" xfId="0" applyFont="1" applyBorder="1" applyAlignment="1">
      <alignment horizontal="center" vertical="center"/>
    </xf>
    <xf numFmtId="0" fontId="9" fillId="0" borderId="11" xfId="0" applyFont="1" applyBorder="1" applyAlignment="1">
      <alignment horizontal="center" vertical="center"/>
    </xf>
    <xf numFmtId="0" fontId="9" fillId="0" borderId="17" xfId="0" applyFont="1" applyBorder="1" applyAlignment="1">
      <alignment horizontal="center"/>
    </xf>
    <xf numFmtId="0" fontId="9" fillId="0" borderId="11" xfId="0" applyFont="1" applyBorder="1" applyAlignment="1">
      <alignment horizontal="center"/>
    </xf>
    <xf numFmtId="0" fontId="9" fillId="0" borderId="18" xfId="0" applyFont="1" applyBorder="1" applyAlignment="1">
      <alignment horizontal="center"/>
    </xf>
    <xf numFmtId="0" fontId="9" fillId="0" borderId="17"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7" xfId="0" applyFont="1" applyFill="1" applyBorder="1" applyAlignment="1" applyProtection="1">
      <alignment horizontal="center" vertical="center" wrapText="1" shrinkToFit="1"/>
      <protection locked="0"/>
    </xf>
    <xf numFmtId="0" fontId="9" fillId="0" borderId="17" xfId="0" applyFont="1" applyBorder="1" applyAlignment="1">
      <alignment horizontal="center" shrinkToFit="1"/>
    </xf>
    <xf numFmtId="0" fontId="9" fillId="0" borderId="11" xfId="0" applyFont="1" applyBorder="1" applyAlignment="1">
      <alignment horizontal="center" shrinkToFit="1"/>
    </xf>
    <xf numFmtId="0" fontId="9" fillId="0" borderId="18" xfId="0" applyFont="1" applyBorder="1" applyAlignment="1">
      <alignment horizontal="center" shrinkToFit="1"/>
    </xf>
  </cellXfs>
  <cellStyles count="53471">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5430000}"/>
    <cellStyle name="Hyperlink 10 2" xfId="1667" xr:uid="{00000000-0005-0000-0000-0000E6430000}"/>
    <cellStyle name="Hyperlink 10 3" xfId="1668" xr:uid="{00000000-0005-0000-0000-0000E7430000}"/>
    <cellStyle name="Hyperlink 10_BallGrid" xfId="1669" xr:uid="{00000000-0005-0000-0000-0000E8430000}"/>
    <cellStyle name="Hyperlink 11" xfId="1670" xr:uid="{00000000-0005-0000-0000-0000E9430000}"/>
    <cellStyle name="Hyperlink 11 2" xfId="1671" xr:uid="{00000000-0005-0000-0000-0000EA430000}"/>
    <cellStyle name="Hyperlink 11 3" xfId="1672" xr:uid="{00000000-0005-0000-0000-0000EB430000}"/>
    <cellStyle name="Hyperlink 11_BallGrid" xfId="1673" xr:uid="{00000000-0005-0000-0000-0000EC430000}"/>
    <cellStyle name="Hyperlink 12" xfId="1674" xr:uid="{00000000-0005-0000-0000-0000ED430000}"/>
    <cellStyle name="Hyperlink 12 2" xfId="1675" xr:uid="{00000000-0005-0000-0000-0000EE430000}"/>
    <cellStyle name="Hyperlink 12 3" xfId="1676" xr:uid="{00000000-0005-0000-0000-0000EF430000}"/>
    <cellStyle name="Hyperlink 12_BallGrid" xfId="1677" xr:uid="{00000000-0005-0000-0000-0000F0430000}"/>
    <cellStyle name="Hyperlink 13" xfId="1678" xr:uid="{00000000-0005-0000-0000-0000F1430000}"/>
    <cellStyle name="Hyperlink 13 2" xfId="1679" xr:uid="{00000000-0005-0000-0000-0000F2430000}"/>
    <cellStyle name="Hyperlink 13 3" xfId="1680" xr:uid="{00000000-0005-0000-0000-0000F3430000}"/>
    <cellStyle name="Hyperlink 13_BallGrid" xfId="1681" xr:uid="{00000000-0005-0000-0000-0000F4430000}"/>
    <cellStyle name="Hyperlink 14" xfId="1682" xr:uid="{00000000-0005-0000-0000-0000F5430000}"/>
    <cellStyle name="Hyperlink 14 2" xfId="1683" xr:uid="{00000000-0005-0000-0000-0000F6430000}"/>
    <cellStyle name="Hyperlink 14 3" xfId="1684" xr:uid="{00000000-0005-0000-0000-0000F7430000}"/>
    <cellStyle name="Hyperlink 14_BallGrid" xfId="1685" xr:uid="{00000000-0005-0000-0000-0000F8430000}"/>
    <cellStyle name="Hyperlink 15" xfId="1686" xr:uid="{00000000-0005-0000-0000-0000F9430000}"/>
    <cellStyle name="Hyperlink 15 2" xfId="1687" xr:uid="{00000000-0005-0000-0000-0000FA430000}"/>
    <cellStyle name="Hyperlink 15 3" xfId="1688" xr:uid="{00000000-0005-0000-0000-0000FB430000}"/>
    <cellStyle name="Hyperlink 15_BallGrid" xfId="1689" xr:uid="{00000000-0005-0000-0000-0000FC430000}"/>
    <cellStyle name="Hyperlink 16" xfId="1690" xr:uid="{00000000-0005-0000-0000-0000FD430000}"/>
    <cellStyle name="Hyperlink 16 2" xfId="1691" xr:uid="{00000000-0005-0000-0000-0000FE430000}"/>
    <cellStyle name="Hyperlink 16 3" xfId="1692" xr:uid="{00000000-0005-0000-0000-0000FF430000}"/>
    <cellStyle name="Hyperlink 16_BallGrid" xfId="1693" xr:uid="{00000000-0005-0000-0000-000000440000}"/>
    <cellStyle name="Hyperlink 17" xfId="1694" xr:uid="{00000000-0005-0000-0000-000001440000}"/>
    <cellStyle name="Hyperlink 17 2" xfId="1695" xr:uid="{00000000-0005-0000-0000-000002440000}"/>
    <cellStyle name="Hyperlink 17 3" xfId="1696" xr:uid="{00000000-0005-0000-0000-000003440000}"/>
    <cellStyle name="Hyperlink 17_BallGrid" xfId="1697" xr:uid="{00000000-0005-0000-0000-000004440000}"/>
    <cellStyle name="Hyperlink 18" xfId="1698" xr:uid="{00000000-0005-0000-0000-000005440000}"/>
    <cellStyle name="Hyperlink 18 2" xfId="1699" xr:uid="{00000000-0005-0000-0000-000006440000}"/>
    <cellStyle name="Hyperlink 18 3" xfId="1700" xr:uid="{00000000-0005-0000-0000-000007440000}"/>
    <cellStyle name="Hyperlink 18_BallGrid" xfId="1701" xr:uid="{00000000-0005-0000-0000-000008440000}"/>
    <cellStyle name="Hyperlink 19" xfId="1702" xr:uid="{00000000-0005-0000-0000-000009440000}"/>
    <cellStyle name="Hyperlink 19 2" xfId="1703" xr:uid="{00000000-0005-0000-0000-00000A440000}"/>
    <cellStyle name="Hyperlink 19 3" xfId="1704" xr:uid="{00000000-0005-0000-0000-00000B440000}"/>
    <cellStyle name="Hyperlink 19_BallGrid" xfId="1705" xr:uid="{00000000-0005-0000-0000-00000C440000}"/>
    <cellStyle name="Hyperlink 2" xfId="104" xr:uid="{00000000-0005-0000-0000-00000D440000}"/>
    <cellStyle name="Hyperlink 2 2" xfId="1707" xr:uid="{00000000-0005-0000-0000-00000E440000}"/>
    <cellStyle name="Hyperlink 2 3" xfId="1708" xr:uid="{00000000-0005-0000-0000-00000F440000}"/>
    <cellStyle name="Hyperlink 2 4" xfId="1709" xr:uid="{00000000-0005-0000-0000-000010440000}"/>
    <cellStyle name="Hyperlink 2 5" xfId="1710" xr:uid="{00000000-0005-0000-0000-000011440000}"/>
    <cellStyle name="Hyperlink 2 6" xfId="4228" xr:uid="{00000000-0005-0000-0000-000012440000}"/>
    <cellStyle name="Hyperlink 2 7" xfId="4229" xr:uid="{00000000-0005-0000-0000-000013440000}"/>
    <cellStyle name="Hyperlink 2 8" xfId="1706" xr:uid="{00000000-0005-0000-0000-000014440000}"/>
    <cellStyle name="Hyperlink 2_BallGrid" xfId="1711" xr:uid="{00000000-0005-0000-0000-000015440000}"/>
    <cellStyle name="Hyperlink 20" xfId="1712" xr:uid="{00000000-0005-0000-0000-000016440000}"/>
    <cellStyle name="Hyperlink 20 2" xfId="1713" xr:uid="{00000000-0005-0000-0000-000017440000}"/>
    <cellStyle name="Hyperlink 20 3" xfId="1714" xr:uid="{00000000-0005-0000-0000-000018440000}"/>
    <cellStyle name="Hyperlink 20_BallGrid" xfId="1715" xr:uid="{00000000-0005-0000-0000-000019440000}"/>
    <cellStyle name="Hyperlink 21" xfId="1716" xr:uid="{00000000-0005-0000-0000-00001A440000}"/>
    <cellStyle name="Hyperlink 21 2" xfId="1717" xr:uid="{00000000-0005-0000-0000-00001B440000}"/>
    <cellStyle name="Hyperlink 21 3" xfId="1718" xr:uid="{00000000-0005-0000-0000-00001C440000}"/>
    <cellStyle name="Hyperlink 21_BallGrid" xfId="1719" xr:uid="{00000000-0005-0000-0000-00001D440000}"/>
    <cellStyle name="Hyperlink 22" xfId="1720" xr:uid="{00000000-0005-0000-0000-00001E440000}"/>
    <cellStyle name="Hyperlink 22 2" xfId="1721" xr:uid="{00000000-0005-0000-0000-00001F440000}"/>
    <cellStyle name="Hyperlink 22 3" xfId="1722" xr:uid="{00000000-0005-0000-0000-000020440000}"/>
    <cellStyle name="Hyperlink 22_BallGrid" xfId="1723" xr:uid="{00000000-0005-0000-0000-000021440000}"/>
    <cellStyle name="Hyperlink 23" xfId="1724" xr:uid="{00000000-0005-0000-0000-000022440000}"/>
    <cellStyle name="Hyperlink 23 2" xfId="1725" xr:uid="{00000000-0005-0000-0000-000023440000}"/>
    <cellStyle name="Hyperlink 23 3" xfId="1726" xr:uid="{00000000-0005-0000-0000-000024440000}"/>
    <cellStyle name="Hyperlink 23_BallGrid" xfId="1727" xr:uid="{00000000-0005-0000-0000-000025440000}"/>
    <cellStyle name="Hyperlink 24" xfId="1728" xr:uid="{00000000-0005-0000-0000-000026440000}"/>
    <cellStyle name="Hyperlink 24 2" xfId="1729" xr:uid="{00000000-0005-0000-0000-000027440000}"/>
    <cellStyle name="Hyperlink 24 3" xfId="1730" xr:uid="{00000000-0005-0000-0000-000028440000}"/>
    <cellStyle name="Hyperlink 24_BallGrid" xfId="1731" xr:uid="{00000000-0005-0000-0000-000029440000}"/>
    <cellStyle name="Hyperlink 25" xfId="1732" xr:uid="{00000000-0005-0000-0000-00002A440000}"/>
    <cellStyle name="Hyperlink 25 2" xfId="1733" xr:uid="{00000000-0005-0000-0000-00002B440000}"/>
    <cellStyle name="Hyperlink 25 3" xfId="1734" xr:uid="{00000000-0005-0000-0000-00002C440000}"/>
    <cellStyle name="Hyperlink 25_BallGrid" xfId="1735" xr:uid="{00000000-0005-0000-0000-00002D440000}"/>
    <cellStyle name="Hyperlink 26" xfId="1736" xr:uid="{00000000-0005-0000-0000-00002E440000}"/>
    <cellStyle name="Hyperlink 26 2" xfId="1737" xr:uid="{00000000-0005-0000-0000-00002F440000}"/>
    <cellStyle name="Hyperlink 26 3" xfId="1738" xr:uid="{00000000-0005-0000-0000-000030440000}"/>
    <cellStyle name="Hyperlink 26_BallGrid" xfId="1739" xr:uid="{00000000-0005-0000-0000-000031440000}"/>
    <cellStyle name="Hyperlink 27" xfId="1740" xr:uid="{00000000-0005-0000-0000-000032440000}"/>
    <cellStyle name="Hyperlink 27 2" xfId="1741" xr:uid="{00000000-0005-0000-0000-000033440000}"/>
    <cellStyle name="Hyperlink 27 3" xfId="1742" xr:uid="{00000000-0005-0000-0000-000034440000}"/>
    <cellStyle name="Hyperlink 27_BallGrid" xfId="1743" xr:uid="{00000000-0005-0000-0000-000035440000}"/>
    <cellStyle name="Hyperlink 28" xfId="1744" xr:uid="{00000000-0005-0000-0000-000036440000}"/>
    <cellStyle name="Hyperlink 28 2" xfId="1745" xr:uid="{00000000-0005-0000-0000-000037440000}"/>
    <cellStyle name="Hyperlink 28 3" xfId="1746" xr:uid="{00000000-0005-0000-0000-000038440000}"/>
    <cellStyle name="Hyperlink 28_BallGrid" xfId="1747" xr:uid="{00000000-0005-0000-0000-000039440000}"/>
    <cellStyle name="Hyperlink 29" xfId="52975" xr:uid="{00000000-0005-0000-0000-00003A440000}"/>
    <cellStyle name="Hyperlink 3" xfId="105" xr:uid="{00000000-0005-0000-0000-00003B440000}"/>
    <cellStyle name="Hyperlink 3 2" xfId="1749" xr:uid="{00000000-0005-0000-0000-00003C440000}"/>
    <cellStyle name="Hyperlink 3 2 2" xfId="22905" xr:uid="{00000000-0005-0000-0000-00003D440000}"/>
    <cellStyle name="Hyperlink 3 2 3" xfId="22704" xr:uid="{00000000-0005-0000-0000-00003E440000}"/>
    <cellStyle name="Hyperlink 3 3" xfId="1750" xr:uid="{00000000-0005-0000-0000-00003F440000}"/>
    <cellStyle name="Hyperlink 3 4" xfId="22426" xr:uid="{00000000-0005-0000-0000-000040440000}"/>
    <cellStyle name="Hyperlink 3 5" xfId="1748" xr:uid="{00000000-0005-0000-0000-000041440000}"/>
    <cellStyle name="Hyperlink 3_BallGrid" xfId="1751" xr:uid="{00000000-0005-0000-0000-000042440000}"/>
    <cellStyle name="Hyperlink 30" xfId="52976" xr:uid="{00000000-0005-0000-0000-000043440000}"/>
    <cellStyle name="Hyperlink 4" xfId="1752" xr:uid="{00000000-0005-0000-0000-000044440000}"/>
    <cellStyle name="Hyperlink 4 2" xfId="1753" xr:uid="{00000000-0005-0000-0000-000045440000}"/>
    <cellStyle name="Hyperlink 4 3" xfId="1754" xr:uid="{00000000-0005-0000-0000-000046440000}"/>
    <cellStyle name="Hyperlink 4_BallGrid" xfId="1755" xr:uid="{00000000-0005-0000-0000-000047440000}"/>
    <cellStyle name="Hyperlink 5" xfId="1756" xr:uid="{00000000-0005-0000-0000-000048440000}"/>
    <cellStyle name="Hyperlink 5 2" xfId="1757" xr:uid="{00000000-0005-0000-0000-000049440000}"/>
    <cellStyle name="Hyperlink 5 3" xfId="1758" xr:uid="{00000000-0005-0000-0000-00004A440000}"/>
    <cellStyle name="Hyperlink 5_BallGrid" xfId="1759" xr:uid="{00000000-0005-0000-0000-00004B440000}"/>
    <cellStyle name="Hyperlink 6" xfId="1760" xr:uid="{00000000-0005-0000-0000-00004C440000}"/>
    <cellStyle name="Hyperlink 6 2" xfId="1761" xr:uid="{00000000-0005-0000-0000-00004D440000}"/>
    <cellStyle name="Hyperlink 6 3" xfId="1762" xr:uid="{00000000-0005-0000-0000-00004E440000}"/>
    <cellStyle name="Hyperlink 6_BallGrid" xfId="1763" xr:uid="{00000000-0005-0000-0000-00004F440000}"/>
    <cellStyle name="Hyperlink 7" xfId="1764" xr:uid="{00000000-0005-0000-0000-000050440000}"/>
    <cellStyle name="Hyperlink 7 2" xfId="1765" xr:uid="{00000000-0005-0000-0000-000051440000}"/>
    <cellStyle name="Hyperlink 7 3" xfId="1766" xr:uid="{00000000-0005-0000-0000-000052440000}"/>
    <cellStyle name="Hyperlink 7_BallGrid" xfId="1767" xr:uid="{00000000-0005-0000-0000-000053440000}"/>
    <cellStyle name="Hyperlink 8" xfId="1768" xr:uid="{00000000-0005-0000-0000-000054440000}"/>
    <cellStyle name="Hyperlink 8 2" xfId="1769" xr:uid="{00000000-0005-0000-0000-000055440000}"/>
    <cellStyle name="Hyperlink 8 3" xfId="1770" xr:uid="{00000000-0005-0000-0000-000056440000}"/>
    <cellStyle name="Hyperlink 8_BallGrid" xfId="1771" xr:uid="{00000000-0005-0000-0000-000057440000}"/>
    <cellStyle name="Hyperlink 9" xfId="1772" xr:uid="{00000000-0005-0000-0000-000058440000}"/>
    <cellStyle name="Hyperlink 9 2" xfId="1773" xr:uid="{00000000-0005-0000-0000-000059440000}"/>
    <cellStyle name="Hyperlink 9 3" xfId="1774" xr:uid="{00000000-0005-0000-0000-00005A440000}"/>
    <cellStyle name="Hyperlink 9_BallGrid" xfId="1775" xr:uid="{00000000-0005-0000-0000-00005B440000}"/>
    <cellStyle name="Input" xfId="3" builtinId="20" customBuiltin="1"/>
    <cellStyle name="Input [yellow]" xfId="1776" xr:uid="{00000000-0005-0000-0000-00005D440000}"/>
    <cellStyle name="Input [yellow] 10" xfId="7776" xr:uid="{00000000-0005-0000-0000-00005E440000}"/>
    <cellStyle name="Input [yellow] 10 2" xfId="15573" xr:uid="{00000000-0005-0000-0000-00005F440000}"/>
    <cellStyle name="Input [yellow] 10 2 2" xfId="43252" xr:uid="{00000000-0005-0000-0000-000060440000}"/>
    <cellStyle name="Input [yellow] 10 2 3" xfId="39423" xr:uid="{00000000-0005-0000-0000-000061440000}"/>
    <cellStyle name="Input [yellow] 10 2 4" xfId="33208" xr:uid="{00000000-0005-0000-0000-000062440000}"/>
    <cellStyle name="Input [yellow] 10 3" xfId="19483" xr:uid="{00000000-0005-0000-0000-000063440000}"/>
    <cellStyle name="Input [yellow] 10 3 2" xfId="45020" xr:uid="{00000000-0005-0000-0000-000064440000}"/>
    <cellStyle name="Input [yellow] 10 3 3" xfId="48926" xr:uid="{00000000-0005-0000-0000-000065440000}"/>
    <cellStyle name="Input [yellow] 10 3 4" xfId="37039" xr:uid="{00000000-0005-0000-0000-000066440000}"/>
    <cellStyle name="Input [yellow] 10 4" xfId="20270" xr:uid="{00000000-0005-0000-0000-000067440000}"/>
    <cellStyle name="Input [yellow] 10 4 2" xfId="45807" xr:uid="{00000000-0005-0000-0000-000068440000}"/>
    <cellStyle name="Input [yellow] 10 4 3" xfId="49713" xr:uid="{00000000-0005-0000-0000-000069440000}"/>
    <cellStyle name="Input [yellow] 10 4 4" xfId="37740" xr:uid="{00000000-0005-0000-0000-00006A440000}"/>
    <cellStyle name="Input [yellow] 10 5" xfId="11590" xr:uid="{00000000-0005-0000-0000-00006B440000}"/>
    <cellStyle name="Input [yellow] 10 5 2" xfId="41601" xr:uid="{00000000-0005-0000-0000-00006C440000}"/>
    <cellStyle name="Input [yellow] 10 5 3" xfId="39168" xr:uid="{00000000-0005-0000-0000-00006D440000}"/>
    <cellStyle name="Input [yellow] 10 5 4" xfId="29298" xr:uid="{00000000-0005-0000-0000-00006E440000}"/>
    <cellStyle name="Input [yellow] 10 6" xfId="19632" xr:uid="{00000000-0005-0000-0000-00006F440000}"/>
    <cellStyle name="Input [yellow] 10 6 2" xfId="45169" xr:uid="{00000000-0005-0000-0000-000070440000}"/>
    <cellStyle name="Input [yellow] 10 6 3" xfId="49075" xr:uid="{00000000-0005-0000-0000-000071440000}"/>
    <cellStyle name="Input [yellow] 10 7" xfId="40111" xr:uid="{00000000-0005-0000-0000-000072440000}"/>
    <cellStyle name="Input [yellow] 10 8" xfId="39613" xr:uid="{00000000-0005-0000-0000-000073440000}"/>
    <cellStyle name="Input [yellow] 11" xfId="52977" xr:uid="{00000000-0005-0000-0000-000074440000}"/>
    <cellStyle name="Input [yellow] 2" xfId="1777" xr:uid="{00000000-0005-0000-0000-000075440000}"/>
    <cellStyle name="Input [yellow] 2 2" xfId="1778" xr:uid="{00000000-0005-0000-0000-000076440000}"/>
    <cellStyle name="Input [yellow] 2 2 2" xfId="6992" xr:uid="{00000000-0005-0000-0000-000077440000}"/>
    <cellStyle name="Input [yellow] 2 2 2 10" xfId="39756" xr:uid="{00000000-0005-0000-0000-000078440000}"/>
    <cellStyle name="Input [yellow] 2 2 2 11" xfId="42202" xr:uid="{00000000-0005-0000-0000-000079440000}"/>
    <cellStyle name="Input [yellow] 2 2 2 2" xfId="10522" xr:uid="{00000000-0005-0000-0000-00007A440000}"/>
    <cellStyle name="Input [yellow] 2 2 2 2 2" xfId="18315" xr:uid="{00000000-0005-0000-0000-00007B440000}"/>
    <cellStyle name="Input [yellow] 2 2 2 2 2 2" xfId="43862" xr:uid="{00000000-0005-0000-0000-00007C440000}"/>
    <cellStyle name="Input [yellow] 2 2 2 2 2 3" xfId="47771" xr:uid="{00000000-0005-0000-0000-00007D440000}"/>
    <cellStyle name="Input [yellow] 2 2 2 2 2 4" xfId="35952" xr:uid="{00000000-0005-0000-0000-00007E440000}"/>
    <cellStyle name="Input [yellow] 2 2 2 2 3" xfId="19434" xr:uid="{00000000-0005-0000-0000-00007F440000}"/>
    <cellStyle name="Input [yellow] 2 2 2 2 3 2" xfId="44971" xr:uid="{00000000-0005-0000-0000-000080440000}"/>
    <cellStyle name="Input [yellow] 2 2 2 2 3 3" xfId="48877" xr:uid="{00000000-0005-0000-0000-000081440000}"/>
    <cellStyle name="Input [yellow] 2 2 2 2 3 4" xfId="36999" xr:uid="{00000000-0005-0000-0000-000082440000}"/>
    <cellStyle name="Input [yellow] 2 2 2 2 4" xfId="19571" xr:uid="{00000000-0005-0000-0000-000083440000}"/>
    <cellStyle name="Input [yellow] 2 2 2 2 4 2" xfId="45108" xr:uid="{00000000-0005-0000-0000-000084440000}"/>
    <cellStyle name="Input [yellow] 2 2 2 2 4 3" xfId="49014" xr:uid="{00000000-0005-0000-0000-000085440000}"/>
    <cellStyle name="Input [yellow] 2 2 2 2 4 4" xfId="37112" xr:uid="{00000000-0005-0000-0000-000086440000}"/>
    <cellStyle name="Input [yellow] 2 2 2 2 5" xfId="20728" xr:uid="{00000000-0005-0000-0000-000087440000}"/>
    <cellStyle name="Input [yellow] 2 2 2 2 5 2" xfId="46265" xr:uid="{00000000-0005-0000-0000-000088440000}"/>
    <cellStyle name="Input [yellow] 2 2 2 2 5 3" xfId="50171" xr:uid="{00000000-0005-0000-0000-000089440000}"/>
    <cellStyle name="Input [yellow] 2 2 2 2 5 4" xfId="38134" xr:uid="{00000000-0005-0000-0000-00008A440000}"/>
    <cellStyle name="Input [yellow] 2 2 2 2 6" xfId="21381" xr:uid="{00000000-0005-0000-0000-00008B440000}"/>
    <cellStyle name="Input [yellow] 2 2 2 2 6 2" xfId="46918" xr:uid="{00000000-0005-0000-0000-00008C440000}"/>
    <cellStyle name="Input [yellow] 2 2 2 2 6 3" xfId="50824" xr:uid="{00000000-0005-0000-0000-00008D440000}"/>
    <cellStyle name="Input [yellow] 2 2 2 2 7" xfId="40721" xr:uid="{00000000-0005-0000-0000-00008E440000}"/>
    <cellStyle name="Input [yellow] 2 2 2 2 8" xfId="43246" xr:uid="{00000000-0005-0000-0000-00008F440000}"/>
    <cellStyle name="Input [yellow] 2 2 2 3" xfId="10817" xr:uid="{00000000-0005-0000-0000-000090440000}"/>
    <cellStyle name="Input [yellow] 2 2 2 3 2" xfId="18610" xr:uid="{00000000-0005-0000-0000-000091440000}"/>
    <cellStyle name="Input [yellow] 2 2 2 3 2 2" xfId="44157" xr:uid="{00000000-0005-0000-0000-000092440000}"/>
    <cellStyle name="Input [yellow] 2 2 2 3 2 3" xfId="48066" xr:uid="{00000000-0005-0000-0000-000093440000}"/>
    <cellStyle name="Input [yellow] 2 2 2 3 2 4" xfId="36247" xr:uid="{00000000-0005-0000-0000-000094440000}"/>
    <cellStyle name="Input [yellow] 2 2 2 3 3" xfId="19109" xr:uid="{00000000-0005-0000-0000-000095440000}"/>
    <cellStyle name="Input [yellow] 2 2 2 3 3 2" xfId="44646" xr:uid="{00000000-0005-0000-0000-000096440000}"/>
    <cellStyle name="Input [yellow] 2 2 2 3 3 3" xfId="48552" xr:uid="{00000000-0005-0000-0000-000097440000}"/>
    <cellStyle name="Input [yellow] 2 2 2 3 3 4" xfId="36704" xr:uid="{00000000-0005-0000-0000-000098440000}"/>
    <cellStyle name="Input [yellow] 2 2 2 3 4" xfId="11671" xr:uid="{00000000-0005-0000-0000-000099440000}"/>
    <cellStyle name="Input [yellow] 2 2 2 3 4 2" xfId="41682" xr:uid="{00000000-0005-0000-0000-00009A440000}"/>
    <cellStyle name="Input [yellow] 2 2 2 3 4 3" xfId="39672" xr:uid="{00000000-0005-0000-0000-00009B440000}"/>
    <cellStyle name="Input [yellow] 2 2 2 3 4 4" xfId="29367" xr:uid="{00000000-0005-0000-0000-00009C440000}"/>
    <cellStyle name="Input [yellow] 2 2 2 3 5" xfId="21023" xr:uid="{00000000-0005-0000-0000-00009D440000}"/>
    <cellStyle name="Input [yellow] 2 2 2 3 5 2" xfId="46560" xr:uid="{00000000-0005-0000-0000-00009E440000}"/>
    <cellStyle name="Input [yellow] 2 2 2 3 5 3" xfId="50466" xr:uid="{00000000-0005-0000-0000-00009F440000}"/>
    <cellStyle name="Input [yellow] 2 2 2 3 5 4" xfId="38429" xr:uid="{00000000-0005-0000-0000-0000A0440000}"/>
    <cellStyle name="Input [yellow] 2 2 2 3 6" xfId="21676" xr:uid="{00000000-0005-0000-0000-0000A1440000}"/>
    <cellStyle name="Input [yellow] 2 2 2 3 6 2" xfId="47213" xr:uid="{00000000-0005-0000-0000-0000A2440000}"/>
    <cellStyle name="Input [yellow] 2 2 2 3 6 3" xfId="51119" xr:uid="{00000000-0005-0000-0000-0000A3440000}"/>
    <cellStyle name="Input [yellow] 2 2 2 3 7" xfId="41016" xr:uid="{00000000-0005-0000-0000-0000A4440000}"/>
    <cellStyle name="Input [yellow] 2 2 2 3 8" xfId="39700" xr:uid="{00000000-0005-0000-0000-0000A5440000}"/>
    <cellStyle name="Input [yellow] 2 2 2 4" xfId="10167" xr:uid="{00000000-0005-0000-0000-0000A6440000}"/>
    <cellStyle name="Input [yellow] 2 2 2 4 2" xfId="17960" xr:uid="{00000000-0005-0000-0000-0000A7440000}"/>
    <cellStyle name="Input [yellow] 2 2 2 4 2 2" xfId="43750" xr:uid="{00000000-0005-0000-0000-0000A8440000}"/>
    <cellStyle name="Input [yellow] 2 2 2 4 2 3" xfId="47673" xr:uid="{00000000-0005-0000-0000-0000A9440000}"/>
    <cellStyle name="Input [yellow] 2 2 2 4 2 4" xfId="35597" xr:uid="{00000000-0005-0000-0000-0000AA440000}"/>
    <cellStyle name="Input [yellow] 2 2 2 4 3" xfId="20055" xr:uid="{00000000-0005-0000-0000-0000AB440000}"/>
    <cellStyle name="Input [yellow] 2 2 2 4 3 2" xfId="45592" xr:uid="{00000000-0005-0000-0000-0000AC440000}"/>
    <cellStyle name="Input [yellow] 2 2 2 4 3 3" xfId="49498" xr:uid="{00000000-0005-0000-0000-0000AD440000}"/>
    <cellStyle name="Input [yellow] 2 2 2 4 3 4" xfId="37551" xr:uid="{00000000-0005-0000-0000-0000AE440000}"/>
    <cellStyle name="Input [yellow] 2 2 2 4 4" xfId="20066" xr:uid="{00000000-0005-0000-0000-0000AF440000}"/>
    <cellStyle name="Input [yellow] 2 2 2 4 4 2" xfId="45603" xr:uid="{00000000-0005-0000-0000-0000B0440000}"/>
    <cellStyle name="Input [yellow] 2 2 2 4 4 3" xfId="49509" xr:uid="{00000000-0005-0000-0000-0000B1440000}"/>
    <cellStyle name="Input [yellow] 2 2 2 4 4 4" xfId="37560" xr:uid="{00000000-0005-0000-0000-0000B2440000}"/>
    <cellStyle name="Input [yellow] 2 2 2 4 5" xfId="20630" xr:uid="{00000000-0005-0000-0000-0000B3440000}"/>
    <cellStyle name="Input [yellow] 2 2 2 4 5 2" xfId="46167" xr:uid="{00000000-0005-0000-0000-0000B4440000}"/>
    <cellStyle name="Input [yellow] 2 2 2 4 5 3" xfId="50073" xr:uid="{00000000-0005-0000-0000-0000B5440000}"/>
    <cellStyle name="Input [yellow] 2 2 2 4 5 4" xfId="38036" xr:uid="{00000000-0005-0000-0000-0000B6440000}"/>
    <cellStyle name="Input [yellow] 2 2 2 4 6" xfId="21283" xr:uid="{00000000-0005-0000-0000-0000B7440000}"/>
    <cellStyle name="Input [yellow] 2 2 2 4 6 2" xfId="46820" xr:uid="{00000000-0005-0000-0000-0000B8440000}"/>
    <cellStyle name="Input [yellow] 2 2 2 4 6 3" xfId="50726" xr:uid="{00000000-0005-0000-0000-0000B9440000}"/>
    <cellStyle name="Input [yellow] 2 2 2 4 7" xfId="40609" xr:uid="{00000000-0005-0000-0000-0000BA440000}"/>
    <cellStyle name="Input [yellow] 2 2 2 4 8" xfId="42755" xr:uid="{00000000-0005-0000-0000-0000BB440000}"/>
    <cellStyle name="Input [yellow] 2 2 2 5" xfId="14780" xr:uid="{00000000-0005-0000-0000-0000BC440000}"/>
    <cellStyle name="Input [yellow] 2 2 2 5 2" xfId="42896" xr:uid="{00000000-0005-0000-0000-0000BD440000}"/>
    <cellStyle name="Input [yellow] 2 2 2 5 3" xfId="41293" xr:uid="{00000000-0005-0000-0000-0000BE440000}"/>
    <cellStyle name="Input [yellow] 2 2 2 5 4" xfId="32415" xr:uid="{00000000-0005-0000-0000-0000BF440000}"/>
    <cellStyle name="Input [yellow] 2 2 2 6" xfId="13067" xr:uid="{00000000-0005-0000-0000-0000C0440000}"/>
    <cellStyle name="Input [yellow] 2 2 2 6 2" xfId="42288" xr:uid="{00000000-0005-0000-0000-0000C1440000}"/>
    <cellStyle name="Input [yellow] 2 2 2 6 3" xfId="40545" xr:uid="{00000000-0005-0000-0000-0000C2440000}"/>
    <cellStyle name="Input [yellow] 2 2 2 6 4" xfId="30716" xr:uid="{00000000-0005-0000-0000-0000C3440000}"/>
    <cellStyle name="Input [yellow] 2 2 2 7" xfId="19217" xr:uid="{00000000-0005-0000-0000-0000C4440000}"/>
    <cellStyle name="Input [yellow] 2 2 2 7 2" xfId="44754" xr:uid="{00000000-0005-0000-0000-0000C5440000}"/>
    <cellStyle name="Input [yellow] 2 2 2 7 3" xfId="48660" xr:uid="{00000000-0005-0000-0000-0000C6440000}"/>
    <cellStyle name="Input [yellow] 2 2 2 7 4" xfId="36802" xr:uid="{00000000-0005-0000-0000-0000C7440000}"/>
    <cellStyle name="Input [yellow] 2 2 2 8" xfId="19369" xr:uid="{00000000-0005-0000-0000-0000C8440000}"/>
    <cellStyle name="Input [yellow] 2 2 2 8 2" xfId="44906" xr:uid="{00000000-0005-0000-0000-0000C9440000}"/>
    <cellStyle name="Input [yellow] 2 2 2 8 3" xfId="48812" xr:uid="{00000000-0005-0000-0000-0000CA440000}"/>
    <cellStyle name="Input [yellow] 2 2 2 8 4" xfId="36937" xr:uid="{00000000-0005-0000-0000-0000CB440000}"/>
    <cellStyle name="Input [yellow] 2 2 2 9" xfId="20262" xr:uid="{00000000-0005-0000-0000-0000CC440000}"/>
    <cellStyle name="Input [yellow] 2 2 2 9 2" xfId="45799" xr:uid="{00000000-0005-0000-0000-0000CD440000}"/>
    <cellStyle name="Input [yellow] 2 2 2 9 3" xfId="49705" xr:uid="{00000000-0005-0000-0000-0000CE440000}"/>
    <cellStyle name="Input [yellow] 2 2 2 9 4" xfId="37732" xr:uid="{00000000-0005-0000-0000-0000CF440000}"/>
    <cellStyle name="Input [yellow] 2 2 3" xfId="10441" xr:uid="{00000000-0005-0000-0000-0000D0440000}"/>
    <cellStyle name="Input [yellow] 2 2 3 2" xfId="18234" xr:uid="{00000000-0005-0000-0000-0000D1440000}"/>
    <cellStyle name="Input [yellow] 2 2 3 2 2" xfId="43781" xr:uid="{00000000-0005-0000-0000-0000D2440000}"/>
    <cellStyle name="Input [yellow] 2 2 3 2 3" xfId="47690" xr:uid="{00000000-0005-0000-0000-0000D3440000}"/>
    <cellStyle name="Input [yellow] 2 2 3 2 4" xfId="35871" xr:uid="{00000000-0005-0000-0000-0000D4440000}"/>
    <cellStyle name="Input [yellow] 2 2 3 3" xfId="19922" xr:uid="{00000000-0005-0000-0000-0000D5440000}"/>
    <cellStyle name="Input [yellow] 2 2 3 3 2" xfId="45459" xr:uid="{00000000-0005-0000-0000-0000D6440000}"/>
    <cellStyle name="Input [yellow] 2 2 3 3 3" xfId="49365" xr:uid="{00000000-0005-0000-0000-0000D7440000}"/>
    <cellStyle name="Input [yellow] 2 2 3 3 4" xfId="37436" xr:uid="{00000000-0005-0000-0000-0000D8440000}"/>
    <cellStyle name="Input [yellow] 2 2 3 4" xfId="19344" xr:uid="{00000000-0005-0000-0000-0000D9440000}"/>
    <cellStyle name="Input [yellow] 2 2 3 4 2" xfId="44881" xr:uid="{00000000-0005-0000-0000-0000DA440000}"/>
    <cellStyle name="Input [yellow] 2 2 3 4 3" xfId="48787" xr:uid="{00000000-0005-0000-0000-0000DB440000}"/>
    <cellStyle name="Input [yellow] 2 2 3 4 4" xfId="36916" xr:uid="{00000000-0005-0000-0000-0000DC440000}"/>
    <cellStyle name="Input [yellow] 2 2 3 5" xfId="20647" xr:uid="{00000000-0005-0000-0000-0000DD440000}"/>
    <cellStyle name="Input [yellow] 2 2 3 5 2" xfId="46184" xr:uid="{00000000-0005-0000-0000-0000DE440000}"/>
    <cellStyle name="Input [yellow] 2 2 3 5 3" xfId="50090" xr:uid="{00000000-0005-0000-0000-0000DF440000}"/>
    <cellStyle name="Input [yellow] 2 2 3 5 4" xfId="38053" xr:uid="{00000000-0005-0000-0000-0000E0440000}"/>
    <cellStyle name="Input [yellow] 2 2 3 6" xfId="21300" xr:uid="{00000000-0005-0000-0000-0000E1440000}"/>
    <cellStyle name="Input [yellow] 2 2 3 6 2" xfId="46837" xr:uid="{00000000-0005-0000-0000-0000E2440000}"/>
    <cellStyle name="Input [yellow] 2 2 3 6 3" xfId="50743" xr:uid="{00000000-0005-0000-0000-0000E3440000}"/>
    <cellStyle name="Input [yellow] 2 2 3 7" xfId="40640" xr:uid="{00000000-0005-0000-0000-0000E4440000}"/>
    <cellStyle name="Input [yellow] 2 2 3 8" xfId="40109" xr:uid="{00000000-0005-0000-0000-0000E5440000}"/>
    <cellStyle name="Input [yellow] 2 2 4" xfId="7778" xr:uid="{00000000-0005-0000-0000-0000E6440000}"/>
    <cellStyle name="Input [yellow] 2 2 4 2" xfId="15575" xr:uid="{00000000-0005-0000-0000-0000E7440000}"/>
    <cellStyle name="Input [yellow] 2 2 4 2 2" xfId="43254" xr:uid="{00000000-0005-0000-0000-0000E8440000}"/>
    <cellStyle name="Input [yellow] 2 2 4 2 3" xfId="43288" xr:uid="{00000000-0005-0000-0000-0000E9440000}"/>
    <cellStyle name="Input [yellow] 2 2 4 2 4" xfId="33210" xr:uid="{00000000-0005-0000-0000-0000EA440000}"/>
    <cellStyle name="Input [yellow] 2 2 4 3" xfId="19346" xr:uid="{00000000-0005-0000-0000-0000EB440000}"/>
    <cellStyle name="Input [yellow] 2 2 4 3 2" xfId="44883" xr:uid="{00000000-0005-0000-0000-0000EC440000}"/>
    <cellStyle name="Input [yellow] 2 2 4 3 3" xfId="48789" xr:uid="{00000000-0005-0000-0000-0000ED440000}"/>
    <cellStyle name="Input [yellow] 2 2 4 3 4" xfId="36918" xr:uid="{00000000-0005-0000-0000-0000EE440000}"/>
    <cellStyle name="Input [yellow] 2 2 4 4" xfId="12661" xr:uid="{00000000-0005-0000-0000-0000EF440000}"/>
    <cellStyle name="Input [yellow] 2 2 4 4 2" xfId="42140" xr:uid="{00000000-0005-0000-0000-0000F0440000}"/>
    <cellStyle name="Input [yellow] 2 2 4 4 3" xfId="43333" xr:uid="{00000000-0005-0000-0000-0000F1440000}"/>
    <cellStyle name="Input [yellow] 2 2 4 4 4" xfId="30325" xr:uid="{00000000-0005-0000-0000-0000F2440000}"/>
    <cellStyle name="Input [yellow] 2 2 4 5" xfId="11648" xr:uid="{00000000-0005-0000-0000-0000F3440000}"/>
    <cellStyle name="Input [yellow] 2 2 4 5 2" xfId="41659" xr:uid="{00000000-0005-0000-0000-0000F4440000}"/>
    <cellStyle name="Input [yellow] 2 2 4 5 3" xfId="43704" xr:uid="{00000000-0005-0000-0000-0000F5440000}"/>
    <cellStyle name="Input [yellow] 2 2 4 5 4" xfId="29347" xr:uid="{00000000-0005-0000-0000-0000F6440000}"/>
    <cellStyle name="Input [yellow] 2 2 4 6" xfId="19050" xr:uid="{00000000-0005-0000-0000-0000F7440000}"/>
    <cellStyle name="Input [yellow] 2 2 4 6 2" xfId="44587" xr:uid="{00000000-0005-0000-0000-0000F8440000}"/>
    <cellStyle name="Input [yellow] 2 2 4 6 3" xfId="48493" xr:uid="{00000000-0005-0000-0000-0000F9440000}"/>
    <cellStyle name="Input [yellow] 2 2 4 7" xfId="40113" xr:uid="{00000000-0005-0000-0000-0000FA440000}"/>
    <cellStyle name="Input [yellow] 2 2 4 8" xfId="42621" xr:uid="{00000000-0005-0000-0000-0000FB440000}"/>
    <cellStyle name="Input [yellow] 2 2 5" xfId="52979" xr:uid="{00000000-0005-0000-0000-0000FC440000}"/>
    <cellStyle name="Input [yellow] 2 3" xfId="1779" xr:uid="{00000000-0005-0000-0000-0000FD440000}"/>
    <cellStyle name="Input [yellow] 2 3 2" xfId="6993" xr:uid="{00000000-0005-0000-0000-0000FE440000}"/>
    <cellStyle name="Input [yellow] 2 3 2 10" xfId="39757" xr:uid="{00000000-0005-0000-0000-0000FF440000}"/>
    <cellStyle name="Input [yellow] 2 3 2 11" xfId="43429" xr:uid="{00000000-0005-0000-0000-000000450000}"/>
    <cellStyle name="Input [yellow] 2 3 2 2" xfId="10523" xr:uid="{00000000-0005-0000-0000-000001450000}"/>
    <cellStyle name="Input [yellow] 2 3 2 2 2" xfId="18316" xr:uid="{00000000-0005-0000-0000-000002450000}"/>
    <cellStyle name="Input [yellow] 2 3 2 2 2 2" xfId="43863" xr:uid="{00000000-0005-0000-0000-000003450000}"/>
    <cellStyle name="Input [yellow] 2 3 2 2 2 3" xfId="47772" xr:uid="{00000000-0005-0000-0000-000004450000}"/>
    <cellStyle name="Input [yellow] 2 3 2 2 2 4" xfId="35953" xr:uid="{00000000-0005-0000-0000-000005450000}"/>
    <cellStyle name="Input [yellow] 2 3 2 2 3" xfId="20041" xr:uid="{00000000-0005-0000-0000-000006450000}"/>
    <cellStyle name="Input [yellow] 2 3 2 2 3 2" xfId="45578" xr:uid="{00000000-0005-0000-0000-000007450000}"/>
    <cellStyle name="Input [yellow] 2 3 2 2 3 3" xfId="49484" xr:uid="{00000000-0005-0000-0000-000008450000}"/>
    <cellStyle name="Input [yellow] 2 3 2 2 3 4" xfId="37539" xr:uid="{00000000-0005-0000-0000-000009450000}"/>
    <cellStyle name="Input [yellow] 2 3 2 2 4" xfId="12898" xr:uid="{00000000-0005-0000-0000-00000A450000}"/>
    <cellStyle name="Input [yellow] 2 3 2 2 4 2" xfId="42253" xr:uid="{00000000-0005-0000-0000-00000B450000}"/>
    <cellStyle name="Input [yellow] 2 3 2 2 4 3" xfId="43582" xr:uid="{00000000-0005-0000-0000-00000C450000}"/>
    <cellStyle name="Input [yellow] 2 3 2 2 4 4" xfId="30548" xr:uid="{00000000-0005-0000-0000-00000D450000}"/>
    <cellStyle name="Input [yellow] 2 3 2 2 5" xfId="20729" xr:uid="{00000000-0005-0000-0000-00000E450000}"/>
    <cellStyle name="Input [yellow] 2 3 2 2 5 2" xfId="46266" xr:uid="{00000000-0005-0000-0000-00000F450000}"/>
    <cellStyle name="Input [yellow] 2 3 2 2 5 3" xfId="50172" xr:uid="{00000000-0005-0000-0000-000010450000}"/>
    <cellStyle name="Input [yellow] 2 3 2 2 5 4" xfId="38135" xr:uid="{00000000-0005-0000-0000-000011450000}"/>
    <cellStyle name="Input [yellow] 2 3 2 2 6" xfId="21382" xr:uid="{00000000-0005-0000-0000-000012450000}"/>
    <cellStyle name="Input [yellow] 2 3 2 2 6 2" xfId="46919" xr:uid="{00000000-0005-0000-0000-000013450000}"/>
    <cellStyle name="Input [yellow] 2 3 2 2 6 3" xfId="50825" xr:uid="{00000000-0005-0000-0000-000014450000}"/>
    <cellStyle name="Input [yellow] 2 3 2 2 7" xfId="40722" xr:uid="{00000000-0005-0000-0000-000015450000}"/>
    <cellStyle name="Input [yellow] 2 3 2 2 8" xfId="40105" xr:uid="{00000000-0005-0000-0000-000016450000}"/>
    <cellStyle name="Input [yellow] 2 3 2 3" xfId="10818" xr:uid="{00000000-0005-0000-0000-000017450000}"/>
    <cellStyle name="Input [yellow] 2 3 2 3 2" xfId="18611" xr:uid="{00000000-0005-0000-0000-000018450000}"/>
    <cellStyle name="Input [yellow] 2 3 2 3 2 2" xfId="44158" xr:uid="{00000000-0005-0000-0000-000019450000}"/>
    <cellStyle name="Input [yellow] 2 3 2 3 2 3" xfId="48067" xr:uid="{00000000-0005-0000-0000-00001A450000}"/>
    <cellStyle name="Input [yellow] 2 3 2 3 2 4" xfId="36248" xr:uid="{00000000-0005-0000-0000-00001B450000}"/>
    <cellStyle name="Input [yellow] 2 3 2 3 3" xfId="19723" xr:uid="{00000000-0005-0000-0000-00001C450000}"/>
    <cellStyle name="Input [yellow] 2 3 2 3 3 2" xfId="45260" xr:uid="{00000000-0005-0000-0000-00001D450000}"/>
    <cellStyle name="Input [yellow] 2 3 2 3 3 3" xfId="49166" xr:uid="{00000000-0005-0000-0000-00001E450000}"/>
    <cellStyle name="Input [yellow] 2 3 2 3 3 4" xfId="37250" xr:uid="{00000000-0005-0000-0000-00001F450000}"/>
    <cellStyle name="Input [yellow] 2 3 2 3 4" xfId="19252" xr:uid="{00000000-0005-0000-0000-000020450000}"/>
    <cellStyle name="Input [yellow] 2 3 2 3 4 2" xfId="44789" xr:uid="{00000000-0005-0000-0000-000021450000}"/>
    <cellStyle name="Input [yellow] 2 3 2 3 4 3" xfId="48695" xr:uid="{00000000-0005-0000-0000-000022450000}"/>
    <cellStyle name="Input [yellow] 2 3 2 3 4 4" xfId="36830" xr:uid="{00000000-0005-0000-0000-000023450000}"/>
    <cellStyle name="Input [yellow] 2 3 2 3 5" xfId="21024" xr:uid="{00000000-0005-0000-0000-000024450000}"/>
    <cellStyle name="Input [yellow] 2 3 2 3 5 2" xfId="46561" xr:uid="{00000000-0005-0000-0000-000025450000}"/>
    <cellStyle name="Input [yellow] 2 3 2 3 5 3" xfId="50467" xr:uid="{00000000-0005-0000-0000-000026450000}"/>
    <cellStyle name="Input [yellow] 2 3 2 3 5 4" xfId="38430" xr:uid="{00000000-0005-0000-0000-000027450000}"/>
    <cellStyle name="Input [yellow] 2 3 2 3 6" xfId="21677" xr:uid="{00000000-0005-0000-0000-000028450000}"/>
    <cellStyle name="Input [yellow] 2 3 2 3 6 2" xfId="47214" xr:uid="{00000000-0005-0000-0000-000029450000}"/>
    <cellStyle name="Input [yellow] 2 3 2 3 6 3" xfId="51120" xr:uid="{00000000-0005-0000-0000-00002A450000}"/>
    <cellStyle name="Input [yellow] 2 3 2 3 7" xfId="41017" xr:uid="{00000000-0005-0000-0000-00002B450000}"/>
    <cellStyle name="Input [yellow] 2 3 2 3 8" xfId="42737" xr:uid="{00000000-0005-0000-0000-00002C450000}"/>
    <cellStyle name="Input [yellow] 2 3 2 4" xfId="10168" xr:uid="{00000000-0005-0000-0000-00002D450000}"/>
    <cellStyle name="Input [yellow] 2 3 2 4 2" xfId="17961" xr:uid="{00000000-0005-0000-0000-00002E450000}"/>
    <cellStyle name="Input [yellow] 2 3 2 4 2 2" xfId="43751" xr:uid="{00000000-0005-0000-0000-00002F450000}"/>
    <cellStyle name="Input [yellow] 2 3 2 4 2 3" xfId="47674" xr:uid="{00000000-0005-0000-0000-000030450000}"/>
    <cellStyle name="Input [yellow] 2 3 2 4 2 4" xfId="35598" xr:uid="{00000000-0005-0000-0000-000031450000}"/>
    <cellStyle name="Input [yellow] 2 3 2 4 3" xfId="19319" xr:uid="{00000000-0005-0000-0000-000032450000}"/>
    <cellStyle name="Input [yellow] 2 3 2 4 3 2" xfId="44856" xr:uid="{00000000-0005-0000-0000-000033450000}"/>
    <cellStyle name="Input [yellow] 2 3 2 4 3 3" xfId="48762" xr:uid="{00000000-0005-0000-0000-000034450000}"/>
    <cellStyle name="Input [yellow] 2 3 2 4 3 4" xfId="36897" xr:uid="{00000000-0005-0000-0000-000035450000}"/>
    <cellStyle name="Input [yellow] 2 3 2 4 4" xfId="11649" xr:uid="{00000000-0005-0000-0000-000036450000}"/>
    <cellStyle name="Input [yellow] 2 3 2 4 4 2" xfId="41660" xr:uid="{00000000-0005-0000-0000-000037450000}"/>
    <cellStyle name="Input [yellow] 2 3 2 4 4 3" xfId="40562" xr:uid="{00000000-0005-0000-0000-000038450000}"/>
    <cellStyle name="Input [yellow] 2 3 2 4 4 4" xfId="29348" xr:uid="{00000000-0005-0000-0000-000039450000}"/>
    <cellStyle name="Input [yellow] 2 3 2 4 5" xfId="20631" xr:uid="{00000000-0005-0000-0000-00003A450000}"/>
    <cellStyle name="Input [yellow] 2 3 2 4 5 2" xfId="46168" xr:uid="{00000000-0005-0000-0000-00003B450000}"/>
    <cellStyle name="Input [yellow] 2 3 2 4 5 3" xfId="50074" xr:uid="{00000000-0005-0000-0000-00003C450000}"/>
    <cellStyle name="Input [yellow] 2 3 2 4 5 4" xfId="38037" xr:uid="{00000000-0005-0000-0000-00003D450000}"/>
    <cellStyle name="Input [yellow] 2 3 2 4 6" xfId="21284" xr:uid="{00000000-0005-0000-0000-00003E450000}"/>
    <cellStyle name="Input [yellow] 2 3 2 4 6 2" xfId="46821" xr:uid="{00000000-0005-0000-0000-00003F450000}"/>
    <cellStyle name="Input [yellow] 2 3 2 4 6 3" xfId="50727" xr:uid="{00000000-0005-0000-0000-000040450000}"/>
    <cellStyle name="Input [yellow] 2 3 2 4 7" xfId="40610" xr:uid="{00000000-0005-0000-0000-000041450000}"/>
    <cellStyle name="Input [yellow] 2 3 2 4 8" xfId="43644" xr:uid="{00000000-0005-0000-0000-000042450000}"/>
    <cellStyle name="Input [yellow] 2 3 2 5" xfId="14781" xr:uid="{00000000-0005-0000-0000-000043450000}"/>
    <cellStyle name="Input [yellow] 2 3 2 5 2" xfId="42897" xr:uid="{00000000-0005-0000-0000-000044450000}"/>
    <cellStyle name="Input [yellow] 2 3 2 5 3" xfId="43186" xr:uid="{00000000-0005-0000-0000-000045450000}"/>
    <cellStyle name="Input [yellow] 2 3 2 5 4" xfId="32416" xr:uid="{00000000-0005-0000-0000-000046450000}"/>
    <cellStyle name="Input [yellow] 2 3 2 6" xfId="13068" xr:uid="{00000000-0005-0000-0000-000047450000}"/>
    <cellStyle name="Input [yellow] 2 3 2 6 2" xfId="42289" xr:uid="{00000000-0005-0000-0000-000048450000}"/>
    <cellStyle name="Input [yellow] 2 3 2 6 3" xfId="39655" xr:uid="{00000000-0005-0000-0000-000049450000}"/>
    <cellStyle name="Input [yellow] 2 3 2 6 4" xfId="30717" xr:uid="{00000000-0005-0000-0000-00004A450000}"/>
    <cellStyle name="Input [yellow] 2 3 2 7" xfId="19533" xr:uid="{00000000-0005-0000-0000-00004B450000}"/>
    <cellStyle name="Input [yellow] 2 3 2 7 2" xfId="45070" xr:uid="{00000000-0005-0000-0000-00004C450000}"/>
    <cellStyle name="Input [yellow] 2 3 2 7 3" xfId="48976" xr:uid="{00000000-0005-0000-0000-00004D450000}"/>
    <cellStyle name="Input [yellow] 2 3 2 7 4" xfId="37080" xr:uid="{00000000-0005-0000-0000-00004E450000}"/>
    <cellStyle name="Input [yellow] 2 3 2 8" xfId="19832" xr:uid="{00000000-0005-0000-0000-00004F450000}"/>
    <cellStyle name="Input [yellow] 2 3 2 8 2" xfId="45369" xr:uid="{00000000-0005-0000-0000-000050450000}"/>
    <cellStyle name="Input [yellow] 2 3 2 8 3" xfId="49275" xr:uid="{00000000-0005-0000-0000-000051450000}"/>
    <cellStyle name="Input [yellow] 2 3 2 8 4" xfId="37350" xr:uid="{00000000-0005-0000-0000-000052450000}"/>
    <cellStyle name="Input [yellow] 2 3 2 9" xfId="19377" xr:uid="{00000000-0005-0000-0000-000053450000}"/>
    <cellStyle name="Input [yellow] 2 3 2 9 2" xfId="44914" xr:uid="{00000000-0005-0000-0000-000054450000}"/>
    <cellStyle name="Input [yellow] 2 3 2 9 3" xfId="48820" xr:uid="{00000000-0005-0000-0000-000055450000}"/>
    <cellStyle name="Input [yellow] 2 3 2 9 4" xfId="36943" xr:uid="{00000000-0005-0000-0000-000056450000}"/>
    <cellStyle name="Input [yellow] 2 3 3" xfId="10442" xr:uid="{00000000-0005-0000-0000-000057450000}"/>
    <cellStyle name="Input [yellow] 2 3 3 2" xfId="18235" xr:uid="{00000000-0005-0000-0000-000058450000}"/>
    <cellStyle name="Input [yellow] 2 3 3 2 2" xfId="43782" xr:uid="{00000000-0005-0000-0000-000059450000}"/>
    <cellStyle name="Input [yellow] 2 3 3 2 3" xfId="47691" xr:uid="{00000000-0005-0000-0000-00005A450000}"/>
    <cellStyle name="Input [yellow] 2 3 3 2 4" xfId="35872" xr:uid="{00000000-0005-0000-0000-00005B450000}"/>
    <cellStyle name="Input [yellow] 2 3 3 3" xfId="19145" xr:uid="{00000000-0005-0000-0000-00005C450000}"/>
    <cellStyle name="Input [yellow] 2 3 3 3 2" xfId="44682" xr:uid="{00000000-0005-0000-0000-00005D450000}"/>
    <cellStyle name="Input [yellow] 2 3 3 3 3" xfId="48588" xr:uid="{00000000-0005-0000-0000-00005E450000}"/>
    <cellStyle name="Input [yellow] 2 3 3 3 4" xfId="36740" xr:uid="{00000000-0005-0000-0000-00005F450000}"/>
    <cellStyle name="Input [yellow] 2 3 3 4" xfId="19969" xr:uid="{00000000-0005-0000-0000-000060450000}"/>
    <cellStyle name="Input [yellow] 2 3 3 4 2" xfId="45506" xr:uid="{00000000-0005-0000-0000-000061450000}"/>
    <cellStyle name="Input [yellow] 2 3 3 4 3" xfId="49412" xr:uid="{00000000-0005-0000-0000-000062450000}"/>
    <cellStyle name="Input [yellow] 2 3 3 4 4" xfId="37474" xr:uid="{00000000-0005-0000-0000-000063450000}"/>
    <cellStyle name="Input [yellow] 2 3 3 5" xfId="20648" xr:uid="{00000000-0005-0000-0000-000064450000}"/>
    <cellStyle name="Input [yellow] 2 3 3 5 2" xfId="46185" xr:uid="{00000000-0005-0000-0000-000065450000}"/>
    <cellStyle name="Input [yellow] 2 3 3 5 3" xfId="50091" xr:uid="{00000000-0005-0000-0000-000066450000}"/>
    <cellStyle name="Input [yellow] 2 3 3 5 4" xfId="38054" xr:uid="{00000000-0005-0000-0000-000067450000}"/>
    <cellStyle name="Input [yellow] 2 3 3 6" xfId="21301" xr:uid="{00000000-0005-0000-0000-000068450000}"/>
    <cellStyle name="Input [yellow] 2 3 3 6 2" xfId="46838" xr:uid="{00000000-0005-0000-0000-000069450000}"/>
    <cellStyle name="Input [yellow] 2 3 3 6 3" xfId="50744" xr:uid="{00000000-0005-0000-0000-00006A450000}"/>
    <cellStyle name="Input [yellow] 2 3 3 7" xfId="40641" xr:uid="{00000000-0005-0000-0000-00006B450000}"/>
    <cellStyle name="Input [yellow] 2 3 3 8" xfId="42085" xr:uid="{00000000-0005-0000-0000-00006C450000}"/>
    <cellStyle name="Input [yellow] 2 3 4" xfId="7779" xr:uid="{00000000-0005-0000-0000-00006D450000}"/>
    <cellStyle name="Input [yellow] 2 3 4 2" xfId="15576" xr:uid="{00000000-0005-0000-0000-00006E450000}"/>
    <cellStyle name="Input [yellow] 2 3 4 2 2" xfId="43255" xr:uid="{00000000-0005-0000-0000-00006F450000}"/>
    <cellStyle name="Input [yellow] 2 3 4 2 3" xfId="40147" xr:uid="{00000000-0005-0000-0000-000070450000}"/>
    <cellStyle name="Input [yellow] 2 3 4 2 4" xfId="33211" xr:uid="{00000000-0005-0000-0000-000071450000}"/>
    <cellStyle name="Input [yellow] 2 3 4 3" xfId="19957" xr:uid="{00000000-0005-0000-0000-000072450000}"/>
    <cellStyle name="Input [yellow] 2 3 4 3 2" xfId="45494" xr:uid="{00000000-0005-0000-0000-000073450000}"/>
    <cellStyle name="Input [yellow] 2 3 4 3 3" xfId="49400" xr:uid="{00000000-0005-0000-0000-000074450000}"/>
    <cellStyle name="Input [yellow] 2 3 4 3 4" xfId="37462" xr:uid="{00000000-0005-0000-0000-000075450000}"/>
    <cellStyle name="Input [yellow] 2 3 4 4" xfId="20291" xr:uid="{00000000-0005-0000-0000-000076450000}"/>
    <cellStyle name="Input [yellow] 2 3 4 4 2" xfId="45828" xr:uid="{00000000-0005-0000-0000-000077450000}"/>
    <cellStyle name="Input [yellow] 2 3 4 4 3" xfId="49734" xr:uid="{00000000-0005-0000-0000-000078450000}"/>
    <cellStyle name="Input [yellow] 2 3 4 4 4" xfId="37758" xr:uid="{00000000-0005-0000-0000-000079450000}"/>
    <cellStyle name="Input [yellow] 2 3 4 5" xfId="19000" xr:uid="{00000000-0005-0000-0000-00007A450000}"/>
    <cellStyle name="Input [yellow] 2 3 4 5 2" xfId="44537" xr:uid="{00000000-0005-0000-0000-00007B450000}"/>
    <cellStyle name="Input [yellow] 2 3 4 5 3" xfId="48443" xr:uid="{00000000-0005-0000-0000-00007C450000}"/>
    <cellStyle name="Input [yellow] 2 3 4 5 4" xfId="36622" xr:uid="{00000000-0005-0000-0000-00007D450000}"/>
    <cellStyle name="Input [yellow] 2 3 4 6" xfId="19498" xr:uid="{00000000-0005-0000-0000-00007E450000}"/>
    <cellStyle name="Input [yellow] 2 3 4 6 2" xfId="45035" xr:uid="{00000000-0005-0000-0000-00007F450000}"/>
    <cellStyle name="Input [yellow] 2 3 4 6 3" xfId="48941" xr:uid="{00000000-0005-0000-0000-000080450000}"/>
    <cellStyle name="Input [yellow] 2 3 4 7" xfId="40114" xr:uid="{00000000-0005-0000-0000-000081450000}"/>
    <cellStyle name="Input [yellow] 2 3 4 8" xfId="43534" xr:uid="{00000000-0005-0000-0000-000082450000}"/>
    <cellStyle name="Input [yellow] 2 4" xfId="6991" xr:uid="{00000000-0005-0000-0000-000083450000}"/>
    <cellStyle name="Input [yellow] 2 4 10" xfId="39755" xr:uid="{00000000-0005-0000-0000-000084450000}"/>
    <cellStyle name="Input [yellow] 2 4 11" xfId="39521" xr:uid="{00000000-0005-0000-0000-000085450000}"/>
    <cellStyle name="Input [yellow] 2 4 2" xfId="10521" xr:uid="{00000000-0005-0000-0000-000086450000}"/>
    <cellStyle name="Input [yellow] 2 4 2 2" xfId="18314" xr:uid="{00000000-0005-0000-0000-000087450000}"/>
    <cellStyle name="Input [yellow] 2 4 2 2 2" xfId="43861" xr:uid="{00000000-0005-0000-0000-000088450000}"/>
    <cellStyle name="Input [yellow] 2 4 2 2 3" xfId="47770" xr:uid="{00000000-0005-0000-0000-000089450000}"/>
    <cellStyle name="Input [yellow] 2 4 2 2 4" xfId="35951" xr:uid="{00000000-0005-0000-0000-00008A450000}"/>
    <cellStyle name="Input [yellow] 2 4 2 3" xfId="20175" xr:uid="{00000000-0005-0000-0000-00008B450000}"/>
    <cellStyle name="Input [yellow] 2 4 2 3 2" xfId="45712" xr:uid="{00000000-0005-0000-0000-00008C450000}"/>
    <cellStyle name="Input [yellow] 2 4 2 3 3" xfId="49618" xr:uid="{00000000-0005-0000-0000-00008D450000}"/>
    <cellStyle name="Input [yellow] 2 4 2 3 4" xfId="37661" xr:uid="{00000000-0005-0000-0000-00008E450000}"/>
    <cellStyle name="Input [yellow] 2 4 2 4" xfId="11620" xr:uid="{00000000-0005-0000-0000-00008F450000}"/>
    <cellStyle name="Input [yellow] 2 4 2 4 2" xfId="41631" xr:uid="{00000000-0005-0000-0000-000090450000}"/>
    <cellStyle name="Input [yellow] 2 4 2 4 3" xfId="43599" xr:uid="{00000000-0005-0000-0000-000091450000}"/>
    <cellStyle name="Input [yellow] 2 4 2 4 4" xfId="29323" xr:uid="{00000000-0005-0000-0000-000092450000}"/>
    <cellStyle name="Input [yellow] 2 4 2 5" xfId="20727" xr:uid="{00000000-0005-0000-0000-000093450000}"/>
    <cellStyle name="Input [yellow] 2 4 2 5 2" xfId="46264" xr:uid="{00000000-0005-0000-0000-000094450000}"/>
    <cellStyle name="Input [yellow] 2 4 2 5 3" xfId="50170" xr:uid="{00000000-0005-0000-0000-000095450000}"/>
    <cellStyle name="Input [yellow] 2 4 2 5 4" xfId="38133" xr:uid="{00000000-0005-0000-0000-000096450000}"/>
    <cellStyle name="Input [yellow] 2 4 2 6" xfId="21380" xr:uid="{00000000-0005-0000-0000-000097450000}"/>
    <cellStyle name="Input [yellow] 2 4 2 6 2" xfId="46917" xr:uid="{00000000-0005-0000-0000-000098450000}"/>
    <cellStyle name="Input [yellow] 2 4 2 6 3" xfId="50823" xr:uid="{00000000-0005-0000-0000-000099450000}"/>
    <cellStyle name="Input [yellow] 2 4 2 7" xfId="40720" xr:uid="{00000000-0005-0000-0000-00009A450000}"/>
    <cellStyle name="Input [yellow] 2 4 2 8" xfId="41443" xr:uid="{00000000-0005-0000-0000-00009B450000}"/>
    <cellStyle name="Input [yellow] 2 4 3" xfId="10816" xr:uid="{00000000-0005-0000-0000-00009C450000}"/>
    <cellStyle name="Input [yellow] 2 4 3 2" xfId="18609" xr:uid="{00000000-0005-0000-0000-00009D450000}"/>
    <cellStyle name="Input [yellow] 2 4 3 2 2" xfId="44156" xr:uid="{00000000-0005-0000-0000-00009E450000}"/>
    <cellStyle name="Input [yellow] 2 4 3 2 3" xfId="48065" xr:uid="{00000000-0005-0000-0000-00009F450000}"/>
    <cellStyle name="Input [yellow] 2 4 3 2 4" xfId="36246" xr:uid="{00000000-0005-0000-0000-0000A0450000}"/>
    <cellStyle name="Input [yellow] 2 4 3 3" xfId="19886" xr:uid="{00000000-0005-0000-0000-0000A1450000}"/>
    <cellStyle name="Input [yellow] 2 4 3 3 2" xfId="45423" xr:uid="{00000000-0005-0000-0000-0000A2450000}"/>
    <cellStyle name="Input [yellow] 2 4 3 3 3" xfId="49329" xr:uid="{00000000-0005-0000-0000-0000A3450000}"/>
    <cellStyle name="Input [yellow] 2 4 3 3 4" xfId="37400" xr:uid="{00000000-0005-0000-0000-0000A4450000}"/>
    <cellStyle name="Input [yellow] 2 4 3 4" xfId="19782" xr:uid="{00000000-0005-0000-0000-0000A5450000}"/>
    <cellStyle name="Input [yellow] 2 4 3 4 2" xfId="45319" xr:uid="{00000000-0005-0000-0000-0000A6450000}"/>
    <cellStyle name="Input [yellow] 2 4 3 4 3" xfId="49225" xr:uid="{00000000-0005-0000-0000-0000A7450000}"/>
    <cellStyle name="Input [yellow] 2 4 3 4 4" xfId="37308" xr:uid="{00000000-0005-0000-0000-0000A8450000}"/>
    <cellStyle name="Input [yellow] 2 4 3 5" xfId="21022" xr:uid="{00000000-0005-0000-0000-0000A9450000}"/>
    <cellStyle name="Input [yellow] 2 4 3 5 2" xfId="46559" xr:uid="{00000000-0005-0000-0000-0000AA450000}"/>
    <cellStyle name="Input [yellow] 2 4 3 5 3" xfId="50465" xr:uid="{00000000-0005-0000-0000-0000AB450000}"/>
    <cellStyle name="Input [yellow] 2 4 3 5 4" xfId="38428" xr:uid="{00000000-0005-0000-0000-0000AC450000}"/>
    <cellStyle name="Input [yellow] 2 4 3 6" xfId="21675" xr:uid="{00000000-0005-0000-0000-0000AD450000}"/>
    <cellStyle name="Input [yellow] 2 4 3 6 2" xfId="47212" xr:uid="{00000000-0005-0000-0000-0000AE450000}"/>
    <cellStyle name="Input [yellow] 2 4 3 6 3" xfId="51118" xr:uid="{00000000-0005-0000-0000-0000AF450000}"/>
    <cellStyle name="Input [yellow] 2 4 3 7" xfId="41015" xr:uid="{00000000-0005-0000-0000-0000B0450000}"/>
    <cellStyle name="Input [yellow] 2 4 3 8" xfId="40589" xr:uid="{00000000-0005-0000-0000-0000B1450000}"/>
    <cellStyle name="Input [yellow] 2 4 4" xfId="10166" xr:uid="{00000000-0005-0000-0000-0000B2450000}"/>
    <cellStyle name="Input [yellow] 2 4 4 2" xfId="17959" xr:uid="{00000000-0005-0000-0000-0000B3450000}"/>
    <cellStyle name="Input [yellow] 2 4 4 2 2" xfId="43749" xr:uid="{00000000-0005-0000-0000-0000B4450000}"/>
    <cellStyle name="Input [yellow] 2 4 4 2 3" xfId="47672" xr:uid="{00000000-0005-0000-0000-0000B5450000}"/>
    <cellStyle name="Input [yellow] 2 4 4 2 4" xfId="35596" xr:uid="{00000000-0005-0000-0000-0000B6450000}"/>
    <cellStyle name="Input [yellow] 2 4 4 3" xfId="19446" xr:uid="{00000000-0005-0000-0000-0000B7450000}"/>
    <cellStyle name="Input [yellow] 2 4 4 3 2" xfId="44983" xr:uid="{00000000-0005-0000-0000-0000B8450000}"/>
    <cellStyle name="Input [yellow] 2 4 4 3 3" xfId="48889" xr:uid="{00000000-0005-0000-0000-0000B9450000}"/>
    <cellStyle name="Input [yellow] 2 4 4 3 4" xfId="37011" xr:uid="{00000000-0005-0000-0000-0000BA450000}"/>
    <cellStyle name="Input [yellow] 2 4 4 4" xfId="19540" xr:uid="{00000000-0005-0000-0000-0000BB450000}"/>
    <cellStyle name="Input [yellow] 2 4 4 4 2" xfId="45077" xr:uid="{00000000-0005-0000-0000-0000BC450000}"/>
    <cellStyle name="Input [yellow] 2 4 4 4 3" xfId="48983" xr:uid="{00000000-0005-0000-0000-0000BD450000}"/>
    <cellStyle name="Input [yellow] 2 4 4 4 4" xfId="37085" xr:uid="{00000000-0005-0000-0000-0000BE450000}"/>
    <cellStyle name="Input [yellow] 2 4 4 5" xfId="20629" xr:uid="{00000000-0005-0000-0000-0000BF450000}"/>
    <cellStyle name="Input [yellow] 2 4 4 5 2" xfId="46166" xr:uid="{00000000-0005-0000-0000-0000C0450000}"/>
    <cellStyle name="Input [yellow] 2 4 4 5 3" xfId="50072" xr:uid="{00000000-0005-0000-0000-0000C1450000}"/>
    <cellStyle name="Input [yellow] 2 4 4 5 4" xfId="38035" xr:uid="{00000000-0005-0000-0000-0000C2450000}"/>
    <cellStyle name="Input [yellow] 2 4 4 6" xfId="21282" xr:uid="{00000000-0005-0000-0000-0000C3450000}"/>
    <cellStyle name="Input [yellow] 2 4 4 6 2" xfId="46819" xr:uid="{00000000-0005-0000-0000-0000C4450000}"/>
    <cellStyle name="Input [yellow] 2 4 4 6 3" xfId="50725" xr:uid="{00000000-0005-0000-0000-0000C5450000}"/>
    <cellStyle name="Input [yellow] 2 4 4 7" xfId="40608" xr:uid="{00000000-0005-0000-0000-0000C6450000}"/>
    <cellStyle name="Input [yellow] 2 4 4 8" xfId="47521" xr:uid="{00000000-0005-0000-0000-0000C7450000}"/>
    <cellStyle name="Input [yellow] 2 4 5" xfId="14779" xr:uid="{00000000-0005-0000-0000-0000C8450000}"/>
    <cellStyle name="Input [yellow] 2 4 5 2" xfId="42895" xr:uid="{00000000-0005-0000-0000-0000C9450000}"/>
    <cellStyle name="Input [yellow] 2 4 5 3" xfId="39065" xr:uid="{00000000-0005-0000-0000-0000CA450000}"/>
    <cellStyle name="Input [yellow] 2 4 5 4" xfId="32414" xr:uid="{00000000-0005-0000-0000-0000CB450000}"/>
    <cellStyle name="Input [yellow] 2 4 6" xfId="13066" xr:uid="{00000000-0005-0000-0000-0000CC450000}"/>
    <cellStyle name="Input [yellow] 2 4 6 2" xfId="42287" xr:uid="{00000000-0005-0000-0000-0000CD450000}"/>
    <cellStyle name="Input [yellow] 2 4 6 3" xfId="43687" xr:uid="{00000000-0005-0000-0000-0000CE450000}"/>
    <cellStyle name="Input [yellow] 2 4 6 4" xfId="30715" xr:uid="{00000000-0005-0000-0000-0000CF450000}"/>
    <cellStyle name="Input [yellow] 2 4 7" xfId="19176" xr:uid="{00000000-0005-0000-0000-0000D0450000}"/>
    <cellStyle name="Input [yellow] 2 4 7 2" xfId="44713" xr:uid="{00000000-0005-0000-0000-0000D1450000}"/>
    <cellStyle name="Input [yellow] 2 4 7 3" xfId="48619" xr:uid="{00000000-0005-0000-0000-0000D2450000}"/>
    <cellStyle name="Input [yellow] 2 4 7 4" xfId="36767" xr:uid="{00000000-0005-0000-0000-0000D3450000}"/>
    <cellStyle name="Input [yellow] 2 4 8" xfId="18886" xr:uid="{00000000-0005-0000-0000-0000D4450000}"/>
    <cellStyle name="Input [yellow] 2 4 8 2" xfId="44423" xr:uid="{00000000-0005-0000-0000-0000D5450000}"/>
    <cellStyle name="Input [yellow] 2 4 8 3" xfId="48329" xr:uid="{00000000-0005-0000-0000-0000D6450000}"/>
    <cellStyle name="Input [yellow] 2 4 8 4" xfId="36522" xr:uid="{00000000-0005-0000-0000-0000D7450000}"/>
    <cellStyle name="Input [yellow] 2 4 9" xfId="20290" xr:uid="{00000000-0005-0000-0000-0000D8450000}"/>
    <cellStyle name="Input [yellow] 2 4 9 2" xfId="45827" xr:uid="{00000000-0005-0000-0000-0000D9450000}"/>
    <cellStyle name="Input [yellow] 2 4 9 3" xfId="49733" xr:uid="{00000000-0005-0000-0000-0000DA450000}"/>
    <cellStyle name="Input [yellow] 2 4 9 4" xfId="37757" xr:uid="{00000000-0005-0000-0000-0000DB450000}"/>
    <cellStyle name="Input [yellow] 2 5" xfId="10440" xr:uid="{00000000-0005-0000-0000-0000DC450000}"/>
    <cellStyle name="Input [yellow] 2 5 2" xfId="18233" xr:uid="{00000000-0005-0000-0000-0000DD450000}"/>
    <cellStyle name="Input [yellow] 2 5 2 2" xfId="43780" xr:uid="{00000000-0005-0000-0000-0000DE450000}"/>
    <cellStyle name="Input [yellow] 2 5 2 3" xfId="47689" xr:uid="{00000000-0005-0000-0000-0000DF450000}"/>
    <cellStyle name="Input [yellow] 2 5 2 4" xfId="35870" xr:uid="{00000000-0005-0000-0000-0000E0450000}"/>
    <cellStyle name="Input [yellow] 2 5 3" xfId="19313" xr:uid="{00000000-0005-0000-0000-0000E1450000}"/>
    <cellStyle name="Input [yellow] 2 5 3 2" xfId="44850" xr:uid="{00000000-0005-0000-0000-0000E2450000}"/>
    <cellStyle name="Input [yellow] 2 5 3 3" xfId="48756" xr:uid="{00000000-0005-0000-0000-0000E3450000}"/>
    <cellStyle name="Input [yellow] 2 5 3 4" xfId="36891" xr:uid="{00000000-0005-0000-0000-0000E4450000}"/>
    <cellStyle name="Input [yellow] 2 5 4" xfId="11574" xr:uid="{00000000-0005-0000-0000-0000E5450000}"/>
    <cellStyle name="Input [yellow] 2 5 4 2" xfId="41585" xr:uid="{00000000-0005-0000-0000-0000E6450000}"/>
    <cellStyle name="Input [yellow] 2 5 4 3" xfId="43708" xr:uid="{00000000-0005-0000-0000-0000E7450000}"/>
    <cellStyle name="Input [yellow] 2 5 4 4" xfId="29285" xr:uid="{00000000-0005-0000-0000-0000E8450000}"/>
    <cellStyle name="Input [yellow] 2 5 5" xfId="20646" xr:uid="{00000000-0005-0000-0000-0000E9450000}"/>
    <cellStyle name="Input [yellow] 2 5 5 2" xfId="46183" xr:uid="{00000000-0005-0000-0000-0000EA450000}"/>
    <cellStyle name="Input [yellow] 2 5 5 3" xfId="50089" xr:uid="{00000000-0005-0000-0000-0000EB450000}"/>
    <cellStyle name="Input [yellow] 2 5 5 4" xfId="38052" xr:uid="{00000000-0005-0000-0000-0000EC450000}"/>
    <cellStyle name="Input [yellow] 2 5 6" xfId="21299" xr:uid="{00000000-0005-0000-0000-0000ED450000}"/>
    <cellStyle name="Input [yellow] 2 5 6 2" xfId="46836" xr:uid="{00000000-0005-0000-0000-0000EE450000}"/>
    <cellStyle name="Input [yellow] 2 5 6 3" xfId="50742" xr:uid="{00000000-0005-0000-0000-0000EF450000}"/>
    <cellStyle name="Input [yellow] 2 5 7" xfId="40639" xr:uid="{00000000-0005-0000-0000-0000F0450000}"/>
    <cellStyle name="Input [yellow] 2 5 8" xfId="43250" xr:uid="{00000000-0005-0000-0000-0000F1450000}"/>
    <cellStyle name="Input [yellow] 2 6" xfId="7777" xr:uid="{00000000-0005-0000-0000-0000F2450000}"/>
    <cellStyle name="Input [yellow] 2 6 2" xfId="15574" xr:uid="{00000000-0005-0000-0000-0000F3450000}"/>
    <cellStyle name="Input [yellow] 2 6 2 2" xfId="43253" xr:uid="{00000000-0005-0000-0000-0000F4450000}"/>
    <cellStyle name="Input [yellow] 2 6 2 3" xfId="41933" xr:uid="{00000000-0005-0000-0000-0000F5450000}"/>
    <cellStyle name="Input [yellow] 2 6 2 4" xfId="33209" xr:uid="{00000000-0005-0000-0000-0000F6450000}"/>
    <cellStyle name="Input [yellow] 2 6 3" xfId="20084" xr:uid="{00000000-0005-0000-0000-0000F7450000}"/>
    <cellStyle name="Input [yellow] 2 6 3 2" xfId="45621" xr:uid="{00000000-0005-0000-0000-0000F8450000}"/>
    <cellStyle name="Input [yellow] 2 6 3 3" xfId="49527" xr:uid="{00000000-0005-0000-0000-0000F9450000}"/>
    <cellStyle name="Input [yellow] 2 6 3 4" xfId="37577" xr:uid="{00000000-0005-0000-0000-0000FA450000}"/>
    <cellStyle name="Input [yellow] 2 6 4" xfId="19471" xr:uid="{00000000-0005-0000-0000-0000FB450000}"/>
    <cellStyle name="Input [yellow] 2 6 4 2" xfId="45008" xr:uid="{00000000-0005-0000-0000-0000FC450000}"/>
    <cellStyle name="Input [yellow] 2 6 4 3" xfId="48914" xr:uid="{00000000-0005-0000-0000-0000FD450000}"/>
    <cellStyle name="Input [yellow] 2 6 4 4" xfId="37029" xr:uid="{00000000-0005-0000-0000-0000FE450000}"/>
    <cellStyle name="Input [yellow] 2 6 5" xfId="20346" xr:uid="{00000000-0005-0000-0000-0000FF450000}"/>
    <cellStyle name="Input [yellow] 2 6 5 2" xfId="45883" xr:uid="{00000000-0005-0000-0000-000000460000}"/>
    <cellStyle name="Input [yellow] 2 6 5 3" xfId="49789" xr:uid="{00000000-0005-0000-0000-000001460000}"/>
    <cellStyle name="Input [yellow] 2 6 5 4" xfId="37806" xr:uid="{00000000-0005-0000-0000-000002460000}"/>
    <cellStyle name="Input [yellow] 2 6 6" xfId="12678" xr:uid="{00000000-0005-0000-0000-000003460000}"/>
    <cellStyle name="Input [yellow] 2 6 6 2" xfId="42157" xr:uid="{00000000-0005-0000-0000-000004460000}"/>
    <cellStyle name="Input [yellow] 2 6 6 3" xfId="40336" xr:uid="{00000000-0005-0000-0000-000005460000}"/>
    <cellStyle name="Input [yellow] 2 6 7" xfId="40112" xr:uid="{00000000-0005-0000-0000-000006460000}"/>
    <cellStyle name="Input [yellow] 2 6 8" xfId="47624" xr:uid="{00000000-0005-0000-0000-000007460000}"/>
    <cellStyle name="Input [yellow] 2 7" xfId="52978" xr:uid="{00000000-0005-0000-0000-000008460000}"/>
    <cellStyle name="Input [yellow] 2_BallGrid" xfId="1780" xr:uid="{00000000-0005-0000-0000-000009460000}"/>
    <cellStyle name="Input [yellow] 3" xfId="1781" xr:uid="{00000000-0005-0000-0000-00000A460000}"/>
    <cellStyle name="Input [yellow] 3 2" xfId="1782" xr:uid="{00000000-0005-0000-0000-00000B460000}"/>
    <cellStyle name="Input [yellow] 3 2 2" xfId="6995" xr:uid="{00000000-0005-0000-0000-00000C460000}"/>
    <cellStyle name="Input [yellow] 3 2 2 10" xfId="39759" xr:uid="{00000000-0005-0000-0000-00000D460000}"/>
    <cellStyle name="Input [yellow] 3 2 2 11" xfId="39419" xr:uid="{00000000-0005-0000-0000-00000E460000}"/>
    <cellStyle name="Input [yellow] 3 2 2 2" xfId="10525" xr:uid="{00000000-0005-0000-0000-00000F460000}"/>
    <cellStyle name="Input [yellow] 3 2 2 2 2" xfId="18318" xr:uid="{00000000-0005-0000-0000-000010460000}"/>
    <cellStyle name="Input [yellow] 3 2 2 2 2 2" xfId="43865" xr:uid="{00000000-0005-0000-0000-000011460000}"/>
    <cellStyle name="Input [yellow] 3 2 2 2 2 3" xfId="47774" xr:uid="{00000000-0005-0000-0000-000012460000}"/>
    <cellStyle name="Input [yellow] 3 2 2 2 2 4" xfId="35955" xr:uid="{00000000-0005-0000-0000-000013460000}"/>
    <cellStyle name="Input [yellow] 3 2 2 2 3" xfId="19916" xr:uid="{00000000-0005-0000-0000-000014460000}"/>
    <cellStyle name="Input [yellow] 3 2 2 2 3 2" xfId="45453" xr:uid="{00000000-0005-0000-0000-000015460000}"/>
    <cellStyle name="Input [yellow] 3 2 2 2 3 3" xfId="49359" xr:uid="{00000000-0005-0000-0000-000016460000}"/>
    <cellStyle name="Input [yellow] 3 2 2 2 3 4" xfId="37430" xr:uid="{00000000-0005-0000-0000-000017460000}"/>
    <cellStyle name="Input [yellow] 3 2 2 2 4" xfId="19781" xr:uid="{00000000-0005-0000-0000-000018460000}"/>
    <cellStyle name="Input [yellow] 3 2 2 2 4 2" xfId="45318" xr:uid="{00000000-0005-0000-0000-000019460000}"/>
    <cellStyle name="Input [yellow] 3 2 2 2 4 3" xfId="49224" xr:uid="{00000000-0005-0000-0000-00001A460000}"/>
    <cellStyle name="Input [yellow] 3 2 2 2 4 4" xfId="37307" xr:uid="{00000000-0005-0000-0000-00001B460000}"/>
    <cellStyle name="Input [yellow] 3 2 2 2 5" xfId="20731" xr:uid="{00000000-0005-0000-0000-00001C460000}"/>
    <cellStyle name="Input [yellow] 3 2 2 2 5 2" xfId="46268" xr:uid="{00000000-0005-0000-0000-00001D460000}"/>
    <cellStyle name="Input [yellow] 3 2 2 2 5 3" xfId="50174" xr:uid="{00000000-0005-0000-0000-00001E460000}"/>
    <cellStyle name="Input [yellow] 3 2 2 2 5 4" xfId="38137" xr:uid="{00000000-0005-0000-0000-00001F460000}"/>
    <cellStyle name="Input [yellow] 3 2 2 2 6" xfId="21384" xr:uid="{00000000-0005-0000-0000-000020460000}"/>
    <cellStyle name="Input [yellow] 3 2 2 2 6 2" xfId="46921" xr:uid="{00000000-0005-0000-0000-000021460000}"/>
    <cellStyle name="Input [yellow] 3 2 2 2 6 3" xfId="50827" xr:uid="{00000000-0005-0000-0000-000022460000}"/>
    <cellStyle name="Input [yellow] 3 2 2 2 7" xfId="40724" xr:uid="{00000000-0005-0000-0000-000023460000}"/>
    <cellStyle name="Input [yellow] 3 2 2 2 8" xfId="43744" xr:uid="{00000000-0005-0000-0000-000024460000}"/>
    <cellStyle name="Input [yellow] 3 2 2 3" xfId="10820" xr:uid="{00000000-0005-0000-0000-000025460000}"/>
    <cellStyle name="Input [yellow] 3 2 2 3 2" xfId="18613" xr:uid="{00000000-0005-0000-0000-000026460000}"/>
    <cellStyle name="Input [yellow] 3 2 2 3 2 2" xfId="44160" xr:uid="{00000000-0005-0000-0000-000027460000}"/>
    <cellStyle name="Input [yellow] 3 2 2 3 2 3" xfId="48069" xr:uid="{00000000-0005-0000-0000-000028460000}"/>
    <cellStyle name="Input [yellow] 3 2 2 3 2 4" xfId="36250" xr:uid="{00000000-0005-0000-0000-000029460000}"/>
    <cellStyle name="Input [yellow] 3 2 2 3 3" xfId="19725" xr:uid="{00000000-0005-0000-0000-00002A460000}"/>
    <cellStyle name="Input [yellow] 3 2 2 3 3 2" xfId="45262" xr:uid="{00000000-0005-0000-0000-00002B460000}"/>
    <cellStyle name="Input [yellow] 3 2 2 3 3 3" xfId="49168" xr:uid="{00000000-0005-0000-0000-00002C460000}"/>
    <cellStyle name="Input [yellow] 3 2 2 3 3 4" xfId="37252" xr:uid="{00000000-0005-0000-0000-00002D460000}"/>
    <cellStyle name="Input [yellow] 3 2 2 3 4" xfId="20191" xr:uid="{00000000-0005-0000-0000-00002E460000}"/>
    <cellStyle name="Input [yellow] 3 2 2 3 4 2" xfId="45728" xr:uid="{00000000-0005-0000-0000-00002F460000}"/>
    <cellStyle name="Input [yellow] 3 2 2 3 4 3" xfId="49634" xr:uid="{00000000-0005-0000-0000-000030460000}"/>
    <cellStyle name="Input [yellow] 3 2 2 3 4 4" xfId="37674" xr:uid="{00000000-0005-0000-0000-000031460000}"/>
    <cellStyle name="Input [yellow] 3 2 2 3 5" xfId="21026" xr:uid="{00000000-0005-0000-0000-000032460000}"/>
    <cellStyle name="Input [yellow] 3 2 2 3 5 2" xfId="46563" xr:uid="{00000000-0005-0000-0000-000033460000}"/>
    <cellStyle name="Input [yellow] 3 2 2 3 5 3" xfId="50469" xr:uid="{00000000-0005-0000-0000-000034460000}"/>
    <cellStyle name="Input [yellow] 3 2 2 3 5 4" xfId="38432" xr:uid="{00000000-0005-0000-0000-000035460000}"/>
    <cellStyle name="Input [yellow] 3 2 2 3 6" xfId="21679" xr:uid="{00000000-0005-0000-0000-000036460000}"/>
    <cellStyle name="Input [yellow] 3 2 2 3 6 2" xfId="47216" xr:uid="{00000000-0005-0000-0000-000037460000}"/>
    <cellStyle name="Input [yellow] 3 2 2 3 6 3" xfId="51122" xr:uid="{00000000-0005-0000-0000-000038460000}"/>
    <cellStyle name="Input [yellow] 3 2 2 3 7" xfId="41019" xr:uid="{00000000-0005-0000-0000-000039460000}"/>
    <cellStyle name="Input [yellow] 3 2 2 3 8" xfId="40484" xr:uid="{00000000-0005-0000-0000-00003A460000}"/>
    <cellStyle name="Input [yellow] 3 2 2 4" xfId="10170" xr:uid="{00000000-0005-0000-0000-00003B460000}"/>
    <cellStyle name="Input [yellow] 3 2 2 4 2" xfId="17963" xr:uid="{00000000-0005-0000-0000-00003C460000}"/>
    <cellStyle name="Input [yellow] 3 2 2 4 2 2" xfId="43753" xr:uid="{00000000-0005-0000-0000-00003D460000}"/>
    <cellStyle name="Input [yellow] 3 2 2 4 2 3" xfId="47676" xr:uid="{00000000-0005-0000-0000-00003E460000}"/>
    <cellStyle name="Input [yellow] 3 2 2 4 2 4" xfId="35600" xr:uid="{00000000-0005-0000-0000-00003F460000}"/>
    <cellStyle name="Input [yellow] 3 2 2 4 3" xfId="19152" xr:uid="{00000000-0005-0000-0000-000040460000}"/>
    <cellStyle name="Input [yellow] 3 2 2 4 3 2" xfId="44689" xr:uid="{00000000-0005-0000-0000-000041460000}"/>
    <cellStyle name="Input [yellow] 3 2 2 4 3 3" xfId="48595" xr:uid="{00000000-0005-0000-0000-000042460000}"/>
    <cellStyle name="Input [yellow] 3 2 2 4 3 4" xfId="36746" xr:uid="{00000000-0005-0000-0000-000043460000}"/>
    <cellStyle name="Input [yellow] 3 2 2 4 4" xfId="18920" xr:uid="{00000000-0005-0000-0000-000044460000}"/>
    <cellStyle name="Input [yellow] 3 2 2 4 4 2" xfId="44457" xr:uid="{00000000-0005-0000-0000-000045460000}"/>
    <cellStyle name="Input [yellow] 3 2 2 4 4 3" xfId="48363" xr:uid="{00000000-0005-0000-0000-000046460000}"/>
    <cellStyle name="Input [yellow] 3 2 2 4 4 4" xfId="36550" xr:uid="{00000000-0005-0000-0000-000047460000}"/>
    <cellStyle name="Input [yellow] 3 2 2 4 5" xfId="20633" xr:uid="{00000000-0005-0000-0000-000048460000}"/>
    <cellStyle name="Input [yellow] 3 2 2 4 5 2" xfId="46170" xr:uid="{00000000-0005-0000-0000-000049460000}"/>
    <cellStyle name="Input [yellow] 3 2 2 4 5 3" xfId="50076" xr:uid="{00000000-0005-0000-0000-00004A460000}"/>
    <cellStyle name="Input [yellow] 3 2 2 4 5 4" xfId="38039" xr:uid="{00000000-0005-0000-0000-00004B460000}"/>
    <cellStyle name="Input [yellow] 3 2 2 4 6" xfId="21286" xr:uid="{00000000-0005-0000-0000-00004C460000}"/>
    <cellStyle name="Input [yellow] 3 2 2 4 6 2" xfId="46823" xr:uid="{00000000-0005-0000-0000-00004D460000}"/>
    <cellStyle name="Input [yellow] 3 2 2 4 6 3" xfId="50729" xr:uid="{00000000-0005-0000-0000-00004E460000}"/>
    <cellStyle name="Input [yellow] 3 2 2 4 7" xfId="40612" xr:uid="{00000000-0005-0000-0000-00004F460000}"/>
    <cellStyle name="Input [yellow] 3 2 2 4 8" xfId="39612" xr:uid="{00000000-0005-0000-0000-000050460000}"/>
    <cellStyle name="Input [yellow] 3 2 2 5" xfId="14783" xr:uid="{00000000-0005-0000-0000-000051460000}"/>
    <cellStyle name="Input [yellow] 3 2 2 5 2" xfId="42899" xr:uid="{00000000-0005-0000-0000-000052460000}"/>
    <cellStyle name="Input [yellow] 3 2 2 5 3" xfId="42787" xr:uid="{00000000-0005-0000-0000-000053460000}"/>
    <cellStyle name="Input [yellow] 3 2 2 5 4" xfId="32418" xr:uid="{00000000-0005-0000-0000-000054460000}"/>
    <cellStyle name="Input [yellow] 3 2 2 6" xfId="13070" xr:uid="{00000000-0005-0000-0000-000055460000}"/>
    <cellStyle name="Input [yellow] 3 2 2 6 2" xfId="42291" xr:uid="{00000000-0005-0000-0000-000056460000}"/>
    <cellStyle name="Input [yellow] 3 2 2 6 3" xfId="43580" xr:uid="{00000000-0005-0000-0000-000057460000}"/>
    <cellStyle name="Input [yellow] 3 2 2 6 4" xfId="30719" xr:uid="{00000000-0005-0000-0000-000058460000}"/>
    <cellStyle name="Input [yellow] 3 2 2 7" xfId="19490" xr:uid="{00000000-0005-0000-0000-000059460000}"/>
    <cellStyle name="Input [yellow] 3 2 2 7 2" xfId="45027" xr:uid="{00000000-0005-0000-0000-00005A460000}"/>
    <cellStyle name="Input [yellow] 3 2 2 7 3" xfId="48933" xr:uid="{00000000-0005-0000-0000-00005B460000}"/>
    <cellStyle name="Input [yellow] 3 2 2 7 4" xfId="37046" xr:uid="{00000000-0005-0000-0000-00005C460000}"/>
    <cellStyle name="Input [yellow] 3 2 2 8" xfId="19811" xr:uid="{00000000-0005-0000-0000-00005D460000}"/>
    <cellStyle name="Input [yellow] 3 2 2 8 2" xfId="45348" xr:uid="{00000000-0005-0000-0000-00005E460000}"/>
    <cellStyle name="Input [yellow] 3 2 2 8 3" xfId="49254" xr:uid="{00000000-0005-0000-0000-00005F460000}"/>
    <cellStyle name="Input [yellow] 3 2 2 8 4" xfId="37332" xr:uid="{00000000-0005-0000-0000-000060460000}"/>
    <cellStyle name="Input [yellow] 3 2 2 9" xfId="12829" xr:uid="{00000000-0005-0000-0000-000061460000}"/>
    <cellStyle name="Input [yellow] 3 2 2 9 2" xfId="42232" xr:uid="{00000000-0005-0000-0000-000062460000}"/>
    <cellStyle name="Input [yellow] 3 2 2 9 3" xfId="39449" xr:uid="{00000000-0005-0000-0000-000063460000}"/>
    <cellStyle name="Input [yellow] 3 2 2 9 4" xfId="30484" xr:uid="{00000000-0005-0000-0000-000064460000}"/>
    <cellStyle name="Input [yellow] 3 2 3" xfId="10444" xr:uid="{00000000-0005-0000-0000-000065460000}"/>
    <cellStyle name="Input [yellow] 3 2 3 2" xfId="18237" xr:uid="{00000000-0005-0000-0000-000066460000}"/>
    <cellStyle name="Input [yellow] 3 2 3 2 2" xfId="43784" xr:uid="{00000000-0005-0000-0000-000067460000}"/>
    <cellStyle name="Input [yellow] 3 2 3 2 3" xfId="47693" xr:uid="{00000000-0005-0000-0000-000068460000}"/>
    <cellStyle name="Input [yellow] 3 2 3 2 4" xfId="35874" xr:uid="{00000000-0005-0000-0000-000069460000}"/>
    <cellStyle name="Input [yellow] 3 2 3 3" xfId="11485" xr:uid="{00000000-0005-0000-0000-00006A460000}"/>
    <cellStyle name="Input [yellow] 3 2 3 3 2" xfId="41496" xr:uid="{00000000-0005-0000-0000-00006B460000}"/>
    <cellStyle name="Input [yellow] 3 2 3 3 3" xfId="39577" xr:uid="{00000000-0005-0000-0000-00006C460000}"/>
    <cellStyle name="Input [yellow] 3 2 3 3 4" xfId="29200" xr:uid="{00000000-0005-0000-0000-00006D460000}"/>
    <cellStyle name="Input [yellow] 3 2 3 4" xfId="19691" xr:uid="{00000000-0005-0000-0000-00006E460000}"/>
    <cellStyle name="Input [yellow] 3 2 3 4 2" xfId="45228" xr:uid="{00000000-0005-0000-0000-00006F460000}"/>
    <cellStyle name="Input [yellow] 3 2 3 4 3" xfId="49134" xr:uid="{00000000-0005-0000-0000-000070460000}"/>
    <cellStyle name="Input [yellow] 3 2 3 4 4" xfId="37222" xr:uid="{00000000-0005-0000-0000-000071460000}"/>
    <cellStyle name="Input [yellow] 3 2 3 5" xfId="20650" xr:uid="{00000000-0005-0000-0000-000072460000}"/>
    <cellStyle name="Input [yellow] 3 2 3 5 2" xfId="46187" xr:uid="{00000000-0005-0000-0000-000073460000}"/>
    <cellStyle name="Input [yellow] 3 2 3 5 3" xfId="50093" xr:uid="{00000000-0005-0000-0000-000074460000}"/>
    <cellStyle name="Input [yellow] 3 2 3 5 4" xfId="38056" xr:uid="{00000000-0005-0000-0000-000075460000}"/>
    <cellStyle name="Input [yellow] 3 2 3 6" xfId="21303" xr:uid="{00000000-0005-0000-0000-000076460000}"/>
    <cellStyle name="Input [yellow] 3 2 3 6 2" xfId="46840" xr:uid="{00000000-0005-0000-0000-000077460000}"/>
    <cellStyle name="Input [yellow] 3 2 3 6 3" xfId="50746" xr:uid="{00000000-0005-0000-0000-000078460000}"/>
    <cellStyle name="Input [yellow] 3 2 3 7" xfId="40643" xr:uid="{00000000-0005-0000-0000-000079460000}"/>
    <cellStyle name="Input [yellow] 3 2 3 8" xfId="40266" xr:uid="{00000000-0005-0000-0000-00007A460000}"/>
    <cellStyle name="Input [yellow] 3 2 4" xfId="7781" xr:uid="{00000000-0005-0000-0000-00007B460000}"/>
    <cellStyle name="Input [yellow] 3 2 4 2" xfId="15578" xr:uid="{00000000-0005-0000-0000-00007C460000}"/>
    <cellStyle name="Input [yellow] 3 2 4 2 2" xfId="43257" xr:uid="{00000000-0005-0000-0000-00007D460000}"/>
    <cellStyle name="Input [yellow] 3 2 4 2 3" xfId="41934" xr:uid="{00000000-0005-0000-0000-00007E460000}"/>
    <cellStyle name="Input [yellow] 3 2 4 2 4" xfId="33213" xr:uid="{00000000-0005-0000-0000-00007F460000}"/>
    <cellStyle name="Input [yellow] 3 2 4 3" xfId="19809" xr:uid="{00000000-0005-0000-0000-000080460000}"/>
    <cellStyle name="Input [yellow] 3 2 4 3 2" xfId="45346" xr:uid="{00000000-0005-0000-0000-000081460000}"/>
    <cellStyle name="Input [yellow] 3 2 4 3 3" xfId="49252" xr:uid="{00000000-0005-0000-0000-000082460000}"/>
    <cellStyle name="Input [yellow] 3 2 4 3 4" xfId="37330" xr:uid="{00000000-0005-0000-0000-000083460000}"/>
    <cellStyle name="Input [yellow] 3 2 4 4" xfId="20286" xr:uid="{00000000-0005-0000-0000-000084460000}"/>
    <cellStyle name="Input [yellow] 3 2 4 4 2" xfId="45823" xr:uid="{00000000-0005-0000-0000-000085460000}"/>
    <cellStyle name="Input [yellow] 3 2 4 4 3" xfId="49729" xr:uid="{00000000-0005-0000-0000-000086460000}"/>
    <cellStyle name="Input [yellow] 3 2 4 4 4" xfId="37754" xr:uid="{00000000-0005-0000-0000-000087460000}"/>
    <cellStyle name="Input [yellow] 3 2 4 5" xfId="18897" xr:uid="{00000000-0005-0000-0000-000088460000}"/>
    <cellStyle name="Input [yellow] 3 2 4 5 2" xfId="44434" xr:uid="{00000000-0005-0000-0000-000089460000}"/>
    <cellStyle name="Input [yellow] 3 2 4 5 3" xfId="48340" xr:uid="{00000000-0005-0000-0000-00008A460000}"/>
    <cellStyle name="Input [yellow] 3 2 4 5 4" xfId="36533" xr:uid="{00000000-0005-0000-0000-00008B460000}"/>
    <cellStyle name="Input [yellow] 3 2 4 6" xfId="19779" xr:uid="{00000000-0005-0000-0000-00008C460000}"/>
    <cellStyle name="Input [yellow] 3 2 4 6 2" xfId="45316" xr:uid="{00000000-0005-0000-0000-00008D460000}"/>
    <cellStyle name="Input [yellow] 3 2 4 6 3" xfId="49222" xr:uid="{00000000-0005-0000-0000-00008E460000}"/>
    <cellStyle name="Input [yellow] 3 2 4 7" xfId="40116" xr:uid="{00000000-0005-0000-0000-00008F460000}"/>
    <cellStyle name="Input [yellow] 3 2 4 8" xfId="39509" xr:uid="{00000000-0005-0000-0000-000090460000}"/>
    <cellStyle name="Input [yellow] 3 2 5" xfId="52981" xr:uid="{00000000-0005-0000-0000-000091460000}"/>
    <cellStyle name="Input [yellow] 3 3" xfId="1783" xr:uid="{00000000-0005-0000-0000-000092460000}"/>
    <cellStyle name="Input [yellow] 3 3 2" xfId="6996" xr:uid="{00000000-0005-0000-0000-000093460000}"/>
    <cellStyle name="Input [yellow] 3 3 2 10" xfId="39760" xr:uid="{00000000-0005-0000-0000-000094460000}"/>
    <cellStyle name="Input [yellow] 3 3 2 11" xfId="39254" xr:uid="{00000000-0005-0000-0000-000095460000}"/>
    <cellStyle name="Input [yellow] 3 3 2 2" xfId="10526" xr:uid="{00000000-0005-0000-0000-000096460000}"/>
    <cellStyle name="Input [yellow] 3 3 2 2 2" xfId="18319" xr:uid="{00000000-0005-0000-0000-000097460000}"/>
    <cellStyle name="Input [yellow] 3 3 2 2 2 2" xfId="43866" xr:uid="{00000000-0005-0000-0000-000098460000}"/>
    <cellStyle name="Input [yellow] 3 3 2 2 2 3" xfId="47775" xr:uid="{00000000-0005-0000-0000-000099460000}"/>
    <cellStyle name="Input [yellow] 3 3 2 2 2 4" xfId="35956" xr:uid="{00000000-0005-0000-0000-00009A460000}"/>
    <cellStyle name="Input [yellow] 3 3 2 2 3" xfId="19139" xr:uid="{00000000-0005-0000-0000-00009B460000}"/>
    <cellStyle name="Input [yellow] 3 3 2 2 3 2" xfId="44676" xr:uid="{00000000-0005-0000-0000-00009C460000}"/>
    <cellStyle name="Input [yellow] 3 3 2 2 3 3" xfId="48582" xr:uid="{00000000-0005-0000-0000-00009D460000}"/>
    <cellStyle name="Input [yellow] 3 3 2 2 3 4" xfId="36734" xr:uid="{00000000-0005-0000-0000-00009E460000}"/>
    <cellStyle name="Input [yellow] 3 3 2 2 4" xfId="19386" xr:uid="{00000000-0005-0000-0000-00009F460000}"/>
    <cellStyle name="Input [yellow] 3 3 2 2 4 2" xfId="44923" xr:uid="{00000000-0005-0000-0000-0000A0460000}"/>
    <cellStyle name="Input [yellow] 3 3 2 2 4 3" xfId="48829" xr:uid="{00000000-0005-0000-0000-0000A1460000}"/>
    <cellStyle name="Input [yellow] 3 3 2 2 4 4" xfId="36952" xr:uid="{00000000-0005-0000-0000-0000A2460000}"/>
    <cellStyle name="Input [yellow] 3 3 2 2 5" xfId="20732" xr:uid="{00000000-0005-0000-0000-0000A3460000}"/>
    <cellStyle name="Input [yellow] 3 3 2 2 5 2" xfId="46269" xr:uid="{00000000-0005-0000-0000-0000A4460000}"/>
    <cellStyle name="Input [yellow] 3 3 2 2 5 3" xfId="50175" xr:uid="{00000000-0005-0000-0000-0000A5460000}"/>
    <cellStyle name="Input [yellow] 3 3 2 2 5 4" xfId="38138" xr:uid="{00000000-0005-0000-0000-0000A6460000}"/>
    <cellStyle name="Input [yellow] 3 3 2 2 6" xfId="21385" xr:uid="{00000000-0005-0000-0000-0000A7460000}"/>
    <cellStyle name="Input [yellow] 3 3 2 2 6 2" xfId="46922" xr:uid="{00000000-0005-0000-0000-0000A8460000}"/>
    <cellStyle name="Input [yellow] 3 3 2 2 6 3" xfId="50828" xr:uid="{00000000-0005-0000-0000-0000A9460000}"/>
    <cellStyle name="Input [yellow] 3 3 2 2 7" xfId="40725" xr:uid="{00000000-0005-0000-0000-0000AA460000}"/>
    <cellStyle name="Input [yellow] 3 3 2 2 8" xfId="40603" xr:uid="{00000000-0005-0000-0000-0000AB460000}"/>
    <cellStyle name="Input [yellow] 3 3 2 3" xfId="10821" xr:uid="{00000000-0005-0000-0000-0000AC460000}"/>
    <cellStyle name="Input [yellow] 3 3 2 3 2" xfId="18614" xr:uid="{00000000-0005-0000-0000-0000AD460000}"/>
    <cellStyle name="Input [yellow] 3 3 2 3 2 2" xfId="44161" xr:uid="{00000000-0005-0000-0000-0000AE460000}"/>
    <cellStyle name="Input [yellow] 3 3 2 3 2 3" xfId="48070" xr:uid="{00000000-0005-0000-0000-0000AF460000}"/>
    <cellStyle name="Input [yellow] 3 3 2 3 2 4" xfId="36251" xr:uid="{00000000-0005-0000-0000-0000B0460000}"/>
    <cellStyle name="Input [yellow] 3 3 2 3 3" xfId="20147" xr:uid="{00000000-0005-0000-0000-0000B1460000}"/>
    <cellStyle name="Input [yellow] 3 3 2 3 3 2" xfId="45684" xr:uid="{00000000-0005-0000-0000-0000B2460000}"/>
    <cellStyle name="Input [yellow] 3 3 2 3 3 3" xfId="49590" xr:uid="{00000000-0005-0000-0000-0000B3460000}"/>
    <cellStyle name="Input [yellow] 3 3 2 3 3 4" xfId="37633" xr:uid="{00000000-0005-0000-0000-0000B4460000}"/>
    <cellStyle name="Input [yellow] 3 3 2 3 4" xfId="12646" xr:uid="{00000000-0005-0000-0000-0000B5460000}"/>
    <cellStyle name="Input [yellow] 3 3 2 3 4 2" xfId="42125" xr:uid="{00000000-0005-0000-0000-0000B6460000}"/>
    <cellStyle name="Input [yellow] 3 3 2 3 4 3" xfId="43200" xr:uid="{00000000-0005-0000-0000-0000B7460000}"/>
    <cellStyle name="Input [yellow] 3 3 2 3 4 4" xfId="30311" xr:uid="{00000000-0005-0000-0000-0000B8460000}"/>
    <cellStyle name="Input [yellow] 3 3 2 3 5" xfId="21027" xr:uid="{00000000-0005-0000-0000-0000B9460000}"/>
    <cellStyle name="Input [yellow] 3 3 2 3 5 2" xfId="46564" xr:uid="{00000000-0005-0000-0000-0000BA460000}"/>
    <cellStyle name="Input [yellow] 3 3 2 3 5 3" xfId="50470" xr:uid="{00000000-0005-0000-0000-0000BB460000}"/>
    <cellStyle name="Input [yellow] 3 3 2 3 5 4" xfId="38433" xr:uid="{00000000-0005-0000-0000-0000BC460000}"/>
    <cellStyle name="Input [yellow] 3 3 2 3 6" xfId="21680" xr:uid="{00000000-0005-0000-0000-0000BD460000}"/>
    <cellStyle name="Input [yellow] 3 3 2 3 6 2" xfId="47217" xr:uid="{00000000-0005-0000-0000-0000BE460000}"/>
    <cellStyle name="Input [yellow] 3 3 2 3 6 3" xfId="51123" xr:uid="{00000000-0005-0000-0000-0000BF460000}"/>
    <cellStyle name="Input [yellow] 3 3 2 3 7" xfId="41020" xr:uid="{00000000-0005-0000-0000-0000C0460000}"/>
    <cellStyle name="Input [yellow] 3 3 2 3 8" xfId="39594" xr:uid="{00000000-0005-0000-0000-0000C1460000}"/>
    <cellStyle name="Input [yellow] 3 3 2 4" xfId="10171" xr:uid="{00000000-0005-0000-0000-0000C2460000}"/>
    <cellStyle name="Input [yellow] 3 3 2 4 2" xfId="17964" xr:uid="{00000000-0005-0000-0000-0000C3460000}"/>
    <cellStyle name="Input [yellow] 3 3 2 4 2 2" xfId="43754" xr:uid="{00000000-0005-0000-0000-0000C4460000}"/>
    <cellStyle name="Input [yellow] 3 3 2 4 2 3" xfId="47677" xr:uid="{00000000-0005-0000-0000-0000C5460000}"/>
    <cellStyle name="Input [yellow] 3 3 2 4 2 4" xfId="35601" xr:uid="{00000000-0005-0000-0000-0000C6460000}"/>
    <cellStyle name="Input [yellow] 3 3 2 4 3" xfId="19778" xr:uid="{00000000-0005-0000-0000-0000C7460000}"/>
    <cellStyle name="Input [yellow] 3 3 2 4 3 2" xfId="45315" xr:uid="{00000000-0005-0000-0000-0000C8460000}"/>
    <cellStyle name="Input [yellow] 3 3 2 4 3 3" xfId="49221" xr:uid="{00000000-0005-0000-0000-0000C9460000}"/>
    <cellStyle name="Input [yellow] 3 3 2 4 3 4" xfId="37305" xr:uid="{00000000-0005-0000-0000-0000CA460000}"/>
    <cellStyle name="Input [yellow] 3 3 2 4 4" xfId="11078" xr:uid="{00000000-0005-0000-0000-0000CB460000}"/>
    <cellStyle name="Input [yellow] 3 3 2 4 4 2" xfId="41277" xr:uid="{00000000-0005-0000-0000-0000CC460000}"/>
    <cellStyle name="Input [yellow] 3 3 2 4 4 3" xfId="42043" xr:uid="{00000000-0005-0000-0000-0000CD460000}"/>
    <cellStyle name="Input [yellow] 3 3 2 4 4 4" xfId="28808" xr:uid="{00000000-0005-0000-0000-0000CE460000}"/>
    <cellStyle name="Input [yellow] 3 3 2 4 5" xfId="20634" xr:uid="{00000000-0005-0000-0000-0000CF460000}"/>
    <cellStyle name="Input [yellow] 3 3 2 4 5 2" xfId="46171" xr:uid="{00000000-0005-0000-0000-0000D0460000}"/>
    <cellStyle name="Input [yellow] 3 3 2 4 5 3" xfId="50077" xr:uid="{00000000-0005-0000-0000-0000D1460000}"/>
    <cellStyle name="Input [yellow] 3 3 2 4 5 4" xfId="38040" xr:uid="{00000000-0005-0000-0000-0000D2460000}"/>
    <cellStyle name="Input [yellow] 3 3 2 4 6" xfId="21287" xr:uid="{00000000-0005-0000-0000-0000D3460000}"/>
    <cellStyle name="Input [yellow] 3 3 2 4 6 2" xfId="46824" xr:uid="{00000000-0005-0000-0000-0000D4460000}"/>
    <cellStyle name="Input [yellow] 3 3 2 4 6 3" xfId="50730" xr:uid="{00000000-0005-0000-0000-0000D5460000}"/>
    <cellStyle name="Input [yellow] 3 3 2 4 7" xfId="40613" xr:uid="{00000000-0005-0000-0000-0000D6460000}"/>
    <cellStyle name="Input [yellow] 3 3 2 4 8" xfId="47520" xr:uid="{00000000-0005-0000-0000-0000D7460000}"/>
    <cellStyle name="Input [yellow] 3 3 2 5" xfId="14784" xr:uid="{00000000-0005-0000-0000-0000D8460000}"/>
    <cellStyle name="Input [yellow] 3 3 2 5 2" xfId="42900" xr:uid="{00000000-0005-0000-0000-0000D9460000}"/>
    <cellStyle name="Input [yellow] 3 3 2 5 3" xfId="43674" xr:uid="{00000000-0005-0000-0000-0000DA460000}"/>
    <cellStyle name="Input [yellow] 3 3 2 5 4" xfId="32419" xr:uid="{00000000-0005-0000-0000-0000DB460000}"/>
    <cellStyle name="Input [yellow] 3 3 2 6" xfId="13071" xr:uid="{00000000-0005-0000-0000-0000DC460000}"/>
    <cellStyle name="Input [yellow] 3 3 2 6 2" xfId="42292" xr:uid="{00000000-0005-0000-0000-0000DD460000}"/>
    <cellStyle name="Input [yellow] 3 3 2 6 3" xfId="40441" xr:uid="{00000000-0005-0000-0000-0000DE460000}"/>
    <cellStyle name="Input [yellow] 3 3 2 6 4" xfId="30720" xr:uid="{00000000-0005-0000-0000-0000DF460000}"/>
    <cellStyle name="Input [yellow] 3 3 2 7" xfId="20204" xr:uid="{00000000-0005-0000-0000-0000E0460000}"/>
    <cellStyle name="Input [yellow] 3 3 2 7 2" xfId="45741" xr:uid="{00000000-0005-0000-0000-0000E1460000}"/>
    <cellStyle name="Input [yellow] 3 3 2 7 3" xfId="49647" xr:uid="{00000000-0005-0000-0000-0000E2460000}"/>
    <cellStyle name="Input [yellow] 3 3 2 7 4" xfId="37686" xr:uid="{00000000-0005-0000-0000-0000E3460000}"/>
    <cellStyle name="Input [yellow] 3 3 2 8" xfId="20510" xr:uid="{00000000-0005-0000-0000-0000E4460000}"/>
    <cellStyle name="Input [yellow] 3 3 2 8 2" xfId="46047" xr:uid="{00000000-0005-0000-0000-0000E5460000}"/>
    <cellStyle name="Input [yellow] 3 3 2 8 3" xfId="49953" xr:uid="{00000000-0005-0000-0000-0000E6460000}"/>
    <cellStyle name="Input [yellow] 3 3 2 8 4" xfId="37946" xr:uid="{00000000-0005-0000-0000-0000E7460000}"/>
    <cellStyle name="Input [yellow] 3 3 2 9" xfId="20071" xr:uid="{00000000-0005-0000-0000-0000E8460000}"/>
    <cellStyle name="Input [yellow] 3 3 2 9 2" xfId="45608" xr:uid="{00000000-0005-0000-0000-0000E9460000}"/>
    <cellStyle name="Input [yellow] 3 3 2 9 3" xfId="49514" xr:uid="{00000000-0005-0000-0000-0000EA460000}"/>
    <cellStyle name="Input [yellow] 3 3 2 9 4" xfId="37565" xr:uid="{00000000-0005-0000-0000-0000EB460000}"/>
    <cellStyle name="Input [yellow] 3 3 3" xfId="10445" xr:uid="{00000000-0005-0000-0000-0000EC460000}"/>
    <cellStyle name="Input [yellow] 3 3 3 2" xfId="18238" xr:uid="{00000000-0005-0000-0000-0000ED460000}"/>
    <cellStyle name="Input [yellow] 3 3 3 2 2" xfId="43785" xr:uid="{00000000-0005-0000-0000-0000EE460000}"/>
    <cellStyle name="Input [yellow] 3 3 3 2 3" xfId="47694" xr:uid="{00000000-0005-0000-0000-0000EF460000}"/>
    <cellStyle name="Input [yellow] 3 3 3 2 4" xfId="35875" xr:uid="{00000000-0005-0000-0000-0000F0460000}"/>
    <cellStyle name="Input [yellow] 3 3 3 3" xfId="19772" xr:uid="{00000000-0005-0000-0000-0000F1460000}"/>
    <cellStyle name="Input [yellow] 3 3 3 3 2" xfId="45309" xr:uid="{00000000-0005-0000-0000-0000F2460000}"/>
    <cellStyle name="Input [yellow] 3 3 3 3 3" xfId="49215" xr:uid="{00000000-0005-0000-0000-0000F3460000}"/>
    <cellStyle name="Input [yellow] 3 3 3 3 4" xfId="37299" xr:uid="{00000000-0005-0000-0000-0000F4460000}"/>
    <cellStyle name="Input [yellow] 3 3 3 4" xfId="19068" xr:uid="{00000000-0005-0000-0000-0000F5460000}"/>
    <cellStyle name="Input [yellow] 3 3 3 4 2" xfId="44605" xr:uid="{00000000-0005-0000-0000-0000F6460000}"/>
    <cellStyle name="Input [yellow] 3 3 3 4 3" xfId="48511" xr:uid="{00000000-0005-0000-0000-0000F7460000}"/>
    <cellStyle name="Input [yellow] 3 3 3 4 4" xfId="36667" xr:uid="{00000000-0005-0000-0000-0000F8460000}"/>
    <cellStyle name="Input [yellow] 3 3 3 5" xfId="20651" xr:uid="{00000000-0005-0000-0000-0000F9460000}"/>
    <cellStyle name="Input [yellow] 3 3 3 5 2" xfId="46188" xr:uid="{00000000-0005-0000-0000-0000FA460000}"/>
    <cellStyle name="Input [yellow] 3 3 3 5 3" xfId="50094" xr:uid="{00000000-0005-0000-0000-0000FB460000}"/>
    <cellStyle name="Input [yellow] 3 3 3 5 4" xfId="38057" xr:uid="{00000000-0005-0000-0000-0000FC460000}"/>
    <cellStyle name="Input [yellow] 3 3 3 6" xfId="21304" xr:uid="{00000000-0005-0000-0000-0000FD460000}"/>
    <cellStyle name="Input [yellow] 3 3 3 6 2" xfId="46841" xr:uid="{00000000-0005-0000-0000-0000FE460000}"/>
    <cellStyle name="Input [yellow] 3 3 3 6 3" xfId="50747" xr:uid="{00000000-0005-0000-0000-0000FF460000}"/>
    <cellStyle name="Input [yellow] 3 3 3 7" xfId="40644" xr:uid="{00000000-0005-0000-0000-000000470000}"/>
    <cellStyle name="Input [yellow] 3 3 3 8" xfId="39406" xr:uid="{00000000-0005-0000-0000-000001470000}"/>
    <cellStyle name="Input [yellow] 3 3 4" xfId="7782" xr:uid="{00000000-0005-0000-0000-000002470000}"/>
    <cellStyle name="Input [yellow] 3 3 4 2" xfId="15579" xr:uid="{00000000-0005-0000-0000-000003470000}"/>
    <cellStyle name="Input [yellow] 3 3 4 2 2" xfId="43258" xr:uid="{00000000-0005-0000-0000-000004470000}"/>
    <cellStyle name="Input [yellow] 3 3 4 2 3" xfId="43289" xr:uid="{00000000-0005-0000-0000-000005470000}"/>
    <cellStyle name="Input [yellow] 3 3 4 2 4" xfId="33214" xr:uid="{00000000-0005-0000-0000-000006470000}"/>
    <cellStyle name="Input [yellow] 3 3 4 3" xfId="11429" xr:uid="{00000000-0005-0000-0000-000007470000}"/>
    <cellStyle name="Input [yellow] 3 3 4 3 2" xfId="41454" xr:uid="{00000000-0005-0000-0000-000008470000}"/>
    <cellStyle name="Input [yellow] 3 3 4 3 3" xfId="47513" xr:uid="{00000000-0005-0000-0000-000009470000}"/>
    <cellStyle name="Input [yellow] 3 3 4 3 4" xfId="29150" xr:uid="{00000000-0005-0000-0000-00000A470000}"/>
    <cellStyle name="Input [yellow] 3 3 4 4" xfId="11596" xr:uid="{00000000-0005-0000-0000-00000B470000}"/>
    <cellStyle name="Input [yellow] 3 3 4 4 2" xfId="41607" xr:uid="{00000000-0005-0000-0000-00000C470000}"/>
    <cellStyle name="Input [yellow] 3 3 4 4 3" xfId="40564" xr:uid="{00000000-0005-0000-0000-00000D470000}"/>
    <cellStyle name="Input [yellow] 3 3 4 4 4" xfId="29303" xr:uid="{00000000-0005-0000-0000-00000E470000}"/>
    <cellStyle name="Input [yellow] 3 3 4 5" xfId="11597" xr:uid="{00000000-0005-0000-0000-00000F470000}"/>
    <cellStyle name="Input [yellow] 3 3 4 5 2" xfId="41608" xr:uid="{00000000-0005-0000-0000-000010470000}"/>
    <cellStyle name="Input [yellow] 3 3 4 5 3" xfId="39675" xr:uid="{00000000-0005-0000-0000-000011470000}"/>
    <cellStyle name="Input [yellow] 3 3 4 5 4" xfId="29304" xr:uid="{00000000-0005-0000-0000-000012470000}"/>
    <cellStyle name="Input [yellow] 3 3 4 6" xfId="19225" xr:uid="{00000000-0005-0000-0000-000013470000}"/>
    <cellStyle name="Input [yellow] 3 3 4 6 2" xfId="44762" xr:uid="{00000000-0005-0000-0000-000014470000}"/>
    <cellStyle name="Input [yellow] 3 3 4 6 3" xfId="48668" xr:uid="{00000000-0005-0000-0000-000015470000}"/>
    <cellStyle name="Input [yellow] 3 3 4 7" xfId="40117" xr:uid="{00000000-0005-0000-0000-000016470000}"/>
    <cellStyle name="Input [yellow] 3 3 4 8" xfId="47549" xr:uid="{00000000-0005-0000-0000-000017470000}"/>
    <cellStyle name="Input [yellow] 3 4" xfId="6994" xr:uid="{00000000-0005-0000-0000-000018470000}"/>
    <cellStyle name="Input [yellow] 3 4 10" xfId="39758" xr:uid="{00000000-0005-0000-0000-000019470000}"/>
    <cellStyle name="Input [yellow] 3 4 11" xfId="40291" xr:uid="{00000000-0005-0000-0000-00001A470000}"/>
    <cellStyle name="Input [yellow] 3 4 2" xfId="10524" xr:uid="{00000000-0005-0000-0000-00001B470000}"/>
    <cellStyle name="Input [yellow] 3 4 2 2" xfId="18317" xr:uid="{00000000-0005-0000-0000-00001C470000}"/>
    <cellStyle name="Input [yellow] 3 4 2 2 2" xfId="43864" xr:uid="{00000000-0005-0000-0000-00001D470000}"/>
    <cellStyle name="Input [yellow] 3 4 2 2 3" xfId="47773" xr:uid="{00000000-0005-0000-0000-00001E470000}"/>
    <cellStyle name="Input [yellow] 3 4 2 2 4" xfId="35954" xr:uid="{00000000-0005-0000-0000-00001F470000}"/>
    <cellStyle name="Input [yellow] 3 4 2 3" xfId="19307" xr:uid="{00000000-0005-0000-0000-000020470000}"/>
    <cellStyle name="Input [yellow] 3 4 2 3 2" xfId="44844" xr:uid="{00000000-0005-0000-0000-000021470000}"/>
    <cellStyle name="Input [yellow] 3 4 2 3 3" xfId="48750" xr:uid="{00000000-0005-0000-0000-000022470000}"/>
    <cellStyle name="Input [yellow] 3 4 2 3 4" xfId="36885" xr:uid="{00000000-0005-0000-0000-000023470000}"/>
    <cellStyle name="Input [yellow] 3 4 2 4" xfId="20264" xr:uid="{00000000-0005-0000-0000-000024470000}"/>
    <cellStyle name="Input [yellow] 3 4 2 4 2" xfId="45801" xr:uid="{00000000-0005-0000-0000-000025470000}"/>
    <cellStyle name="Input [yellow] 3 4 2 4 3" xfId="49707" xr:uid="{00000000-0005-0000-0000-000026470000}"/>
    <cellStyle name="Input [yellow] 3 4 2 4 4" xfId="37734" xr:uid="{00000000-0005-0000-0000-000027470000}"/>
    <cellStyle name="Input [yellow] 3 4 2 5" xfId="20730" xr:uid="{00000000-0005-0000-0000-000028470000}"/>
    <cellStyle name="Input [yellow] 3 4 2 5 2" xfId="46267" xr:uid="{00000000-0005-0000-0000-000029470000}"/>
    <cellStyle name="Input [yellow] 3 4 2 5 3" xfId="50173" xr:uid="{00000000-0005-0000-0000-00002A470000}"/>
    <cellStyle name="Input [yellow] 3 4 2 5 4" xfId="38136" xr:uid="{00000000-0005-0000-0000-00002B470000}"/>
    <cellStyle name="Input [yellow] 3 4 2 6" xfId="21383" xr:uid="{00000000-0005-0000-0000-00002C470000}"/>
    <cellStyle name="Input [yellow] 3 4 2 6 2" xfId="46920" xr:uid="{00000000-0005-0000-0000-00002D470000}"/>
    <cellStyle name="Input [yellow] 3 4 2 6 3" xfId="50826" xr:uid="{00000000-0005-0000-0000-00002E470000}"/>
    <cellStyle name="Input [yellow] 3 4 2 7" xfId="40723" xr:uid="{00000000-0005-0000-0000-00002F470000}"/>
    <cellStyle name="Input [yellow] 3 4 2 8" xfId="42855" xr:uid="{00000000-0005-0000-0000-000030470000}"/>
    <cellStyle name="Input [yellow] 3 4 3" xfId="10819" xr:uid="{00000000-0005-0000-0000-000031470000}"/>
    <cellStyle name="Input [yellow] 3 4 3 2" xfId="18612" xr:uid="{00000000-0005-0000-0000-000032470000}"/>
    <cellStyle name="Input [yellow] 3 4 3 2 2" xfId="44159" xr:uid="{00000000-0005-0000-0000-000033470000}"/>
    <cellStyle name="Input [yellow] 3 4 3 2 3" xfId="48068" xr:uid="{00000000-0005-0000-0000-000034470000}"/>
    <cellStyle name="Input [yellow] 3 4 3 2 4" xfId="36249" xr:uid="{00000000-0005-0000-0000-000035470000}"/>
    <cellStyle name="Input [yellow] 3 4 3 3" xfId="12636" xr:uid="{00000000-0005-0000-0000-000036470000}"/>
    <cellStyle name="Input [yellow] 3 4 3 3 2" xfId="42115" xr:uid="{00000000-0005-0000-0000-000037470000}"/>
    <cellStyle name="Input [yellow] 3 4 3 3 3" xfId="42565" xr:uid="{00000000-0005-0000-0000-000038470000}"/>
    <cellStyle name="Input [yellow] 3 4 3 3 4" xfId="30301" xr:uid="{00000000-0005-0000-0000-000039470000}"/>
    <cellStyle name="Input [yellow] 3 4 3 4" xfId="18902" xr:uid="{00000000-0005-0000-0000-00003A470000}"/>
    <cellStyle name="Input [yellow] 3 4 3 4 2" xfId="44439" xr:uid="{00000000-0005-0000-0000-00003B470000}"/>
    <cellStyle name="Input [yellow] 3 4 3 4 3" xfId="48345" xr:uid="{00000000-0005-0000-0000-00003C470000}"/>
    <cellStyle name="Input [yellow] 3 4 3 4 4" xfId="36535" xr:uid="{00000000-0005-0000-0000-00003D470000}"/>
    <cellStyle name="Input [yellow] 3 4 3 5" xfId="21025" xr:uid="{00000000-0005-0000-0000-00003E470000}"/>
    <cellStyle name="Input [yellow] 3 4 3 5 2" xfId="46562" xr:uid="{00000000-0005-0000-0000-00003F470000}"/>
    <cellStyle name="Input [yellow] 3 4 3 5 3" xfId="50468" xr:uid="{00000000-0005-0000-0000-000040470000}"/>
    <cellStyle name="Input [yellow] 3 4 3 5 4" xfId="38431" xr:uid="{00000000-0005-0000-0000-000041470000}"/>
    <cellStyle name="Input [yellow] 3 4 3 6" xfId="21678" xr:uid="{00000000-0005-0000-0000-000042470000}"/>
    <cellStyle name="Input [yellow] 3 4 3 6 2" xfId="47215" xr:uid="{00000000-0005-0000-0000-000043470000}"/>
    <cellStyle name="Input [yellow] 3 4 3 6 3" xfId="51121" xr:uid="{00000000-0005-0000-0000-000044470000}"/>
    <cellStyle name="Input [yellow] 3 4 3 7" xfId="41018" xr:uid="{00000000-0005-0000-0000-000045470000}"/>
    <cellStyle name="Input [yellow] 3 4 3 8" xfId="43626" xr:uid="{00000000-0005-0000-0000-000046470000}"/>
    <cellStyle name="Input [yellow] 3 4 4" xfId="10169" xr:uid="{00000000-0005-0000-0000-000047470000}"/>
    <cellStyle name="Input [yellow] 3 4 4 2" xfId="17962" xr:uid="{00000000-0005-0000-0000-000048470000}"/>
    <cellStyle name="Input [yellow] 3 4 4 2 2" xfId="43752" xr:uid="{00000000-0005-0000-0000-000049470000}"/>
    <cellStyle name="Input [yellow] 3 4 4 2 3" xfId="47675" xr:uid="{00000000-0005-0000-0000-00004A470000}"/>
    <cellStyle name="Input [yellow] 3 4 4 2 4" xfId="35599" xr:uid="{00000000-0005-0000-0000-00004B470000}"/>
    <cellStyle name="Input [yellow] 3 4 4 3" xfId="19931" xr:uid="{00000000-0005-0000-0000-00004C470000}"/>
    <cellStyle name="Input [yellow] 3 4 4 3 2" xfId="45468" xr:uid="{00000000-0005-0000-0000-00004D470000}"/>
    <cellStyle name="Input [yellow] 3 4 4 3 3" xfId="49374" xr:uid="{00000000-0005-0000-0000-00004E470000}"/>
    <cellStyle name="Input [yellow] 3 4 4 3 4" xfId="37443" xr:uid="{00000000-0005-0000-0000-00004F470000}"/>
    <cellStyle name="Input [yellow] 3 4 4 4" xfId="20241" xr:uid="{00000000-0005-0000-0000-000050470000}"/>
    <cellStyle name="Input [yellow] 3 4 4 4 2" xfId="45778" xr:uid="{00000000-0005-0000-0000-000051470000}"/>
    <cellStyle name="Input [yellow] 3 4 4 4 3" xfId="49684" xr:uid="{00000000-0005-0000-0000-000052470000}"/>
    <cellStyle name="Input [yellow] 3 4 4 4 4" xfId="37714" xr:uid="{00000000-0005-0000-0000-000053470000}"/>
    <cellStyle name="Input [yellow] 3 4 4 5" xfId="20632" xr:uid="{00000000-0005-0000-0000-000054470000}"/>
    <cellStyle name="Input [yellow] 3 4 4 5 2" xfId="46169" xr:uid="{00000000-0005-0000-0000-000055470000}"/>
    <cellStyle name="Input [yellow] 3 4 4 5 3" xfId="50075" xr:uid="{00000000-0005-0000-0000-000056470000}"/>
    <cellStyle name="Input [yellow] 3 4 4 5 4" xfId="38038" xr:uid="{00000000-0005-0000-0000-000057470000}"/>
    <cellStyle name="Input [yellow] 3 4 4 6" xfId="21285" xr:uid="{00000000-0005-0000-0000-000058470000}"/>
    <cellStyle name="Input [yellow] 3 4 4 6 2" xfId="46822" xr:uid="{00000000-0005-0000-0000-000059470000}"/>
    <cellStyle name="Input [yellow] 3 4 4 6 3" xfId="50728" xr:uid="{00000000-0005-0000-0000-00005A470000}"/>
    <cellStyle name="Input [yellow] 3 4 4 7" xfId="40611" xr:uid="{00000000-0005-0000-0000-00005B470000}"/>
    <cellStyle name="Input [yellow] 3 4 4 8" xfId="40502" xr:uid="{00000000-0005-0000-0000-00005C470000}"/>
    <cellStyle name="Input [yellow] 3 4 5" xfId="14782" xr:uid="{00000000-0005-0000-0000-00005D470000}"/>
    <cellStyle name="Input [yellow] 3 4 5 2" xfId="42898" xr:uid="{00000000-0005-0000-0000-00005E470000}"/>
    <cellStyle name="Input [yellow] 3 4 5 3" xfId="40045" xr:uid="{00000000-0005-0000-0000-00005F470000}"/>
    <cellStyle name="Input [yellow] 3 4 5 4" xfId="32417" xr:uid="{00000000-0005-0000-0000-000060470000}"/>
    <cellStyle name="Input [yellow] 3 4 6" xfId="13069" xr:uid="{00000000-0005-0000-0000-000061470000}"/>
    <cellStyle name="Input [yellow] 3 4 6 2" xfId="42290" xr:uid="{00000000-0005-0000-0000-000062470000}"/>
    <cellStyle name="Input [yellow] 3 4 6 3" xfId="42692" xr:uid="{00000000-0005-0000-0000-000063470000}"/>
    <cellStyle name="Input [yellow] 3 4 6 4" xfId="30718" xr:uid="{00000000-0005-0000-0000-000064470000}"/>
    <cellStyle name="Input [yellow] 3 4 7" xfId="12732" xr:uid="{00000000-0005-0000-0000-000065470000}"/>
    <cellStyle name="Input [yellow] 3 4 7 2" xfId="42187" xr:uid="{00000000-0005-0000-0000-000066470000}"/>
    <cellStyle name="Input [yellow] 3 4 7 3" xfId="39554" xr:uid="{00000000-0005-0000-0000-000067470000}"/>
    <cellStyle name="Input [yellow] 3 4 7 4" xfId="30390" xr:uid="{00000000-0005-0000-0000-000068470000}"/>
    <cellStyle name="Input [yellow] 3 4 8" xfId="20466" xr:uid="{00000000-0005-0000-0000-000069470000}"/>
    <cellStyle name="Input [yellow] 3 4 8 2" xfId="46003" xr:uid="{00000000-0005-0000-0000-00006A470000}"/>
    <cellStyle name="Input [yellow] 3 4 8 3" xfId="49909" xr:uid="{00000000-0005-0000-0000-00006B470000}"/>
    <cellStyle name="Input [yellow] 3 4 8 4" xfId="37919" xr:uid="{00000000-0005-0000-0000-00006C470000}"/>
    <cellStyle name="Input [yellow] 3 4 9" xfId="19679" xr:uid="{00000000-0005-0000-0000-00006D470000}"/>
    <cellStyle name="Input [yellow] 3 4 9 2" xfId="45216" xr:uid="{00000000-0005-0000-0000-00006E470000}"/>
    <cellStyle name="Input [yellow] 3 4 9 3" xfId="49122" xr:uid="{00000000-0005-0000-0000-00006F470000}"/>
    <cellStyle name="Input [yellow] 3 4 9 4" xfId="37211" xr:uid="{00000000-0005-0000-0000-000070470000}"/>
    <cellStyle name="Input [yellow] 3 5" xfId="10443" xr:uid="{00000000-0005-0000-0000-000071470000}"/>
    <cellStyle name="Input [yellow] 3 5 2" xfId="18236" xr:uid="{00000000-0005-0000-0000-000072470000}"/>
    <cellStyle name="Input [yellow] 3 5 2 2" xfId="43783" xr:uid="{00000000-0005-0000-0000-000073470000}"/>
    <cellStyle name="Input [yellow] 3 5 2 3" xfId="47692" xr:uid="{00000000-0005-0000-0000-000074470000}"/>
    <cellStyle name="Input [yellow] 3 5 2 4" xfId="35873" xr:uid="{00000000-0005-0000-0000-000075470000}"/>
    <cellStyle name="Input [yellow] 3 5 3" xfId="19770" xr:uid="{00000000-0005-0000-0000-000076470000}"/>
    <cellStyle name="Input [yellow] 3 5 3 2" xfId="45307" xr:uid="{00000000-0005-0000-0000-000077470000}"/>
    <cellStyle name="Input [yellow] 3 5 3 3" xfId="49213" xr:uid="{00000000-0005-0000-0000-000078470000}"/>
    <cellStyle name="Input [yellow] 3 5 3 4" xfId="37297" xr:uid="{00000000-0005-0000-0000-000079470000}"/>
    <cellStyle name="Input [yellow] 3 5 4" xfId="20101" xr:uid="{00000000-0005-0000-0000-00007A470000}"/>
    <cellStyle name="Input [yellow] 3 5 4 2" xfId="45638" xr:uid="{00000000-0005-0000-0000-00007B470000}"/>
    <cellStyle name="Input [yellow] 3 5 4 3" xfId="49544" xr:uid="{00000000-0005-0000-0000-00007C470000}"/>
    <cellStyle name="Input [yellow] 3 5 4 4" xfId="37590" xr:uid="{00000000-0005-0000-0000-00007D470000}"/>
    <cellStyle name="Input [yellow] 3 5 5" xfId="20649" xr:uid="{00000000-0005-0000-0000-00007E470000}"/>
    <cellStyle name="Input [yellow] 3 5 5 2" xfId="46186" xr:uid="{00000000-0005-0000-0000-00007F470000}"/>
    <cellStyle name="Input [yellow] 3 5 5 3" xfId="50092" xr:uid="{00000000-0005-0000-0000-000080470000}"/>
    <cellStyle name="Input [yellow] 3 5 5 4" xfId="38055" xr:uid="{00000000-0005-0000-0000-000081470000}"/>
    <cellStyle name="Input [yellow] 3 5 6" xfId="21302" xr:uid="{00000000-0005-0000-0000-000082470000}"/>
    <cellStyle name="Input [yellow] 3 5 6 2" xfId="46839" xr:uid="{00000000-0005-0000-0000-000083470000}"/>
    <cellStyle name="Input [yellow] 3 5 6 3" xfId="50745" xr:uid="{00000000-0005-0000-0000-000084470000}"/>
    <cellStyle name="Input [yellow] 3 5 7" xfId="40642" xr:uid="{00000000-0005-0000-0000-000085470000}"/>
    <cellStyle name="Input [yellow] 3 5 8" xfId="43404" xr:uid="{00000000-0005-0000-0000-000086470000}"/>
    <cellStyle name="Input [yellow] 3 6" xfId="7780" xr:uid="{00000000-0005-0000-0000-000087470000}"/>
    <cellStyle name="Input [yellow] 3 6 2" xfId="15577" xr:uid="{00000000-0005-0000-0000-000088470000}"/>
    <cellStyle name="Input [yellow] 3 6 2 2" xfId="43256" xr:uid="{00000000-0005-0000-0000-000089470000}"/>
    <cellStyle name="Input [yellow] 3 6 2 3" xfId="39261" xr:uid="{00000000-0005-0000-0000-00008A470000}"/>
    <cellStyle name="Input [yellow] 3 6 2 4" xfId="33212" xr:uid="{00000000-0005-0000-0000-00008B470000}"/>
    <cellStyle name="Input [yellow] 3 6 3" xfId="19188" xr:uid="{00000000-0005-0000-0000-00008C470000}"/>
    <cellStyle name="Input [yellow] 3 6 3 2" xfId="44725" xr:uid="{00000000-0005-0000-0000-00008D470000}"/>
    <cellStyle name="Input [yellow] 3 6 3 3" xfId="48631" xr:uid="{00000000-0005-0000-0000-00008E470000}"/>
    <cellStyle name="Input [yellow] 3 6 3 4" xfId="36775" xr:uid="{00000000-0005-0000-0000-00008F470000}"/>
    <cellStyle name="Input [yellow] 3 6 4" xfId="19870" xr:uid="{00000000-0005-0000-0000-000090470000}"/>
    <cellStyle name="Input [yellow] 3 6 4 2" xfId="45407" xr:uid="{00000000-0005-0000-0000-000091470000}"/>
    <cellStyle name="Input [yellow] 3 6 4 3" xfId="49313" xr:uid="{00000000-0005-0000-0000-000092470000}"/>
    <cellStyle name="Input [yellow] 3 6 4 4" xfId="37384" xr:uid="{00000000-0005-0000-0000-000093470000}"/>
    <cellStyle name="Input [yellow] 3 6 5" xfId="19034" xr:uid="{00000000-0005-0000-0000-000094470000}"/>
    <cellStyle name="Input [yellow] 3 6 5 2" xfId="44571" xr:uid="{00000000-0005-0000-0000-000095470000}"/>
    <cellStyle name="Input [yellow] 3 6 5 3" xfId="48477" xr:uid="{00000000-0005-0000-0000-000096470000}"/>
    <cellStyle name="Input [yellow] 3 6 5 4" xfId="36640" xr:uid="{00000000-0005-0000-0000-000097470000}"/>
    <cellStyle name="Input [yellow] 3 6 6" xfId="20479" xr:uid="{00000000-0005-0000-0000-000098470000}"/>
    <cellStyle name="Input [yellow] 3 6 6 2" xfId="46016" xr:uid="{00000000-0005-0000-0000-000099470000}"/>
    <cellStyle name="Input [yellow] 3 6 6 3" xfId="49922" xr:uid="{00000000-0005-0000-0000-00009A470000}"/>
    <cellStyle name="Input [yellow] 3 6 7" xfId="40115" xr:uid="{00000000-0005-0000-0000-00009B470000}"/>
    <cellStyle name="Input [yellow] 3 6 8" xfId="40397" xr:uid="{00000000-0005-0000-0000-00009C470000}"/>
    <cellStyle name="Input [yellow] 3 7" xfId="52980" xr:uid="{00000000-0005-0000-0000-00009D470000}"/>
    <cellStyle name="Input [yellow] 3_BallGrid" xfId="1784" xr:uid="{00000000-0005-0000-0000-00009E470000}"/>
    <cellStyle name="Input [yellow] 4" xfId="1785" xr:uid="{00000000-0005-0000-0000-00009F470000}"/>
    <cellStyle name="Input [yellow] 4 2" xfId="1786" xr:uid="{00000000-0005-0000-0000-0000A0470000}"/>
    <cellStyle name="Input [yellow] 4 2 2" xfId="6998" xr:uid="{00000000-0005-0000-0000-0000A1470000}"/>
    <cellStyle name="Input [yellow] 4 2 2 10" xfId="39762" xr:uid="{00000000-0005-0000-0000-0000A2470000}"/>
    <cellStyle name="Input [yellow] 4 2 2 11" xfId="41730" xr:uid="{00000000-0005-0000-0000-0000A3470000}"/>
    <cellStyle name="Input [yellow] 4 2 2 2" xfId="10528" xr:uid="{00000000-0005-0000-0000-0000A4470000}"/>
    <cellStyle name="Input [yellow] 4 2 2 2 2" xfId="18321" xr:uid="{00000000-0005-0000-0000-0000A5470000}"/>
    <cellStyle name="Input [yellow] 4 2 2 2 2 2" xfId="43868" xr:uid="{00000000-0005-0000-0000-0000A6470000}"/>
    <cellStyle name="Input [yellow] 4 2 2 2 2 3" xfId="47777" xr:uid="{00000000-0005-0000-0000-0000A7470000}"/>
    <cellStyle name="Input [yellow] 4 2 2 2 2 4" xfId="35958" xr:uid="{00000000-0005-0000-0000-0000A8470000}"/>
    <cellStyle name="Input [yellow] 4 2 2 2 3" xfId="12623" xr:uid="{00000000-0005-0000-0000-0000A9470000}"/>
    <cellStyle name="Input [yellow] 4 2 2 2 3 2" xfId="42102" xr:uid="{00000000-0005-0000-0000-0000AA470000}"/>
    <cellStyle name="Input [yellow] 4 2 2 2 3 3" xfId="39316" xr:uid="{00000000-0005-0000-0000-0000AB470000}"/>
    <cellStyle name="Input [yellow] 4 2 2 2 3 4" xfId="30288" xr:uid="{00000000-0005-0000-0000-0000AC470000}"/>
    <cellStyle name="Input [yellow] 4 2 2 2 4" xfId="19986" xr:uid="{00000000-0005-0000-0000-0000AD470000}"/>
    <cellStyle name="Input [yellow] 4 2 2 2 4 2" xfId="45523" xr:uid="{00000000-0005-0000-0000-0000AE470000}"/>
    <cellStyle name="Input [yellow] 4 2 2 2 4 3" xfId="49429" xr:uid="{00000000-0005-0000-0000-0000AF470000}"/>
    <cellStyle name="Input [yellow] 4 2 2 2 4 4" xfId="37485" xr:uid="{00000000-0005-0000-0000-0000B0470000}"/>
    <cellStyle name="Input [yellow] 4 2 2 2 5" xfId="20734" xr:uid="{00000000-0005-0000-0000-0000B1470000}"/>
    <cellStyle name="Input [yellow] 4 2 2 2 5 2" xfId="46271" xr:uid="{00000000-0005-0000-0000-0000B2470000}"/>
    <cellStyle name="Input [yellow] 4 2 2 2 5 3" xfId="50177" xr:uid="{00000000-0005-0000-0000-0000B3470000}"/>
    <cellStyle name="Input [yellow] 4 2 2 2 5 4" xfId="38140" xr:uid="{00000000-0005-0000-0000-0000B4470000}"/>
    <cellStyle name="Input [yellow] 4 2 2 2 6" xfId="21387" xr:uid="{00000000-0005-0000-0000-0000B5470000}"/>
    <cellStyle name="Input [yellow] 4 2 2 2 6 2" xfId="46924" xr:uid="{00000000-0005-0000-0000-0000B6470000}"/>
    <cellStyle name="Input [yellow] 4 2 2 2 6 3" xfId="50830" xr:uid="{00000000-0005-0000-0000-0000B7470000}"/>
    <cellStyle name="Input [yellow] 4 2 2 2 7" xfId="40727" xr:uid="{00000000-0005-0000-0000-0000B8470000}"/>
    <cellStyle name="Input [yellow] 4 2 2 2 8" xfId="42751" xr:uid="{00000000-0005-0000-0000-0000B9470000}"/>
    <cellStyle name="Input [yellow] 4 2 2 3" xfId="10823" xr:uid="{00000000-0005-0000-0000-0000BA470000}"/>
    <cellStyle name="Input [yellow] 4 2 2 3 2" xfId="18616" xr:uid="{00000000-0005-0000-0000-0000BB470000}"/>
    <cellStyle name="Input [yellow] 4 2 2 3 2 2" xfId="44163" xr:uid="{00000000-0005-0000-0000-0000BC470000}"/>
    <cellStyle name="Input [yellow] 4 2 2 3 2 3" xfId="48072" xr:uid="{00000000-0005-0000-0000-0000BD470000}"/>
    <cellStyle name="Input [yellow] 4 2 2 3 2 4" xfId="36253" xr:uid="{00000000-0005-0000-0000-0000BE470000}"/>
    <cellStyle name="Input [yellow] 4 2 2 3 3" xfId="20013" xr:uid="{00000000-0005-0000-0000-0000BF470000}"/>
    <cellStyle name="Input [yellow] 4 2 2 3 3 2" xfId="45550" xr:uid="{00000000-0005-0000-0000-0000C0470000}"/>
    <cellStyle name="Input [yellow] 4 2 2 3 3 3" xfId="49456" xr:uid="{00000000-0005-0000-0000-0000C1470000}"/>
    <cellStyle name="Input [yellow] 4 2 2 3 3 4" xfId="37511" xr:uid="{00000000-0005-0000-0000-0000C2470000}"/>
    <cellStyle name="Input [yellow] 4 2 2 3 4" xfId="18882" xr:uid="{00000000-0005-0000-0000-0000C3470000}"/>
    <cellStyle name="Input [yellow] 4 2 2 3 4 2" xfId="44419" xr:uid="{00000000-0005-0000-0000-0000C4470000}"/>
    <cellStyle name="Input [yellow] 4 2 2 3 4 3" xfId="48325" xr:uid="{00000000-0005-0000-0000-0000C5470000}"/>
    <cellStyle name="Input [yellow] 4 2 2 3 4 4" xfId="36519" xr:uid="{00000000-0005-0000-0000-0000C6470000}"/>
    <cellStyle name="Input [yellow] 4 2 2 3 5" xfId="21029" xr:uid="{00000000-0005-0000-0000-0000C7470000}"/>
    <cellStyle name="Input [yellow] 4 2 2 3 5 2" xfId="46566" xr:uid="{00000000-0005-0000-0000-0000C8470000}"/>
    <cellStyle name="Input [yellow] 4 2 2 3 5 3" xfId="50472" xr:uid="{00000000-0005-0000-0000-0000C9470000}"/>
    <cellStyle name="Input [yellow] 4 2 2 3 5 4" xfId="38435" xr:uid="{00000000-0005-0000-0000-0000CA470000}"/>
    <cellStyle name="Input [yellow] 4 2 2 3 6" xfId="21682" xr:uid="{00000000-0005-0000-0000-0000CB470000}"/>
    <cellStyle name="Input [yellow] 4 2 2 3 6 2" xfId="47219" xr:uid="{00000000-0005-0000-0000-0000CC470000}"/>
    <cellStyle name="Input [yellow] 4 2 2 3 6 3" xfId="51125" xr:uid="{00000000-0005-0000-0000-0000CD470000}"/>
    <cellStyle name="Input [yellow] 4 2 2 3 7" xfId="41022" xr:uid="{00000000-0005-0000-0000-0000CE470000}"/>
    <cellStyle name="Input [yellow] 4 2 2 3 8" xfId="43515" xr:uid="{00000000-0005-0000-0000-0000CF470000}"/>
    <cellStyle name="Input [yellow] 4 2 2 4" xfId="10173" xr:uid="{00000000-0005-0000-0000-0000D0470000}"/>
    <cellStyle name="Input [yellow] 4 2 2 4 2" xfId="17966" xr:uid="{00000000-0005-0000-0000-0000D1470000}"/>
    <cellStyle name="Input [yellow] 4 2 2 4 2 2" xfId="43756" xr:uid="{00000000-0005-0000-0000-0000D2470000}"/>
    <cellStyle name="Input [yellow] 4 2 2 4 2 3" xfId="47679" xr:uid="{00000000-0005-0000-0000-0000D3470000}"/>
    <cellStyle name="Input [yellow] 4 2 2 4 2 4" xfId="35603" xr:uid="{00000000-0005-0000-0000-0000D4470000}"/>
    <cellStyle name="Input [yellow] 4 2 2 4 3" xfId="13311" xr:uid="{00000000-0005-0000-0000-0000D5470000}"/>
    <cellStyle name="Input [yellow] 4 2 2 4 3 2" xfId="42481" xr:uid="{00000000-0005-0000-0000-0000D6470000}"/>
    <cellStyle name="Input [yellow] 4 2 2 4 3 3" xfId="39438" xr:uid="{00000000-0005-0000-0000-0000D7470000}"/>
    <cellStyle name="Input [yellow] 4 2 2 4 3 4" xfId="30952" xr:uid="{00000000-0005-0000-0000-0000D8470000}"/>
    <cellStyle name="Input [yellow] 4 2 2 4 4" xfId="19368" xr:uid="{00000000-0005-0000-0000-0000D9470000}"/>
    <cellStyle name="Input [yellow] 4 2 2 4 4 2" xfId="44905" xr:uid="{00000000-0005-0000-0000-0000DA470000}"/>
    <cellStyle name="Input [yellow] 4 2 2 4 4 3" xfId="48811" xr:uid="{00000000-0005-0000-0000-0000DB470000}"/>
    <cellStyle name="Input [yellow] 4 2 2 4 4 4" xfId="36936" xr:uid="{00000000-0005-0000-0000-0000DC470000}"/>
    <cellStyle name="Input [yellow] 4 2 2 4 5" xfId="20636" xr:uid="{00000000-0005-0000-0000-0000DD470000}"/>
    <cellStyle name="Input [yellow] 4 2 2 4 5 2" xfId="46173" xr:uid="{00000000-0005-0000-0000-0000DE470000}"/>
    <cellStyle name="Input [yellow] 4 2 2 4 5 3" xfId="50079" xr:uid="{00000000-0005-0000-0000-0000DF470000}"/>
    <cellStyle name="Input [yellow] 4 2 2 4 5 4" xfId="38042" xr:uid="{00000000-0005-0000-0000-0000E0470000}"/>
    <cellStyle name="Input [yellow] 4 2 2 4 6" xfId="21289" xr:uid="{00000000-0005-0000-0000-0000E1470000}"/>
    <cellStyle name="Input [yellow] 4 2 2 4 6 2" xfId="46826" xr:uid="{00000000-0005-0000-0000-0000E2470000}"/>
    <cellStyle name="Input [yellow] 4 2 2 4 6 3" xfId="50732" xr:uid="{00000000-0005-0000-0000-0000E3470000}"/>
    <cellStyle name="Input [yellow] 4 2 2 4 7" xfId="40615" xr:uid="{00000000-0005-0000-0000-0000E4470000}"/>
    <cellStyle name="Input [yellow] 4 2 2 4 8" xfId="47595" xr:uid="{00000000-0005-0000-0000-0000E5470000}"/>
    <cellStyle name="Input [yellow] 4 2 2 5" xfId="14786" xr:uid="{00000000-0005-0000-0000-0000E6470000}"/>
    <cellStyle name="Input [yellow] 4 2 2 5 2" xfId="42902" xr:uid="{00000000-0005-0000-0000-0000E7470000}"/>
    <cellStyle name="Input [yellow] 4 2 2 5 3" xfId="39641" xr:uid="{00000000-0005-0000-0000-0000E8470000}"/>
    <cellStyle name="Input [yellow] 4 2 2 5 4" xfId="32421" xr:uid="{00000000-0005-0000-0000-0000E9470000}"/>
    <cellStyle name="Input [yellow] 4 2 2 6" xfId="13073" xr:uid="{00000000-0005-0000-0000-0000EA470000}"/>
    <cellStyle name="Input [yellow] 4 2 2 6 2" xfId="42294" xr:uid="{00000000-0005-0000-0000-0000EB470000}"/>
    <cellStyle name="Input [yellow] 4 2 2 6 3" xfId="42558" xr:uid="{00000000-0005-0000-0000-0000EC470000}"/>
    <cellStyle name="Input [yellow] 4 2 2 6 4" xfId="30722" xr:uid="{00000000-0005-0000-0000-0000ED470000}"/>
    <cellStyle name="Input [yellow] 4 2 2 7" xfId="20196" xr:uid="{00000000-0005-0000-0000-0000EE470000}"/>
    <cellStyle name="Input [yellow] 4 2 2 7 2" xfId="45733" xr:uid="{00000000-0005-0000-0000-0000EF470000}"/>
    <cellStyle name="Input [yellow] 4 2 2 7 3" xfId="49639" xr:uid="{00000000-0005-0000-0000-0000F0470000}"/>
    <cellStyle name="Input [yellow] 4 2 2 7 4" xfId="37679" xr:uid="{00000000-0005-0000-0000-0000F1470000}"/>
    <cellStyle name="Input [yellow] 4 2 2 8" xfId="12669" xr:uid="{00000000-0005-0000-0000-0000F2470000}"/>
    <cellStyle name="Input [yellow] 4 2 2 8 2" xfId="42148" xr:uid="{00000000-0005-0000-0000-0000F3470000}"/>
    <cellStyle name="Input [yellow] 4 2 2 8 3" xfId="43689" xr:uid="{00000000-0005-0000-0000-0000F4470000}"/>
    <cellStyle name="Input [yellow] 4 2 2 8 4" xfId="30333" xr:uid="{00000000-0005-0000-0000-0000F5470000}"/>
    <cellStyle name="Input [yellow] 4 2 2 9" xfId="19209" xr:uid="{00000000-0005-0000-0000-0000F6470000}"/>
    <cellStyle name="Input [yellow] 4 2 2 9 2" xfId="44746" xr:uid="{00000000-0005-0000-0000-0000F7470000}"/>
    <cellStyle name="Input [yellow] 4 2 2 9 3" xfId="48652" xr:uid="{00000000-0005-0000-0000-0000F8470000}"/>
    <cellStyle name="Input [yellow] 4 2 2 9 4" xfId="36794" xr:uid="{00000000-0005-0000-0000-0000F9470000}"/>
    <cellStyle name="Input [yellow] 4 2 3" xfId="10447" xr:uid="{00000000-0005-0000-0000-0000FA470000}"/>
    <cellStyle name="Input [yellow] 4 2 3 2" xfId="18240" xr:uid="{00000000-0005-0000-0000-0000FB470000}"/>
    <cellStyle name="Input [yellow] 4 2 3 2 2" xfId="43787" xr:uid="{00000000-0005-0000-0000-0000FC470000}"/>
    <cellStyle name="Input [yellow] 4 2 3 2 3" xfId="47696" xr:uid="{00000000-0005-0000-0000-0000FD470000}"/>
    <cellStyle name="Input [yellow] 4 2 3 2 4" xfId="35877" xr:uid="{00000000-0005-0000-0000-0000FE470000}"/>
    <cellStyle name="Input [yellow] 4 2 3 3" xfId="19442" xr:uid="{00000000-0005-0000-0000-0000FF470000}"/>
    <cellStyle name="Input [yellow] 4 2 3 3 2" xfId="44979" xr:uid="{00000000-0005-0000-0000-000000480000}"/>
    <cellStyle name="Input [yellow] 4 2 3 3 3" xfId="48885" xr:uid="{00000000-0005-0000-0000-000001480000}"/>
    <cellStyle name="Input [yellow] 4 2 3 3 4" xfId="37007" xr:uid="{00000000-0005-0000-0000-000002480000}"/>
    <cellStyle name="Input [yellow] 4 2 3 4" xfId="20387" xr:uid="{00000000-0005-0000-0000-000003480000}"/>
    <cellStyle name="Input [yellow] 4 2 3 4 2" xfId="45924" xr:uid="{00000000-0005-0000-0000-000004480000}"/>
    <cellStyle name="Input [yellow] 4 2 3 4 3" xfId="49830" xr:uid="{00000000-0005-0000-0000-000005480000}"/>
    <cellStyle name="Input [yellow] 4 2 3 4 4" xfId="37841" xr:uid="{00000000-0005-0000-0000-000006480000}"/>
    <cellStyle name="Input [yellow] 4 2 3 5" xfId="20653" xr:uid="{00000000-0005-0000-0000-000007480000}"/>
    <cellStyle name="Input [yellow] 4 2 3 5 2" xfId="46190" xr:uid="{00000000-0005-0000-0000-000008480000}"/>
    <cellStyle name="Input [yellow] 4 2 3 5 3" xfId="50096" xr:uid="{00000000-0005-0000-0000-000009480000}"/>
    <cellStyle name="Input [yellow] 4 2 3 5 4" xfId="38059" xr:uid="{00000000-0005-0000-0000-00000A480000}"/>
    <cellStyle name="Input [yellow] 4 2 3 6" xfId="21306" xr:uid="{00000000-0005-0000-0000-00000B480000}"/>
    <cellStyle name="Input [yellow] 4 2 3 6 2" xfId="46843" xr:uid="{00000000-0005-0000-0000-00000C480000}"/>
    <cellStyle name="Input [yellow] 4 2 3 6 3" xfId="50749" xr:uid="{00000000-0005-0000-0000-00000D480000}"/>
    <cellStyle name="Input [yellow] 4 2 3 7" xfId="40646" xr:uid="{00000000-0005-0000-0000-00000E480000}"/>
    <cellStyle name="Input [yellow] 4 2 3 8" xfId="39205" xr:uid="{00000000-0005-0000-0000-00000F480000}"/>
    <cellStyle name="Input [yellow] 4 2 4" xfId="7784" xr:uid="{00000000-0005-0000-0000-000010480000}"/>
    <cellStyle name="Input [yellow] 4 2 4 2" xfId="15581" xr:uid="{00000000-0005-0000-0000-000011480000}"/>
    <cellStyle name="Input [yellow] 4 2 4 2 2" xfId="43260" xr:uid="{00000000-0005-0000-0000-000012480000}"/>
    <cellStyle name="Input [yellow] 4 2 4 2 3" xfId="39262" xr:uid="{00000000-0005-0000-0000-000013480000}"/>
    <cellStyle name="Input [yellow] 4 2 4 2 4" xfId="33216" xr:uid="{00000000-0005-0000-0000-000014480000}"/>
    <cellStyle name="Input [yellow] 4 2 4 3" xfId="11428" xr:uid="{00000000-0005-0000-0000-000015480000}"/>
    <cellStyle name="Input [yellow] 4 2 4 3 2" xfId="41453" xr:uid="{00000000-0005-0000-0000-000016480000}"/>
    <cellStyle name="Input [yellow] 4 2 4 3 3" xfId="47578" xr:uid="{00000000-0005-0000-0000-000017480000}"/>
    <cellStyle name="Input [yellow] 4 2 4 3 4" xfId="29149" xr:uid="{00000000-0005-0000-0000-000018480000}"/>
    <cellStyle name="Input [yellow] 4 2 4 4" xfId="18990" xr:uid="{00000000-0005-0000-0000-000019480000}"/>
    <cellStyle name="Input [yellow] 4 2 4 4 2" xfId="44527" xr:uid="{00000000-0005-0000-0000-00001A480000}"/>
    <cellStyle name="Input [yellow] 4 2 4 4 3" xfId="48433" xr:uid="{00000000-0005-0000-0000-00001B480000}"/>
    <cellStyle name="Input [yellow] 4 2 4 4 4" xfId="36612" xr:uid="{00000000-0005-0000-0000-00001C480000}"/>
    <cellStyle name="Input [yellow] 4 2 4 5" xfId="20114" xr:uid="{00000000-0005-0000-0000-00001D480000}"/>
    <cellStyle name="Input [yellow] 4 2 4 5 2" xfId="45651" xr:uid="{00000000-0005-0000-0000-00001E480000}"/>
    <cellStyle name="Input [yellow] 4 2 4 5 3" xfId="49557" xr:uid="{00000000-0005-0000-0000-00001F480000}"/>
    <cellStyle name="Input [yellow] 4 2 4 5 4" xfId="37602" xr:uid="{00000000-0005-0000-0000-000020480000}"/>
    <cellStyle name="Input [yellow] 4 2 4 6" xfId="18988" xr:uid="{00000000-0005-0000-0000-000021480000}"/>
    <cellStyle name="Input [yellow] 4 2 4 6 2" xfId="44525" xr:uid="{00000000-0005-0000-0000-000022480000}"/>
    <cellStyle name="Input [yellow] 4 2 4 6 3" xfId="48431" xr:uid="{00000000-0005-0000-0000-000023480000}"/>
    <cellStyle name="Input [yellow] 4 2 4 7" xfId="40119" xr:uid="{00000000-0005-0000-0000-000024480000}"/>
    <cellStyle name="Input [yellow] 4 2 4 8" xfId="43418" xr:uid="{00000000-0005-0000-0000-000025480000}"/>
    <cellStyle name="Input [yellow] 4 2 5" xfId="52983" xr:uid="{00000000-0005-0000-0000-000026480000}"/>
    <cellStyle name="Input [yellow] 4 3" xfId="1787" xr:uid="{00000000-0005-0000-0000-000027480000}"/>
    <cellStyle name="Input [yellow] 4 3 2" xfId="6999" xr:uid="{00000000-0005-0000-0000-000028480000}"/>
    <cellStyle name="Input [yellow] 4 3 2 10" xfId="39763" xr:uid="{00000000-0005-0000-0000-000029480000}"/>
    <cellStyle name="Input [yellow] 4 3 2 11" xfId="43280" xr:uid="{00000000-0005-0000-0000-00002A480000}"/>
    <cellStyle name="Input [yellow] 4 3 2 2" xfId="10529" xr:uid="{00000000-0005-0000-0000-00002B480000}"/>
    <cellStyle name="Input [yellow] 4 3 2 2 2" xfId="18322" xr:uid="{00000000-0005-0000-0000-00002C480000}"/>
    <cellStyle name="Input [yellow] 4 3 2 2 2 2" xfId="43869" xr:uid="{00000000-0005-0000-0000-00002D480000}"/>
    <cellStyle name="Input [yellow] 4 3 2 2 2 3" xfId="47778" xr:uid="{00000000-0005-0000-0000-00002E480000}"/>
    <cellStyle name="Input [yellow] 4 3 2 2 2 4" xfId="35959" xr:uid="{00000000-0005-0000-0000-00002F480000}"/>
    <cellStyle name="Input [yellow] 4 3 2 2 3" xfId="13322" xr:uid="{00000000-0005-0000-0000-000030480000}"/>
    <cellStyle name="Input [yellow] 4 3 2 2 3 2" xfId="42492" xr:uid="{00000000-0005-0000-0000-000031480000}"/>
    <cellStyle name="Input [yellow] 4 3 2 2 3 3" xfId="39648" xr:uid="{00000000-0005-0000-0000-000032480000}"/>
    <cellStyle name="Input [yellow] 4 3 2 2 3 4" xfId="30962" xr:uid="{00000000-0005-0000-0000-000033480000}"/>
    <cellStyle name="Input [yellow] 4 3 2 2 4" xfId="18966" xr:uid="{00000000-0005-0000-0000-000034480000}"/>
    <cellStyle name="Input [yellow] 4 3 2 2 4 2" xfId="44503" xr:uid="{00000000-0005-0000-0000-000035480000}"/>
    <cellStyle name="Input [yellow] 4 3 2 2 4 3" xfId="48409" xr:uid="{00000000-0005-0000-0000-000036480000}"/>
    <cellStyle name="Input [yellow] 4 3 2 2 4 4" xfId="36592" xr:uid="{00000000-0005-0000-0000-000037480000}"/>
    <cellStyle name="Input [yellow] 4 3 2 2 5" xfId="20735" xr:uid="{00000000-0005-0000-0000-000038480000}"/>
    <cellStyle name="Input [yellow] 4 3 2 2 5 2" xfId="46272" xr:uid="{00000000-0005-0000-0000-000039480000}"/>
    <cellStyle name="Input [yellow] 4 3 2 2 5 3" xfId="50178" xr:uid="{00000000-0005-0000-0000-00003A480000}"/>
    <cellStyle name="Input [yellow] 4 3 2 2 5 4" xfId="38141" xr:uid="{00000000-0005-0000-0000-00003B480000}"/>
    <cellStyle name="Input [yellow] 4 3 2 2 6" xfId="21388" xr:uid="{00000000-0005-0000-0000-00003C480000}"/>
    <cellStyle name="Input [yellow] 4 3 2 2 6 2" xfId="46925" xr:uid="{00000000-0005-0000-0000-00003D480000}"/>
    <cellStyle name="Input [yellow] 4 3 2 2 6 3" xfId="50831" xr:uid="{00000000-0005-0000-0000-00003E480000}"/>
    <cellStyle name="Input [yellow] 4 3 2 2 7" xfId="40728" xr:uid="{00000000-0005-0000-0000-00003F480000}"/>
    <cellStyle name="Input [yellow] 4 3 2 2 8" xfId="43640" xr:uid="{00000000-0005-0000-0000-000040480000}"/>
    <cellStyle name="Input [yellow] 4 3 2 3" xfId="10824" xr:uid="{00000000-0005-0000-0000-000041480000}"/>
    <cellStyle name="Input [yellow] 4 3 2 3 2" xfId="18617" xr:uid="{00000000-0005-0000-0000-000042480000}"/>
    <cellStyle name="Input [yellow] 4 3 2 3 2 2" xfId="44164" xr:uid="{00000000-0005-0000-0000-000043480000}"/>
    <cellStyle name="Input [yellow] 4 3 2 3 2 3" xfId="48073" xr:uid="{00000000-0005-0000-0000-000044480000}"/>
    <cellStyle name="Input [yellow] 4 3 2 3 2 4" xfId="36254" xr:uid="{00000000-0005-0000-0000-000045480000}"/>
    <cellStyle name="Input [yellow] 4 3 2 3 3" xfId="19279" xr:uid="{00000000-0005-0000-0000-000046480000}"/>
    <cellStyle name="Input [yellow] 4 3 2 3 3 2" xfId="44816" xr:uid="{00000000-0005-0000-0000-000047480000}"/>
    <cellStyle name="Input [yellow] 4 3 2 3 3 3" xfId="48722" xr:uid="{00000000-0005-0000-0000-000048480000}"/>
    <cellStyle name="Input [yellow] 4 3 2 3 3 4" xfId="36857" xr:uid="{00000000-0005-0000-0000-000049480000}"/>
    <cellStyle name="Input [yellow] 4 3 2 3 4" xfId="20132" xr:uid="{00000000-0005-0000-0000-00004A480000}"/>
    <cellStyle name="Input [yellow] 4 3 2 3 4 2" xfId="45669" xr:uid="{00000000-0005-0000-0000-00004B480000}"/>
    <cellStyle name="Input [yellow] 4 3 2 3 4 3" xfId="49575" xr:uid="{00000000-0005-0000-0000-00004C480000}"/>
    <cellStyle name="Input [yellow] 4 3 2 3 4 4" xfId="37618" xr:uid="{00000000-0005-0000-0000-00004D480000}"/>
    <cellStyle name="Input [yellow] 4 3 2 3 5" xfId="21030" xr:uid="{00000000-0005-0000-0000-00004E480000}"/>
    <cellStyle name="Input [yellow] 4 3 2 3 5 2" xfId="46567" xr:uid="{00000000-0005-0000-0000-00004F480000}"/>
    <cellStyle name="Input [yellow] 4 3 2 3 5 3" xfId="50473" xr:uid="{00000000-0005-0000-0000-000050480000}"/>
    <cellStyle name="Input [yellow] 4 3 2 3 5 4" xfId="38436" xr:uid="{00000000-0005-0000-0000-000051480000}"/>
    <cellStyle name="Input [yellow] 4 3 2 3 6" xfId="21683" xr:uid="{00000000-0005-0000-0000-000052480000}"/>
    <cellStyle name="Input [yellow] 4 3 2 3 6 2" xfId="47220" xr:uid="{00000000-0005-0000-0000-000053480000}"/>
    <cellStyle name="Input [yellow] 4 3 2 3 6 3" xfId="51126" xr:uid="{00000000-0005-0000-0000-000054480000}"/>
    <cellStyle name="Input [yellow] 4 3 2 3 7" xfId="41023" xr:uid="{00000000-0005-0000-0000-000055480000}"/>
    <cellStyle name="Input [yellow] 4 3 2 3 8" xfId="40378" xr:uid="{00000000-0005-0000-0000-000056480000}"/>
    <cellStyle name="Input [yellow] 4 3 2 4" xfId="10174" xr:uid="{00000000-0005-0000-0000-000057480000}"/>
    <cellStyle name="Input [yellow] 4 3 2 4 2" xfId="17967" xr:uid="{00000000-0005-0000-0000-000058480000}"/>
    <cellStyle name="Input [yellow] 4 3 2 4 2 2" xfId="43757" xr:uid="{00000000-0005-0000-0000-000059480000}"/>
    <cellStyle name="Input [yellow] 4 3 2 4 2 3" xfId="47680" xr:uid="{00000000-0005-0000-0000-00005A480000}"/>
    <cellStyle name="Input [yellow] 4 3 2 4 2 4" xfId="35604" xr:uid="{00000000-0005-0000-0000-00005B480000}"/>
    <cellStyle name="Input [yellow] 4 3 2 4 3" xfId="19628" xr:uid="{00000000-0005-0000-0000-00005C480000}"/>
    <cellStyle name="Input [yellow] 4 3 2 4 3 2" xfId="45165" xr:uid="{00000000-0005-0000-0000-00005D480000}"/>
    <cellStyle name="Input [yellow] 4 3 2 4 3 3" xfId="49071" xr:uid="{00000000-0005-0000-0000-00005E480000}"/>
    <cellStyle name="Input [yellow] 4 3 2 4 3 4" xfId="37167" xr:uid="{00000000-0005-0000-0000-00005F480000}"/>
    <cellStyle name="Input [yellow] 4 3 2 4 4" xfId="19248" xr:uid="{00000000-0005-0000-0000-000060480000}"/>
    <cellStyle name="Input [yellow] 4 3 2 4 4 2" xfId="44785" xr:uid="{00000000-0005-0000-0000-000061480000}"/>
    <cellStyle name="Input [yellow] 4 3 2 4 4 3" xfId="48691" xr:uid="{00000000-0005-0000-0000-000062480000}"/>
    <cellStyle name="Input [yellow] 4 3 2 4 4 4" xfId="36826" xr:uid="{00000000-0005-0000-0000-000063480000}"/>
    <cellStyle name="Input [yellow] 4 3 2 4 5" xfId="20637" xr:uid="{00000000-0005-0000-0000-000064480000}"/>
    <cellStyle name="Input [yellow] 4 3 2 4 5 2" xfId="46174" xr:uid="{00000000-0005-0000-0000-000065480000}"/>
    <cellStyle name="Input [yellow] 4 3 2 4 5 3" xfId="50080" xr:uid="{00000000-0005-0000-0000-000066480000}"/>
    <cellStyle name="Input [yellow] 4 3 2 4 5 4" xfId="38043" xr:uid="{00000000-0005-0000-0000-000067480000}"/>
    <cellStyle name="Input [yellow] 4 3 2 4 6" xfId="21290" xr:uid="{00000000-0005-0000-0000-000068480000}"/>
    <cellStyle name="Input [yellow] 4 3 2 4 6 2" xfId="46827" xr:uid="{00000000-0005-0000-0000-000069480000}"/>
    <cellStyle name="Input [yellow] 4 3 2 4 6 3" xfId="50733" xr:uid="{00000000-0005-0000-0000-00006A480000}"/>
    <cellStyle name="Input [yellow] 4 3 2 4 7" xfId="40616" xr:uid="{00000000-0005-0000-0000-00006B480000}"/>
    <cellStyle name="Input [yellow] 4 3 2 4 8" xfId="43533" xr:uid="{00000000-0005-0000-0000-00006C480000}"/>
    <cellStyle name="Input [yellow] 4 3 2 5" xfId="14787" xr:uid="{00000000-0005-0000-0000-00006D480000}"/>
    <cellStyle name="Input [yellow] 4 3 2 5 2" xfId="42903" xr:uid="{00000000-0005-0000-0000-00006E480000}"/>
    <cellStyle name="Input [yellow] 4 3 2 5 3" xfId="42677" xr:uid="{00000000-0005-0000-0000-00006F480000}"/>
    <cellStyle name="Input [yellow] 4 3 2 5 4" xfId="32422" xr:uid="{00000000-0005-0000-0000-000070480000}"/>
    <cellStyle name="Input [yellow] 4 3 2 6" xfId="13074" xr:uid="{00000000-0005-0000-0000-000071480000}"/>
    <cellStyle name="Input [yellow] 4 3 2 6 2" xfId="42295" xr:uid="{00000000-0005-0000-0000-000072480000}"/>
    <cellStyle name="Input [yellow] 4 3 2 6 3" xfId="43469" xr:uid="{00000000-0005-0000-0000-000073480000}"/>
    <cellStyle name="Input [yellow] 4 3 2 6 4" xfId="30723" xr:uid="{00000000-0005-0000-0000-000074480000}"/>
    <cellStyle name="Input [yellow] 4 3 2 7" xfId="13245" xr:uid="{00000000-0005-0000-0000-000075480000}"/>
    <cellStyle name="Input [yellow] 4 3 2 7 2" xfId="42426" xr:uid="{00000000-0005-0000-0000-000076480000}"/>
    <cellStyle name="Input [yellow] 4 3 2 7 3" xfId="43575" xr:uid="{00000000-0005-0000-0000-000077480000}"/>
    <cellStyle name="Input [yellow] 4 3 2 7 4" xfId="30890" xr:uid="{00000000-0005-0000-0000-000078480000}"/>
    <cellStyle name="Input [yellow] 4 3 2 8" xfId="20373" xr:uid="{00000000-0005-0000-0000-000079480000}"/>
    <cellStyle name="Input [yellow] 4 3 2 8 2" xfId="45910" xr:uid="{00000000-0005-0000-0000-00007A480000}"/>
    <cellStyle name="Input [yellow] 4 3 2 8 3" xfId="49816" xr:uid="{00000000-0005-0000-0000-00007B480000}"/>
    <cellStyle name="Input [yellow] 4 3 2 8 4" xfId="37829" xr:uid="{00000000-0005-0000-0000-00007C480000}"/>
    <cellStyle name="Input [yellow] 4 3 2 9" xfId="19863" xr:uid="{00000000-0005-0000-0000-00007D480000}"/>
    <cellStyle name="Input [yellow] 4 3 2 9 2" xfId="45400" xr:uid="{00000000-0005-0000-0000-00007E480000}"/>
    <cellStyle name="Input [yellow] 4 3 2 9 3" xfId="49306" xr:uid="{00000000-0005-0000-0000-00007F480000}"/>
    <cellStyle name="Input [yellow] 4 3 2 9 4" xfId="37377" xr:uid="{00000000-0005-0000-0000-000080480000}"/>
    <cellStyle name="Input [yellow] 4 3 3" xfId="10448" xr:uid="{00000000-0005-0000-0000-000081480000}"/>
    <cellStyle name="Input [yellow] 4 3 3 2" xfId="18241" xr:uid="{00000000-0005-0000-0000-000082480000}"/>
    <cellStyle name="Input [yellow] 4 3 3 2 2" xfId="43788" xr:uid="{00000000-0005-0000-0000-000083480000}"/>
    <cellStyle name="Input [yellow] 4 3 3 2 3" xfId="47697" xr:uid="{00000000-0005-0000-0000-000084480000}"/>
    <cellStyle name="Input [yellow] 4 3 3 2 4" xfId="35878" xr:uid="{00000000-0005-0000-0000-000085480000}"/>
    <cellStyle name="Input [yellow] 4 3 3 3" xfId="20049" xr:uid="{00000000-0005-0000-0000-000086480000}"/>
    <cellStyle name="Input [yellow] 4 3 3 3 2" xfId="45586" xr:uid="{00000000-0005-0000-0000-000087480000}"/>
    <cellStyle name="Input [yellow] 4 3 3 3 3" xfId="49492" xr:uid="{00000000-0005-0000-0000-000088480000}"/>
    <cellStyle name="Input [yellow] 4 3 3 3 4" xfId="37547" xr:uid="{00000000-0005-0000-0000-000089480000}"/>
    <cellStyle name="Input [yellow] 4 3 3 4" xfId="20193" xr:uid="{00000000-0005-0000-0000-00008A480000}"/>
    <cellStyle name="Input [yellow] 4 3 3 4 2" xfId="45730" xr:uid="{00000000-0005-0000-0000-00008B480000}"/>
    <cellStyle name="Input [yellow] 4 3 3 4 3" xfId="49636" xr:uid="{00000000-0005-0000-0000-00008C480000}"/>
    <cellStyle name="Input [yellow] 4 3 3 4 4" xfId="37676" xr:uid="{00000000-0005-0000-0000-00008D480000}"/>
    <cellStyle name="Input [yellow] 4 3 3 5" xfId="20654" xr:uid="{00000000-0005-0000-0000-00008E480000}"/>
    <cellStyle name="Input [yellow] 4 3 3 5 2" xfId="46191" xr:uid="{00000000-0005-0000-0000-00008F480000}"/>
    <cellStyle name="Input [yellow] 4 3 3 5 3" xfId="50097" xr:uid="{00000000-0005-0000-0000-000090480000}"/>
    <cellStyle name="Input [yellow] 4 3 3 5 4" xfId="38060" xr:uid="{00000000-0005-0000-0000-000091480000}"/>
    <cellStyle name="Input [yellow] 4 3 3 6" xfId="21307" xr:uid="{00000000-0005-0000-0000-000092480000}"/>
    <cellStyle name="Input [yellow] 4 3 3 6 2" xfId="46844" xr:uid="{00000000-0005-0000-0000-000093480000}"/>
    <cellStyle name="Input [yellow] 4 3 3 6 3" xfId="50750" xr:uid="{00000000-0005-0000-0000-000094480000}"/>
    <cellStyle name="Input [yellow] 4 3 3 7" xfId="40647" xr:uid="{00000000-0005-0000-0000-000095480000}"/>
    <cellStyle name="Input [yellow] 4 3 3 8" xfId="40030" xr:uid="{00000000-0005-0000-0000-000096480000}"/>
    <cellStyle name="Input [yellow] 4 3 4" xfId="7785" xr:uid="{00000000-0005-0000-0000-000097480000}"/>
    <cellStyle name="Input [yellow] 4 3 4 2" xfId="15582" xr:uid="{00000000-0005-0000-0000-000098480000}"/>
    <cellStyle name="Input [yellow] 4 3 4 2 2" xfId="43261" xr:uid="{00000000-0005-0000-0000-000099480000}"/>
    <cellStyle name="Input [yellow] 4 3 4 2 3" xfId="39054" xr:uid="{00000000-0005-0000-0000-00009A480000}"/>
    <cellStyle name="Input [yellow] 4 3 4 2 4" xfId="33217" xr:uid="{00000000-0005-0000-0000-00009B480000}"/>
    <cellStyle name="Input [yellow] 4 3 4 3" xfId="13264" xr:uid="{00000000-0005-0000-0000-00009C480000}"/>
    <cellStyle name="Input [yellow] 4 3 4 3 2" xfId="42434" xr:uid="{00000000-0005-0000-0000-00009D480000}"/>
    <cellStyle name="Input [yellow] 4 3 4 3 3" xfId="42686" xr:uid="{00000000-0005-0000-0000-00009E480000}"/>
    <cellStyle name="Input [yellow] 4 3 4 3 4" xfId="30909" xr:uid="{00000000-0005-0000-0000-00009F480000}"/>
    <cellStyle name="Input [yellow] 4 3 4 4" xfId="19847" xr:uid="{00000000-0005-0000-0000-0000A0480000}"/>
    <cellStyle name="Input [yellow] 4 3 4 4 2" xfId="45384" xr:uid="{00000000-0005-0000-0000-0000A1480000}"/>
    <cellStyle name="Input [yellow] 4 3 4 4 3" xfId="49290" xr:uid="{00000000-0005-0000-0000-0000A2480000}"/>
    <cellStyle name="Input [yellow] 4 3 4 4 4" xfId="37363" xr:uid="{00000000-0005-0000-0000-0000A3480000}"/>
    <cellStyle name="Input [yellow] 4 3 4 5" xfId="11674" xr:uid="{00000000-0005-0000-0000-0000A4480000}"/>
    <cellStyle name="Input [yellow] 4 3 4 5 2" xfId="41685" xr:uid="{00000000-0005-0000-0000-0000A5480000}"/>
    <cellStyle name="Input [yellow] 4 3 4 5 3" xfId="40457" xr:uid="{00000000-0005-0000-0000-0000A6480000}"/>
    <cellStyle name="Input [yellow] 4 3 4 5 4" xfId="29368" xr:uid="{00000000-0005-0000-0000-0000A7480000}"/>
    <cellStyle name="Input [yellow] 4 3 4 6" xfId="19010" xr:uid="{00000000-0005-0000-0000-0000A8480000}"/>
    <cellStyle name="Input [yellow] 4 3 4 6 2" xfId="44547" xr:uid="{00000000-0005-0000-0000-0000A9480000}"/>
    <cellStyle name="Input [yellow] 4 3 4 6 3" xfId="48453" xr:uid="{00000000-0005-0000-0000-0000AA480000}"/>
    <cellStyle name="Input [yellow] 4 3 4 7" xfId="40120" xr:uid="{00000000-0005-0000-0000-0000AB480000}"/>
    <cellStyle name="Input [yellow] 4 3 4 8" xfId="40280" xr:uid="{00000000-0005-0000-0000-0000AC480000}"/>
    <cellStyle name="Input [yellow] 4 4" xfId="6997" xr:uid="{00000000-0005-0000-0000-0000AD480000}"/>
    <cellStyle name="Input [yellow] 4 4 10" xfId="39761" xr:uid="{00000000-0005-0000-0000-0000AE480000}"/>
    <cellStyle name="Input [yellow] 4 4 11" xfId="47605" xr:uid="{00000000-0005-0000-0000-0000AF480000}"/>
    <cellStyle name="Input [yellow] 4 4 2" xfId="10527" xr:uid="{00000000-0005-0000-0000-0000B0480000}"/>
    <cellStyle name="Input [yellow] 4 4 2 2" xfId="18320" xr:uid="{00000000-0005-0000-0000-0000B1480000}"/>
    <cellStyle name="Input [yellow] 4 4 2 2 2" xfId="43867" xr:uid="{00000000-0005-0000-0000-0000B2480000}"/>
    <cellStyle name="Input [yellow] 4 4 2 2 3" xfId="47776" xr:uid="{00000000-0005-0000-0000-0000B3480000}"/>
    <cellStyle name="Input [yellow] 4 4 2 2 4" xfId="35957" xr:uid="{00000000-0005-0000-0000-0000B4480000}"/>
    <cellStyle name="Input [yellow] 4 4 2 3" xfId="19761" xr:uid="{00000000-0005-0000-0000-0000B5480000}"/>
    <cellStyle name="Input [yellow] 4 4 2 3 2" xfId="45298" xr:uid="{00000000-0005-0000-0000-0000B6480000}"/>
    <cellStyle name="Input [yellow] 4 4 2 3 3" xfId="49204" xr:uid="{00000000-0005-0000-0000-0000B7480000}"/>
    <cellStyle name="Input [yellow] 4 4 2 3 4" xfId="37288" xr:uid="{00000000-0005-0000-0000-0000B8480000}"/>
    <cellStyle name="Input [yellow] 4 4 2 4" xfId="12652" xr:uid="{00000000-0005-0000-0000-0000B9480000}"/>
    <cellStyle name="Input [yellow] 4 4 2 4 2" xfId="42131" xr:uid="{00000000-0005-0000-0000-0000BA480000}"/>
    <cellStyle name="Input [yellow] 4 4 2 4 3" xfId="42697" xr:uid="{00000000-0005-0000-0000-0000BB480000}"/>
    <cellStyle name="Input [yellow] 4 4 2 4 4" xfId="30317" xr:uid="{00000000-0005-0000-0000-0000BC480000}"/>
    <cellStyle name="Input [yellow] 4 4 2 5" xfId="20733" xr:uid="{00000000-0005-0000-0000-0000BD480000}"/>
    <cellStyle name="Input [yellow] 4 4 2 5 2" xfId="46270" xr:uid="{00000000-0005-0000-0000-0000BE480000}"/>
    <cellStyle name="Input [yellow] 4 4 2 5 3" xfId="50176" xr:uid="{00000000-0005-0000-0000-0000BF480000}"/>
    <cellStyle name="Input [yellow] 4 4 2 5 4" xfId="38139" xr:uid="{00000000-0005-0000-0000-0000C0480000}"/>
    <cellStyle name="Input [yellow] 4 4 2 6" xfId="21386" xr:uid="{00000000-0005-0000-0000-0000C1480000}"/>
    <cellStyle name="Input [yellow] 4 4 2 6 2" xfId="46923" xr:uid="{00000000-0005-0000-0000-0000C2480000}"/>
    <cellStyle name="Input [yellow] 4 4 2 6 3" xfId="50829" xr:uid="{00000000-0005-0000-0000-0000C3480000}"/>
    <cellStyle name="Input [yellow] 4 4 2 7" xfId="40726" xr:uid="{00000000-0005-0000-0000-0000C4480000}"/>
    <cellStyle name="Input [yellow] 4 4 2 8" xfId="39714" xr:uid="{00000000-0005-0000-0000-0000C5480000}"/>
    <cellStyle name="Input [yellow] 4 4 3" xfId="10822" xr:uid="{00000000-0005-0000-0000-0000C6480000}"/>
    <cellStyle name="Input [yellow] 4 4 3 2" xfId="18615" xr:uid="{00000000-0005-0000-0000-0000C7480000}"/>
    <cellStyle name="Input [yellow] 4 4 3 2 2" xfId="44162" xr:uid="{00000000-0005-0000-0000-0000C8480000}"/>
    <cellStyle name="Input [yellow] 4 4 3 2 3" xfId="48071" xr:uid="{00000000-0005-0000-0000-0000C9480000}"/>
    <cellStyle name="Input [yellow] 4 4 3 2 4" xfId="36252" xr:uid="{00000000-0005-0000-0000-0000CA480000}"/>
    <cellStyle name="Input [yellow] 4 4 3 3" xfId="19406" xr:uid="{00000000-0005-0000-0000-0000CB480000}"/>
    <cellStyle name="Input [yellow] 4 4 3 3 2" xfId="44943" xr:uid="{00000000-0005-0000-0000-0000CC480000}"/>
    <cellStyle name="Input [yellow] 4 4 3 3 3" xfId="48849" xr:uid="{00000000-0005-0000-0000-0000CD480000}"/>
    <cellStyle name="Input [yellow] 4 4 3 3 4" xfId="36971" xr:uid="{00000000-0005-0000-0000-0000CE480000}"/>
    <cellStyle name="Input [yellow] 4 4 3 4" xfId="18884" xr:uid="{00000000-0005-0000-0000-0000CF480000}"/>
    <cellStyle name="Input [yellow] 4 4 3 4 2" xfId="44421" xr:uid="{00000000-0005-0000-0000-0000D0480000}"/>
    <cellStyle name="Input [yellow] 4 4 3 4 3" xfId="48327" xr:uid="{00000000-0005-0000-0000-0000D1480000}"/>
    <cellStyle name="Input [yellow] 4 4 3 4 4" xfId="36521" xr:uid="{00000000-0005-0000-0000-0000D2480000}"/>
    <cellStyle name="Input [yellow] 4 4 3 5" xfId="21028" xr:uid="{00000000-0005-0000-0000-0000D3480000}"/>
    <cellStyle name="Input [yellow] 4 4 3 5 2" xfId="46565" xr:uid="{00000000-0005-0000-0000-0000D4480000}"/>
    <cellStyle name="Input [yellow] 4 4 3 5 3" xfId="50471" xr:uid="{00000000-0005-0000-0000-0000D5480000}"/>
    <cellStyle name="Input [yellow] 4 4 3 5 4" xfId="38434" xr:uid="{00000000-0005-0000-0000-0000D6480000}"/>
    <cellStyle name="Input [yellow] 4 4 3 6" xfId="21681" xr:uid="{00000000-0005-0000-0000-0000D7480000}"/>
    <cellStyle name="Input [yellow] 4 4 3 6 2" xfId="47218" xr:uid="{00000000-0005-0000-0000-0000D8480000}"/>
    <cellStyle name="Input [yellow] 4 4 3 6 3" xfId="51124" xr:uid="{00000000-0005-0000-0000-0000D9480000}"/>
    <cellStyle name="Input [yellow] 4 4 3 7" xfId="41021" xr:uid="{00000000-0005-0000-0000-0000DA480000}"/>
    <cellStyle name="Input [yellow] 4 4 3 8" xfId="42602" xr:uid="{00000000-0005-0000-0000-0000DB480000}"/>
    <cellStyle name="Input [yellow] 4 4 4" xfId="10172" xr:uid="{00000000-0005-0000-0000-0000DC480000}"/>
    <cellStyle name="Input [yellow] 4 4 4 2" xfId="17965" xr:uid="{00000000-0005-0000-0000-0000DD480000}"/>
    <cellStyle name="Input [yellow] 4 4 4 2 2" xfId="43755" xr:uid="{00000000-0005-0000-0000-0000DE480000}"/>
    <cellStyle name="Input [yellow] 4 4 4 2 3" xfId="47678" xr:uid="{00000000-0005-0000-0000-0000DF480000}"/>
    <cellStyle name="Input [yellow] 4 4 4 2 4" xfId="35602" xr:uid="{00000000-0005-0000-0000-0000E0480000}"/>
    <cellStyle name="Input [yellow] 4 4 4 3" xfId="11474" xr:uid="{00000000-0005-0000-0000-0000E1480000}"/>
    <cellStyle name="Input [yellow] 4 4 4 3 2" xfId="41485" xr:uid="{00000000-0005-0000-0000-0000E2480000}"/>
    <cellStyle name="Input [yellow] 4 4 4 3 3" xfId="39173" xr:uid="{00000000-0005-0000-0000-0000E3480000}"/>
    <cellStyle name="Input [yellow] 4 4 4 3 4" xfId="29190" xr:uid="{00000000-0005-0000-0000-0000E4480000}"/>
    <cellStyle name="Input [yellow] 4 4 4 4" xfId="19852" xr:uid="{00000000-0005-0000-0000-0000E5480000}"/>
    <cellStyle name="Input [yellow] 4 4 4 4 2" xfId="45389" xr:uid="{00000000-0005-0000-0000-0000E6480000}"/>
    <cellStyle name="Input [yellow] 4 4 4 4 3" xfId="49295" xr:uid="{00000000-0005-0000-0000-0000E7480000}"/>
    <cellStyle name="Input [yellow] 4 4 4 4 4" xfId="37368" xr:uid="{00000000-0005-0000-0000-0000E8480000}"/>
    <cellStyle name="Input [yellow] 4 4 4 5" xfId="20635" xr:uid="{00000000-0005-0000-0000-0000E9480000}"/>
    <cellStyle name="Input [yellow] 4 4 4 5 2" xfId="46172" xr:uid="{00000000-0005-0000-0000-0000EA480000}"/>
    <cellStyle name="Input [yellow] 4 4 4 5 3" xfId="50078" xr:uid="{00000000-0005-0000-0000-0000EB480000}"/>
    <cellStyle name="Input [yellow] 4 4 4 5 4" xfId="38041" xr:uid="{00000000-0005-0000-0000-0000EC480000}"/>
    <cellStyle name="Input [yellow] 4 4 4 6" xfId="21288" xr:uid="{00000000-0005-0000-0000-0000ED480000}"/>
    <cellStyle name="Input [yellow] 4 4 4 6 2" xfId="46825" xr:uid="{00000000-0005-0000-0000-0000EE480000}"/>
    <cellStyle name="Input [yellow] 4 4 4 6 3" xfId="50731" xr:uid="{00000000-0005-0000-0000-0000EF480000}"/>
    <cellStyle name="Input [yellow] 4 4 4 7" xfId="40614" xr:uid="{00000000-0005-0000-0000-0000F0480000}"/>
    <cellStyle name="Input [yellow] 4 4 4 8" xfId="42620" xr:uid="{00000000-0005-0000-0000-0000F1480000}"/>
    <cellStyle name="Input [yellow] 4 4 5" xfId="14785" xr:uid="{00000000-0005-0000-0000-0000F2480000}"/>
    <cellStyle name="Input [yellow] 4 4 5 2" xfId="42901" xr:uid="{00000000-0005-0000-0000-0000F3480000}"/>
    <cellStyle name="Input [yellow] 4 4 5 3" xfId="40533" xr:uid="{00000000-0005-0000-0000-0000F4480000}"/>
    <cellStyle name="Input [yellow] 4 4 5 4" xfId="32420" xr:uid="{00000000-0005-0000-0000-0000F5480000}"/>
    <cellStyle name="Input [yellow] 4 4 6" xfId="13072" xr:uid="{00000000-0005-0000-0000-0000F6480000}"/>
    <cellStyle name="Input [yellow] 4 4 6 2" xfId="42293" xr:uid="{00000000-0005-0000-0000-0000F7480000}"/>
    <cellStyle name="Input [yellow] 4 4 6 3" xfId="39548" xr:uid="{00000000-0005-0000-0000-0000F8480000}"/>
    <cellStyle name="Input [yellow] 4 4 6 4" xfId="30721" xr:uid="{00000000-0005-0000-0000-0000F9480000}"/>
    <cellStyle name="Input [yellow] 4 4 7" xfId="19575" xr:uid="{00000000-0005-0000-0000-0000FA480000}"/>
    <cellStyle name="Input [yellow] 4 4 7 2" xfId="45112" xr:uid="{00000000-0005-0000-0000-0000FB480000}"/>
    <cellStyle name="Input [yellow] 4 4 7 3" xfId="49018" xr:uid="{00000000-0005-0000-0000-0000FC480000}"/>
    <cellStyle name="Input [yellow] 4 4 7 4" xfId="37115" xr:uid="{00000000-0005-0000-0000-0000FD480000}"/>
    <cellStyle name="Input [yellow] 4 4 8" xfId="19786" xr:uid="{00000000-0005-0000-0000-0000FE480000}"/>
    <cellStyle name="Input [yellow] 4 4 8 2" xfId="45323" xr:uid="{00000000-0005-0000-0000-0000FF480000}"/>
    <cellStyle name="Input [yellow] 4 4 8 3" xfId="49229" xr:uid="{00000000-0005-0000-0000-000000490000}"/>
    <cellStyle name="Input [yellow] 4 4 8 4" xfId="37311" xr:uid="{00000000-0005-0000-0000-000001490000}"/>
    <cellStyle name="Input [yellow] 4 4 9" xfId="20064" xr:uid="{00000000-0005-0000-0000-000002490000}"/>
    <cellStyle name="Input [yellow] 4 4 9 2" xfId="45601" xr:uid="{00000000-0005-0000-0000-000003490000}"/>
    <cellStyle name="Input [yellow] 4 4 9 3" xfId="49507" xr:uid="{00000000-0005-0000-0000-000004490000}"/>
    <cellStyle name="Input [yellow] 4 4 9 4" xfId="37559" xr:uid="{00000000-0005-0000-0000-000005490000}"/>
    <cellStyle name="Input [yellow] 4 5" xfId="10446" xr:uid="{00000000-0005-0000-0000-000006490000}"/>
    <cellStyle name="Input [yellow] 4 5 2" xfId="18239" xr:uid="{00000000-0005-0000-0000-000007490000}"/>
    <cellStyle name="Input [yellow] 4 5 2 2" xfId="43786" xr:uid="{00000000-0005-0000-0000-000008490000}"/>
    <cellStyle name="Input [yellow] 4 5 2 3" xfId="47695" xr:uid="{00000000-0005-0000-0000-000009490000}"/>
    <cellStyle name="Input [yellow] 4 5 2 4" xfId="35876" xr:uid="{00000000-0005-0000-0000-00000A490000}"/>
    <cellStyle name="Input [yellow] 4 5 3" xfId="20183" xr:uid="{00000000-0005-0000-0000-00000B490000}"/>
    <cellStyle name="Input [yellow] 4 5 3 2" xfId="45720" xr:uid="{00000000-0005-0000-0000-00000C490000}"/>
    <cellStyle name="Input [yellow] 4 5 3 3" xfId="49626" xr:uid="{00000000-0005-0000-0000-00000D490000}"/>
    <cellStyle name="Input [yellow] 4 5 3 4" xfId="37668" xr:uid="{00000000-0005-0000-0000-00000E490000}"/>
    <cellStyle name="Input [yellow] 4 5 4" xfId="19190" xr:uid="{00000000-0005-0000-0000-00000F490000}"/>
    <cellStyle name="Input [yellow] 4 5 4 2" xfId="44727" xr:uid="{00000000-0005-0000-0000-000010490000}"/>
    <cellStyle name="Input [yellow] 4 5 4 3" xfId="48633" xr:uid="{00000000-0005-0000-0000-000011490000}"/>
    <cellStyle name="Input [yellow] 4 5 4 4" xfId="36777" xr:uid="{00000000-0005-0000-0000-000012490000}"/>
    <cellStyle name="Input [yellow] 4 5 5" xfId="20652" xr:uid="{00000000-0005-0000-0000-000013490000}"/>
    <cellStyle name="Input [yellow] 4 5 5 2" xfId="46189" xr:uid="{00000000-0005-0000-0000-000014490000}"/>
    <cellStyle name="Input [yellow] 4 5 5 3" xfId="50095" xr:uid="{00000000-0005-0000-0000-000015490000}"/>
    <cellStyle name="Input [yellow] 4 5 5 4" xfId="38058" xr:uid="{00000000-0005-0000-0000-000016490000}"/>
    <cellStyle name="Input [yellow] 4 5 6" xfId="21305" xr:uid="{00000000-0005-0000-0000-000017490000}"/>
    <cellStyle name="Input [yellow] 4 5 6 2" xfId="46842" xr:uid="{00000000-0005-0000-0000-000018490000}"/>
    <cellStyle name="Input [yellow] 4 5 6 3" xfId="50748" xr:uid="{00000000-0005-0000-0000-000019490000}"/>
    <cellStyle name="Input [yellow] 4 5 7" xfId="40645" xr:uid="{00000000-0005-0000-0000-00001A490000}"/>
    <cellStyle name="Input [yellow] 4 5 8" xfId="39206" xr:uid="{00000000-0005-0000-0000-00001B490000}"/>
    <cellStyle name="Input [yellow] 4 6" xfId="7783" xr:uid="{00000000-0005-0000-0000-00001C490000}"/>
    <cellStyle name="Input [yellow] 4 6 2" xfId="15580" xr:uid="{00000000-0005-0000-0000-00001D490000}"/>
    <cellStyle name="Input [yellow] 4 6 2 2" xfId="43259" xr:uid="{00000000-0005-0000-0000-00001E490000}"/>
    <cellStyle name="Input [yellow] 4 6 2 3" xfId="40148" xr:uid="{00000000-0005-0000-0000-00001F490000}"/>
    <cellStyle name="Input [yellow] 4 6 2 4" xfId="33215" xr:uid="{00000000-0005-0000-0000-000020490000}"/>
    <cellStyle name="Input [yellow] 4 6 3" xfId="19810" xr:uid="{00000000-0005-0000-0000-000021490000}"/>
    <cellStyle name="Input [yellow] 4 6 3 2" xfId="45347" xr:uid="{00000000-0005-0000-0000-000022490000}"/>
    <cellStyle name="Input [yellow] 4 6 3 3" xfId="49253" xr:uid="{00000000-0005-0000-0000-000023490000}"/>
    <cellStyle name="Input [yellow] 4 6 3 4" xfId="37331" xr:uid="{00000000-0005-0000-0000-000024490000}"/>
    <cellStyle name="Input [yellow] 4 6 4" xfId="19181" xr:uid="{00000000-0005-0000-0000-000025490000}"/>
    <cellStyle name="Input [yellow] 4 6 4 2" xfId="44718" xr:uid="{00000000-0005-0000-0000-000026490000}"/>
    <cellStyle name="Input [yellow] 4 6 4 3" xfId="48624" xr:uid="{00000000-0005-0000-0000-000027490000}"/>
    <cellStyle name="Input [yellow] 4 6 4 4" xfId="36769" xr:uid="{00000000-0005-0000-0000-000028490000}"/>
    <cellStyle name="Input [yellow] 4 6 5" xfId="20524" xr:uid="{00000000-0005-0000-0000-000029490000}"/>
    <cellStyle name="Input [yellow] 4 6 5 2" xfId="46061" xr:uid="{00000000-0005-0000-0000-00002A490000}"/>
    <cellStyle name="Input [yellow] 4 6 5 3" xfId="49967" xr:uid="{00000000-0005-0000-0000-00002B490000}"/>
    <cellStyle name="Input [yellow] 4 6 5 4" xfId="37957" xr:uid="{00000000-0005-0000-0000-00002C490000}"/>
    <cellStyle name="Input [yellow] 4 6 6" xfId="19325" xr:uid="{00000000-0005-0000-0000-00002D490000}"/>
    <cellStyle name="Input [yellow] 4 6 6 2" xfId="44862" xr:uid="{00000000-0005-0000-0000-00002E490000}"/>
    <cellStyle name="Input [yellow] 4 6 6 3" xfId="48768" xr:uid="{00000000-0005-0000-0000-00002F490000}"/>
    <cellStyle name="Input [yellow] 4 6 7" xfId="40118" xr:uid="{00000000-0005-0000-0000-000030490000}"/>
    <cellStyle name="Input [yellow] 4 6 8" xfId="42184" xr:uid="{00000000-0005-0000-0000-000031490000}"/>
    <cellStyle name="Input [yellow] 4 7" xfId="52982" xr:uid="{00000000-0005-0000-0000-000032490000}"/>
    <cellStyle name="Input [yellow] 4_BallGrid" xfId="1788" xr:uid="{00000000-0005-0000-0000-000033490000}"/>
    <cellStyle name="Input [yellow] 5" xfId="1789" xr:uid="{00000000-0005-0000-0000-000034490000}"/>
    <cellStyle name="Input [yellow] 5 2" xfId="1790" xr:uid="{00000000-0005-0000-0000-000035490000}"/>
    <cellStyle name="Input [yellow] 5 2 2" xfId="7001" xr:uid="{00000000-0005-0000-0000-000036490000}"/>
    <cellStyle name="Input [yellow] 5 2 2 10" xfId="39765" xr:uid="{00000000-0005-0000-0000-000037490000}"/>
    <cellStyle name="Input [yellow] 5 2 2 11" xfId="43108" xr:uid="{00000000-0005-0000-0000-000038490000}"/>
    <cellStyle name="Input [yellow] 5 2 2 2" xfId="10531" xr:uid="{00000000-0005-0000-0000-000039490000}"/>
    <cellStyle name="Input [yellow] 5 2 2 2 2" xfId="18324" xr:uid="{00000000-0005-0000-0000-00003A490000}"/>
    <cellStyle name="Input [yellow] 5 2 2 2 2 2" xfId="43871" xr:uid="{00000000-0005-0000-0000-00003B490000}"/>
    <cellStyle name="Input [yellow] 5 2 2 2 2 3" xfId="47780" xr:uid="{00000000-0005-0000-0000-00003C490000}"/>
    <cellStyle name="Input [yellow] 5 2 2 2 2 4" xfId="35961" xr:uid="{00000000-0005-0000-0000-00003D490000}"/>
    <cellStyle name="Input [yellow] 5 2 2 2 3" xfId="20172" xr:uid="{00000000-0005-0000-0000-00003E490000}"/>
    <cellStyle name="Input [yellow] 5 2 2 2 3 2" xfId="45709" xr:uid="{00000000-0005-0000-0000-00003F490000}"/>
    <cellStyle name="Input [yellow] 5 2 2 2 3 3" xfId="49615" xr:uid="{00000000-0005-0000-0000-000040490000}"/>
    <cellStyle name="Input [yellow] 5 2 2 2 3 4" xfId="37658" xr:uid="{00000000-0005-0000-0000-000041490000}"/>
    <cellStyle name="Input [yellow] 5 2 2 2 4" xfId="12644" xr:uid="{00000000-0005-0000-0000-000042490000}"/>
    <cellStyle name="Input [yellow] 5 2 2 2 4 2" xfId="42123" xr:uid="{00000000-0005-0000-0000-000043490000}"/>
    <cellStyle name="Input [yellow] 5 2 2 2 4 3" xfId="39111" xr:uid="{00000000-0005-0000-0000-000044490000}"/>
    <cellStyle name="Input [yellow] 5 2 2 2 4 4" xfId="30309" xr:uid="{00000000-0005-0000-0000-000045490000}"/>
    <cellStyle name="Input [yellow] 5 2 2 2 5" xfId="20737" xr:uid="{00000000-0005-0000-0000-000046490000}"/>
    <cellStyle name="Input [yellow] 5 2 2 2 5 2" xfId="46274" xr:uid="{00000000-0005-0000-0000-000047490000}"/>
    <cellStyle name="Input [yellow] 5 2 2 2 5 3" xfId="50180" xr:uid="{00000000-0005-0000-0000-000048490000}"/>
    <cellStyle name="Input [yellow] 5 2 2 2 5 4" xfId="38143" xr:uid="{00000000-0005-0000-0000-000049490000}"/>
    <cellStyle name="Input [yellow] 5 2 2 2 6" xfId="21390" xr:uid="{00000000-0005-0000-0000-00004A490000}"/>
    <cellStyle name="Input [yellow] 5 2 2 2 6 2" xfId="46927" xr:uid="{00000000-0005-0000-0000-00004B490000}"/>
    <cellStyle name="Input [yellow] 5 2 2 2 6 3" xfId="50833" xr:uid="{00000000-0005-0000-0000-00004C490000}"/>
    <cellStyle name="Input [yellow] 5 2 2 2 7" xfId="40730" xr:uid="{00000000-0005-0000-0000-00004D490000}"/>
    <cellStyle name="Input [yellow] 5 2 2 2 8" xfId="39608" xr:uid="{00000000-0005-0000-0000-00004E490000}"/>
    <cellStyle name="Input [yellow] 5 2 2 3" xfId="10826" xr:uid="{00000000-0005-0000-0000-00004F490000}"/>
    <cellStyle name="Input [yellow] 5 2 2 3 2" xfId="18619" xr:uid="{00000000-0005-0000-0000-000050490000}"/>
    <cellStyle name="Input [yellow] 5 2 2 3 2 2" xfId="44166" xr:uid="{00000000-0005-0000-0000-000051490000}"/>
    <cellStyle name="Input [yellow] 5 2 2 3 2 3" xfId="48075" xr:uid="{00000000-0005-0000-0000-000052490000}"/>
    <cellStyle name="Input [yellow] 5 2 2 3 2 4" xfId="36256" xr:uid="{00000000-0005-0000-0000-000053490000}"/>
    <cellStyle name="Input [yellow] 5 2 2 3 3" xfId="19111" xr:uid="{00000000-0005-0000-0000-000054490000}"/>
    <cellStyle name="Input [yellow] 5 2 2 3 3 2" xfId="44648" xr:uid="{00000000-0005-0000-0000-000055490000}"/>
    <cellStyle name="Input [yellow] 5 2 2 3 3 3" xfId="48554" xr:uid="{00000000-0005-0000-0000-000056490000}"/>
    <cellStyle name="Input [yellow] 5 2 2 3 3 4" xfId="36706" xr:uid="{00000000-0005-0000-0000-000057490000}"/>
    <cellStyle name="Input [yellow] 5 2 2 3 4" xfId="19866" xr:uid="{00000000-0005-0000-0000-000058490000}"/>
    <cellStyle name="Input [yellow] 5 2 2 3 4 2" xfId="45403" xr:uid="{00000000-0005-0000-0000-000059490000}"/>
    <cellStyle name="Input [yellow] 5 2 2 3 4 3" xfId="49309" xr:uid="{00000000-0005-0000-0000-00005A490000}"/>
    <cellStyle name="Input [yellow] 5 2 2 3 4 4" xfId="37380" xr:uid="{00000000-0005-0000-0000-00005B490000}"/>
    <cellStyle name="Input [yellow] 5 2 2 3 5" xfId="21032" xr:uid="{00000000-0005-0000-0000-00005C490000}"/>
    <cellStyle name="Input [yellow] 5 2 2 3 5 2" xfId="46569" xr:uid="{00000000-0005-0000-0000-00005D490000}"/>
    <cellStyle name="Input [yellow] 5 2 2 3 5 3" xfId="50475" xr:uid="{00000000-0005-0000-0000-00005E490000}"/>
    <cellStyle name="Input [yellow] 5 2 2 3 5 4" xfId="38438" xr:uid="{00000000-0005-0000-0000-00005F490000}"/>
    <cellStyle name="Input [yellow] 5 2 2 3 6" xfId="21685" xr:uid="{00000000-0005-0000-0000-000060490000}"/>
    <cellStyle name="Input [yellow] 5 2 2 3 6 2" xfId="47222" xr:uid="{00000000-0005-0000-0000-000061490000}"/>
    <cellStyle name="Input [yellow] 5 2 2 3 6 3" xfId="51128" xr:uid="{00000000-0005-0000-0000-000062490000}"/>
    <cellStyle name="Input [yellow] 5 2 2 3 7" xfId="41025" xr:uid="{00000000-0005-0000-0000-000063490000}"/>
    <cellStyle name="Input [yellow] 5 2 2 3 8" xfId="42061" xr:uid="{00000000-0005-0000-0000-000064490000}"/>
    <cellStyle name="Input [yellow] 5 2 2 4" xfId="10176" xr:uid="{00000000-0005-0000-0000-000065490000}"/>
    <cellStyle name="Input [yellow] 5 2 2 4 2" xfId="17969" xr:uid="{00000000-0005-0000-0000-000066490000}"/>
    <cellStyle name="Input [yellow] 5 2 2 4 2 2" xfId="43759" xr:uid="{00000000-0005-0000-0000-000067490000}"/>
    <cellStyle name="Input [yellow] 5 2 2 4 2 3" xfId="47682" xr:uid="{00000000-0005-0000-0000-000068490000}"/>
    <cellStyle name="Input [yellow] 5 2 2 4 2 4" xfId="35606" xr:uid="{00000000-0005-0000-0000-000069490000}"/>
    <cellStyle name="Input [yellow] 5 2 2 4 3" xfId="19445" xr:uid="{00000000-0005-0000-0000-00006A490000}"/>
    <cellStyle name="Input [yellow] 5 2 2 4 3 2" xfId="44982" xr:uid="{00000000-0005-0000-0000-00006B490000}"/>
    <cellStyle name="Input [yellow] 5 2 2 4 3 3" xfId="48888" xr:uid="{00000000-0005-0000-0000-00006C490000}"/>
    <cellStyle name="Input [yellow] 5 2 2 4 3 4" xfId="37010" xr:uid="{00000000-0005-0000-0000-00006D490000}"/>
    <cellStyle name="Input [yellow] 5 2 2 4 4" xfId="12125" xr:uid="{00000000-0005-0000-0000-00006E490000}"/>
    <cellStyle name="Input [yellow] 5 2 2 4 4 2" xfId="41870" xr:uid="{00000000-0005-0000-0000-00006F490000}"/>
    <cellStyle name="Input [yellow] 5 2 2 4 4 3" xfId="47498" xr:uid="{00000000-0005-0000-0000-000070490000}"/>
    <cellStyle name="Input [yellow] 5 2 2 4 4 4" xfId="29798" xr:uid="{00000000-0005-0000-0000-000071490000}"/>
    <cellStyle name="Input [yellow] 5 2 2 4 5" xfId="20639" xr:uid="{00000000-0005-0000-0000-000072490000}"/>
    <cellStyle name="Input [yellow] 5 2 2 4 5 2" xfId="46176" xr:uid="{00000000-0005-0000-0000-000073490000}"/>
    <cellStyle name="Input [yellow] 5 2 2 4 5 3" xfId="50082" xr:uid="{00000000-0005-0000-0000-000074490000}"/>
    <cellStyle name="Input [yellow] 5 2 2 4 5 4" xfId="38045" xr:uid="{00000000-0005-0000-0000-000075490000}"/>
    <cellStyle name="Input [yellow] 5 2 2 4 6" xfId="21292" xr:uid="{00000000-0005-0000-0000-000076490000}"/>
    <cellStyle name="Input [yellow] 5 2 2 4 6 2" xfId="46829" xr:uid="{00000000-0005-0000-0000-000077490000}"/>
    <cellStyle name="Input [yellow] 5 2 2 4 6 3" xfId="50735" xr:uid="{00000000-0005-0000-0000-000078490000}"/>
    <cellStyle name="Input [yellow] 5 2 2 4 7" xfId="40618" xr:uid="{00000000-0005-0000-0000-000079490000}"/>
    <cellStyle name="Input [yellow] 5 2 2 4 8" xfId="39508" xr:uid="{00000000-0005-0000-0000-00007A490000}"/>
    <cellStyle name="Input [yellow] 5 2 2 5" xfId="14789" xr:uid="{00000000-0005-0000-0000-00007B490000}"/>
    <cellStyle name="Input [yellow] 5 2 2 5 2" xfId="42905" xr:uid="{00000000-0005-0000-0000-00007C490000}"/>
    <cellStyle name="Input [yellow] 5 2 2 5 3" xfId="40426" xr:uid="{00000000-0005-0000-0000-00007D490000}"/>
    <cellStyle name="Input [yellow] 5 2 2 5 4" xfId="32424" xr:uid="{00000000-0005-0000-0000-00007E490000}"/>
    <cellStyle name="Input [yellow] 5 2 2 6" xfId="13076" xr:uid="{00000000-0005-0000-0000-00007F490000}"/>
    <cellStyle name="Input [yellow] 5 2 2 6 2" xfId="42297" xr:uid="{00000000-0005-0000-0000-000080490000}"/>
    <cellStyle name="Input [yellow] 5 2 2 6 3" xfId="39448" xr:uid="{00000000-0005-0000-0000-000081490000}"/>
    <cellStyle name="Input [yellow] 5 2 2 6 4" xfId="30725" xr:uid="{00000000-0005-0000-0000-000082490000}"/>
    <cellStyle name="Input [yellow] 5 2 2 7" xfId="19800" xr:uid="{00000000-0005-0000-0000-000083490000}"/>
    <cellStyle name="Input [yellow] 5 2 2 7 2" xfId="45337" xr:uid="{00000000-0005-0000-0000-000084490000}"/>
    <cellStyle name="Input [yellow] 5 2 2 7 3" xfId="49243" xr:uid="{00000000-0005-0000-0000-000085490000}"/>
    <cellStyle name="Input [yellow] 5 2 2 7 4" xfId="37323" xr:uid="{00000000-0005-0000-0000-000086490000}"/>
    <cellStyle name="Input [yellow] 5 2 2 8" xfId="19363" xr:uid="{00000000-0005-0000-0000-000087490000}"/>
    <cellStyle name="Input [yellow] 5 2 2 8 2" xfId="44900" xr:uid="{00000000-0005-0000-0000-000088490000}"/>
    <cellStyle name="Input [yellow] 5 2 2 8 3" xfId="48806" xr:uid="{00000000-0005-0000-0000-000089490000}"/>
    <cellStyle name="Input [yellow] 5 2 2 8 4" xfId="36931" xr:uid="{00000000-0005-0000-0000-00008A490000}"/>
    <cellStyle name="Input [yellow] 5 2 2 9" xfId="12681" xr:uid="{00000000-0005-0000-0000-00008B490000}"/>
    <cellStyle name="Input [yellow] 5 2 2 9 2" xfId="42160" xr:uid="{00000000-0005-0000-0000-00008C490000}"/>
    <cellStyle name="Input [yellow] 5 2 2 9 3" xfId="43331" xr:uid="{00000000-0005-0000-0000-00008D490000}"/>
    <cellStyle name="Input [yellow] 5 2 2 9 4" xfId="30343" xr:uid="{00000000-0005-0000-0000-00008E490000}"/>
    <cellStyle name="Input [yellow] 5 2 3" xfId="10450" xr:uid="{00000000-0005-0000-0000-00008F490000}"/>
    <cellStyle name="Input [yellow] 5 2 3 2" xfId="18243" xr:uid="{00000000-0005-0000-0000-000090490000}"/>
    <cellStyle name="Input [yellow] 5 2 3 2 2" xfId="43790" xr:uid="{00000000-0005-0000-0000-000091490000}"/>
    <cellStyle name="Input [yellow] 5 2 3 2 3" xfId="47699" xr:uid="{00000000-0005-0000-0000-000092490000}"/>
    <cellStyle name="Input [yellow] 5 2 3 2 4" xfId="35880" xr:uid="{00000000-0005-0000-0000-000093490000}"/>
    <cellStyle name="Input [yellow] 5 2 3 3" xfId="19924" xr:uid="{00000000-0005-0000-0000-000094490000}"/>
    <cellStyle name="Input [yellow] 5 2 3 3 2" xfId="45461" xr:uid="{00000000-0005-0000-0000-000095490000}"/>
    <cellStyle name="Input [yellow] 5 2 3 3 3" xfId="49367" xr:uid="{00000000-0005-0000-0000-000096490000}"/>
    <cellStyle name="Input [yellow] 5 2 3 3 4" xfId="37438" xr:uid="{00000000-0005-0000-0000-000097490000}"/>
    <cellStyle name="Input [yellow] 5 2 3 4" xfId="19951" xr:uid="{00000000-0005-0000-0000-000098490000}"/>
    <cellStyle name="Input [yellow] 5 2 3 4 2" xfId="45488" xr:uid="{00000000-0005-0000-0000-000099490000}"/>
    <cellStyle name="Input [yellow] 5 2 3 4 3" xfId="49394" xr:uid="{00000000-0005-0000-0000-00009A490000}"/>
    <cellStyle name="Input [yellow] 5 2 3 4 4" xfId="37457" xr:uid="{00000000-0005-0000-0000-00009B490000}"/>
    <cellStyle name="Input [yellow] 5 2 3 5" xfId="20656" xr:uid="{00000000-0005-0000-0000-00009C490000}"/>
    <cellStyle name="Input [yellow] 5 2 3 5 2" xfId="46193" xr:uid="{00000000-0005-0000-0000-00009D490000}"/>
    <cellStyle name="Input [yellow] 5 2 3 5 3" xfId="50099" xr:uid="{00000000-0005-0000-0000-00009E490000}"/>
    <cellStyle name="Input [yellow] 5 2 3 5 4" xfId="38062" xr:uid="{00000000-0005-0000-0000-00009F490000}"/>
    <cellStyle name="Input [yellow] 5 2 3 6" xfId="21309" xr:uid="{00000000-0005-0000-0000-0000A0490000}"/>
    <cellStyle name="Input [yellow] 5 2 3 6 2" xfId="46846" xr:uid="{00000000-0005-0000-0000-0000A1490000}"/>
    <cellStyle name="Input [yellow] 5 2 3 6 3" xfId="50752" xr:uid="{00000000-0005-0000-0000-0000A2490000}"/>
    <cellStyle name="Input [yellow] 5 2 3 7" xfId="40649" xr:uid="{00000000-0005-0000-0000-0000A3490000}"/>
    <cellStyle name="Input [yellow] 5 2 3 8" xfId="43403" xr:uid="{00000000-0005-0000-0000-0000A4490000}"/>
    <cellStyle name="Input [yellow] 5 2 4" xfId="7787" xr:uid="{00000000-0005-0000-0000-0000A5490000}"/>
    <cellStyle name="Input [yellow] 5 2 4 2" xfId="15584" xr:uid="{00000000-0005-0000-0000-0000A6490000}"/>
    <cellStyle name="Input [yellow] 5 2 4 2 2" xfId="43263" xr:uid="{00000000-0005-0000-0000-0000A7490000}"/>
    <cellStyle name="Input [yellow] 5 2 4 2 3" xfId="43175" xr:uid="{00000000-0005-0000-0000-0000A8490000}"/>
    <cellStyle name="Input [yellow] 5 2 4 2 4" xfId="33219" xr:uid="{00000000-0005-0000-0000-0000A9490000}"/>
    <cellStyle name="Input [yellow] 5 2 4 3" xfId="20215" xr:uid="{00000000-0005-0000-0000-0000AA490000}"/>
    <cellStyle name="Input [yellow] 5 2 4 3 2" xfId="45752" xr:uid="{00000000-0005-0000-0000-0000AB490000}"/>
    <cellStyle name="Input [yellow] 5 2 4 3 3" xfId="49658" xr:uid="{00000000-0005-0000-0000-0000AC490000}"/>
    <cellStyle name="Input [yellow] 5 2 4 3 4" xfId="37692" xr:uid="{00000000-0005-0000-0000-0000AD490000}"/>
    <cellStyle name="Input [yellow] 5 2 4 4" xfId="20470" xr:uid="{00000000-0005-0000-0000-0000AE490000}"/>
    <cellStyle name="Input [yellow] 5 2 4 4 2" xfId="46007" xr:uid="{00000000-0005-0000-0000-0000AF490000}"/>
    <cellStyle name="Input [yellow] 5 2 4 4 3" xfId="49913" xr:uid="{00000000-0005-0000-0000-0000B0490000}"/>
    <cellStyle name="Input [yellow] 5 2 4 4 4" xfId="37923" xr:uid="{00000000-0005-0000-0000-0000B1490000}"/>
    <cellStyle name="Input [yellow] 5 2 4 5" xfId="12668" xr:uid="{00000000-0005-0000-0000-0000B2490000}"/>
    <cellStyle name="Input [yellow] 5 2 4 5 2" xfId="42147" xr:uid="{00000000-0005-0000-0000-0000B3490000}"/>
    <cellStyle name="Input [yellow] 5 2 4 5 3" xfId="42802" xr:uid="{00000000-0005-0000-0000-0000B4490000}"/>
    <cellStyle name="Input [yellow] 5 2 4 5 4" xfId="30332" xr:uid="{00000000-0005-0000-0000-0000B5490000}"/>
    <cellStyle name="Input [yellow] 5 2 4 6" xfId="11549" xr:uid="{00000000-0005-0000-0000-0000B6490000}"/>
    <cellStyle name="Input [yellow] 5 2 4 6 2" xfId="41560" xr:uid="{00000000-0005-0000-0000-0000B7490000}"/>
    <cellStyle name="Input [yellow] 5 2 4 6 3" xfId="39466" xr:uid="{00000000-0005-0000-0000-0000B8490000}"/>
    <cellStyle name="Input [yellow] 5 2 4 7" xfId="40122" xr:uid="{00000000-0005-0000-0000-0000B9490000}"/>
    <cellStyle name="Input [yellow] 5 2 4 8" xfId="39236" xr:uid="{00000000-0005-0000-0000-0000BA490000}"/>
    <cellStyle name="Input [yellow] 5 2 5" xfId="52985" xr:uid="{00000000-0005-0000-0000-0000BB490000}"/>
    <cellStyle name="Input [yellow] 5 3" xfId="1791" xr:uid="{00000000-0005-0000-0000-0000BC490000}"/>
    <cellStyle name="Input [yellow] 5 3 2" xfId="7002" xr:uid="{00000000-0005-0000-0000-0000BD490000}"/>
    <cellStyle name="Input [yellow] 5 3 2 10" xfId="39766" xr:uid="{00000000-0005-0000-0000-0000BE490000}"/>
    <cellStyle name="Input [yellow] 5 3 2 11" xfId="43775" xr:uid="{00000000-0005-0000-0000-0000BF490000}"/>
    <cellStyle name="Input [yellow] 5 3 2 2" xfId="10532" xr:uid="{00000000-0005-0000-0000-0000C0490000}"/>
    <cellStyle name="Input [yellow] 5 3 2 2 2" xfId="18325" xr:uid="{00000000-0005-0000-0000-0000C1490000}"/>
    <cellStyle name="Input [yellow] 5 3 2 2 2 2" xfId="43872" xr:uid="{00000000-0005-0000-0000-0000C2490000}"/>
    <cellStyle name="Input [yellow] 5 3 2 2 2 3" xfId="47781" xr:uid="{00000000-0005-0000-0000-0000C3490000}"/>
    <cellStyle name="Input [yellow] 5 3 2 2 2 4" xfId="35962" xr:uid="{00000000-0005-0000-0000-0000C4490000}"/>
    <cellStyle name="Input [yellow] 5 3 2 2 3" xfId="19431" xr:uid="{00000000-0005-0000-0000-0000C5490000}"/>
    <cellStyle name="Input [yellow] 5 3 2 2 3 2" xfId="44968" xr:uid="{00000000-0005-0000-0000-0000C6490000}"/>
    <cellStyle name="Input [yellow] 5 3 2 2 3 3" xfId="48874" xr:uid="{00000000-0005-0000-0000-0000C7490000}"/>
    <cellStyle name="Input [yellow] 5 3 2 2 3 4" xfId="36996" xr:uid="{00000000-0005-0000-0000-0000C8490000}"/>
    <cellStyle name="Input [yellow] 5 3 2 2 4" xfId="20326" xr:uid="{00000000-0005-0000-0000-0000C9490000}"/>
    <cellStyle name="Input [yellow] 5 3 2 2 4 2" xfId="45863" xr:uid="{00000000-0005-0000-0000-0000CA490000}"/>
    <cellStyle name="Input [yellow] 5 3 2 2 4 3" xfId="49769" xr:uid="{00000000-0005-0000-0000-0000CB490000}"/>
    <cellStyle name="Input [yellow] 5 3 2 2 4 4" xfId="37790" xr:uid="{00000000-0005-0000-0000-0000CC490000}"/>
    <cellStyle name="Input [yellow] 5 3 2 2 5" xfId="20738" xr:uid="{00000000-0005-0000-0000-0000CD490000}"/>
    <cellStyle name="Input [yellow] 5 3 2 2 5 2" xfId="46275" xr:uid="{00000000-0005-0000-0000-0000CE490000}"/>
    <cellStyle name="Input [yellow] 5 3 2 2 5 3" xfId="50181" xr:uid="{00000000-0005-0000-0000-0000CF490000}"/>
    <cellStyle name="Input [yellow] 5 3 2 2 5 4" xfId="38144" xr:uid="{00000000-0005-0000-0000-0000D0490000}"/>
    <cellStyle name="Input [yellow] 5 3 2 2 6" xfId="21391" xr:uid="{00000000-0005-0000-0000-0000D1490000}"/>
    <cellStyle name="Input [yellow] 5 3 2 2 6 2" xfId="46928" xr:uid="{00000000-0005-0000-0000-0000D2490000}"/>
    <cellStyle name="Input [yellow] 5 3 2 2 6 3" xfId="50834" xr:uid="{00000000-0005-0000-0000-0000D3490000}"/>
    <cellStyle name="Input [yellow] 5 3 2 2 7" xfId="40731" xr:uid="{00000000-0005-0000-0000-0000D4490000}"/>
    <cellStyle name="Input [yellow] 5 3 2 2 8" xfId="42616" xr:uid="{00000000-0005-0000-0000-0000D5490000}"/>
    <cellStyle name="Input [yellow] 5 3 2 3" xfId="10827" xr:uid="{00000000-0005-0000-0000-0000D6490000}"/>
    <cellStyle name="Input [yellow] 5 3 2 3 2" xfId="18620" xr:uid="{00000000-0005-0000-0000-0000D7490000}"/>
    <cellStyle name="Input [yellow] 5 3 2 3 2 2" xfId="44167" xr:uid="{00000000-0005-0000-0000-0000D8490000}"/>
    <cellStyle name="Input [yellow] 5 3 2 3 2 3" xfId="48076" xr:uid="{00000000-0005-0000-0000-0000D9490000}"/>
    <cellStyle name="Input [yellow] 5 3 2 3 2 4" xfId="36257" xr:uid="{00000000-0005-0000-0000-0000DA490000}"/>
    <cellStyle name="Input [yellow] 5 3 2 3 3" xfId="11514" xr:uid="{00000000-0005-0000-0000-0000DB490000}"/>
    <cellStyle name="Input [yellow] 5 3 2 3 3 2" xfId="41525" xr:uid="{00000000-0005-0000-0000-0000DC490000}"/>
    <cellStyle name="Input [yellow] 5 3 2 3 3 3" xfId="39171" xr:uid="{00000000-0005-0000-0000-0000DD490000}"/>
    <cellStyle name="Input [yellow] 5 3 2 3 3 4" xfId="29229" xr:uid="{00000000-0005-0000-0000-0000DE490000}"/>
    <cellStyle name="Input [yellow] 5 3 2 3 4" xfId="11684" xr:uid="{00000000-0005-0000-0000-0000DF490000}"/>
    <cellStyle name="Input [yellow] 5 3 2 3 4 2" xfId="41695" xr:uid="{00000000-0005-0000-0000-0000E0490000}"/>
    <cellStyle name="Input [yellow] 5 3 2 3 4 3" xfId="39162" xr:uid="{00000000-0005-0000-0000-0000E1490000}"/>
    <cellStyle name="Input [yellow] 5 3 2 3 4 4" xfId="29377" xr:uid="{00000000-0005-0000-0000-0000E2490000}"/>
    <cellStyle name="Input [yellow] 5 3 2 3 5" xfId="21033" xr:uid="{00000000-0005-0000-0000-0000E3490000}"/>
    <cellStyle name="Input [yellow] 5 3 2 3 5 2" xfId="46570" xr:uid="{00000000-0005-0000-0000-0000E4490000}"/>
    <cellStyle name="Input [yellow] 5 3 2 3 5 3" xfId="50476" xr:uid="{00000000-0005-0000-0000-0000E5490000}"/>
    <cellStyle name="Input [yellow] 5 3 2 3 5 4" xfId="38439" xr:uid="{00000000-0005-0000-0000-0000E6490000}"/>
    <cellStyle name="Input [yellow] 5 3 2 3 6" xfId="21686" xr:uid="{00000000-0005-0000-0000-0000E7490000}"/>
    <cellStyle name="Input [yellow] 5 3 2 3 6 2" xfId="47223" xr:uid="{00000000-0005-0000-0000-0000E8490000}"/>
    <cellStyle name="Input [yellow] 5 3 2 3 6 3" xfId="51129" xr:uid="{00000000-0005-0000-0000-0000E9490000}"/>
    <cellStyle name="Input [yellow] 5 3 2 3 7" xfId="41026" xr:uid="{00000000-0005-0000-0000-0000EA490000}"/>
    <cellStyle name="Input [yellow] 5 3 2 3 8" xfId="43380" xr:uid="{00000000-0005-0000-0000-0000EB490000}"/>
    <cellStyle name="Input [yellow] 5 3 2 4" xfId="10177" xr:uid="{00000000-0005-0000-0000-0000EC490000}"/>
    <cellStyle name="Input [yellow] 5 3 2 4 2" xfId="17970" xr:uid="{00000000-0005-0000-0000-0000ED490000}"/>
    <cellStyle name="Input [yellow] 5 3 2 4 2 2" xfId="43760" xr:uid="{00000000-0005-0000-0000-0000EE490000}"/>
    <cellStyle name="Input [yellow] 5 3 2 4 2 3" xfId="47683" xr:uid="{00000000-0005-0000-0000-0000EF490000}"/>
    <cellStyle name="Input [yellow] 5 3 2 4 2 4" xfId="35607" xr:uid="{00000000-0005-0000-0000-0000F0490000}"/>
    <cellStyle name="Input [yellow] 5 3 2 4 3" xfId="20054" xr:uid="{00000000-0005-0000-0000-0000F1490000}"/>
    <cellStyle name="Input [yellow] 5 3 2 4 3 2" xfId="45591" xr:uid="{00000000-0005-0000-0000-0000F2490000}"/>
    <cellStyle name="Input [yellow] 5 3 2 4 3 3" xfId="49497" xr:uid="{00000000-0005-0000-0000-0000F3490000}"/>
    <cellStyle name="Input [yellow] 5 3 2 4 3 4" xfId="37550" xr:uid="{00000000-0005-0000-0000-0000F4490000}"/>
    <cellStyle name="Input [yellow] 5 3 2 4 4" xfId="11884" xr:uid="{00000000-0005-0000-0000-0000F5490000}"/>
    <cellStyle name="Input [yellow] 5 3 2 4 4 2" xfId="41774" xr:uid="{00000000-0005-0000-0000-0000F6490000}"/>
    <cellStyle name="Input [yellow] 5 3 2 4 4 3" xfId="42811" xr:uid="{00000000-0005-0000-0000-0000F7490000}"/>
    <cellStyle name="Input [yellow] 5 3 2 4 4 4" xfId="29567" xr:uid="{00000000-0005-0000-0000-0000F8490000}"/>
    <cellStyle name="Input [yellow] 5 3 2 4 5" xfId="20640" xr:uid="{00000000-0005-0000-0000-0000F9490000}"/>
    <cellStyle name="Input [yellow] 5 3 2 4 5 2" xfId="46177" xr:uid="{00000000-0005-0000-0000-0000FA490000}"/>
    <cellStyle name="Input [yellow] 5 3 2 4 5 3" xfId="50083" xr:uid="{00000000-0005-0000-0000-0000FB490000}"/>
    <cellStyle name="Input [yellow] 5 3 2 4 5 4" xfId="38046" xr:uid="{00000000-0005-0000-0000-0000FC490000}"/>
    <cellStyle name="Input [yellow] 5 3 2 4 6" xfId="21293" xr:uid="{00000000-0005-0000-0000-0000FD490000}"/>
    <cellStyle name="Input [yellow] 5 3 2 4 6 2" xfId="46830" xr:uid="{00000000-0005-0000-0000-0000FE490000}"/>
    <cellStyle name="Input [yellow] 5 3 2 4 6 3" xfId="50736" xr:uid="{00000000-0005-0000-0000-0000FF490000}"/>
    <cellStyle name="Input [yellow] 5 3 2 4 7" xfId="40619" xr:uid="{00000000-0005-0000-0000-0000004A0000}"/>
    <cellStyle name="Input [yellow] 5 3 2 4 8" xfId="47519" xr:uid="{00000000-0005-0000-0000-0000014A0000}"/>
    <cellStyle name="Input [yellow] 5 3 2 5" xfId="14790" xr:uid="{00000000-0005-0000-0000-0000024A0000}"/>
    <cellStyle name="Input [yellow] 5 3 2 5 2" xfId="42906" xr:uid="{00000000-0005-0000-0000-0000034A0000}"/>
    <cellStyle name="Input [yellow] 5 3 2 5 3" xfId="39535" xr:uid="{00000000-0005-0000-0000-0000044A0000}"/>
    <cellStyle name="Input [yellow] 5 3 2 5 4" xfId="32425" xr:uid="{00000000-0005-0000-0000-0000054A0000}"/>
    <cellStyle name="Input [yellow] 5 3 2 6" xfId="13077" xr:uid="{00000000-0005-0000-0000-0000064A0000}"/>
    <cellStyle name="Input [yellow] 5 3 2 6 2" xfId="42298" xr:uid="{00000000-0005-0000-0000-0000074A0000}"/>
    <cellStyle name="Input [yellow] 5 3 2 6 3" xfId="39305" xr:uid="{00000000-0005-0000-0000-0000084A0000}"/>
    <cellStyle name="Input [yellow] 5 3 2 6 4" xfId="30726" xr:uid="{00000000-0005-0000-0000-0000094A0000}"/>
    <cellStyle name="Input [yellow] 5 3 2 7" xfId="20377" xr:uid="{00000000-0005-0000-0000-00000A4A0000}"/>
    <cellStyle name="Input [yellow] 5 3 2 7 2" xfId="45914" xr:uid="{00000000-0005-0000-0000-00000B4A0000}"/>
    <cellStyle name="Input [yellow] 5 3 2 7 3" xfId="49820" xr:uid="{00000000-0005-0000-0000-00000C4A0000}"/>
    <cellStyle name="Input [yellow] 5 3 2 7 4" xfId="37833" xr:uid="{00000000-0005-0000-0000-00000D4A0000}"/>
    <cellStyle name="Input [yellow] 5 3 2 8" xfId="20293" xr:uid="{00000000-0005-0000-0000-00000E4A0000}"/>
    <cellStyle name="Input [yellow] 5 3 2 8 2" xfId="45830" xr:uid="{00000000-0005-0000-0000-00000F4A0000}"/>
    <cellStyle name="Input [yellow] 5 3 2 8 3" xfId="49736" xr:uid="{00000000-0005-0000-0000-0000104A0000}"/>
    <cellStyle name="Input [yellow] 5 3 2 8 4" xfId="37760" xr:uid="{00000000-0005-0000-0000-0000114A0000}"/>
    <cellStyle name="Input [yellow] 5 3 2 9" xfId="19002" xr:uid="{00000000-0005-0000-0000-0000124A0000}"/>
    <cellStyle name="Input [yellow] 5 3 2 9 2" xfId="44539" xr:uid="{00000000-0005-0000-0000-0000134A0000}"/>
    <cellStyle name="Input [yellow] 5 3 2 9 3" xfId="48445" xr:uid="{00000000-0005-0000-0000-0000144A0000}"/>
    <cellStyle name="Input [yellow] 5 3 2 9 4" xfId="36624" xr:uid="{00000000-0005-0000-0000-0000154A0000}"/>
    <cellStyle name="Input [yellow] 5 3 3" xfId="10451" xr:uid="{00000000-0005-0000-0000-0000164A0000}"/>
    <cellStyle name="Input [yellow] 5 3 3 2" xfId="18244" xr:uid="{00000000-0005-0000-0000-0000174A0000}"/>
    <cellStyle name="Input [yellow] 5 3 3 2 2" xfId="43791" xr:uid="{00000000-0005-0000-0000-0000184A0000}"/>
    <cellStyle name="Input [yellow] 5 3 3 2 3" xfId="47700" xr:uid="{00000000-0005-0000-0000-0000194A0000}"/>
    <cellStyle name="Input [yellow] 5 3 3 2 4" xfId="35881" xr:uid="{00000000-0005-0000-0000-00001A4A0000}"/>
    <cellStyle name="Input [yellow] 5 3 3 3" xfId="19147" xr:uid="{00000000-0005-0000-0000-00001B4A0000}"/>
    <cellStyle name="Input [yellow] 5 3 3 3 2" xfId="44684" xr:uid="{00000000-0005-0000-0000-00001C4A0000}"/>
    <cellStyle name="Input [yellow] 5 3 3 3 3" xfId="48590" xr:uid="{00000000-0005-0000-0000-00001D4A0000}"/>
    <cellStyle name="Input [yellow] 5 3 3 3 4" xfId="36742" xr:uid="{00000000-0005-0000-0000-00001E4A0000}"/>
    <cellStyle name="Input [yellow] 5 3 3 4" xfId="19033" xr:uid="{00000000-0005-0000-0000-00001F4A0000}"/>
    <cellStyle name="Input [yellow] 5 3 3 4 2" xfId="44570" xr:uid="{00000000-0005-0000-0000-0000204A0000}"/>
    <cellStyle name="Input [yellow] 5 3 3 4 3" xfId="48476" xr:uid="{00000000-0005-0000-0000-0000214A0000}"/>
    <cellStyle name="Input [yellow] 5 3 3 4 4" xfId="36639" xr:uid="{00000000-0005-0000-0000-0000224A0000}"/>
    <cellStyle name="Input [yellow] 5 3 3 5" xfId="20657" xr:uid="{00000000-0005-0000-0000-0000234A0000}"/>
    <cellStyle name="Input [yellow] 5 3 3 5 2" xfId="46194" xr:uid="{00000000-0005-0000-0000-0000244A0000}"/>
    <cellStyle name="Input [yellow] 5 3 3 5 3" xfId="50100" xr:uid="{00000000-0005-0000-0000-0000254A0000}"/>
    <cellStyle name="Input [yellow] 5 3 3 5 4" xfId="38063" xr:uid="{00000000-0005-0000-0000-0000264A0000}"/>
    <cellStyle name="Input [yellow] 5 3 3 6" xfId="21310" xr:uid="{00000000-0005-0000-0000-0000274A0000}"/>
    <cellStyle name="Input [yellow] 5 3 3 6 2" xfId="46847" xr:uid="{00000000-0005-0000-0000-0000284A0000}"/>
    <cellStyle name="Input [yellow] 5 3 3 6 3" xfId="50753" xr:uid="{00000000-0005-0000-0000-0000294A0000}"/>
    <cellStyle name="Input [yellow] 5 3 3 7" xfId="40650" xr:uid="{00000000-0005-0000-0000-00002A4A0000}"/>
    <cellStyle name="Input [yellow] 5 3 3 8" xfId="40265" xr:uid="{00000000-0005-0000-0000-00002B4A0000}"/>
    <cellStyle name="Input [yellow] 5 3 4" xfId="7788" xr:uid="{00000000-0005-0000-0000-00002C4A0000}"/>
    <cellStyle name="Input [yellow] 5 3 4 2" xfId="15585" xr:uid="{00000000-0005-0000-0000-00002D4A0000}"/>
    <cellStyle name="Input [yellow] 5 3 4 2 2" xfId="43264" xr:uid="{00000000-0005-0000-0000-00002E4A0000}"/>
    <cellStyle name="Input [yellow] 5 3 4 2 3" xfId="40033" xr:uid="{00000000-0005-0000-0000-00002F4A0000}"/>
    <cellStyle name="Input [yellow] 5 3 4 2 4" xfId="33220" xr:uid="{00000000-0005-0000-0000-0000304A0000}"/>
    <cellStyle name="Input [yellow] 5 3 4 3" xfId="19482" xr:uid="{00000000-0005-0000-0000-0000314A0000}"/>
    <cellStyle name="Input [yellow] 5 3 4 3 2" xfId="45019" xr:uid="{00000000-0005-0000-0000-0000324A0000}"/>
    <cellStyle name="Input [yellow] 5 3 4 3 3" xfId="48925" xr:uid="{00000000-0005-0000-0000-0000334A0000}"/>
    <cellStyle name="Input [yellow] 5 3 4 3 4" xfId="37038" xr:uid="{00000000-0005-0000-0000-0000344A0000}"/>
    <cellStyle name="Input [yellow] 5 3 4 4" xfId="13296" xr:uid="{00000000-0005-0000-0000-0000354A0000}"/>
    <cellStyle name="Input [yellow] 5 3 4 4 2" xfId="42466" xr:uid="{00000000-0005-0000-0000-0000364A0000}"/>
    <cellStyle name="Input [yellow] 5 3 4 4 3" xfId="39071" xr:uid="{00000000-0005-0000-0000-0000374A0000}"/>
    <cellStyle name="Input [yellow] 5 3 4 4 4" xfId="30940" xr:uid="{00000000-0005-0000-0000-0000384A0000}"/>
    <cellStyle name="Input [yellow] 5 3 4 5" xfId="20350" xr:uid="{00000000-0005-0000-0000-0000394A0000}"/>
    <cellStyle name="Input [yellow] 5 3 4 5 2" xfId="45887" xr:uid="{00000000-0005-0000-0000-00003A4A0000}"/>
    <cellStyle name="Input [yellow] 5 3 4 5 3" xfId="49793" xr:uid="{00000000-0005-0000-0000-00003B4A0000}"/>
    <cellStyle name="Input [yellow] 5 3 4 5 4" xfId="37808" xr:uid="{00000000-0005-0000-0000-00003C4A0000}"/>
    <cellStyle name="Input [yellow] 5 3 4 6" xfId="20343" xr:uid="{00000000-0005-0000-0000-00003D4A0000}"/>
    <cellStyle name="Input [yellow] 5 3 4 6 2" xfId="45880" xr:uid="{00000000-0005-0000-0000-00003E4A0000}"/>
    <cellStyle name="Input [yellow] 5 3 4 6 3" xfId="49786" xr:uid="{00000000-0005-0000-0000-00003F4A0000}"/>
    <cellStyle name="Input [yellow] 5 3 4 7" xfId="40123" xr:uid="{00000000-0005-0000-0000-0000404A0000}"/>
    <cellStyle name="Input [yellow] 5 3 4 8" xfId="47475" xr:uid="{00000000-0005-0000-0000-0000414A0000}"/>
    <cellStyle name="Input [yellow] 5 4" xfId="7000" xr:uid="{00000000-0005-0000-0000-0000424A0000}"/>
    <cellStyle name="Input [yellow] 5 4 10" xfId="39764" xr:uid="{00000000-0005-0000-0000-0000434A0000}"/>
    <cellStyle name="Input [yellow] 5 4 11" xfId="40139" xr:uid="{00000000-0005-0000-0000-0000444A0000}"/>
    <cellStyle name="Input [yellow] 5 4 2" xfId="10530" xr:uid="{00000000-0005-0000-0000-0000454A0000}"/>
    <cellStyle name="Input [yellow] 5 4 2 2" xfId="18323" xr:uid="{00000000-0005-0000-0000-0000464A0000}"/>
    <cellStyle name="Input [yellow] 5 4 2 2 2" xfId="43870" xr:uid="{00000000-0005-0000-0000-0000474A0000}"/>
    <cellStyle name="Input [yellow] 5 4 2 2 3" xfId="47779" xr:uid="{00000000-0005-0000-0000-0000484A0000}"/>
    <cellStyle name="Input [yellow] 5 4 2 2 4" xfId="35960" xr:uid="{00000000-0005-0000-0000-0000494A0000}"/>
    <cellStyle name="Input [yellow] 5 4 2 3" xfId="19617" xr:uid="{00000000-0005-0000-0000-00004A4A0000}"/>
    <cellStyle name="Input [yellow] 5 4 2 3 2" xfId="45154" xr:uid="{00000000-0005-0000-0000-00004B4A0000}"/>
    <cellStyle name="Input [yellow] 5 4 2 3 3" xfId="49060" xr:uid="{00000000-0005-0000-0000-00004C4A0000}"/>
    <cellStyle name="Input [yellow] 5 4 2 3 4" xfId="37157" xr:uid="{00000000-0005-0000-0000-00004D4A0000}"/>
    <cellStyle name="Input [yellow] 5 4 2 4" xfId="19327" xr:uid="{00000000-0005-0000-0000-00004E4A0000}"/>
    <cellStyle name="Input [yellow] 5 4 2 4 2" xfId="44864" xr:uid="{00000000-0005-0000-0000-00004F4A0000}"/>
    <cellStyle name="Input [yellow] 5 4 2 4 3" xfId="48770" xr:uid="{00000000-0005-0000-0000-0000504A0000}"/>
    <cellStyle name="Input [yellow] 5 4 2 4 4" xfId="36903" xr:uid="{00000000-0005-0000-0000-0000514A0000}"/>
    <cellStyle name="Input [yellow] 5 4 2 5" xfId="20736" xr:uid="{00000000-0005-0000-0000-0000524A0000}"/>
    <cellStyle name="Input [yellow] 5 4 2 5 2" xfId="46273" xr:uid="{00000000-0005-0000-0000-0000534A0000}"/>
    <cellStyle name="Input [yellow] 5 4 2 5 3" xfId="50179" xr:uid="{00000000-0005-0000-0000-0000544A0000}"/>
    <cellStyle name="Input [yellow] 5 4 2 5 4" xfId="38142" xr:uid="{00000000-0005-0000-0000-0000554A0000}"/>
    <cellStyle name="Input [yellow] 5 4 2 6" xfId="21389" xr:uid="{00000000-0005-0000-0000-0000564A0000}"/>
    <cellStyle name="Input [yellow] 5 4 2 6 2" xfId="46926" xr:uid="{00000000-0005-0000-0000-0000574A0000}"/>
    <cellStyle name="Input [yellow] 5 4 2 6 3" xfId="50832" xr:uid="{00000000-0005-0000-0000-0000584A0000}"/>
    <cellStyle name="Input [yellow] 5 4 2 7" xfId="40729" xr:uid="{00000000-0005-0000-0000-0000594A0000}"/>
    <cellStyle name="Input [yellow] 5 4 2 8" xfId="40498" xr:uid="{00000000-0005-0000-0000-00005A4A0000}"/>
    <cellStyle name="Input [yellow] 5 4 3" xfId="10825" xr:uid="{00000000-0005-0000-0000-00005B4A0000}"/>
    <cellStyle name="Input [yellow] 5 4 3 2" xfId="18618" xr:uid="{00000000-0005-0000-0000-00005C4A0000}"/>
    <cellStyle name="Input [yellow] 5 4 3 2 2" xfId="44165" xr:uid="{00000000-0005-0000-0000-00005D4A0000}"/>
    <cellStyle name="Input [yellow] 5 4 3 2 3" xfId="48074" xr:uid="{00000000-0005-0000-0000-00005E4A0000}"/>
    <cellStyle name="Input [yellow] 5 4 3 2 4" xfId="36255" xr:uid="{00000000-0005-0000-0000-00005F4A0000}"/>
    <cellStyle name="Input [yellow] 5 4 3 3" xfId="19888" xr:uid="{00000000-0005-0000-0000-0000604A0000}"/>
    <cellStyle name="Input [yellow] 5 4 3 3 2" xfId="45425" xr:uid="{00000000-0005-0000-0000-0000614A0000}"/>
    <cellStyle name="Input [yellow] 5 4 3 3 3" xfId="49331" xr:uid="{00000000-0005-0000-0000-0000624A0000}"/>
    <cellStyle name="Input [yellow] 5 4 3 3 4" xfId="37402" xr:uid="{00000000-0005-0000-0000-0000634A0000}"/>
    <cellStyle name="Input [yellow] 5 4 3 4" xfId="12140" xr:uid="{00000000-0005-0000-0000-0000644A0000}"/>
    <cellStyle name="Input [yellow] 5 4 3 4 2" xfId="41885" xr:uid="{00000000-0005-0000-0000-0000654A0000}"/>
    <cellStyle name="Input [yellow] 5 4 3 4 3" xfId="43591" xr:uid="{00000000-0005-0000-0000-0000664A0000}"/>
    <cellStyle name="Input [yellow] 5 4 3 4 4" xfId="29812" xr:uid="{00000000-0005-0000-0000-0000674A0000}"/>
    <cellStyle name="Input [yellow] 5 4 3 5" xfId="21031" xr:uid="{00000000-0005-0000-0000-0000684A0000}"/>
    <cellStyle name="Input [yellow] 5 4 3 5 2" xfId="46568" xr:uid="{00000000-0005-0000-0000-0000694A0000}"/>
    <cellStyle name="Input [yellow] 5 4 3 5 3" xfId="50474" xr:uid="{00000000-0005-0000-0000-00006A4A0000}"/>
    <cellStyle name="Input [yellow] 5 4 3 5 4" xfId="38437" xr:uid="{00000000-0005-0000-0000-00006B4A0000}"/>
    <cellStyle name="Input [yellow] 5 4 3 6" xfId="21684" xr:uid="{00000000-0005-0000-0000-00006C4A0000}"/>
    <cellStyle name="Input [yellow] 5 4 3 6 2" xfId="47221" xr:uid="{00000000-0005-0000-0000-00006D4A0000}"/>
    <cellStyle name="Input [yellow] 5 4 3 6 3" xfId="51127" xr:uid="{00000000-0005-0000-0000-00006E4A0000}"/>
    <cellStyle name="Input [yellow] 5 4 3 7" xfId="41024" xr:uid="{00000000-0005-0000-0000-00006F4A0000}"/>
    <cellStyle name="Input [yellow] 5 4 3 8" xfId="39490" xr:uid="{00000000-0005-0000-0000-0000704A0000}"/>
    <cellStyle name="Input [yellow] 5 4 4" xfId="10175" xr:uid="{00000000-0005-0000-0000-0000714A0000}"/>
    <cellStyle name="Input [yellow] 5 4 4 2" xfId="17968" xr:uid="{00000000-0005-0000-0000-0000724A0000}"/>
    <cellStyle name="Input [yellow] 5 4 4 2 2" xfId="43758" xr:uid="{00000000-0005-0000-0000-0000734A0000}"/>
    <cellStyle name="Input [yellow] 5 4 4 2 3" xfId="47681" xr:uid="{00000000-0005-0000-0000-0000744A0000}"/>
    <cellStyle name="Input [yellow] 5 4 4 2 4" xfId="35605" xr:uid="{00000000-0005-0000-0000-0000754A0000}"/>
    <cellStyle name="Input [yellow] 5 4 4 3" xfId="20188" xr:uid="{00000000-0005-0000-0000-0000764A0000}"/>
    <cellStyle name="Input [yellow] 5 4 4 3 2" xfId="45725" xr:uid="{00000000-0005-0000-0000-0000774A0000}"/>
    <cellStyle name="Input [yellow] 5 4 4 3 3" xfId="49631" xr:uid="{00000000-0005-0000-0000-0000784A0000}"/>
    <cellStyle name="Input [yellow] 5 4 4 3 4" xfId="37672" xr:uid="{00000000-0005-0000-0000-0000794A0000}"/>
    <cellStyle name="Input [yellow] 5 4 4 4" xfId="20217" xr:uid="{00000000-0005-0000-0000-00007A4A0000}"/>
    <cellStyle name="Input [yellow] 5 4 4 4 2" xfId="45754" xr:uid="{00000000-0005-0000-0000-00007B4A0000}"/>
    <cellStyle name="Input [yellow] 5 4 4 4 3" xfId="49660" xr:uid="{00000000-0005-0000-0000-00007C4A0000}"/>
    <cellStyle name="Input [yellow] 5 4 4 4 4" xfId="37694" xr:uid="{00000000-0005-0000-0000-00007D4A0000}"/>
    <cellStyle name="Input [yellow] 5 4 4 5" xfId="20638" xr:uid="{00000000-0005-0000-0000-00007E4A0000}"/>
    <cellStyle name="Input [yellow] 5 4 4 5 2" xfId="46175" xr:uid="{00000000-0005-0000-0000-00007F4A0000}"/>
    <cellStyle name="Input [yellow] 5 4 4 5 3" xfId="50081" xr:uid="{00000000-0005-0000-0000-0000804A0000}"/>
    <cellStyle name="Input [yellow] 5 4 4 5 4" xfId="38044" xr:uid="{00000000-0005-0000-0000-0000814A0000}"/>
    <cellStyle name="Input [yellow] 5 4 4 6" xfId="21291" xr:uid="{00000000-0005-0000-0000-0000824A0000}"/>
    <cellStyle name="Input [yellow] 5 4 4 6 2" xfId="46828" xr:uid="{00000000-0005-0000-0000-0000834A0000}"/>
    <cellStyle name="Input [yellow] 5 4 4 6 3" xfId="50734" xr:uid="{00000000-0005-0000-0000-0000844A0000}"/>
    <cellStyle name="Input [yellow] 5 4 4 7" xfId="40617" xr:uid="{00000000-0005-0000-0000-0000854A0000}"/>
    <cellStyle name="Input [yellow] 5 4 4 8" xfId="40396" xr:uid="{00000000-0005-0000-0000-0000864A0000}"/>
    <cellStyle name="Input [yellow] 5 4 5" xfId="14788" xr:uid="{00000000-0005-0000-0000-0000874A0000}"/>
    <cellStyle name="Input [yellow] 5 4 5 2" xfId="42904" xr:uid="{00000000-0005-0000-0000-0000884A0000}"/>
    <cellStyle name="Input [yellow] 5 4 5 3" xfId="43565" xr:uid="{00000000-0005-0000-0000-0000894A0000}"/>
    <cellStyle name="Input [yellow] 5 4 5 4" xfId="32423" xr:uid="{00000000-0005-0000-0000-00008A4A0000}"/>
    <cellStyle name="Input [yellow] 5 4 6" xfId="13075" xr:uid="{00000000-0005-0000-0000-00008B4A0000}"/>
    <cellStyle name="Input [yellow] 5 4 6 2" xfId="42296" xr:uid="{00000000-0005-0000-0000-00008C4A0000}"/>
    <cellStyle name="Input [yellow] 5 4 6 3" xfId="40331" xr:uid="{00000000-0005-0000-0000-00008D4A0000}"/>
    <cellStyle name="Input [yellow] 5 4 6 4" xfId="30724" xr:uid="{00000000-0005-0000-0000-00008E4A0000}"/>
    <cellStyle name="Input [yellow] 5 4 7" xfId="19317" xr:uid="{00000000-0005-0000-0000-00008F4A0000}"/>
    <cellStyle name="Input [yellow] 5 4 7 2" xfId="44854" xr:uid="{00000000-0005-0000-0000-0000904A0000}"/>
    <cellStyle name="Input [yellow] 5 4 7 3" xfId="48760" xr:uid="{00000000-0005-0000-0000-0000914A0000}"/>
    <cellStyle name="Input [yellow] 5 4 7 4" xfId="36895" xr:uid="{00000000-0005-0000-0000-0000924A0000}"/>
    <cellStyle name="Input [yellow] 5 4 8" xfId="20104" xr:uid="{00000000-0005-0000-0000-0000934A0000}"/>
    <cellStyle name="Input [yellow] 5 4 8 2" xfId="45641" xr:uid="{00000000-0005-0000-0000-0000944A0000}"/>
    <cellStyle name="Input [yellow] 5 4 8 3" xfId="49547" xr:uid="{00000000-0005-0000-0000-0000954A0000}"/>
    <cellStyle name="Input [yellow] 5 4 8 4" xfId="37593" xr:uid="{00000000-0005-0000-0000-0000964A0000}"/>
    <cellStyle name="Input [yellow] 5 4 9" xfId="20623" xr:uid="{00000000-0005-0000-0000-0000974A0000}"/>
    <cellStyle name="Input [yellow] 5 4 9 2" xfId="46160" xr:uid="{00000000-0005-0000-0000-0000984A0000}"/>
    <cellStyle name="Input [yellow] 5 4 9 3" xfId="50066" xr:uid="{00000000-0005-0000-0000-0000994A0000}"/>
    <cellStyle name="Input [yellow] 5 4 9 4" xfId="38032" xr:uid="{00000000-0005-0000-0000-00009A4A0000}"/>
    <cellStyle name="Input [yellow] 5 5" xfId="10449" xr:uid="{00000000-0005-0000-0000-00009B4A0000}"/>
    <cellStyle name="Input [yellow] 5 5 2" xfId="18242" xr:uid="{00000000-0005-0000-0000-00009C4A0000}"/>
    <cellStyle name="Input [yellow] 5 5 2 2" xfId="43789" xr:uid="{00000000-0005-0000-0000-00009D4A0000}"/>
    <cellStyle name="Input [yellow] 5 5 2 3" xfId="47698" xr:uid="{00000000-0005-0000-0000-00009E4A0000}"/>
    <cellStyle name="Input [yellow] 5 5 2 4" xfId="35879" xr:uid="{00000000-0005-0000-0000-00009F4A0000}"/>
    <cellStyle name="Input [yellow] 5 5 3" xfId="19315" xr:uid="{00000000-0005-0000-0000-0000A04A0000}"/>
    <cellStyle name="Input [yellow] 5 5 3 2" xfId="44852" xr:uid="{00000000-0005-0000-0000-0000A14A0000}"/>
    <cellStyle name="Input [yellow] 5 5 3 3" xfId="48758" xr:uid="{00000000-0005-0000-0000-0000A24A0000}"/>
    <cellStyle name="Input [yellow] 5 5 3 4" xfId="36893" xr:uid="{00000000-0005-0000-0000-0000A34A0000}"/>
    <cellStyle name="Input [yellow] 5 5 4" xfId="11572" xr:uid="{00000000-0005-0000-0000-0000A44A0000}"/>
    <cellStyle name="Input [yellow] 5 5 4 2" xfId="41583" xr:uid="{00000000-0005-0000-0000-0000A54A0000}"/>
    <cellStyle name="Input [yellow] 5 5 4 3" xfId="40074" xr:uid="{00000000-0005-0000-0000-0000A64A0000}"/>
    <cellStyle name="Input [yellow] 5 5 4 4" xfId="29283" xr:uid="{00000000-0005-0000-0000-0000A74A0000}"/>
    <cellStyle name="Input [yellow] 5 5 5" xfId="20655" xr:uid="{00000000-0005-0000-0000-0000A84A0000}"/>
    <cellStyle name="Input [yellow] 5 5 5 2" xfId="46192" xr:uid="{00000000-0005-0000-0000-0000A94A0000}"/>
    <cellStyle name="Input [yellow] 5 5 5 3" xfId="50098" xr:uid="{00000000-0005-0000-0000-0000AA4A0000}"/>
    <cellStyle name="Input [yellow] 5 5 5 4" xfId="38061" xr:uid="{00000000-0005-0000-0000-0000AB4A0000}"/>
    <cellStyle name="Input [yellow] 5 5 6" xfId="21308" xr:uid="{00000000-0005-0000-0000-0000AC4A0000}"/>
    <cellStyle name="Input [yellow] 5 5 6 2" xfId="46845" xr:uid="{00000000-0005-0000-0000-0000AD4A0000}"/>
    <cellStyle name="Input [yellow] 5 5 6 3" xfId="50751" xr:uid="{00000000-0005-0000-0000-0000AE4A0000}"/>
    <cellStyle name="Input [yellow] 5 5 7" xfId="40648" xr:uid="{00000000-0005-0000-0000-0000AF4A0000}"/>
    <cellStyle name="Input [yellow] 5 5 8" xfId="42084" xr:uid="{00000000-0005-0000-0000-0000B04A0000}"/>
    <cellStyle name="Input [yellow] 5 6" xfId="7786" xr:uid="{00000000-0005-0000-0000-0000B14A0000}"/>
    <cellStyle name="Input [yellow] 5 6 2" xfId="15583" xr:uid="{00000000-0005-0000-0000-0000B24A0000}"/>
    <cellStyle name="Input [yellow] 5 6 2 2" xfId="43262" xr:uid="{00000000-0005-0000-0000-0000B34A0000}"/>
    <cellStyle name="Input [yellow] 5 6 2 3" xfId="41279" xr:uid="{00000000-0005-0000-0000-0000B44A0000}"/>
    <cellStyle name="Input [yellow] 5 6 2 4" xfId="33218" xr:uid="{00000000-0005-0000-0000-0000B54A0000}"/>
    <cellStyle name="Input [yellow] 5 6 3" xfId="19655" xr:uid="{00000000-0005-0000-0000-0000B64A0000}"/>
    <cellStyle name="Input [yellow] 5 6 3 2" xfId="45192" xr:uid="{00000000-0005-0000-0000-0000B74A0000}"/>
    <cellStyle name="Input [yellow] 5 6 3 3" xfId="49098" xr:uid="{00000000-0005-0000-0000-0000B84A0000}"/>
    <cellStyle name="Input [yellow] 5 6 3 4" xfId="37189" xr:uid="{00000000-0005-0000-0000-0000B94A0000}"/>
    <cellStyle name="Input [yellow] 5 6 4" xfId="19485" xr:uid="{00000000-0005-0000-0000-0000BA4A0000}"/>
    <cellStyle name="Input [yellow] 5 6 4 2" xfId="45022" xr:uid="{00000000-0005-0000-0000-0000BB4A0000}"/>
    <cellStyle name="Input [yellow] 5 6 4 3" xfId="48928" xr:uid="{00000000-0005-0000-0000-0000BC4A0000}"/>
    <cellStyle name="Input [yellow] 5 6 4 4" xfId="37041" xr:uid="{00000000-0005-0000-0000-0000BD4A0000}"/>
    <cellStyle name="Input [yellow] 5 6 5" xfId="11586" xr:uid="{00000000-0005-0000-0000-0000BE4A0000}"/>
    <cellStyle name="Input [yellow] 5 6 5 2" xfId="41597" xr:uid="{00000000-0005-0000-0000-0000BF4A0000}"/>
    <cellStyle name="Input [yellow] 5 6 5 3" xfId="43348" xr:uid="{00000000-0005-0000-0000-0000C04A0000}"/>
    <cellStyle name="Input [yellow] 5 6 5 4" xfId="29295" xr:uid="{00000000-0005-0000-0000-0000C14A0000}"/>
    <cellStyle name="Input [yellow] 5 6 6" xfId="20504" xr:uid="{00000000-0005-0000-0000-0000C24A0000}"/>
    <cellStyle name="Input [yellow] 5 6 6 2" xfId="46041" xr:uid="{00000000-0005-0000-0000-0000C34A0000}"/>
    <cellStyle name="Input [yellow] 5 6 6 3" xfId="49947" xr:uid="{00000000-0005-0000-0000-0000C44A0000}"/>
    <cellStyle name="Input [yellow] 5 6 7" xfId="40121" xr:uid="{00000000-0005-0000-0000-0000C54A0000}"/>
    <cellStyle name="Input [yellow] 5 6 8" xfId="39407" xr:uid="{00000000-0005-0000-0000-0000C64A0000}"/>
    <cellStyle name="Input [yellow] 5 7" xfId="52984" xr:uid="{00000000-0005-0000-0000-0000C74A0000}"/>
    <cellStyle name="Input [yellow] 5_BallGrid" xfId="1792" xr:uid="{00000000-0005-0000-0000-0000C84A0000}"/>
    <cellStyle name="Input [yellow] 6" xfId="1793" xr:uid="{00000000-0005-0000-0000-0000C94A0000}"/>
    <cellStyle name="Input [yellow] 6 2" xfId="1794" xr:uid="{00000000-0005-0000-0000-0000CA4A0000}"/>
    <cellStyle name="Input [yellow] 6 2 2" xfId="7004" xr:uid="{00000000-0005-0000-0000-0000CB4A0000}"/>
    <cellStyle name="Input [yellow] 6 2 2 10" xfId="39768" xr:uid="{00000000-0005-0000-0000-0000CC4A0000}"/>
    <cellStyle name="Input [yellow] 6 2 2 11" xfId="39968" xr:uid="{00000000-0005-0000-0000-0000CD4A0000}"/>
    <cellStyle name="Input [yellow] 6 2 2 2" xfId="10534" xr:uid="{00000000-0005-0000-0000-0000CE4A0000}"/>
    <cellStyle name="Input [yellow] 6 2 2 2 2" xfId="18327" xr:uid="{00000000-0005-0000-0000-0000CF4A0000}"/>
    <cellStyle name="Input [yellow] 6 2 2 2 2 2" xfId="43874" xr:uid="{00000000-0005-0000-0000-0000D04A0000}"/>
    <cellStyle name="Input [yellow] 6 2 2 2 2 3" xfId="47783" xr:uid="{00000000-0005-0000-0000-0000D14A0000}"/>
    <cellStyle name="Input [yellow] 6 2 2 2 2 4" xfId="35964" xr:uid="{00000000-0005-0000-0000-0000D24A0000}"/>
    <cellStyle name="Input [yellow] 6 2 2 2 3" xfId="19304" xr:uid="{00000000-0005-0000-0000-0000D34A0000}"/>
    <cellStyle name="Input [yellow] 6 2 2 2 3 2" xfId="44841" xr:uid="{00000000-0005-0000-0000-0000D44A0000}"/>
    <cellStyle name="Input [yellow] 6 2 2 2 3 3" xfId="48747" xr:uid="{00000000-0005-0000-0000-0000D54A0000}"/>
    <cellStyle name="Input [yellow] 6 2 2 2 3 4" xfId="36882" xr:uid="{00000000-0005-0000-0000-0000D64A0000}"/>
    <cellStyle name="Input [yellow] 6 2 2 2 4" xfId="19391" xr:uid="{00000000-0005-0000-0000-0000D74A0000}"/>
    <cellStyle name="Input [yellow] 6 2 2 2 4 2" xfId="44928" xr:uid="{00000000-0005-0000-0000-0000D84A0000}"/>
    <cellStyle name="Input [yellow] 6 2 2 2 4 3" xfId="48834" xr:uid="{00000000-0005-0000-0000-0000D94A0000}"/>
    <cellStyle name="Input [yellow] 6 2 2 2 4 4" xfId="36956" xr:uid="{00000000-0005-0000-0000-0000DA4A0000}"/>
    <cellStyle name="Input [yellow] 6 2 2 2 5" xfId="20740" xr:uid="{00000000-0005-0000-0000-0000DB4A0000}"/>
    <cellStyle name="Input [yellow] 6 2 2 2 5 2" xfId="46277" xr:uid="{00000000-0005-0000-0000-0000DC4A0000}"/>
    <cellStyle name="Input [yellow] 6 2 2 2 5 3" xfId="50183" xr:uid="{00000000-0005-0000-0000-0000DD4A0000}"/>
    <cellStyle name="Input [yellow] 6 2 2 2 5 4" xfId="38146" xr:uid="{00000000-0005-0000-0000-0000DE4A0000}"/>
    <cellStyle name="Input [yellow] 6 2 2 2 6" xfId="21393" xr:uid="{00000000-0005-0000-0000-0000DF4A0000}"/>
    <cellStyle name="Input [yellow] 6 2 2 2 6 2" xfId="46930" xr:uid="{00000000-0005-0000-0000-0000E04A0000}"/>
    <cellStyle name="Input [yellow] 6 2 2 2 6 3" xfId="50836" xr:uid="{00000000-0005-0000-0000-0000E14A0000}"/>
    <cellStyle name="Input [yellow] 6 2 2 2 7" xfId="40733" xr:uid="{00000000-0005-0000-0000-0000E24A0000}"/>
    <cellStyle name="Input [yellow] 6 2 2 2 8" xfId="40392" xr:uid="{00000000-0005-0000-0000-0000E34A0000}"/>
    <cellStyle name="Input [yellow] 6 2 2 3" xfId="10829" xr:uid="{00000000-0005-0000-0000-0000E44A0000}"/>
    <cellStyle name="Input [yellow] 6 2 2 3 2" xfId="18622" xr:uid="{00000000-0005-0000-0000-0000E54A0000}"/>
    <cellStyle name="Input [yellow] 6 2 2 3 2 2" xfId="44169" xr:uid="{00000000-0005-0000-0000-0000E64A0000}"/>
    <cellStyle name="Input [yellow] 6 2 2 3 2 3" xfId="48078" xr:uid="{00000000-0005-0000-0000-0000E74A0000}"/>
    <cellStyle name="Input [yellow] 6 2 2 3 2 4" xfId="36259" xr:uid="{00000000-0005-0000-0000-0000E84A0000}"/>
    <cellStyle name="Input [yellow] 6 2 2 3 3" xfId="20146" xr:uid="{00000000-0005-0000-0000-0000E94A0000}"/>
    <cellStyle name="Input [yellow] 6 2 2 3 3 2" xfId="45683" xr:uid="{00000000-0005-0000-0000-0000EA4A0000}"/>
    <cellStyle name="Input [yellow] 6 2 2 3 3 3" xfId="49589" xr:uid="{00000000-0005-0000-0000-0000EB4A0000}"/>
    <cellStyle name="Input [yellow] 6 2 2 3 3 4" xfId="37632" xr:uid="{00000000-0005-0000-0000-0000EC4A0000}"/>
    <cellStyle name="Input [yellow] 6 2 2 3 4" xfId="19080" xr:uid="{00000000-0005-0000-0000-0000ED4A0000}"/>
    <cellStyle name="Input [yellow] 6 2 2 3 4 2" xfId="44617" xr:uid="{00000000-0005-0000-0000-0000EE4A0000}"/>
    <cellStyle name="Input [yellow] 6 2 2 3 4 3" xfId="48523" xr:uid="{00000000-0005-0000-0000-0000EF4A0000}"/>
    <cellStyle name="Input [yellow] 6 2 2 3 4 4" xfId="36676" xr:uid="{00000000-0005-0000-0000-0000F04A0000}"/>
    <cellStyle name="Input [yellow] 6 2 2 3 5" xfId="21035" xr:uid="{00000000-0005-0000-0000-0000F14A0000}"/>
    <cellStyle name="Input [yellow] 6 2 2 3 5 2" xfId="46572" xr:uid="{00000000-0005-0000-0000-0000F24A0000}"/>
    <cellStyle name="Input [yellow] 6 2 2 3 5 3" xfId="50478" xr:uid="{00000000-0005-0000-0000-0000F34A0000}"/>
    <cellStyle name="Input [yellow] 6 2 2 3 5 4" xfId="38441" xr:uid="{00000000-0005-0000-0000-0000F44A0000}"/>
    <cellStyle name="Input [yellow] 6 2 2 3 6" xfId="21688" xr:uid="{00000000-0005-0000-0000-0000F54A0000}"/>
    <cellStyle name="Input [yellow] 6 2 2 3 6 2" xfId="47225" xr:uid="{00000000-0005-0000-0000-0000F64A0000}"/>
    <cellStyle name="Input [yellow] 6 2 2 3 6 3" xfId="51131" xr:uid="{00000000-0005-0000-0000-0000F74A0000}"/>
    <cellStyle name="Input [yellow] 6 2 2 3 7" xfId="41028" xr:uid="{00000000-0005-0000-0000-0000F84A0000}"/>
    <cellStyle name="Input [yellow] 6 2 2 3 8" xfId="39382" xr:uid="{00000000-0005-0000-0000-0000F94A0000}"/>
    <cellStyle name="Input [yellow] 6 2 2 4" xfId="10179" xr:uid="{00000000-0005-0000-0000-0000FA4A0000}"/>
    <cellStyle name="Input [yellow] 6 2 2 4 2" xfId="17972" xr:uid="{00000000-0005-0000-0000-0000FB4A0000}"/>
    <cellStyle name="Input [yellow] 6 2 2 4 2 2" xfId="43762" xr:uid="{00000000-0005-0000-0000-0000FC4A0000}"/>
    <cellStyle name="Input [yellow] 6 2 2 4 2 3" xfId="47685" xr:uid="{00000000-0005-0000-0000-0000FD4A0000}"/>
    <cellStyle name="Input [yellow] 6 2 2 4 2 4" xfId="35609" xr:uid="{00000000-0005-0000-0000-0000FE4A0000}"/>
    <cellStyle name="Input [yellow] 6 2 2 4 3" xfId="19930" xr:uid="{00000000-0005-0000-0000-0000FF4A0000}"/>
    <cellStyle name="Input [yellow] 6 2 2 4 3 2" xfId="45467" xr:uid="{00000000-0005-0000-0000-0000004B0000}"/>
    <cellStyle name="Input [yellow] 6 2 2 4 3 3" xfId="49373" xr:uid="{00000000-0005-0000-0000-0000014B0000}"/>
    <cellStyle name="Input [yellow] 6 2 2 4 3 4" xfId="37442" xr:uid="{00000000-0005-0000-0000-0000024B0000}"/>
    <cellStyle name="Input [yellow] 6 2 2 4 4" xfId="19478" xr:uid="{00000000-0005-0000-0000-0000034B0000}"/>
    <cellStyle name="Input [yellow] 6 2 2 4 4 2" xfId="45015" xr:uid="{00000000-0005-0000-0000-0000044B0000}"/>
    <cellStyle name="Input [yellow] 6 2 2 4 4 3" xfId="48921" xr:uid="{00000000-0005-0000-0000-0000054B0000}"/>
    <cellStyle name="Input [yellow] 6 2 2 4 4 4" xfId="37035" xr:uid="{00000000-0005-0000-0000-0000064B0000}"/>
    <cellStyle name="Input [yellow] 6 2 2 4 5" xfId="20642" xr:uid="{00000000-0005-0000-0000-0000074B0000}"/>
    <cellStyle name="Input [yellow] 6 2 2 4 5 2" xfId="46179" xr:uid="{00000000-0005-0000-0000-0000084B0000}"/>
    <cellStyle name="Input [yellow] 6 2 2 4 5 3" xfId="50085" xr:uid="{00000000-0005-0000-0000-0000094B0000}"/>
    <cellStyle name="Input [yellow] 6 2 2 4 5 4" xfId="38048" xr:uid="{00000000-0005-0000-0000-00000A4B0000}"/>
    <cellStyle name="Input [yellow] 6 2 2 4 6" xfId="21295" xr:uid="{00000000-0005-0000-0000-00000B4B0000}"/>
    <cellStyle name="Input [yellow] 6 2 2 4 6 2" xfId="46832" xr:uid="{00000000-0005-0000-0000-00000C4B0000}"/>
    <cellStyle name="Input [yellow] 6 2 2 4 6 3" xfId="50738" xr:uid="{00000000-0005-0000-0000-00000D4B0000}"/>
    <cellStyle name="Input [yellow] 6 2 2 4 7" xfId="40621" xr:uid="{00000000-0005-0000-0000-00000E4B0000}"/>
    <cellStyle name="Input [yellow] 6 2 2 4 8" xfId="43284" xr:uid="{00000000-0005-0000-0000-00000F4B0000}"/>
    <cellStyle name="Input [yellow] 6 2 2 5" xfId="14792" xr:uid="{00000000-0005-0000-0000-0000104B0000}"/>
    <cellStyle name="Input [yellow] 6 2 2 5 2" xfId="42908" xr:uid="{00000000-0005-0000-0000-0000114B0000}"/>
    <cellStyle name="Input [yellow] 6 2 2 5 3" xfId="43456" xr:uid="{00000000-0005-0000-0000-0000124B0000}"/>
    <cellStyle name="Input [yellow] 6 2 2 5 4" xfId="32427" xr:uid="{00000000-0005-0000-0000-0000134B0000}"/>
    <cellStyle name="Input [yellow] 6 2 2 6" xfId="11282" xr:uid="{00000000-0005-0000-0000-0000144B0000}"/>
    <cellStyle name="Input [yellow] 6 2 2 6 2" xfId="41329" xr:uid="{00000000-0005-0000-0000-0000154B0000}"/>
    <cellStyle name="Input [yellow] 6 2 2 6 3" xfId="43220" xr:uid="{00000000-0005-0000-0000-0000164B0000}"/>
    <cellStyle name="Input [yellow] 6 2 2 6 4" xfId="29010" xr:uid="{00000000-0005-0000-0000-0000174B0000}"/>
    <cellStyle name="Input [yellow] 6 2 2 7" xfId="19944" xr:uid="{00000000-0005-0000-0000-0000184B0000}"/>
    <cellStyle name="Input [yellow] 6 2 2 7 2" xfId="45481" xr:uid="{00000000-0005-0000-0000-0000194B0000}"/>
    <cellStyle name="Input [yellow] 6 2 2 7 3" xfId="49387" xr:uid="{00000000-0005-0000-0000-00001A4B0000}"/>
    <cellStyle name="Input [yellow] 6 2 2 7 4" xfId="37453" xr:uid="{00000000-0005-0000-0000-00001B4B0000}"/>
    <cellStyle name="Input [yellow] 6 2 2 8" xfId="20077" xr:uid="{00000000-0005-0000-0000-00001C4B0000}"/>
    <cellStyle name="Input [yellow] 6 2 2 8 2" xfId="45614" xr:uid="{00000000-0005-0000-0000-00001D4B0000}"/>
    <cellStyle name="Input [yellow] 6 2 2 8 3" xfId="49520" xr:uid="{00000000-0005-0000-0000-00001E4B0000}"/>
    <cellStyle name="Input [yellow] 6 2 2 8 4" xfId="37571" xr:uid="{00000000-0005-0000-0000-00001F4B0000}"/>
    <cellStyle name="Input [yellow] 6 2 2 9" xfId="12497" xr:uid="{00000000-0005-0000-0000-0000204B0000}"/>
    <cellStyle name="Input [yellow] 6 2 2 9 2" xfId="42010" xr:uid="{00000000-0005-0000-0000-0000214B0000}"/>
    <cellStyle name="Input [yellow] 6 2 2 9 3" xfId="40554" xr:uid="{00000000-0005-0000-0000-0000224B0000}"/>
    <cellStyle name="Input [yellow] 6 2 2 9 4" xfId="30168" xr:uid="{00000000-0005-0000-0000-0000234B0000}"/>
    <cellStyle name="Input [yellow] 6 2 3" xfId="10453" xr:uid="{00000000-0005-0000-0000-0000244B0000}"/>
    <cellStyle name="Input [yellow] 6 2 3 2" xfId="18246" xr:uid="{00000000-0005-0000-0000-0000254B0000}"/>
    <cellStyle name="Input [yellow] 6 2 3 2 2" xfId="43793" xr:uid="{00000000-0005-0000-0000-0000264B0000}"/>
    <cellStyle name="Input [yellow] 6 2 3 2 3" xfId="47702" xr:uid="{00000000-0005-0000-0000-0000274B0000}"/>
    <cellStyle name="Input [yellow] 6 2 3 2 4" xfId="35883" xr:uid="{00000000-0005-0000-0000-0000284B0000}"/>
    <cellStyle name="Input [yellow] 6 2 3 3" xfId="19625" xr:uid="{00000000-0005-0000-0000-0000294B0000}"/>
    <cellStyle name="Input [yellow] 6 2 3 3 2" xfId="45162" xr:uid="{00000000-0005-0000-0000-00002A4B0000}"/>
    <cellStyle name="Input [yellow] 6 2 3 3 3" xfId="49068" xr:uid="{00000000-0005-0000-0000-00002B4B0000}"/>
    <cellStyle name="Input [yellow] 6 2 3 3 4" xfId="37165" xr:uid="{00000000-0005-0000-0000-00002C4B0000}"/>
    <cellStyle name="Input [yellow] 6 2 3 4" xfId="19936" xr:uid="{00000000-0005-0000-0000-00002D4B0000}"/>
    <cellStyle name="Input [yellow] 6 2 3 4 2" xfId="45473" xr:uid="{00000000-0005-0000-0000-00002E4B0000}"/>
    <cellStyle name="Input [yellow] 6 2 3 4 3" xfId="49379" xr:uid="{00000000-0005-0000-0000-00002F4B0000}"/>
    <cellStyle name="Input [yellow] 6 2 3 4 4" xfId="37446" xr:uid="{00000000-0005-0000-0000-0000304B0000}"/>
    <cellStyle name="Input [yellow] 6 2 3 5" xfId="20659" xr:uid="{00000000-0005-0000-0000-0000314B0000}"/>
    <cellStyle name="Input [yellow] 6 2 3 5 2" xfId="46196" xr:uid="{00000000-0005-0000-0000-0000324B0000}"/>
    <cellStyle name="Input [yellow] 6 2 3 5 3" xfId="50102" xr:uid="{00000000-0005-0000-0000-0000334B0000}"/>
    <cellStyle name="Input [yellow] 6 2 3 5 4" xfId="38065" xr:uid="{00000000-0005-0000-0000-0000344B0000}"/>
    <cellStyle name="Input [yellow] 6 2 3 6" xfId="21312" xr:uid="{00000000-0005-0000-0000-0000354B0000}"/>
    <cellStyle name="Input [yellow] 6 2 3 6 2" xfId="46849" xr:uid="{00000000-0005-0000-0000-0000364B0000}"/>
    <cellStyle name="Input [yellow] 6 2 3 6 3" xfId="50755" xr:uid="{00000000-0005-0000-0000-0000374B0000}"/>
    <cellStyle name="Input [yellow] 6 2 3 7" xfId="40652" xr:uid="{00000000-0005-0000-0000-0000384B0000}"/>
    <cellStyle name="Input [yellow] 6 2 3 8" xfId="42083" xr:uid="{00000000-0005-0000-0000-0000394B0000}"/>
    <cellStyle name="Input [yellow] 6 2 4" xfId="7790" xr:uid="{00000000-0005-0000-0000-00003A4B0000}"/>
    <cellStyle name="Input [yellow] 6 2 4 2" xfId="15587" xr:uid="{00000000-0005-0000-0000-00003B4B0000}"/>
    <cellStyle name="Input [yellow] 6 2 4 2 2" xfId="43266" xr:uid="{00000000-0005-0000-0000-00003C4B0000}"/>
    <cellStyle name="Input [yellow] 6 2 4 2 3" xfId="43661" xr:uid="{00000000-0005-0000-0000-00003D4B0000}"/>
    <cellStyle name="Input [yellow] 6 2 4 2 4" xfId="33222" xr:uid="{00000000-0005-0000-0000-00003E4B0000}"/>
    <cellStyle name="Input [yellow] 6 2 4 3" xfId="19345" xr:uid="{00000000-0005-0000-0000-00003F4B0000}"/>
    <cellStyle name="Input [yellow] 6 2 4 3 2" xfId="44882" xr:uid="{00000000-0005-0000-0000-0000404B0000}"/>
    <cellStyle name="Input [yellow] 6 2 4 3 3" xfId="48788" xr:uid="{00000000-0005-0000-0000-0000414B0000}"/>
    <cellStyle name="Input [yellow] 6 2 4 3 4" xfId="36917" xr:uid="{00000000-0005-0000-0000-0000424B0000}"/>
    <cellStyle name="Input [yellow] 6 2 4 4" xfId="12662" xr:uid="{00000000-0005-0000-0000-0000434B0000}"/>
    <cellStyle name="Input [yellow] 6 2 4 4 2" xfId="42141" xr:uid="{00000000-0005-0000-0000-0000444B0000}"/>
    <cellStyle name="Input [yellow] 6 2 4 4 3" xfId="40191" xr:uid="{00000000-0005-0000-0000-0000454B0000}"/>
    <cellStyle name="Input [yellow] 6 2 4 4 4" xfId="30326" xr:uid="{00000000-0005-0000-0000-0000464B0000}"/>
    <cellStyle name="Input [yellow] 6 2 4 5" xfId="19927" xr:uid="{00000000-0005-0000-0000-0000474B0000}"/>
    <cellStyle name="Input [yellow] 6 2 4 5 2" xfId="45464" xr:uid="{00000000-0005-0000-0000-0000484B0000}"/>
    <cellStyle name="Input [yellow] 6 2 4 5 3" xfId="49370" xr:uid="{00000000-0005-0000-0000-0000494B0000}"/>
    <cellStyle name="Input [yellow] 6 2 4 5 4" xfId="37441" xr:uid="{00000000-0005-0000-0000-00004A4B0000}"/>
    <cellStyle name="Input [yellow] 6 2 4 6" xfId="19028" xr:uid="{00000000-0005-0000-0000-00004B4B0000}"/>
    <cellStyle name="Input [yellow] 6 2 4 6 2" xfId="44565" xr:uid="{00000000-0005-0000-0000-00004C4B0000}"/>
    <cellStyle name="Input [yellow] 6 2 4 6 3" xfId="48471" xr:uid="{00000000-0005-0000-0000-00004D4B0000}"/>
    <cellStyle name="Input [yellow] 6 2 4 7" xfId="40125" xr:uid="{00000000-0005-0000-0000-00004E4B0000}"/>
    <cellStyle name="Input [yellow] 6 2 4 8" xfId="43268" xr:uid="{00000000-0005-0000-0000-00004F4B0000}"/>
    <cellStyle name="Input [yellow] 6 3" xfId="7003" xr:uid="{00000000-0005-0000-0000-0000504B0000}"/>
    <cellStyle name="Input [yellow] 6 3 10" xfId="39767" xr:uid="{00000000-0005-0000-0000-0000514B0000}"/>
    <cellStyle name="Input [yellow] 6 3 11" xfId="40634" xr:uid="{00000000-0005-0000-0000-0000524B0000}"/>
    <cellStyle name="Input [yellow] 6 3 2" xfId="10533" xr:uid="{00000000-0005-0000-0000-0000534B0000}"/>
    <cellStyle name="Input [yellow] 6 3 2 2" xfId="18326" xr:uid="{00000000-0005-0000-0000-0000544B0000}"/>
    <cellStyle name="Input [yellow] 6 3 2 2 2" xfId="43873" xr:uid="{00000000-0005-0000-0000-0000554B0000}"/>
    <cellStyle name="Input [yellow] 6 3 2 2 3" xfId="47782" xr:uid="{00000000-0005-0000-0000-0000564B0000}"/>
    <cellStyle name="Input [yellow] 6 3 2 2 4" xfId="35963" xr:uid="{00000000-0005-0000-0000-0000574B0000}"/>
    <cellStyle name="Input [yellow] 6 3 2 3" xfId="20038" xr:uid="{00000000-0005-0000-0000-0000584B0000}"/>
    <cellStyle name="Input [yellow] 6 3 2 3 2" xfId="45575" xr:uid="{00000000-0005-0000-0000-0000594B0000}"/>
    <cellStyle name="Input [yellow] 6 3 2 3 3" xfId="49481" xr:uid="{00000000-0005-0000-0000-00005A4B0000}"/>
    <cellStyle name="Input [yellow] 6 3 2 3 4" xfId="37536" xr:uid="{00000000-0005-0000-0000-00005B4B0000}"/>
    <cellStyle name="Input [yellow] 6 3 2 4" xfId="19999" xr:uid="{00000000-0005-0000-0000-00005C4B0000}"/>
    <cellStyle name="Input [yellow] 6 3 2 4 2" xfId="45536" xr:uid="{00000000-0005-0000-0000-00005D4B0000}"/>
    <cellStyle name="Input [yellow] 6 3 2 4 3" xfId="49442" xr:uid="{00000000-0005-0000-0000-00005E4B0000}"/>
    <cellStyle name="Input [yellow] 6 3 2 4 4" xfId="37497" xr:uid="{00000000-0005-0000-0000-00005F4B0000}"/>
    <cellStyle name="Input [yellow] 6 3 2 5" xfId="20739" xr:uid="{00000000-0005-0000-0000-0000604B0000}"/>
    <cellStyle name="Input [yellow] 6 3 2 5 2" xfId="46276" xr:uid="{00000000-0005-0000-0000-0000614B0000}"/>
    <cellStyle name="Input [yellow] 6 3 2 5 3" xfId="50182" xr:uid="{00000000-0005-0000-0000-0000624B0000}"/>
    <cellStyle name="Input [yellow] 6 3 2 5 4" xfId="38145" xr:uid="{00000000-0005-0000-0000-0000634B0000}"/>
    <cellStyle name="Input [yellow] 6 3 2 6" xfId="21392" xr:uid="{00000000-0005-0000-0000-0000644B0000}"/>
    <cellStyle name="Input [yellow] 6 3 2 6 2" xfId="46929" xr:uid="{00000000-0005-0000-0000-0000654B0000}"/>
    <cellStyle name="Input [yellow] 6 3 2 6 3" xfId="50835" xr:uid="{00000000-0005-0000-0000-0000664B0000}"/>
    <cellStyle name="Input [yellow] 6 3 2 7" xfId="40732" xr:uid="{00000000-0005-0000-0000-0000674B0000}"/>
    <cellStyle name="Input [yellow] 6 3 2 8" xfId="43529" xr:uid="{00000000-0005-0000-0000-0000684B0000}"/>
    <cellStyle name="Input [yellow] 6 3 3" xfId="10828" xr:uid="{00000000-0005-0000-0000-0000694B0000}"/>
    <cellStyle name="Input [yellow] 6 3 3 2" xfId="18621" xr:uid="{00000000-0005-0000-0000-00006A4B0000}"/>
    <cellStyle name="Input [yellow] 6 3 3 2 2" xfId="44168" xr:uid="{00000000-0005-0000-0000-00006B4B0000}"/>
    <cellStyle name="Input [yellow] 6 3 3 2 3" xfId="48077" xr:uid="{00000000-0005-0000-0000-00006C4B0000}"/>
    <cellStyle name="Input [yellow] 6 3 3 2 4" xfId="36258" xr:uid="{00000000-0005-0000-0000-00006D4B0000}"/>
    <cellStyle name="Input [yellow] 6 3 3 3" xfId="19594" xr:uid="{00000000-0005-0000-0000-00006E4B0000}"/>
    <cellStyle name="Input [yellow] 6 3 3 3 2" xfId="45131" xr:uid="{00000000-0005-0000-0000-00006F4B0000}"/>
    <cellStyle name="Input [yellow] 6 3 3 3 3" xfId="49037" xr:uid="{00000000-0005-0000-0000-0000704B0000}"/>
    <cellStyle name="Input [yellow] 6 3 3 3 4" xfId="37134" xr:uid="{00000000-0005-0000-0000-0000714B0000}"/>
    <cellStyle name="Input [yellow] 6 3 3 4" xfId="19051" xr:uid="{00000000-0005-0000-0000-0000724B0000}"/>
    <cellStyle name="Input [yellow] 6 3 3 4 2" xfId="44588" xr:uid="{00000000-0005-0000-0000-0000734B0000}"/>
    <cellStyle name="Input [yellow] 6 3 3 4 3" xfId="48494" xr:uid="{00000000-0005-0000-0000-0000744B0000}"/>
    <cellStyle name="Input [yellow] 6 3 3 4 4" xfId="36651" xr:uid="{00000000-0005-0000-0000-0000754B0000}"/>
    <cellStyle name="Input [yellow] 6 3 3 5" xfId="21034" xr:uid="{00000000-0005-0000-0000-0000764B0000}"/>
    <cellStyle name="Input [yellow] 6 3 3 5 2" xfId="46571" xr:uid="{00000000-0005-0000-0000-0000774B0000}"/>
    <cellStyle name="Input [yellow] 6 3 3 5 3" xfId="50477" xr:uid="{00000000-0005-0000-0000-0000784B0000}"/>
    <cellStyle name="Input [yellow] 6 3 3 5 4" xfId="38440" xr:uid="{00000000-0005-0000-0000-0000794B0000}"/>
    <cellStyle name="Input [yellow] 6 3 3 6" xfId="21687" xr:uid="{00000000-0005-0000-0000-00007A4B0000}"/>
    <cellStyle name="Input [yellow] 6 3 3 6 2" xfId="47224" xr:uid="{00000000-0005-0000-0000-00007B4B0000}"/>
    <cellStyle name="Input [yellow] 6 3 3 6 3" xfId="51130" xr:uid="{00000000-0005-0000-0000-00007C4B0000}"/>
    <cellStyle name="Input [yellow] 6 3 3 7" xfId="41027" xr:uid="{00000000-0005-0000-0000-00007D4B0000}"/>
    <cellStyle name="Input [yellow] 6 3 3 8" xfId="40242" xr:uid="{00000000-0005-0000-0000-00007E4B0000}"/>
    <cellStyle name="Input [yellow] 6 3 4" xfId="10178" xr:uid="{00000000-0005-0000-0000-00007F4B0000}"/>
    <cellStyle name="Input [yellow] 6 3 4 2" xfId="17971" xr:uid="{00000000-0005-0000-0000-0000804B0000}"/>
    <cellStyle name="Input [yellow] 6 3 4 2 2" xfId="43761" xr:uid="{00000000-0005-0000-0000-0000814B0000}"/>
    <cellStyle name="Input [yellow] 6 3 4 2 3" xfId="47684" xr:uid="{00000000-0005-0000-0000-0000824B0000}"/>
    <cellStyle name="Input [yellow] 6 3 4 2 4" xfId="35608" xr:uid="{00000000-0005-0000-0000-0000834B0000}"/>
    <cellStyle name="Input [yellow] 6 3 4 3" xfId="19318" xr:uid="{00000000-0005-0000-0000-0000844B0000}"/>
    <cellStyle name="Input [yellow] 6 3 4 3 2" xfId="44855" xr:uid="{00000000-0005-0000-0000-0000854B0000}"/>
    <cellStyle name="Input [yellow] 6 3 4 3 3" xfId="48761" xr:uid="{00000000-0005-0000-0000-0000864B0000}"/>
    <cellStyle name="Input [yellow] 6 3 4 3 4" xfId="36896" xr:uid="{00000000-0005-0000-0000-0000874B0000}"/>
    <cellStyle name="Input [yellow] 6 3 4 4" xfId="11650" xr:uid="{00000000-0005-0000-0000-0000884B0000}"/>
    <cellStyle name="Input [yellow] 6 3 4 4 2" xfId="41661" xr:uid="{00000000-0005-0000-0000-0000894B0000}"/>
    <cellStyle name="Input [yellow] 6 3 4 4 3" xfId="39673" xr:uid="{00000000-0005-0000-0000-00008A4B0000}"/>
    <cellStyle name="Input [yellow] 6 3 4 4 4" xfId="29349" xr:uid="{00000000-0005-0000-0000-00008B4B0000}"/>
    <cellStyle name="Input [yellow] 6 3 4 5" xfId="20641" xr:uid="{00000000-0005-0000-0000-00008C4B0000}"/>
    <cellStyle name="Input [yellow] 6 3 4 5 2" xfId="46178" xr:uid="{00000000-0005-0000-0000-00008D4B0000}"/>
    <cellStyle name="Input [yellow] 6 3 4 5 3" xfId="50084" xr:uid="{00000000-0005-0000-0000-00008E4B0000}"/>
    <cellStyle name="Input [yellow] 6 3 4 5 4" xfId="38047" xr:uid="{00000000-0005-0000-0000-00008F4B0000}"/>
    <cellStyle name="Input [yellow] 6 3 4 6" xfId="21294" xr:uid="{00000000-0005-0000-0000-0000904B0000}"/>
    <cellStyle name="Input [yellow] 6 3 4 6 2" xfId="46831" xr:uid="{00000000-0005-0000-0000-0000914B0000}"/>
    <cellStyle name="Input [yellow] 6 3 4 6 3" xfId="50737" xr:uid="{00000000-0005-0000-0000-0000924B0000}"/>
    <cellStyle name="Input [yellow] 6 3 4 7" xfId="40620" xr:uid="{00000000-0005-0000-0000-0000934B0000}"/>
    <cellStyle name="Input [yellow] 6 3 4 8" xfId="41928" xr:uid="{00000000-0005-0000-0000-0000944B0000}"/>
    <cellStyle name="Input [yellow] 6 3 5" xfId="14791" xr:uid="{00000000-0005-0000-0000-0000954B0000}"/>
    <cellStyle name="Input [yellow] 6 3 5 2" xfId="42907" xr:uid="{00000000-0005-0000-0000-0000964B0000}"/>
    <cellStyle name="Input [yellow] 6 3 5 3" xfId="42545" xr:uid="{00000000-0005-0000-0000-0000974B0000}"/>
    <cellStyle name="Input [yellow] 6 3 5 4" xfId="32426" xr:uid="{00000000-0005-0000-0000-0000984B0000}"/>
    <cellStyle name="Input [yellow] 6 3 6" xfId="11281" xr:uid="{00000000-0005-0000-0000-0000994B0000}"/>
    <cellStyle name="Input [yellow] 6 3 6 2" xfId="41328" xr:uid="{00000000-0005-0000-0000-00009A4B0000}"/>
    <cellStyle name="Input [yellow] 6 3 6 3" xfId="41417" xr:uid="{00000000-0005-0000-0000-00009B4B0000}"/>
    <cellStyle name="Input [yellow] 6 3 6 4" xfId="29009" xr:uid="{00000000-0005-0000-0000-00009C4B0000}"/>
    <cellStyle name="Input [yellow] 6 3 7" xfId="20338" xr:uid="{00000000-0005-0000-0000-00009D4B0000}"/>
    <cellStyle name="Input [yellow] 6 3 7 2" xfId="45875" xr:uid="{00000000-0005-0000-0000-00009E4B0000}"/>
    <cellStyle name="Input [yellow] 6 3 7 3" xfId="49781" xr:uid="{00000000-0005-0000-0000-00009F4B0000}"/>
    <cellStyle name="Input [yellow] 6 3 7 4" xfId="37801" xr:uid="{00000000-0005-0000-0000-0000A04B0000}"/>
    <cellStyle name="Input [yellow] 6 3 8" xfId="12035" xr:uid="{00000000-0005-0000-0000-0000A14B0000}"/>
    <cellStyle name="Input [yellow] 6 3 8 2" xfId="41791" xr:uid="{00000000-0005-0000-0000-0000A24B0000}"/>
    <cellStyle name="Input [yellow] 6 3 8 3" xfId="40028" xr:uid="{00000000-0005-0000-0000-0000A34B0000}"/>
    <cellStyle name="Input [yellow] 6 3 8 4" xfId="29714" xr:uid="{00000000-0005-0000-0000-0000A44B0000}"/>
    <cellStyle name="Input [yellow] 6 3 9" xfId="18901" xr:uid="{00000000-0005-0000-0000-0000A54B0000}"/>
    <cellStyle name="Input [yellow] 6 3 9 2" xfId="44438" xr:uid="{00000000-0005-0000-0000-0000A64B0000}"/>
    <cellStyle name="Input [yellow] 6 3 9 3" xfId="48344" xr:uid="{00000000-0005-0000-0000-0000A74B0000}"/>
    <cellStyle name="Input [yellow] 6 3 9 4" xfId="36534" xr:uid="{00000000-0005-0000-0000-0000A84B0000}"/>
    <cellStyle name="Input [yellow] 6 4" xfId="10452" xr:uid="{00000000-0005-0000-0000-0000A94B0000}"/>
    <cellStyle name="Input [yellow] 6 4 2" xfId="18245" xr:uid="{00000000-0005-0000-0000-0000AA4B0000}"/>
    <cellStyle name="Input [yellow] 6 4 2 2" xfId="43792" xr:uid="{00000000-0005-0000-0000-0000AB4B0000}"/>
    <cellStyle name="Input [yellow] 6 4 2 3" xfId="47701" xr:uid="{00000000-0005-0000-0000-0000AC4B0000}"/>
    <cellStyle name="Input [yellow] 6 4 2 4" xfId="35882" xr:uid="{00000000-0005-0000-0000-0000AD4B0000}"/>
    <cellStyle name="Input [yellow] 6 4 3" xfId="11483" xr:uid="{00000000-0005-0000-0000-0000AE4B0000}"/>
    <cellStyle name="Input [yellow] 6 4 3 2" xfId="41494" xr:uid="{00000000-0005-0000-0000-0000AF4B0000}"/>
    <cellStyle name="Input [yellow] 6 4 3 3" xfId="43606" xr:uid="{00000000-0005-0000-0000-0000B04B0000}"/>
    <cellStyle name="Input [yellow] 6 4 3 4" xfId="29198" xr:uid="{00000000-0005-0000-0000-0000B14B0000}"/>
    <cellStyle name="Input [yellow] 6 4 4" xfId="11679" xr:uid="{00000000-0005-0000-0000-0000B24B0000}"/>
    <cellStyle name="Input [yellow] 6 4 4 2" xfId="41690" xr:uid="{00000000-0005-0000-0000-0000B34B0000}"/>
    <cellStyle name="Input [yellow] 6 4 4 3" xfId="39462" xr:uid="{00000000-0005-0000-0000-0000B44B0000}"/>
    <cellStyle name="Input [yellow] 6 4 4 4" xfId="29372" xr:uid="{00000000-0005-0000-0000-0000B54B0000}"/>
    <cellStyle name="Input [yellow] 6 4 5" xfId="20658" xr:uid="{00000000-0005-0000-0000-0000B64B0000}"/>
    <cellStyle name="Input [yellow] 6 4 5 2" xfId="46195" xr:uid="{00000000-0005-0000-0000-0000B74B0000}"/>
    <cellStyle name="Input [yellow] 6 4 5 3" xfId="50101" xr:uid="{00000000-0005-0000-0000-0000B84B0000}"/>
    <cellStyle name="Input [yellow] 6 4 5 4" xfId="38064" xr:uid="{00000000-0005-0000-0000-0000B94B0000}"/>
    <cellStyle name="Input [yellow] 6 4 6" xfId="21311" xr:uid="{00000000-0005-0000-0000-0000BA4B0000}"/>
    <cellStyle name="Input [yellow] 6 4 6 2" xfId="46848" xr:uid="{00000000-0005-0000-0000-0000BB4B0000}"/>
    <cellStyle name="Input [yellow] 6 4 6 3" xfId="50754" xr:uid="{00000000-0005-0000-0000-0000BC4B0000}"/>
    <cellStyle name="Input [yellow] 6 4 7" xfId="40651" xr:uid="{00000000-0005-0000-0000-0000BD4B0000}"/>
    <cellStyle name="Input [yellow] 6 4 8" xfId="39405" xr:uid="{00000000-0005-0000-0000-0000BE4B0000}"/>
    <cellStyle name="Input [yellow] 6 5" xfId="7789" xr:uid="{00000000-0005-0000-0000-0000BF4B0000}"/>
    <cellStyle name="Input [yellow] 6 5 2" xfId="15586" xr:uid="{00000000-0005-0000-0000-0000C04B0000}"/>
    <cellStyle name="Input [yellow] 6 5 2 2" xfId="43265" xr:uid="{00000000-0005-0000-0000-0000C14B0000}"/>
    <cellStyle name="Input [yellow] 6 5 2 3" xfId="42773" xr:uid="{00000000-0005-0000-0000-0000C24B0000}"/>
    <cellStyle name="Input [yellow] 6 5 2 4" xfId="33221" xr:uid="{00000000-0005-0000-0000-0000C34B0000}"/>
    <cellStyle name="Input [yellow] 6 5 3" xfId="20083" xr:uid="{00000000-0005-0000-0000-0000C44B0000}"/>
    <cellStyle name="Input [yellow] 6 5 3 2" xfId="45620" xr:uid="{00000000-0005-0000-0000-0000C54B0000}"/>
    <cellStyle name="Input [yellow] 6 5 3 3" xfId="49526" xr:uid="{00000000-0005-0000-0000-0000C64B0000}"/>
    <cellStyle name="Input [yellow] 6 5 3 4" xfId="37576" xr:uid="{00000000-0005-0000-0000-0000C74B0000}"/>
    <cellStyle name="Input [yellow] 6 5 4" xfId="12808" xr:uid="{00000000-0005-0000-0000-0000C84B0000}"/>
    <cellStyle name="Input [yellow] 6 5 4 2" xfId="42223" xr:uid="{00000000-0005-0000-0000-0000C94B0000}"/>
    <cellStyle name="Input [yellow] 6 5 4 3" xfId="40334" xr:uid="{00000000-0005-0000-0000-0000CA4B0000}"/>
    <cellStyle name="Input [yellow] 6 5 4 4" xfId="30464" xr:uid="{00000000-0005-0000-0000-0000CB4B0000}"/>
    <cellStyle name="Input [yellow] 6 5 5" xfId="19675" xr:uid="{00000000-0005-0000-0000-0000CC4B0000}"/>
    <cellStyle name="Input [yellow] 6 5 5 2" xfId="45212" xr:uid="{00000000-0005-0000-0000-0000CD4B0000}"/>
    <cellStyle name="Input [yellow] 6 5 5 3" xfId="49118" xr:uid="{00000000-0005-0000-0000-0000CE4B0000}"/>
    <cellStyle name="Input [yellow] 6 5 5 4" xfId="37208" xr:uid="{00000000-0005-0000-0000-0000CF4B0000}"/>
    <cellStyle name="Input [yellow] 6 5 6" xfId="19929" xr:uid="{00000000-0005-0000-0000-0000D04B0000}"/>
    <cellStyle name="Input [yellow] 6 5 6 2" xfId="45466" xr:uid="{00000000-0005-0000-0000-0000D14B0000}"/>
    <cellStyle name="Input [yellow] 6 5 6 3" xfId="49372" xr:uid="{00000000-0005-0000-0000-0000D24B0000}"/>
    <cellStyle name="Input [yellow] 6 5 7" xfId="40124" xr:uid="{00000000-0005-0000-0000-0000D34B0000}"/>
    <cellStyle name="Input [yellow] 6 5 8" xfId="41703" xr:uid="{00000000-0005-0000-0000-0000D44B0000}"/>
    <cellStyle name="Input [yellow] 6 6" xfId="52986" xr:uid="{00000000-0005-0000-0000-0000D54B0000}"/>
    <cellStyle name="Input [yellow] 7" xfId="1795" xr:uid="{00000000-0005-0000-0000-0000D64B0000}"/>
    <cellStyle name="Input [yellow] 7 2" xfId="7005" xr:uid="{00000000-0005-0000-0000-0000D74B0000}"/>
    <cellStyle name="Input [yellow] 7 2 10" xfId="39769" xr:uid="{00000000-0005-0000-0000-0000D84B0000}"/>
    <cellStyle name="Input [yellow] 7 2 11" xfId="42768" xr:uid="{00000000-0005-0000-0000-0000D94B0000}"/>
    <cellStyle name="Input [yellow] 7 2 2" xfId="10535" xr:uid="{00000000-0005-0000-0000-0000DA4B0000}"/>
    <cellStyle name="Input [yellow] 7 2 2 2" xfId="18328" xr:uid="{00000000-0005-0000-0000-0000DB4B0000}"/>
    <cellStyle name="Input [yellow] 7 2 2 2 2" xfId="43875" xr:uid="{00000000-0005-0000-0000-0000DC4B0000}"/>
    <cellStyle name="Input [yellow] 7 2 2 2 3" xfId="47784" xr:uid="{00000000-0005-0000-0000-0000DD4B0000}"/>
    <cellStyle name="Input [yellow] 7 2 2 2 4" xfId="35965" xr:uid="{00000000-0005-0000-0000-0000DE4B0000}"/>
    <cellStyle name="Input [yellow] 7 2 2 3" xfId="19913" xr:uid="{00000000-0005-0000-0000-0000DF4B0000}"/>
    <cellStyle name="Input [yellow] 7 2 2 3 2" xfId="45450" xr:uid="{00000000-0005-0000-0000-0000E04B0000}"/>
    <cellStyle name="Input [yellow] 7 2 2 3 3" xfId="49356" xr:uid="{00000000-0005-0000-0000-0000E14B0000}"/>
    <cellStyle name="Input [yellow] 7 2 2 3 4" xfId="37427" xr:uid="{00000000-0005-0000-0000-0000E24B0000}"/>
    <cellStyle name="Input [yellow] 7 2 2 4" xfId="19183" xr:uid="{00000000-0005-0000-0000-0000E34B0000}"/>
    <cellStyle name="Input [yellow] 7 2 2 4 2" xfId="44720" xr:uid="{00000000-0005-0000-0000-0000E44B0000}"/>
    <cellStyle name="Input [yellow] 7 2 2 4 3" xfId="48626" xr:uid="{00000000-0005-0000-0000-0000E54B0000}"/>
    <cellStyle name="Input [yellow] 7 2 2 4 4" xfId="36770" xr:uid="{00000000-0005-0000-0000-0000E64B0000}"/>
    <cellStyle name="Input [yellow] 7 2 2 5" xfId="20741" xr:uid="{00000000-0005-0000-0000-0000E74B0000}"/>
    <cellStyle name="Input [yellow] 7 2 2 5 2" xfId="46278" xr:uid="{00000000-0005-0000-0000-0000E84B0000}"/>
    <cellStyle name="Input [yellow] 7 2 2 5 3" xfId="50184" xr:uid="{00000000-0005-0000-0000-0000E94B0000}"/>
    <cellStyle name="Input [yellow] 7 2 2 5 4" xfId="38147" xr:uid="{00000000-0005-0000-0000-0000EA4B0000}"/>
    <cellStyle name="Input [yellow] 7 2 2 6" xfId="21394" xr:uid="{00000000-0005-0000-0000-0000EB4B0000}"/>
    <cellStyle name="Input [yellow] 7 2 2 6 2" xfId="46931" xr:uid="{00000000-0005-0000-0000-0000EC4B0000}"/>
    <cellStyle name="Input [yellow] 7 2 2 6 3" xfId="50837" xr:uid="{00000000-0005-0000-0000-0000ED4B0000}"/>
    <cellStyle name="Input [yellow] 7 2 2 7" xfId="40734" xr:uid="{00000000-0005-0000-0000-0000EE4B0000}"/>
    <cellStyle name="Input [yellow] 7 2 2 8" xfId="39504" xr:uid="{00000000-0005-0000-0000-0000EF4B0000}"/>
    <cellStyle name="Input [yellow] 7 2 3" xfId="10830" xr:uid="{00000000-0005-0000-0000-0000F04B0000}"/>
    <cellStyle name="Input [yellow] 7 2 3 2" xfId="18623" xr:uid="{00000000-0005-0000-0000-0000F14B0000}"/>
    <cellStyle name="Input [yellow] 7 2 3 2 2" xfId="44170" xr:uid="{00000000-0005-0000-0000-0000F24B0000}"/>
    <cellStyle name="Input [yellow] 7 2 3 2 3" xfId="48079" xr:uid="{00000000-0005-0000-0000-0000F34B0000}"/>
    <cellStyle name="Input [yellow] 7 2 3 2 4" xfId="36260" xr:uid="{00000000-0005-0000-0000-0000F44B0000}"/>
    <cellStyle name="Input [yellow] 7 2 3 3" xfId="19405" xr:uid="{00000000-0005-0000-0000-0000F54B0000}"/>
    <cellStyle name="Input [yellow] 7 2 3 3 2" xfId="44942" xr:uid="{00000000-0005-0000-0000-0000F64B0000}"/>
    <cellStyle name="Input [yellow] 7 2 3 3 3" xfId="48848" xr:uid="{00000000-0005-0000-0000-0000F74B0000}"/>
    <cellStyle name="Input [yellow] 7 2 3 3 4" xfId="36970" xr:uid="{00000000-0005-0000-0000-0000F84B0000}"/>
    <cellStyle name="Input [yellow] 7 2 3 4" xfId="12137" xr:uid="{00000000-0005-0000-0000-0000F94B0000}"/>
    <cellStyle name="Input [yellow] 7 2 3 4 2" xfId="41882" xr:uid="{00000000-0005-0000-0000-0000FA4B0000}"/>
    <cellStyle name="Input [yellow] 7 2 3 4 3" xfId="39666" xr:uid="{00000000-0005-0000-0000-0000FB4B0000}"/>
    <cellStyle name="Input [yellow] 7 2 3 4 4" xfId="29810" xr:uid="{00000000-0005-0000-0000-0000FC4B0000}"/>
    <cellStyle name="Input [yellow] 7 2 3 5" xfId="21036" xr:uid="{00000000-0005-0000-0000-0000FD4B0000}"/>
    <cellStyle name="Input [yellow] 7 2 3 5 2" xfId="46573" xr:uid="{00000000-0005-0000-0000-0000FE4B0000}"/>
    <cellStyle name="Input [yellow] 7 2 3 5 3" xfId="50479" xr:uid="{00000000-0005-0000-0000-0000FF4B0000}"/>
    <cellStyle name="Input [yellow] 7 2 3 5 4" xfId="38442" xr:uid="{00000000-0005-0000-0000-0000004C0000}"/>
    <cellStyle name="Input [yellow] 7 2 3 6" xfId="21689" xr:uid="{00000000-0005-0000-0000-0000014C0000}"/>
    <cellStyle name="Input [yellow] 7 2 3 6 2" xfId="47226" xr:uid="{00000000-0005-0000-0000-0000024C0000}"/>
    <cellStyle name="Input [yellow] 7 2 3 6 3" xfId="51132" xr:uid="{00000000-0005-0000-0000-0000034C0000}"/>
    <cellStyle name="Input [yellow] 7 2 3 7" xfId="41029" xr:uid="{00000000-0005-0000-0000-0000044C0000}"/>
    <cellStyle name="Input [yellow] 7 2 3 8" xfId="39189" xr:uid="{00000000-0005-0000-0000-0000054C0000}"/>
    <cellStyle name="Input [yellow] 7 2 4" xfId="10180" xr:uid="{00000000-0005-0000-0000-0000064C0000}"/>
    <cellStyle name="Input [yellow] 7 2 4 2" xfId="17973" xr:uid="{00000000-0005-0000-0000-0000074C0000}"/>
    <cellStyle name="Input [yellow] 7 2 4 2 2" xfId="43763" xr:uid="{00000000-0005-0000-0000-0000084C0000}"/>
    <cellStyle name="Input [yellow] 7 2 4 2 3" xfId="47686" xr:uid="{00000000-0005-0000-0000-0000094C0000}"/>
    <cellStyle name="Input [yellow] 7 2 4 2 4" xfId="35610" xr:uid="{00000000-0005-0000-0000-00000A4C0000}"/>
    <cellStyle name="Input [yellow] 7 2 4 3" xfId="19151" xr:uid="{00000000-0005-0000-0000-00000B4C0000}"/>
    <cellStyle name="Input [yellow] 7 2 4 3 2" xfId="44688" xr:uid="{00000000-0005-0000-0000-00000C4C0000}"/>
    <cellStyle name="Input [yellow] 7 2 4 3 3" xfId="48594" xr:uid="{00000000-0005-0000-0000-00000D4C0000}"/>
    <cellStyle name="Input [yellow] 7 2 4 3 4" xfId="36745" xr:uid="{00000000-0005-0000-0000-00000E4C0000}"/>
    <cellStyle name="Input [yellow] 7 2 4 4" xfId="20129" xr:uid="{00000000-0005-0000-0000-00000F4C0000}"/>
    <cellStyle name="Input [yellow] 7 2 4 4 2" xfId="45666" xr:uid="{00000000-0005-0000-0000-0000104C0000}"/>
    <cellStyle name="Input [yellow] 7 2 4 4 3" xfId="49572" xr:uid="{00000000-0005-0000-0000-0000114C0000}"/>
    <cellStyle name="Input [yellow] 7 2 4 4 4" xfId="37615" xr:uid="{00000000-0005-0000-0000-0000124C0000}"/>
    <cellStyle name="Input [yellow] 7 2 4 5" xfId="20643" xr:uid="{00000000-0005-0000-0000-0000134C0000}"/>
    <cellStyle name="Input [yellow] 7 2 4 5 2" xfId="46180" xr:uid="{00000000-0005-0000-0000-0000144C0000}"/>
    <cellStyle name="Input [yellow] 7 2 4 5 3" xfId="50086" xr:uid="{00000000-0005-0000-0000-0000154C0000}"/>
    <cellStyle name="Input [yellow] 7 2 4 5 4" xfId="38049" xr:uid="{00000000-0005-0000-0000-0000164C0000}"/>
    <cellStyle name="Input [yellow] 7 2 4 6" xfId="21296" xr:uid="{00000000-0005-0000-0000-0000174C0000}"/>
    <cellStyle name="Input [yellow] 7 2 4 6 2" xfId="46833" xr:uid="{00000000-0005-0000-0000-0000184C0000}"/>
    <cellStyle name="Input [yellow] 7 2 4 6 3" xfId="50739" xr:uid="{00000000-0005-0000-0000-0000194C0000}"/>
    <cellStyle name="Input [yellow] 7 2 4 7" xfId="40622" xr:uid="{00000000-0005-0000-0000-00001A4C0000}"/>
    <cellStyle name="Input [yellow] 7 2 4 8" xfId="40143" xr:uid="{00000000-0005-0000-0000-00001B4C0000}"/>
    <cellStyle name="Input [yellow] 7 2 5" xfId="14793" xr:uid="{00000000-0005-0000-0000-00001C4C0000}"/>
    <cellStyle name="Input [yellow] 7 2 5 2" xfId="42909" xr:uid="{00000000-0005-0000-0000-00001D4C0000}"/>
    <cellStyle name="Input [yellow] 7 2 5 3" xfId="40318" xr:uid="{00000000-0005-0000-0000-00001E4C0000}"/>
    <cellStyle name="Input [yellow] 7 2 5 4" xfId="32428" xr:uid="{00000000-0005-0000-0000-00001F4C0000}"/>
    <cellStyle name="Input [yellow] 7 2 6" xfId="13078" xr:uid="{00000000-0005-0000-0000-0000204C0000}"/>
    <cellStyle name="Input [yellow] 7 2 6 2" xfId="42299" xr:uid="{00000000-0005-0000-0000-0000214C0000}"/>
    <cellStyle name="Input [yellow] 7 2 6 3" xfId="41309" xr:uid="{00000000-0005-0000-0000-0000224C0000}"/>
    <cellStyle name="Input [yellow] 7 2 6 4" xfId="30727" xr:uid="{00000000-0005-0000-0000-0000234C0000}"/>
    <cellStyle name="Input [yellow] 7 2 7" xfId="19666" xr:uid="{00000000-0005-0000-0000-0000244C0000}"/>
    <cellStyle name="Input [yellow] 7 2 7 2" xfId="45203" xr:uid="{00000000-0005-0000-0000-0000254C0000}"/>
    <cellStyle name="Input [yellow] 7 2 7 3" xfId="49109" xr:uid="{00000000-0005-0000-0000-0000264C0000}"/>
    <cellStyle name="Input [yellow] 7 2 7 4" xfId="37200" xr:uid="{00000000-0005-0000-0000-0000274C0000}"/>
    <cellStyle name="Input [yellow] 7 2 8" xfId="12708" xr:uid="{00000000-0005-0000-0000-0000284C0000}"/>
    <cellStyle name="Input [yellow] 7 2 8 2" xfId="42183" xr:uid="{00000000-0005-0000-0000-0000294C0000}"/>
    <cellStyle name="Input [yellow] 7 2 8 3" xfId="43585" xr:uid="{00000000-0005-0000-0000-00002A4C0000}"/>
    <cellStyle name="Input [yellow] 7 2 8 4" xfId="30366" xr:uid="{00000000-0005-0000-0000-00002B4C0000}"/>
    <cellStyle name="Input [yellow] 7 2 9" xfId="19864" xr:uid="{00000000-0005-0000-0000-00002C4C0000}"/>
    <cellStyle name="Input [yellow] 7 2 9 2" xfId="45401" xr:uid="{00000000-0005-0000-0000-00002D4C0000}"/>
    <cellStyle name="Input [yellow] 7 2 9 3" xfId="49307" xr:uid="{00000000-0005-0000-0000-00002E4C0000}"/>
    <cellStyle name="Input [yellow] 7 2 9 4" xfId="37378" xr:uid="{00000000-0005-0000-0000-00002F4C0000}"/>
    <cellStyle name="Input [yellow] 7 3" xfId="10454" xr:uid="{00000000-0005-0000-0000-0000304C0000}"/>
    <cellStyle name="Input [yellow] 7 3 2" xfId="18247" xr:uid="{00000000-0005-0000-0000-0000314C0000}"/>
    <cellStyle name="Input [yellow] 7 3 2 2" xfId="43794" xr:uid="{00000000-0005-0000-0000-0000324C0000}"/>
    <cellStyle name="Input [yellow] 7 3 2 3" xfId="47703" xr:uid="{00000000-0005-0000-0000-0000334C0000}"/>
    <cellStyle name="Input [yellow] 7 3 2 4" xfId="35884" xr:uid="{00000000-0005-0000-0000-0000344C0000}"/>
    <cellStyle name="Input [yellow] 7 3 3" xfId="20182" xr:uid="{00000000-0005-0000-0000-0000354C0000}"/>
    <cellStyle name="Input [yellow] 7 3 3 2" xfId="45719" xr:uid="{00000000-0005-0000-0000-0000364C0000}"/>
    <cellStyle name="Input [yellow] 7 3 3 3" xfId="49625" xr:uid="{00000000-0005-0000-0000-0000374C0000}"/>
    <cellStyle name="Input [yellow] 7 3 3 4" xfId="37667" xr:uid="{00000000-0005-0000-0000-0000384C0000}"/>
    <cellStyle name="Input [yellow] 7 3 4" xfId="20462" xr:uid="{00000000-0005-0000-0000-0000394C0000}"/>
    <cellStyle name="Input [yellow] 7 3 4 2" xfId="45999" xr:uid="{00000000-0005-0000-0000-00003A4C0000}"/>
    <cellStyle name="Input [yellow] 7 3 4 3" xfId="49905" xr:uid="{00000000-0005-0000-0000-00003B4C0000}"/>
    <cellStyle name="Input [yellow] 7 3 4 4" xfId="37915" xr:uid="{00000000-0005-0000-0000-00003C4C0000}"/>
    <cellStyle name="Input [yellow] 7 3 5" xfId="20660" xr:uid="{00000000-0005-0000-0000-00003D4C0000}"/>
    <cellStyle name="Input [yellow] 7 3 5 2" xfId="46197" xr:uid="{00000000-0005-0000-0000-00003E4C0000}"/>
    <cellStyle name="Input [yellow] 7 3 5 3" xfId="50103" xr:uid="{00000000-0005-0000-0000-00003F4C0000}"/>
    <cellStyle name="Input [yellow] 7 3 5 4" xfId="38066" xr:uid="{00000000-0005-0000-0000-0000404C0000}"/>
    <cellStyle name="Input [yellow] 7 3 6" xfId="21313" xr:uid="{00000000-0005-0000-0000-0000414C0000}"/>
    <cellStyle name="Input [yellow] 7 3 6 2" xfId="46850" xr:uid="{00000000-0005-0000-0000-0000424C0000}"/>
    <cellStyle name="Input [yellow] 7 3 6 3" xfId="50756" xr:uid="{00000000-0005-0000-0000-0000434C0000}"/>
    <cellStyle name="Input [yellow] 7 3 7" xfId="40653" xr:uid="{00000000-0005-0000-0000-0000444C0000}"/>
    <cellStyle name="Input [yellow] 7 3 8" xfId="43402" xr:uid="{00000000-0005-0000-0000-0000454C0000}"/>
    <cellStyle name="Input [yellow] 7 4" xfId="7791" xr:uid="{00000000-0005-0000-0000-0000464C0000}"/>
    <cellStyle name="Input [yellow] 7 4 2" xfId="15588" xr:uid="{00000000-0005-0000-0000-0000474C0000}"/>
    <cellStyle name="Input [yellow] 7 4 2 2" xfId="43267" xr:uid="{00000000-0005-0000-0000-0000484C0000}"/>
    <cellStyle name="Input [yellow] 7 4 2 3" xfId="40519" xr:uid="{00000000-0005-0000-0000-0000494C0000}"/>
    <cellStyle name="Input [yellow] 7 4 2 4" xfId="33223" xr:uid="{00000000-0005-0000-0000-00004A4C0000}"/>
    <cellStyle name="Input [yellow] 7 4 3" xfId="19956" xr:uid="{00000000-0005-0000-0000-00004B4C0000}"/>
    <cellStyle name="Input [yellow] 7 4 3 2" xfId="45493" xr:uid="{00000000-0005-0000-0000-00004C4C0000}"/>
    <cellStyle name="Input [yellow] 7 4 3 3" xfId="49399" xr:uid="{00000000-0005-0000-0000-00004D4C0000}"/>
    <cellStyle name="Input [yellow] 7 4 3 4" xfId="37461" xr:uid="{00000000-0005-0000-0000-00004E4C0000}"/>
    <cellStyle name="Input [yellow] 7 4 4" xfId="19172" xr:uid="{00000000-0005-0000-0000-00004F4C0000}"/>
    <cellStyle name="Input [yellow] 7 4 4 2" xfId="44709" xr:uid="{00000000-0005-0000-0000-0000504C0000}"/>
    <cellStyle name="Input [yellow] 7 4 4 3" xfId="48615" xr:uid="{00000000-0005-0000-0000-0000514C0000}"/>
    <cellStyle name="Input [yellow] 7 4 4 4" xfId="36763" xr:uid="{00000000-0005-0000-0000-0000524C0000}"/>
    <cellStyle name="Input [yellow] 7 4 5" xfId="11379" xr:uid="{00000000-0005-0000-0000-0000534C0000}"/>
    <cellStyle name="Input [yellow] 7 4 5 2" xfId="41415" xr:uid="{00000000-0005-0000-0000-0000544C0000}"/>
    <cellStyle name="Input [yellow] 7 4 5 3" xfId="42037" xr:uid="{00000000-0005-0000-0000-0000554C0000}"/>
    <cellStyle name="Input [yellow] 7 4 5 4" xfId="29101" xr:uid="{00000000-0005-0000-0000-0000564C0000}"/>
    <cellStyle name="Input [yellow] 7 4 6" xfId="20086" xr:uid="{00000000-0005-0000-0000-0000574C0000}"/>
    <cellStyle name="Input [yellow] 7 4 6 2" xfId="45623" xr:uid="{00000000-0005-0000-0000-0000584C0000}"/>
    <cellStyle name="Input [yellow] 7 4 6 3" xfId="49529" xr:uid="{00000000-0005-0000-0000-0000594C0000}"/>
    <cellStyle name="Input [yellow] 7 4 7" xfId="40126" xr:uid="{00000000-0005-0000-0000-00005A4C0000}"/>
    <cellStyle name="Input [yellow] 7 4 8" xfId="40127" xr:uid="{00000000-0005-0000-0000-00005B4C0000}"/>
    <cellStyle name="Input [yellow] 8" xfId="6990" xr:uid="{00000000-0005-0000-0000-00005C4C0000}"/>
    <cellStyle name="Input [yellow] 8 10" xfId="39754" xr:uid="{00000000-0005-0000-0000-00005D4C0000}"/>
    <cellStyle name="Input [yellow] 8 11" xfId="40409" xr:uid="{00000000-0005-0000-0000-00005E4C0000}"/>
    <cellStyle name="Input [yellow] 8 2" xfId="10520" xr:uid="{00000000-0005-0000-0000-00005F4C0000}"/>
    <cellStyle name="Input [yellow] 8 2 2" xfId="18313" xr:uid="{00000000-0005-0000-0000-0000604C0000}"/>
    <cellStyle name="Input [yellow] 8 2 2 2" xfId="43860" xr:uid="{00000000-0005-0000-0000-0000614C0000}"/>
    <cellStyle name="Input [yellow] 8 2 2 3" xfId="47769" xr:uid="{00000000-0005-0000-0000-0000624C0000}"/>
    <cellStyle name="Input [yellow] 8 2 2 4" xfId="35950" xr:uid="{00000000-0005-0000-0000-0000634C0000}"/>
    <cellStyle name="Input [yellow] 8 2 3" xfId="19619" xr:uid="{00000000-0005-0000-0000-0000644C0000}"/>
    <cellStyle name="Input [yellow] 8 2 3 2" xfId="45156" xr:uid="{00000000-0005-0000-0000-0000654C0000}"/>
    <cellStyle name="Input [yellow] 8 2 3 3" xfId="49062" xr:uid="{00000000-0005-0000-0000-0000664C0000}"/>
    <cellStyle name="Input [yellow] 8 2 3 4" xfId="37159" xr:uid="{00000000-0005-0000-0000-0000674C0000}"/>
    <cellStyle name="Input [yellow] 8 2 4" xfId="19169" xr:uid="{00000000-0005-0000-0000-0000684C0000}"/>
    <cellStyle name="Input [yellow] 8 2 4 2" xfId="44706" xr:uid="{00000000-0005-0000-0000-0000694C0000}"/>
    <cellStyle name="Input [yellow] 8 2 4 3" xfId="48612" xr:uid="{00000000-0005-0000-0000-00006A4C0000}"/>
    <cellStyle name="Input [yellow] 8 2 4 4" xfId="36761" xr:uid="{00000000-0005-0000-0000-00006B4C0000}"/>
    <cellStyle name="Input [yellow] 8 2 5" xfId="20726" xr:uid="{00000000-0005-0000-0000-00006C4C0000}"/>
    <cellStyle name="Input [yellow] 8 2 5 2" xfId="46263" xr:uid="{00000000-0005-0000-0000-00006D4C0000}"/>
    <cellStyle name="Input [yellow] 8 2 5 3" xfId="50169" xr:uid="{00000000-0005-0000-0000-00006E4C0000}"/>
    <cellStyle name="Input [yellow] 8 2 5 4" xfId="38132" xr:uid="{00000000-0005-0000-0000-00006F4C0000}"/>
    <cellStyle name="Input [yellow] 8 2 6" xfId="21379" xr:uid="{00000000-0005-0000-0000-0000704C0000}"/>
    <cellStyle name="Input [yellow] 8 2 6 2" xfId="46916" xr:uid="{00000000-0005-0000-0000-0000714C0000}"/>
    <cellStyle name="Input [yellow] 8 2 6 3" xfId="50822" xr:uid="{00000000-0005-0000-0000-0000724C0000}"/>
    <cellStyle name="Input [yellow] 8 2 7" xfId="40719" xr:uid="{00000000-0005-0000-0000-0000734C0000}"/>
    <cellStyle name="Input [yellow] 8 2 8" xfId="39202" xr:uid="{00000000-0005-0000-0000-0000744C0000}"/>
    <cellStyle name="Input [yellow] 8 3" xfId="10815" xr:uid="{00000000-0005-0000-0000-0000754C0000}"/>
    <cellStyle name="Input [yellow] 8 3 2" xfId="18608" xr:uid="{00000000-0005-0000-0000-0000764C0000}"/>
    <cellStyle name="Input [yellow] 8 3 2 2" xfId="44155" xr:uid="{00000000-0005-0000-0000-0000774C0000}"/>
    <cellStyle name="Input [yellow] 8 3 2 3" xfId="48064" xr:uid="{00000000-0005-0000-0000-0000784C0000}"/>
    <cellStyle name="Input [yellow] 8 3 2 4" xfId="36245" xr:uid="{00000000-0005-0000-0000-0000794C0000}"/>
    <cellStyle name="Input [yellow] 8 3 3" xfId="19277" xr:uid="{00000000-0005-0000-0000-00007A4C0000}"/>
    <cellStyle name="Input [yellow] 8 3 3 2" xfId="44814" xr:uid="{00000000-0005-0000-0000-00007B4C0000}"/>
    <cellStyle name="Input [yellow] 8 3 3 3" xfId="48720" xr:uid="{00000000-0005-0000-0000-00007C4C0000}"/>
    <cellStyle name="Input [yellow] 8 3 3 4" xfId="36855" xr:uid="{00000000-0005-0000-0000-00007D4C0000}"/>
    <cellStyle name="Input [yellow] 8 3 4" xfId="11658" xr:uid="{00000000-0005-0000-0000-00007E4C0000}"/>
    <cellStyle name="Input [yellow] 8 3 4 2" xfId="41669" xr:uid="{00000000-0005-0000-0000-00007F4C0000}"/>
    <cellStyle name="Input [yellow] 8 3 4 3" xfId="39463" xr:uid="{00000000-0005-0000-0000-0000804C0000}"/>
    <cellStyle name="Input [yellow] 8 3 4 4" xfId="29357" xr:uid="{00000000-0005-0000-0000-0000814C0000}"/>
    <cellStyle name="Input [yellow] 8 3 5" xfId="21021" xr:uid="{00000000-0005-0000-0000-0000824C0000}"/>
    <cellStyle name="Input [yellow] 8 3 5 2" xfId="46558" xr:uid="{00000000-0005-0000-0000-0000834C0000}"/>
    <cellStyle name="Input [yellow] 8 3 5 3" xfId="50464" xr:uid="{00000000-0005-0000-0000-0000844C0000}"/>
    <cellStyle name="Input [yellow] 8 3 5 4" xfId="38427" xr:uid="{00000000-0005-0000-0000-0000854C0000}"/>
    <cellStyle name="Input [yellow] 8 3 6" xfId="21674" xr:uid="{00000000-0005-0000-0000-0000864C0000}"/>
    <cellStyle name="Input [yellow] 8 3 6 2" xfId="47211" xr:uid="{00000000-0005-0000-0000-0000874C0000}"/>
    <cellStyle name="Input [yellow] 8 3 6 3" xfId="51117" xr:uid="{00000000-0005-0000-0000-0000884C0000}"/>
    <cellStyle name="Input [yellow] 8 3 7" xfId="41014" xr:uid="{00000000-0005-0000-0000-0000894C0000}"/>
    <cellStyle name="Input [yellow] 8 3 8" xfId="43730" xr:uid="{00000000-0005-0000-0000-00008A4C0000}"/>
    <cellStyle name="Input [yellow] 8 4" xfId="10165" xr:uid="{00000000-0005-0000-0000-00008B4C0000}"/>
    <cellStyle name="Input [yellow] 8 4 2" xfId="17958" xr:uid="{00000000-0005-0000-0000-00008C4C0000}"/>
    <cellStyle name="Input [yellow] 8 4 2 2" xfId="43748" xr:uid="{00000000-0005-0000-0000-00008D4C0000}"/>
    <cellStyle name="Input [yellow] 8 4 2 3" xfId="47671" xr:uid="{00000000-0005-0000-0000-00008E4C0000}"/>
    <cellStyle name="Input [yellow] 8 4 2 4" xfId="35595" xr:uid="{00000000-0005-0000-0000-00008F4C0000}"/>
    <cellStyle name="Input [yellow] 8 4 3" xfId="20189" xr:uid="{00000000-0005-0000-0000-0000904C0000}"/>
    <cellStyle name="Input [yellow] 8 4 3 2" xfId="45726" xr:uid="{00000000-0005-0000-0000-0000914C0000}"/>
    <cellStyle name="Input [yellow] 8 4 3 3" xfId="49632" xr:uid="{00000000-0005-0000-0000-0000924C0000}"/>
    <cellStyle name="Input [yellow] 8 4 3 4" xfId="37673" xr:uid="{00000000-0005-0000-0000-0000934C0000}"/>
    <cellStyle name="Input [yellow] 8 4 4" xfId="20194" xr:uid="{00000000-0005-0000-0000-0000944C0000}"/>
    <cellStyle name="Input [yellow] 8 4 4 2" xfId="45731" xr:uid="{00000000-0005-0000-0000-0000954C0000}"/>
    <cellStyle name="Input [yellow] 8 4 4 3" xfId="49637" xr:uid="{00000000-0005-0000-0000-0000964C0000}"/>
    <cellStyle name="Input [yellow] 8 4 4 4" xfId="37677" xr:uid="{00000000-0005-0000-0000-0000974C0000}"/>
    <cellStyle name="Input [yellow] 8 4 5" xfId="20628" xr:uid="{00000000-0005-0000-0000-0000984C0000}"/>
    <cellStyle name="Input [yellow] 8 4 5 2" xfId="46165" xr:uid="{00000000-0005-0000-0000-0000994C0000}"/>
    <cellStyle name="Input [yellow] 8 4 5 3" xfId="50071" xr:uid="{00000000-0005-0000-0000-00009A4C0000}"/>
    <cellStyle name="Input [yellow] 8 4 5 4" xfId="38034" xr:uid="{00000000-0005-0000-0000-00009B4C0000}"/>
    <cellStyle name="Input [yellow] 8 4 6" xfId="21281" xr:uid="{00000000-0005-0000-0000-00009C4C0000}"/>
    <cellStyle name="Input [yellow] 8 4 6 2" xfId="46818" xr:uid="{00000000-0005-0000-0000-00009D4C0000}"/>
    <cellStyle name="Input [yellow] 8 4 6 3" xfId="50724" xr:uid="{00000000-0005-0000-0000-00009E4C0000}"/>
    <cellStyle name="Input [yellow] 8 4 7" xfId="40607" xr:uid="{00000000-0005-0000-0000-00009F4C0000}"/>
    <cellStyle name="Input [yellow] 8 4 8" xfId="39718" xr:uid="{00000000-0005-0000-0000-0000A04C0000}"/>
    <cellStyle name="Input [yellow] 8 5" xfId="14778" xr:uid="{00000000-0005-0000-0000-0000A14C0000}"/>
    <cellStyle name="Input [yellow] 8 5 2" xfId="42894" xr:uid="{00000000-0005-0000-0000-0000A24C0000}"/>
    <cellStyle name="Input [yellow] 8 5 3" xfId="39279" xr:uid="{00000000-0005-0000-0000-0000A34C0000}"/>
    <cellStyle name="Input [yellow] 8 5 4" xfId="32413" xr:uid="{00000000-0005-0000-0000-0000A44C0000}"/>
    <cellStyle name="Input [yellow] 8 6" xfId="13065" xr:uid="{00000000-0005-0000-0000-0000A54C0000}"/>
    <cellStyle name="Input [yellow] 8 6 2" xfId="42286" xr:uid="{00000000-0005-0000-0000-0000A64C0000}"/>
    <cellStyle name="Input [yellow] 8 6 3" xfId="42799" xr:uid="{00000000-0005-0000-0000-0000A74C0000}"/>
    <cellStyle name="Input [yellow] 8 6 4" xfId="30714" xr:uid="{00000000-0005-0000-0000-0000A84C0000}"/>
    <cellStyle name="Input [yellow] 8 7" xfId="20051" xr:uid="{00000000-0005-0000-0000-0000A94C0000}"/>
    <cellStyle name="Input [yellow] 8 7 2" xfId="45588" xr:uid="{00000000-0005-0000-0000-0000AA4C0000}"/>
    <cellStyle name="Input [yellow] 8 7 3" xfId="49494" xr:uid="{00000000-0005-0000-0000-0000AB4C0000}"/>
    <cellStyle name="Input [yellow] 8 7 4" xfId="37549" xr:uid="{00000000-0005-0000-0000-0000AC4C0000}"/>
    <cellStyle name="Input [yellow] 8 8" xfId="11795" xr:uid="{00000000-0005-0000-0000-0000AD4C0000}"/>
    <cellStyle name="Input [yellow] 8 8 2" xfId="41745" xr:uid="{00000000-0005-0000-0000-0000AE4C0000}"/>
    <cellStyle name="Input [yellow] 8 8 3" xfId="39154" xr:uid="{00000000-0005-0000-0000-0000AF4C0000}"/>
    <cellStyle name="Input [yellow] 8 8 4" xfId="29481" xr:uid="{00000000-0005-0000-0000-0000B04C0000}"/>
    <cellStyle name="Input [yellow] 8 9" xfId="20624" xr:uid="{00000000-0005-0000-0000-0000B14C0000}"/>
    <cellStyle name="Input [yellow] 8 9 2" xfId="46161" xr:uid="{00000000-0005-0000-0000-0000B24C0000}"/>
    <cellStyle name="Input [yellow] 8 9 3" xfId="50067" xr:uid="{00000000-0005-0000-0000-0000B34C0000}"/>
    <cellStyle name="Input [yellow] 8 9 4" xfId="38033" xr:uid="{00000000-0005-0000-0000-0000B44C0000}"/>
    <cellStyle name="Input [yellow] 9" xfId="10439" xr:uid="{00000000-0005-0000-0000-0000B54C0000}"/>
    <cellStyle name="Input [yellow] 9 2" xfId="18232" xr:uid="{00000000-0005-0000-0000-0000B64C0000}"/>
    <cellStyle name="Input [yellow] 9 2 2" xfId="43779" xr:uid="{00000000-0005-0000-0000-0000B74C0000}"/>
    <cellStyle name="Input [yellow] 9 2 3" xfId="47688" xr:uid="{00000000-0005-0000-0000-0000B84C0000}"/>
    <cellStyle name="Input [yellow] 9 2 4" xfId="35869" xr:uid="{00000000-0005-0000-0000-0000B94C0000}"/>
    <cellStyle name="Input [yellow] 9 3" xfId="20047" xr:uid="{00000000-0005-0000-0000-0000BA4C0000}"/>
    <cellStyle name="Input [yellow] 9 3 2" xfId="45584" xr:uid="{00000000-0005-0000-0000-0000BB4C0000}"/>
    <cellStyle name="Input [yellow] 9 3 3" xfId="49490" xr:uid="{00000000-0005-0000-0000-0000BC4C0000}"/>
    <cellStyle name="Input [yellow] 9 3 4" xfId="37545" xr:uid="{00000000-0005-0000-0000-0000BD4C0000}"/>
    <cellStyle name="Input [yellow] 9 4" xfId="19367" xr:uid="{00000000-0005-0000-0000-0000BE4C0000}"/>
    <cellStyle name="Input [yellow] 9 4 2" xfId="44904" xr:uid="{00000000-0005-0000-0000-0000BF4C0000}"/>
    <cellStyle name="Input [yellow] 9 4 3" xfId="48810" xr:uid="{00000000-0005-0000-0000-0000C04C0000}"/>
    <cellStyle name="Input [yellow] 9 4 4" xfId="36935" xr:uid="{00000000-0005-0000-0000-0000C14C0000}"/>
    <cellStyle name="Input [yellow] 9 5" xfId="20645" xr:uid="{00000000-0005-0000-0000-0000C24C0000}"/>
    <cellStyle name="Input [yellow] 9 5 2" xfId="46182" xr:uid="{00000000-0005-0000-0000-0000C34C0000}"/>
    <cellStyle name="Input [yellow] 9 5 3" xfId="50088" xr:uid="{00000000-0005-0000-0000-0000C44C0000}"/>
    <cellStyle name="Input [yellow] 9 5 4" xfId="38051" xr:uid="{00000000-0005-0000-0000-0000C54C0000}"/>
    <cellStyle name="Input [yellow] 9 6" xfId="21298" xr:uid="{00000000-0005-0000-0000-0000C64C0000}"/>
    <cellStyle name="Input [yellow] 9 6 2" xfId="46835" xr:uid="{00000000-0005-0000-0000-0000C74C0000}"/>
    <cellStyle name="Input [yellow] 9 6 3" xfId="50741" xr:uid="{00000000-0005-0000-0000-0000C84C0000}"/>
    <cellStyle name="Input [yellow] 9 7" xfId="40638" xr:uid="{00000000-0005-0000-0000-0000C94C0000}"/>
    <cellStyle name="Input [yellow] 9 8" xfId="41447" xr:uid="{00000000-0005-0000-0000-0000CA4C0000}"/>
    <cellStyle name="Input [yellow]_BallGrid" xfId="1796" xr:uid="{00000000-0005-0000-0000-0000CB4C0000}"/>
    <cellStyle name="Input 10" xfId="1797" xr:uid="{00000000-0005-0000-0000-0000CC4C0000}"/>
    <cellStyle name="Input 10 2" xfId="1798" xr:uid="{00000000-0005-0000-0000-0000CD4C0000}"/>
    <cellStyle name="Input 10 2 2" xfId="1799" xr:uid="{00000000-0005-0000-0000-0000CE4C0000}"/>
    <cellStyle name="Input 10 2 2 2" xfId="7008" xr:uid="{00000000-0005-0000-0000-0000CF4C0000}"/>
    <cellStyle name="Input 10 2 2 2 10" xfId="39624" xr:uid="{00000000-0005-0000-0000-0000D04C0000}"/>
    <cellStyle name="Input 10 2 2 2 2" xfId="10538" xr:uid="{00000000-0005-0000-0000-0000D14C0000}"/>
    <cellStyle name="Input 10 2 2 2 2 2" xfId="18331" xr:uid="{00000000-0005-0000-0000-0000D24C0000}"/>
    <cellStyle name="Input 10 2 2 2 2 2 2" xfId="43878" xr:uid="{00000000-0005-0000-0000-0000D34C0000}"/>
    <cellStyle name="Input 10 2 2 2 2 2 3" xfId="47787" xr:uid="{00000000-0005-0000-0000-0000D44C0000}"/>
    <cellStyle name="Input 10 2 2 2 2 2 4" xfId="35968" xr:uid="{00000000-0005-0000-0000-0000D54C0000}"/>
    <cellStyle name="Input 10 2 2 2 2 3" xfId="11492" xr:uid="{00000000-0005-0000-0000-0000D64C0000}"/>
    <cellStyle name="Input 10 2 2 2 2 3 2" xfId="41503" xr:uid="{00000000-0005-0000-0000-0000D74C0000}"/>
    <cellStyle name="Input 10 2 2 2 2 3 3" xfId="40215" xr:uid="{00000000-0005-0000-0000-0000D84C0000}"/>
    <cellStyle name="Input 10 2 2 2 2 3 4" xfId="29207" xr:uid="{00000000-0005-0000-0000-0000D94C0000}"/>
    <cellStyle name="Input 10 2 2 2 2 4" xfId="19536" xr:uid="{00000000-0005-0000-0000-0000DA4C0000}"/>
    <cellStyle name="Input 10 2 2 2 2 4 2" xfId="45073" xr:uid="{00000000-0005-0000-0000-0000DB4C0000}"/>
    <cellStyle name="Input 10 2 2 2 2 4 3" xfId="48979" xr:uid="{00000000-0005-0000-0000-0000DC4C0000}"/>
    <cellStyle name="Input 10 2 2 2 2 4 4" xfId="37083" xr:uid="{00000000-0005-0000-0000-0000DD4C0000}"/>
    <cellStyle name="Input 10 2 2 2 2 5" xfId="20744" xr:uid="{00000000-0005-0000-0000-0000DE4C0000}"/>
    <cellStyle name="Input 10 2 2 2 2 5 2" xfId="46281" xr:uid="{00000000-0005-0000-0000-0000DF4C0000}"/>
    <cellStyle name="Input 10 2 2 2 2 5 3" xfId="50187" xr:uid="{00000000-0005-0000-0000-0000E04C0000}"/>
    <cellStyle name="Input 10 2 2 2 2 5 4" xfId="38150" xr:uid="{00000000-0005-0000-0000-0000E14C0000}"/>
    <cellStyle name="Input 10 2 2 2 2 6" xfId="21397" xr:uid="{00000000-0005-0000-0000-0000E24C0000}"/>
    <cellStyle name="Input 10 2 2 2 2 6 2" xfId="46934" xr:uid="{00000000-0005-0000-0000-0000E34C0000}"/>
    <cellStyle name="Input 10 2 2 2 2 6 3" xfId="50840" xr:uid="{00000000-0005-0000-0000-0000E44C0000}"/>
    <cellStyle name="Input 10 2 2 2 2 7" xfId="40737" xr:uid="{00000000-0005-0000-0000-0000E54C0000}"/>
    <cellStyle name="Input 10 2 2 2 2 8" xfId="40259" xr:uid="{00000000-0005-0000-0000-0000E64C0000}"/>
    <cellStyle name="Input 10 2 2 2 3" xfId="10833" xr:uid="{00000000-0005-0000-0000-0000E74C0000}"/>
    <cellStyle name="Input 10 2 2 2 3 2" xfId="18626" xr:uid="{00000000-0005-0000-0000-0000E84C0000}"/>
    <cellStyle name="Input 10 2 2 2 3 2 2" xfId="44173" xr:uid="{00000000-0005-0000-0000-0000E94C0000}"/>
    <cellStyle name="Input 10 2 2 2 3 2 3" xfId="48082" xr:uid="{00000000-0005-0000-0000-0000EA4C0000}"/>
    <cellStyle name="Input 10 2 2 2 3 2 4" xfId="36263" xr:uid="{00000000-0005-0000-0000-0000EB4C0000}"/>
    <cellStyle name="Input 10 2 2 2 3 3" xfId="19887" xr:uid="{00000000-0005-0000-0000-0000EC4C0000}"/>
    <cellStyle name="Input 10 2 2 2 3 3 2" xfId="45424" xr:uid="{00000000-0005-0000-0000-0000ED4C0000}"/>
    <cellStyle name="Input 10 2 2 2 3 3 3" xfId="49330" xr:uid="{00000000-0005-0000-0000-0000EE4C0000}"/>
    <cellStyle name="Input 10 2 2 2 3 3 4" xfId="37401" xr:uid="{00000000-0005-0000-0000-0000EF4C0000}"/>
    <cellStyle name="Input 10 2 2 2 3 4" xfId="12931" xr:uid="{00000000-0005-0000-0000-0000F04C0000}"/>
    <cellStyle name="Input 10 2 2 2 3 4 2" xfId="42257" xr:uid="{00000000-0005-0000-0000-0000F14C0000}"/>
    <cellStyle name="Input 10 2 2 2 3 4 3" xfId="39306" xr:uid="{00000000-0005-0000-0000-0000F24C0000}"/>
    <cellStyle name="Input 10 2 2 2 3 4 4" xfId="30581" xr:uid="{00000000-0005-0000-0000-0000F34C0000}"/>
    <cellStyle name="Input 10 2 2 2 3 5" xfId="21039" xr:uid="{00000000-0005-0000-0000-0000F44C0000}"/>
    <cellStyle name="Input 10 2 2 2 3 5 2" xfId="46576" xr:uid="{00000000-0005-0000-0000-0000F54C0000}"/>
    <cellStyle name="Input 10 2 2 2 3 5 3" xfId="50482" xr:uid="{00000000-0005-0000-0000-0000F64C0000}"/>
    <cellStyle name="Input 10 2 2 2 3 5 4" xfId="38445" xr:uid="{00000000-0005-0000-0000-0000F74C0000}"/>
    <cellStyle name="Input 10 2 2 2 3 6" xfId="21692" xr:uid="{00000000-0005-0000-0000-0000F84C0000}"/>
    <cellStyle name="Input 10 2 2 2 3 6 2" xfId="47229" xr:uid="{00000000-0005-0000-0000-0000F94C0000}"/>
    <cellStyle name="Input 10 2 2 2 3 6 3" xfId="51135" xr:uid="{00000000-0005-0000-0000-0000FA4C0000}"/>
    <cellStyle name="Input 10 2 2 2 3 7" xfId="41032" xr:uid="{00000000-0005-0000-0000-0000FB4C0000}"/>
    <cellStyle name="Input 10 2 2 2 3 8" xfId="40241" xr:uid="{00000000-0005-0000-0000-0000FC4C0000}"/>
    <cellStyle name="Input 10 2 2 2 4" xfId="14796" xr:uid="{00000000-0005-0000-0000-0000FD4C0000}"/>
    <cellStyle name="Input 10 2 2 2 4 2" xfId="42912" xr:uid="{00000000-0005-0000-0000-0000FE4C0000}"/>
    <cellStyle name="Input 10 2 2 2 4 3" xfId="43304" xr:uid="{00000000-0005-0000-0000-0000FF4C0000}"/>
    <cellStyle name="Input 10 2 2 2 4 4" xfId="32431" xr:uid="{00000000-0005-0000-0000-0000004D0000}"/>
    <cellStyle name="Input 10 2 2 2 5" xfId="12465" xr:uid="{00000000-0005-0000-0000-0000014D0000}"/>
    <cellStyle name="Input 10 2 2 2 5 2" xfId="41986" xr:uid="{00000000-0005-0000-0000-0000024D0000}"/>
    <cellStyle name="Input 10 2 2 2 5 3" xfId="43482" xr:uid="{00000000-0005-0000-0000-0000034D0000}"/>
    <cellStyle name="Input 10 2 2 2 5 4" xfId="30136" xr:uid="{00000000-0005-0000-0000-0000044D0000}"/>
    <cellStyle name="Input 10 2 2 2 6" xfId="12852" xr:uid="{00000000-0005-0000-0000-0000054D0000}"/>
    <cellStyle name="Input 10 2 2 2 6 2" xfId="42235" xr:uid="{00000000-0005-0000-0000-0000064D0000}"/>
    <cellStyle name="Input 10 2 2 2 6 3" xfId="40185" xr:uid="{00000000-0005-0000-0000-0000074D0000}"/>
    <cellStyle name="Input 10 2 2 2 6 4" xfId="30506" xr:uid="{00000000-0005-0000-0000-0000084D0000}"/>
    <cellStyle name="Input 10 2 2 2 7" xfId="20239" xr:uid="{00000000-0005-0000-0000-0000094D0000}"/>
    <cellStyle name="Input 10 2 2 2 7 2" xfId="45776" xr:uid="{00000000-0005-0000-0000-00000A4D0000}"/>
    <cellStyle name="Input 10 2 2 2 7 3" xfId="49682" xr:uid="{00000000-0005-0000-0000-00000B4D0000}"/>
    <cellStyle name="Input 10 2 2 2 7 4" xfId="37712" xr:uid="{00000000-0005-0000-0000-00000C4D0000}"/>
    <cellStyle name="Input 10 2 2 2 8" xfId="11582" xr:uid="{00000000-0005-0000-0000-00000D4D0000}"/>
    <cellStyle name="Input 10 2 2 2 8 2" xfId="41593" xr:uid="{00000000-0005-0000-0000-00000E4D0000}"/>
    <cellStyle name="Input 10 2 2 2 8 3" xfId="43494" xr:uid="{00000000-0005-0000-0000-00000F4D0000}"/>
    <cellStyle name="Input 10 2 2 2 9" xfId="39772" xr:uid="{00000000-0005-0000-0000-0000104D0000}"/>
    <cellStyle name="Input 10 2 2 3" xfId="52989" xr:uid="{00000000-0005-0000-0000-0000114D0000}"/>
    <cellStyle name="Input 10 2 3" xfId="7007" xr:uid="{00000000-0005-0000-0000-0000124D0000}"/>
    <cellStyle name="Input 10 2 3 10" xfId="40514" xr:uid="{00000000-0005-0000-0000-0000134D0000}"/>
    <cellStyle name="Input 10 2 3 2" xfId="10537" xr:uid="{00000000-0005-0000-0000-0000144D0000}"/>
    <cellStyle name="Input 10 2 3 2 2" xfId="18330" xr:uid="{00000000-0005-0000-0000-0000154D0000}"/>
    <cellStyle name="Input 10 2 3 2 2 2" xfId="43877" xr:uid="{00000000-0005-0000-0000-0000164D0000}"/>
    <cellStyle name="Input 10 2 3 2 2 3" xfId="47786" xr:uid="{00000000-0005-0000-0000-0000174D0000}"/>
    <cellStyle name="Input 10 2 3 2 2 4" xfId="35967" xr:uid="{00000000-0005-0000-0000-0000184D0000}"/>
    <cellStyle name="Input 10 2 3 2 3" xfId="19758" xr:uid="{00000000-0005-0000-0000-0000194D0000}"/>
    <cellStyle name="Input 10 2 3 2 3 2" xfId="45295" xr:uid="{00000000-0005-0000-0000-00001A4D0000}"/>
    <cellStyle name="Input 10 2 3 2 3 3" xfId="49201" xr:uid="{00000000-0005-0000-0000-00001B4D0000}"/>
    <cellStyle name="Input 10 2 3 2 3 4" xfId="37285" xr:uid="{00000000-0005-0000-0000-00001C4D0000}"/>
    <cellStyle name="Input 10 2 3 2 4" xfId="19256" xr:uid="{00000000-0005-0000-0000-00001D4D0000}"/>
    <cellStyle name="Input 10 2 3 2 4 2" xfId="44793" xr:uid="{00000000-0005-0000-0000-00001E4D0000}"/>
    <cellStyle name="Input 10 2 3 2 4 3" xfId="48699" xr:uid="{00000000-0005-0000-0000-00001F4D0000}"/>
    <cellStyle name="Input 10 2 3 2 4 4" xfId="36834" xr:uid="{00000000-0005-0000-0000-0000204D0000}"/>
    <cellStyle name="Input 10 2 3 2 5" xfId="20743" xr:uid="{00000000-0005-0000-0000-0000214D0000}"/>
    <cellStyle name="Input 10 2 3 2 5 2" xfId="46280" xr:uid="{00000000-0005-0000-0000-0000224D0000}"/>
    <cellStyle name="Input 10 2 3 2 5 3" xfId="50186" xr:uid="{00000000-0005-0000-0000-0000234D0000}"/>
    <cellStyle name="Input 10 2 3 2 5 4" xfId="38149" xr:uid="{00000000-0005-0000-0000-0000244D0000}"/>
    <cellStyle name="Input 10 2 3 2 6" xfId="21396" xr:uid="{00000000-0005-0000-0000-0000254D0000}"/>
    <cellStyle name="Input 10 2 3 2 6 2" xfId="46933" xr:uid="{00000000-0005-0000-0000-0000264D0000}"/>
    <cellStyle name="Input 10 2 3 2 6 3" xfId="50839" xr:uid="{00000000-0005-0000-0000-0000274D0000}"/>
    <cellStyle name="Input 10 2 3 2 7" xfId="40736" xr:uid="{00000000-0005-0000-0000-0000284D0000}"/>
    <cellStyle name="Input 10 2 3 2 8" xfId="43397" xr:uid="{00000000-0005-0000-0000-0000294D0000}"/>
    <cellStyle name="Input 10 2 3 3" xfId="10832" xr:uid="{00000000-0005-0000-0000-00002A4D0000}"/>
    <cellStyle name="Input 10 2 3 3 2" xfId="18625" xr:uid="{00000000-0005-0000-0000-00002B4D0000}"/>
    <cellStyle name="Input 10 2 3 3 2 2" xfId="44172" xr:uid="{00000000-0005-0000-0000-00002C4D0000}"/>
    <cellStyle name="Input 10 2 3 3 2 3" xfId="48081" xr:uid="{00000000-0005-0000-0000-00002D4D0000}"/>
    <cellStyle name="Input 10 2 3 3 2 4" xfId="36262" xr:uid="{00000000-0005-0000-0000-00002E4D0000}"/>
    <cellStyle name="Input 10 2 3 3 3" xfId="19278" xr:uid="{00000000-0005-0000-0000-00002F4D0000}"/>
    <cellStyle name="Input 10 2 3 3 3 2" xfId="44815" xr:uid="{00000000-0005-0000-0000-0000304D0000}"/>
    <cellStyle name="Input 10 2 3 3 3 3" xfId="48721" xr:uid="{00000000-0005-0000-0000-0000314D0000}"/>
    <cellStyle name="Input 10 2 3 3 3 4" xfId="36856" xr:uid="{00000000-0005-0000-0000-0000324D0000}"/>
    <cellStyle name="Input 10 2 3 3 4" xfId="19390" xr:uid="{00000000-0005-0000-0000-0000334D0000}"/>
    <cellStyle name="Input 10 2 3 3 4 2" xfId="44927" xr:uid="{00000000-0005-0000-0000-0000344D0000}"/>
    <cellStyle name="Input 10 2 3 3 4 3" xfId="48833" xr:uid="{00000000-0005-0000-0000-0000354D0000}"/>
    <cellStyle name="Input 10 2 3 3 4 4" xfId="36955" xr:uid="{00000000-0005-0000-0000-0000364D0000}"/>
    <cellStyle name="Input 10 2 3 3 5" xfId="21038" xr:uid="{00000000-0005-0000-0000-0000374D0000}"/>
    <cellStyle name="Input 10 2 3 3 5 2" xfId="46575" xr:uid="{00000000-0005-0000-0000-0000384D0000}"/>
    <cellStyle name="Input 10 2 3 3 5 3" xfId="50481" xr:uid="{00000000-0005-0000-0000-0000394D0000}"/>
    <cellStyle name="Input 10 2 3 3 5 4" xfId="38444" xr:uid="{00000000-0005-0000-0000-00003A4D0000}"/>
    <cellStyle name="Input 10 2 3 3 6" xfId="21691" xr:uid="{00000000-0005-0000-0000-00003B4D0000}"/>
    <cellStyle name="Input 10 2 3 3 6 2" xfId="47228" xr:uid="{00000000-0005-0000-0000-00003C4D0000}"/>
    <cellStyle name="Input 10 2 3 3 6 3" xfId="51134" xr:uid="{00000000-0005-0000-0000-00003D4D0000}"/>
    <cellStyle name="Input 10 2 3 3 7" xfId="41031" xr:uid="{00000000-0005-0000-0000-00003E4D0000}"/>
    <cellStyle name="Input 10 2 3 3 8" xfId="43379" xr:uid="{00000000-0005-0000-0000-00003F4D0000}"/>
    <cellStyle name="Input 10 2 3 4" xfId="14795" xr:uid="{00000000-0005-0000-0000-0000404D0000}"/>
    <cellStyle name="Input 10 2 3 4 2" xfId="42911" xr:uid="{00000000-0005-0000-0000-0000414D0000}"/>
    <cellStyle name="Input 10 2 3 4 3" xfId="41950" xr:uid="{00000000-0005-0000-0000-0000424D0000}"/>
    <cellStyle name="Input 10 2 3 4 4" xfId="32430" xr:uid="{00000000-0005-0000-0000-0000434D0000}"/>
    <cellStyle name="Input 10 2 3 5" xfId="13080" xr:uid="{00000000-0005-0000-0000-0000444D0000}"/>
    <cellStyle name="Input 10 2 3 5 2" xfId="42301" xr:uid="{00000000-0005-0000-0000-0000454D0000}"/>
    <cellStyle name="Input 10 2 3 5 3" xfId="40056" xr:uid="{00000000-0005-0000-0000-0000464D0000}"/>
    <cellStyle name="Input 10 2 3 5 4" xfId="30729" xr:uid="{00000000-0005-0000-0000-0000474D0000}"/>
    <cellStyle name="Input 10 2 3 6" xfId="12859" xr:uid="{00000000-0005-0000-0000-0000484D0000}"/>
    <cellStyle name="Input 10 2 3 6 2" xfId="42242" xr:uid="{00000000-0005-0000-0000-0000494D0000}"/>
    <cellStyle name="Input 10 2 3 6 3" xfId="43688" xr:uid="{00000000-0005-0000-0000-00004A4D0000}"/>
    <cellStyle name="Input 10 2 3 6 4" xfId="30511" xr:uid="{00000000-0005-0000-0000-00004B4D0000}"/>
    <cellStyle name="Input 10 2 3 7" xfId="20492" xr:uid="{00000000-0005-0000-0000-00004C4D0000}"/>
    <cellStyle name="Input 10 2 3 7 2" xfId="46029" xr:uid="{00000000-0005-0000-0000-00004D4D0000}"/>
    <cellStyle name="Input 10 2 3 7 3" xfId="49935" xr:uid="{00000000-0005-0000-0000-00004E4D0000}"/>
    <cellStyle name="Input 10 2 3 7 4" xfId="37937" xr:uid="{00000000-0005-0000-0000-00004F4D0000}"/>
    <cellStyle name="Input 10 2 3 8" xfId="11629" xr:uid="{00000000-0005-0000-0000-0000504D0000}"/>
    <cellStyle name="Input 10 2 3 8 2" xfId="41640" xr:uid="{00000000-0005-0000-0000-0000514D0000}"/>
    <cellStyle name="Input 10 2 3 8 3" xfId="40208" xr:uid="{00000000-0005-0000-0000-0000524D0000}"/>
    <cellStyle name="Input 10 2 3 9" xfId="39771" xr:uid="{00000000-0005-0000-0000-0000534D0000}"/>
    <cellStyle name="Input 10 2 4" xfId="52988" xr:uid="{00000000-0005-0000-0000-0000544D0000}"/>
    <cellStyle name="Input 10 2_Sheet1" xfId="1800" xr:uid="{00000000-0005-0000-0000-0000554D0000}"/>
    <cellStyle name="Input 10 3" xfId="1801" xr:uid="{00000000-0005-0000-0000-0000564D0000}"/>
    <cellStyle name="Input 10 3 2" xfId="7009" xr:uid="{00000000-0005-0000-0000-0000574D0000}"/>
    <cellStyle name="Input 10 3 2 10" xfId="42632" xr:uid="{00000000-0005-0000-0000-0000584D0000}"/>
    <cellStyle name="Input 10 3 2 2" xfId="10539" xr:uid="{00000000-0005-0000-0000-0000594D0000}"/>
    <cellStyle name="Input 10 3 2 2 2" xfId="18332" xr:uid="{00000000-0005-0000-0000-00005A4D0000}"/>
    <cellStyle name="Input 10 3 2 2 2 2" xfId="43879" xr:uid="{00000000-0005-0000-0000-00005B4D0000}"/>
    <cellStyle name="Input 10 3 2 2 2 3" xfId="47788" xr:uid="{00000000-0005-0000-0000-00005C4D0000}"/>
    <cellStyle name="Input 10 3 2 2 2 4" xfId="35969" xr:uid="{00000000-0005-0000-0000-00005D4D0000}"/>
    <cellStyle name="Input 10 3 2 2 3" xfId="19760" xr:uid="{00000000-0005-0000-0000-00005E4D0000}"/>
    <cellStyle name="Input 10 3 2 2 3 2" xfId="45297" xr:uid="{00000000-0005-0000-0000-00005F4D0000}"/>
    <cellStyle name="Input 10 3 2 2 3 3" xfId="49203" xr:uid="{00000000-0005-0000-0000-0000604D0000}"/>
    <cellStyle name="Input 10 3 2 2 3 4" xfId="37287" xr:uid="{00000000-0005-0000-0000-0000614D0000}"/>
    <cellStyle name="Input 10 3 2 2 4" xfId="19254" xr:uid="{00000000-0005-0000-0000-0000624D0000}"/>
    <cellStyle name="Input 10 3 2 2 4 2" xfId="44791" xr:uid="{00000000-0005-0000-0000-0000634D0000}"/>
    <cellStyle name="Input 10 3 2 2 4 3" xfId="48697" xr:uid="{00000000-0005-0000-0000-0000644D0000}"/>
    <cellStyle name="Input 10 3 2 2 4 4" xfId="36832" xr:uid="{00000000-0005-0000-0000-0000654D0000}"/>
    <cellStyle name="Input 10 3 2 2 5" xfId="20745" xr:uid="{00000000-0005-0000-0000-0000664D0000}"/>
    <cellStyle name="Input 10 3 2 2 5 2" xfId="46282" xr:uid="{00000000-0005-0000-0000-0000674D0000}"/>
    <cellStyle name="Input 10 3 2 2 5 3" xfId="50188" xr:uid="{00000000-0005-0000-0000-0000684D0000}"/>
    <cellStyle name="Input 10 3 2 2 5 4" xfId="38151" xr:uid="{00000000-0005-0000-0000-0000694D0000}"/>
    <cellStyle name="Input 10 3 2 2 6" xfId="21398" xr:uid="{00000000-0005-0000-0000-00006A4D0000}"/>
    <cellStyle name="Input 10 3 2 2 6 2" xfId="46935" xr:uid="{00000000-0005-0000-0000-00006B4D0000}"/>
    <cellStyle name="Input 10 3 2 2 6 3" xfId="50841" xr:uid="{00000000-0005-0000-0000-00006C4D0000}"/>
    <cellStyle name="Input 10 3 2 2 7" xfId="40738" xr:uid="{00000000-0005-0000-0000-00006D4D0000}"/>
    <cellStyle name="Input 10 3 2 2 8" xfId="39399" xr:uid="{00000000-0005-0000-0000-00006E4D0000}"/>
    <cellStyle name="Input 10 3 2 3" xfId="10834" xr:uid="{00000000-0005-0000-0000-00006F4D0000}"/>
    <cellStyle name="Input 10 3 2 3 2" xfId="18627" xr:uid="{00000000-0005-0000-0000-0000704D0000}"/>
    <cellStyle name="Input 10 3 2 3 2 2" xfId="44174" xr:uid="{00000000-0005-0000-0000-0000714D0000}"/>
    <cellStyle name="Input 10 3 2 3 2 3" xfId="48083" xr:uid="{00000000-0005-0000-0000-0000724D0000}"/>
    <cellStyle name="Input 10 3 2 3 2 4" xfId="36264" xr:uid="{00000000-0005-0000-0000-0000734D0000}"/>
    <cellStyle name="Input 10 3 2 3 3" xfId="19110" xr:uid="{00000000-0005-0000-0000-0000744D0000}"/>
    <cellStyle name="Input 10 3 2 3 3 2" xfId="44647" xr:uid="{00000000-0005-0000-0000-0000754D0000}"/>
    <cellStyle name="Input 10 3 2 3 3 3" xfId="48553" xr:uid="{00000000-0005-0000-0000-0000764D0000}"/>
    <cellStyle name="Input 10 3 2 3 3 4" xfId="36705" xr:uid="{00000000-0005-0000-0000-0000774D0000}"/>
    <cellStyle name="Input 10 3 2 3 4" xfId="18916" xr:uid="{00000000-0005-0000-0000-0000784D0000}"/>
    <cellStyle name="Input 10 3 2 3 4 2" xfId="44453" xr:uid="{00000000-0005-0000-0000-0000794D0000}"/>
    <cellStyle name="Input 10 3 2 3 4 3" xfId="48359" xr:uid="{00000000-0005-0000-0000-00007A4D0000}"/>
    <cellStyle name="Input 10 3 2 3 4 4" xfId="36546" xr:uid="{00000000-0005-0000-0000-00007B4D0000}"/>
    <cellStyle name="Input 10 3 2 3 5" xfId="21040" xr:uid="{00000000-0005-0000-0000-00007C4D0000}"/>
    <cellStyle name="Input 10 3 2 3 5 2" xfId="46577" xr:uid="{00000000-0005-0000-0000-00007D4D0000}"/>
    <cellStyle name="Input 10 3 2 3 5 3" xfId="50483" xr:uid="{00000000-0005-0000-0000-00007E4D0000}"/>
    <cellStyle name="Input 10 3 2 3 5 4" xfId="38446" xr:uid="{00000000-0005-0000-0000-00007F4D0000}"/>
    <cellStyle name="Input 10 3 2 3 6" xfId="21693" xr:uid="{00000000-0005-0000-0000-0000804D0000}"/>
    <cellStyle name="Input 10 3 2 3 6 2" xfId="47230" xr:uid="{00000000-0005-0000-0000-0000814D0000}"/>
    <cellStyle name="Input 10 3 2 3 6 3" xfId="51136" xr:uid="{00000000-0005-0000-0000-0000824D0000}"/>
    <cellStyle name="Input 10 3 2 3 7" xfId="41033" xr:uid="{00000000-0005-0000-0000-0000834D0000}"/>
    <cellStyle name="Input 10 3 2 3 8" xfId="39381" xr:uid="{00000000-0005-0000-0000-0000844D0000}"/>
    <cellStyle name="Input 10 3 2 4" xfId="14797" xr:uid="{00000000-0005-0000-0000-0000854D0000}"/>
    <cellStyle name="Input 10 3 2 4 2" xfId="42913" xr:uid="{00000000-0005-0000-0000-0000864D0000}"/>
    <cellStyle name="Input 10 3 2 4 3" xfId="40163" xr:uid="{00000000-0005-0000-0000-0000874D0000}"/>
    <cellStyle name="Input 10 3 2 4 4" xfId="32432" xr:uid="{00000000-0005-0000-0000-0000884D0000}"/>
    <cellStyle name="Input 10 3 2 5" xfId="12466" xr:uid="{00000000-0005-0000-0000-0000894D0000}"/>
    <cellStyle name="Input 10 3 2 5 2" xfId="41987" xr:uid="{00000000-0005-0000-0000-00008A4D0000}"/>
    <cellStyle name="Input 10 3 2 5 3" xfId="40342" xr:uid="{00000000-0005-0000-0000-00008B4D0000}"/>
    <cellStyle name="Input 10 3 2 5 4" xfId="30137" xr:uid="{00000000-0005-0000-0000-00008C4D0000}"/>
    <cellStyle name="Input 10 3 2 6" xfId="13917" xr:uid="{00000000-0005-0000-0000-00008D4D0000}"/>
    <cellStyle name="Input 10 3 2 6 2" xfId="42652" xr:uid="{00000000-0005-0000-0000-00008E4D0000}"/>
    <cellStyle name="Input 10 3 2 6 3" xfId="43188" xr:uid="{00000000-0005-0000-0000-00008F4D0000}"/>
    <cellStyle name="Input 10 3 2 6 4" xfId="31553" xr:uid="{00000000-0005-0000-0000-0000904D0000}"/>
    <cellStyle name="Input 10 3 2 7" xfId="11468" xr:uid="{00000000-0005-0000-0000-0000914D0000}"/>
    <cellStyle name="Input 10 3 2 7 2" xfId="41479" xr:uid="{00000000-0005-0000-0000-0000924D0000}"/>
    <cellStyle name="Input 10 3 2 7 3" xfId="40216" xr:uid="{00000000-0005-0000-0000-0000934D0000}"/>
    <cellStyle name="Input 10 3 2 7 4" xfId="29185" xr:uid="{00000000-0005-0000-0000-0000944D0000}"/>
    <cellStyle name="Input 10 3 2 8" xfId="11666" xr:uid="{00000000-0005-0000-0000-0000954D0000}"/>
    <cellStyle name="Input 10 3 2 8 2" xfId="41677" xr:uid="{00000000-0005-0000-0000-0000964D0000}"/>
    <cellStyle name="Input 10 3 2 8 3" xfId="43209" xr:uid="{00000000-0005-0000-0000-0000974D0000}"/>
    <cellStyle name="Input 10 3 2 9" xfId="39773" xr:uid="{00000000-0005-0000-0000-0000984D0000}"/>
    <cellStyle name="Input 10 3 3" xfId="52990" xr:uid="{00000000-0005-0000-0000-0000994D0000}"/>
    <cellStyle name="Input 10 4" xfId="7006" xr:uid="{00000000-0005-0000-0000-00009A4D0000}"/>
    <cellStyle name="Input 10 4 10" xfId="43656" xr:uid="{00000000-0005-0000-0000-00009B4D0000}"/>
    <cellStyle name="Input 10 4 11" xfId="52991" xr:uid="{00000000-0005-0000-0000-00009C4D0000}"/>
    <cellStyle name="Input 10 4 2" xfId="10536" xr:uid="{00000000-0005-0000-0000-00009D4D0000}"/>
    <cellStyle name="Input 10 4 2 2" xfId="18329" xr:uid="{00000000-0005-0000-0000-00009E4D0000}"/>
    <cellStyle name="Input 10 4 2 2 2" xfId="43876" xr:uid="{00000000-0005-0000-0000-00009F4D0000}"/>
    <cellStyle name="Input 10 4 2 2 3" xfId="47785" xr:uid="{00000000-0005-0000-0000-0000A04D0000}"/>
    <cellStyle name="Input 10 4 2 2 4" xfId="35966" xr:uid="{00000000-0005-0000-0000-0000A14D0000}"/>
    <cellStyle name="Input 10 4 2 3" xfId="19136" xr:uid="{00000000-0005-0000-0000-0000A24D0000}"/>
    <cellStyle name="Input 10 4 2 3 2" xfId="44673" xr:uid="{00000000-0005-0000-0000-0000A34D0000}"/>
    <cellStyle name="Input 10 4 2 3 3" xfId="48579" xr:uid="{00000000-0005-0000-0000-0000A44D0000}"/>
    <cellStyle name="Input 10 4 2 3 4" xfId="36731" xr:uid="{00000000-0005-0000-0000-0000A54D0000}"/>
    <cellStyle name="Input 10 4 2 4" xfId="19032" xr:uid="{00000000-0005-0000-0000-0000A64D0000}"/>
    <cellStyle name="Input 10 4 2 4 2" xfId="44569" xr:uid="{00000000-0005-0000-0000-0000A74D0000}"/>
    <cellStyle name="Input 10 4 2 4 3" xfId="48475" xr:uid="{00000000-0005-0000-0000-0000A84D0000}"/>
    <cellStyle name="Input 10 4 2 4 4" xfId="36638" xr:uid="{00000000-0005-0000-0000-0000A94D0000}"/>
    <cellStyle name="Input 10 4 2 5" xfId="20742" xr:uid="{00000000-0005-0000-0000-0000AA4D0000}"/>
    <cellStyle name="Input 10 4 2 5 2" xfId="46279" xr:uid="{00000000-0005-0000-0000-0000AB4D0000}"/>
    <cellStyle name="Input 10 4 2 5 3" xfId="50185" xr:uid="{00000000-0005-0000-0000-0000AC4D0000}"/>
    <cellStyle name="Input 10 4 2 5 4" xfId="38148" xr:uid="{00000000-0005-0000-0000-0000AD4D0000}"/>
    <cellStyle name="Input 10 4 2 6" xfId="21395" xr:uid="{00000000-0005-0000-0000-0000AE4D0000}"/>
    <cellStyle name="Input 10 4 2 6 2" xfId="46932" xr:uid="{00000000-0005-0000-0000-0000AF4D0000}"/>
    <cellStyle name="Input 10 4 2 6 3" xfId="50838" xr:uid="{00000000-0005-0000-0000-0000B04D0000}"/>
    <cellStyle name="Input 10 4 2 7" xfId="40735" xr:uid="{00000000-0005-0000-0000-0000B14D0000}"/>
    <cellStyle name="Input 10 4 2 8" xfId="42078" xr:uid="{00000000-0005-0000-0000-0000B24D0000}"/>
    <cellStyle name="Input 10 4 3" xfId="10831" xr:uid="{00000000-0005-0000-0000-0000B34D0000}"/>
    <cellStyle name="Input 10 4 3 2" xfId="18624" xr:uid="{00000000-0005-0000-0000-0000B44D0000}"/>
    <cellStyle name="Input 10 4 3 2 2" xfId="44171" xr:uid="{00000000-0005-0000-0000-0000B54D0000}"/>
    <cellStyle name="Input 10 4 3 2 3" xfId="48080" xr:uid="{00000000-0005-0000-0000-0000B64D0000}"/>
    <cellStyle name="Input 10 4 3 2 4" xfId="36261" xr:uid="{00000000-0005-0000-0000-0000B74D0000}"/>
    <cellStyle name="Input 10 4 3 3" xfId="20012" xr:uid="{00000000-0005-0000-0000-0000B84D0000}"/>
    <cellStyle name="Input 10 4 3 3 2" xfId="45549" xr:uid="{00000000-0005-0000-0000-0000B94D0000}"/>
    <cellStyle name="Input 10 4 3 3 3" xfId="49455" xr:uid="{00000000-0005-0000-0000-0000BA4D0000}"/>
    <cellStyle name="Input 10 4 3 3 4" xfId="37510" xr:uid="{00000000-0005-0000-0000-0000BB4D0000}"/>
    <cellStyle name="Input 10 4 3 4" xfId="13302" xr:uid="{00000000-0005-0000-0000-0000BC4D0000}"/>
    <cellStyle name="Input 10 4 3 4 2" xfId="42472" xr:uid="{00000000-0005-0000-0000-0000BD4D0000}"/>
    <cellStyle name="Input 10 4 3 4 3" xfId="40537" xr:uid="{00000000-0005-0000-0000-0000BE4D0000}"/>
    <cellStyle name="Input 10 4 3 4 4" xfId="30946" xr:uid="{00000000-0005-0000-0000-0000BF4D0000}"/>
    <cellStyle name="Input 10 4 3 5" xfId="21037" xr:uid="{00000000-0005-0000-0000-0000C04D0000}"/>
    <cellStyle name="Input 10 4 3 5 2" xfId="46574" xr:uid="{00000000-0005-0000-0000-0000C14D0000}"/>
    <cellStyle name="Input 10 4 3 5 3" xfId="50480" xr:uid="{00000000-0005-0000-0000-0000C24D0000}"/>
    <cellStyle name="Input 10 4 3 5 4" xfId="38443" xr:uid="{00000000-0005-0000-0000-0000C34D0000}"/>
    <cellStyle name="Input 10 4 3 6" xfId="21690" xr:uid="{00000000-0005-0000-0000-0000C44D0000}"/>
    <cellStyle name="Input 10 4 3 6 2" xfId="47227" xr:uid="{00000000-0005-0000-0000-0000C54D0000}"/>
    <cellStyle name="Input 10 4 3 6 3" xfId="51133" xr:uid="{00000000-0005-0000-0000-0000C64D0000}"/>
    <cellStyle name="Input 10 4 3 7" xfId="41030" xr:uid="{00000000-0005-0000-0000-0000C74D0000}"/>
    <cellStyle name="Input 10 4 3 8" xfId="42060" xr:uid="{00000000-0005-0000-0000-0000C84D0000}"/>
    <cellStyle name="Input 10 4 4" xfId="14794" xr:uid="{00000000-0005-0000-0000-0000C94D0000}"/>
    <cellStyle name="Input 10 4 4 2" xfId="42910" xr:uid="{00000000-0005-0000-0000-0000CA4D0000}"/>
    <cellStyle name="Input 10 4 4 3" xfId="39435" xr:uid="{00000000-0005-0000-0000-0000CB4D0000}"/>
    <cellStyle name="Input 10 4 4 4" xfId="32429" xr:uid="{00000000-0005-0000-0000-0000CC4D0000}"/>
    <cellStyle name="Input 10 4 5" xfId="13079" xr:uid="{00000000-0005-0000-0000-0000CD4D0000}"/>
    <cellStyle name="Input 10 4 5 2" xfId="42300" xr:uid="{00000000-0005-0000-0000-0000CE4D0000}"/>
    <cellStyle name="Input 10 4 5 3" xfId="43197" xr:uid="{00000000-0005-0000-0000-0000CF4D0000}"/>
    <cellStyle name="Input 10 4 5 4" xfId="30728" xr:uid="{00000000-0005-0000-0000-0000D04D0000}"/>
    <cellStyle name="Input 10 4 6" xfId="19465" xr:uid="{00000000-0005-0000-0000-0000D14D0000}"/>
    <cellStyle name="Input 10 4 6 2" xfId="45002" xr:uid="{00000000-0005-0000-0000-0000D24D0000}"/>
    <cellStyle name="Input 10 4 6 3" xfId="48908" xr:uid="{00000000-0005-0000-0000-0000D34D0000}"/>
    <cellStyle name="Input 10 4 6 4" xfId="37023" xr:uid="{00000000-0005-0000-0000-0000D44D0000}"/>
    <cellStyle name="Input 10 4 7" xfId="20109" xr:uid="{00000000-0005-0000-0000-0000D54D0000}"/>
    <cellStyle name="Input 10 4 7 2" xfId="45646" xr:uid="{00000000-0005-0000-0000-0000D64D0000}"/>
    <cellStyle name="Input 10 4 7 3" xfId="49552" xr:uid="{00000000-0005-0000-0000-0000D74D0000}"/>
    <cellStyle name="Input 10 4 7 4" xfId="37597" xr:uid="{00000000-0005-0000-0000-0000D84D0000}"/>
    <cellStyle name="Input 10 4 8" xfId="19702" xr:uid="{00000000-0005-0000-0000-0000D94D0000}"/>
    <cellStyle name="Input 10 4 8 2" xfId="45239" xr:uid="{00000000-0005-0000-0000-0000DA4D0000}"/>
    <cellStyle name="Input 10 4 8 3" xfId="49145" xr:uid="{00000000-0005-0000-0000-0000DB4D0000}"/>
    <cellStyle name="Input 10 4 9" xfId="39770" xr:uid="{00000000-0005-0000-0000-0000DC4D0000}"/>
    <cellStyle name="Input 10 5" xfId="22428" xr:uid="{00000000-0005-0000-0000-0000DD4D0000}"/>
    <cellStyle name="Input 10 6" xfId="22922" xr:uid="{00000000-0005-0000-0000-0000DE4D0000}"/>
    <cellStyle name="Input 10 7" xfId="52987" xr:uid="{00000000-0005-0000-0000-0000DF4D0000}"/>
    <cellStyle name="Input 10_Sheet1" xfId="1802" xr:uid="{00000000-0005-0000-0000-0000E04D0000}"/>
    <cellStyle name="Input 11" xfId="1803" xr:uid="{00000000-0005-0000-0000-0000E14D0000}"/>
    <cellStyle name="Input 11 2" xfId="1804" xr:uid="{00000000-0005-0000-0000-0000E24D0000}"/>
    <cellStyle name="Input 11 2 2" xfId="1805" xr:uid="{00000000-0005-0000-0000-0000E34D0000}"/>
    <cellStyle name="Input 11 2 2 2" xfId="7012" xr:uid="{00000000-0005-0000-0000-0000E44D0000}"/>
    <cellStyle name="Input 11 2 2 2 10" xfId="39520" xr:uid="{00000000-0005-0000-0000-0000E54D0000}"/>
    <cellStyle name="Input 11 2 2 2 2" xfId="10542" xr:uid="{00000000-0005-0000-0000-0000E64D0000}"/>
    <cellStyle name="Input 11 2 2 2 2 2" xfId="18335" xr:uid="{00000000-0005-0000-0000-0000E74D0000}"/>
    <cellStyle name="Input 11 2 2 2 2 2 2" xfId="43882" xr:uid="{00000000-0005-0000-0000-0000E84D0000}"/>
    <cellStyle name="Input 11 2 2 2 2 2 3" xfId="47791" xr:uid="{00000000-0005-0000-0000-0000E94D0000}"/>
    <cellStyle name="Input 11 2 2 2 2 2 4" xfId="35972" xr:uid="{00000000-0005-0000-0000-0000EA4D0000}"/>
    <cellStyle name="Input 11 2 2 2 2 3" xfId="20040" xr:uid="{00000000-0005-0000-0000-0000EB4D0000}"/>
    <cellStyle name="Input 11 2 2 2 2 3 2" xfId="45577" xr:uid="{00000000-0005-0000-0000-0000EC4D0000}"/>
    <cellStyle name="Input 11 2 2 2 2 3 3" xfId="49483" xr:uid="{00000000-0005-0000-0000-0000ED4D0000}"/>
    <cellStyle name="Input 11 2 2 2 2 3 4" xfId="37538" xr:uid="{00000000-0005-0000-0000-0000EE4D0000}"/>
    <cellStyle name="Input 11 2 2 2 2 4" xfId="12616" xr:uid="{00000000-0005-0000-0000-0000EF4D0000}"/>
    <cellStyle name="Input 11 2 2 2 2 4 2" xfId="42095" xr:uid="{00000000-0005-0000-0000-0000F04D0000}"/>
    <cellStyle name="Input 11 2 2 2 2 4 3" xfId="42566" xr:uid="{00000000-0005-0000-0000-0000F14D0000}"/>
    <cellStyle name="Input 11 2 2 2 2 4 4" xfId="30282" xr:uid="{00000000-0005-0000-0000-0000F24D0000}"/>
    <cellStyle name="Input 11 2 2 2 2 5" xfId="20748" xr:uid="{00000000-0005-0000-0000-0000F34D0000}"/>
    <cellStyle name="Input 11 2 2 2 2 5 2" xfId="46285" xr:uid="{00000000-0005-0000-0000-0000F44D0000}"/>
    <cellStyle name="Input 11 2 2 2 2 5 3" xfId="50191" xr:uid="{00000000-0005-0000-0000-0000F54D0000}"/>
    <cellStyle name="Input 11 2 2 2 2 5 4" xfId="38154" xr:uid="{00000000-0005-0000-0000-0000F64D0000}"/>
    <cellStyle name="Input 11 2 2 2 2 6" xfId="21401" xr:uid="{00000000-0005-0000-0000-0000F74D0000}"/>
    <cellStyle name="Input 11 2 2 2 2 6 2" xfId="46938" xr:uid="{00000000-0005-0000-0000-0000F84D0000}"/>
    <cellStyle name="Input 11 2 2 2 2 6 3" xfId="50844" xr:uid="{00000000-0005-0000-0000-0000F94D0000}"/>
    <cellStyle name="Input 11 2 2 2 2 7" xfId="40741" xr:uid="{00000000-0005-0000-0000-0000FA4D0000}"/>
    <cellStyle name="Input 11 2 2 2 2 8" xfId="43244" xr:uid="{00000000-0005-0000-0000-0000FB4D0000}"/>
    <cellStyle name="Input 11 2 2 2 3" xfId="10837" xr:uid="{00000000-0005-0000-0000-0000FC4D0000}"/>
    <cellStyle name="Input 11 2 2 2 3 2" xfId="18630" xr:uid="{00000000-0005-0000-0000-0000FD4D0000}"/>
    <cellStyle name="Input 11 2 2 2 3 2 2" xfId="44177" xr:uid="{00000000-0005-0000-0000-0000FE4D0000}"/>
    <cellStyle name="Input 11 2 2 2 3 2 3" xfId="48086" xr:uid="{00000000-0005-0000-0000-0000FF4D0000}"/>
    <cellStyle name="Input 11 2 2 2 3 2 4" xfId="36267" xr:uid="{00000000-0005-0000-0000-0000004E0000}"/>
    <cellStyle name="Input 11 2 2 2 3 3" xfId="12167" xr:uid="{00000000-0005-0000-0000-0000014E0000}"/>
    <cellStyle name="Input 11 2 2 2 3 3 2" xfId="41912" xr:uid="{00000000-0005-0000-0000-0000024E0000}"/>
    <cellStyle name="Input 11 2 2 2 3 3 3" xfId="40345" xr:uid="{00000000-0005-0000-0000-0000034E0000}"/>
    <cellStyle name="Input 11 2 2 2 3 3 4" xfId="29839" xr:uid="{00000000-0005-0000-0000-0000044E0000}"/>
    <cellStyle name="Input 11 2 2 2 3 4" xfId="20364" xr:uid="{00000000-0005-0000-0000-0000054E0000}"/>
    <cellStyle name="Input 11 2 2 2 3 4 2" xfId="45901" xr:uid="{00000000-0005-0000-0000-0000064E0000}"/>
    <cellStyle name="Input 11 2 2 2 3 4 3" xfId="49807" xr:uid="{00000000-0005-0000-0000-0000074E0000}"/>
    <cellStyle name="Input 11 2 2 2 3 4 4" xfId="37820" xr:uid="{00000000-0005-0000-0000-0000084E0000}"/>
    <cellStyle name="Input 11 2 2 2 3 5" xfId="21043" xr:uid="{00000000-0005-0000-0000-0000094E0000}"/>
    <cellStyle name="Input 11 2 2 2 3 5 2" xfId="46580" xr:uid="{00000000-0005-0000-0000-00000A4E0000}"/>
    <cellStyle name="Input 11 2 2 2 3 5 3" xfId="50486" xr:uid="{00000000-0005-0000-0000-00000B4E0000}"/>
    <cellStyle name="Input 11 2 2 2 3 5 4" xfId="38449" xr:uid="{00000000-0005-0000-0000-00000C4E0000}"/>
    <cellStyle name="Input 11 2 2 2 3 6" xfId="21696" xr:uid="{00000000-0005-0000-0000-00000D4E0000}"/>
    <cellStyle name="Input 11 2 2 2 3 6 2" xfId="47233" xr:uid="{00000000-0005-0000-0000-00000E4E0000}"/>
    <cellStyle name="Input 11 2 2 2 3 6 3" xfId="51139" xr:uid="{00000000-0005-0000-0000-00000F4E0000}"/>
    <cellStyle name="Input 11 2 2 2 3 7" xfId="41036" xr:uid="{00000000-0005-0000-0000-0000104E0000}"/>
    <cellStyle name="Input 11 2 2 2 3 8" xfId="40240" xr:uid="{00000000-0005-0000-0000-0000114E0000}"/>
    <cellStyle name="Input 11 2 2 2 4" xfId="14800" xr:uid="{00000000-0005-0000-0000-0000124E0000}"/>
    <cellStyle name="Input 11 2 2 2 4 2" xfId="42916" xr:uid="{00000000-0005-0000-0000-0000134E0000}"/>
    <cellStyle name="Input 11 2 2 2 4 3" xfId="41292" xr:uid="{00000000-0005-0000-0000-0000144E0000}"/>
    <cellStyle name="Input 11 2 2 2 4 4" xfId="32435" xr:uid="{00000000-0005-0000-0000-0000154E0000}"/>
    <cellStyle name="Input 11 2 2 2 5" xfId="13082" xr:uid="{00000000-0005-0000-0000-0000164E0000}"/>
    <cellStyle name="Input 11 2 2 2 5 2" xfId="42303" xr:uid="{00000000-0005-0000-0000-0000174E0000}"/>
    <cellStyle name="Input 11 2 2 2 5 3" xfId="43686" xr:uid="{00000000-0005-0000-0000-0000184E0000}"/>
    <cellStyle name="Input 11 2 2 2 5 4" xfId="30731" xr:uid="{00000000-0005-0000-0000-0000194E0000}"/>
    <cellStyle name="Input 11 2 2 2 6" xfId="12038" xr:uid="{00000000-0005-0000-0000-00001A4E0000}"/>
    <cellStyle name="Input 11 2 2 2 6 2" xfId="41794" xr:uid="{00000000-0005-0000-0000-00001B4E0000}"/>
    <cellStyle name="Input 11 2 2 2 6 3" xfId="47589" xr:uid="{00000000-0005-0000-0000-00001C4E0000}"/>
    <cellStyle name="Input 11 2 2 2 6 4" xfId="29717" xr:uid="{00000000-0005-0000-0000-00001D4E0000}"/>
    <cellStyle name="Input 11 2 2 2 7" xfId="20530" xr:uid="{00000000-0005-0000-0000-00001E4E0000}"/>
    <cellStyle name="Input 11 2 2 2 7 2" xfId="46067" xr:uid="{00000000-0005-0000-0000-00001F4E0000}"/>
    <cellStyle name="Input 11 2 2 2 7 3" xfId="49973" xr:uid="{00000000-0005-0000-0000-0000204E0000}"/>
    <cellStyle name="Input 11 2 2 2 7 4" xfId="37959" xr:uid="{00000000-0005-0000-0000-0000214E0000}"/>
    <cellStyle name="Input 11 2 2 2 8" xfId="11550" xr:uid="{00000000-0005-0000-0000-0000224E0000}"/>
    <cellStyle name="Input 11 2 2 2 8 2" xfId="41561" xr:uid="{00000000-0005-0000-0000-0000234E0000}"/>
    <cellStyle name="Input 11 2 2 2 8 3" xfId="42024" xr:uid="{00000000-0005-0000-0000-0000244E0000}"/>
    <cellStyle name="Input 11 2 2 2 9" xfId="39776" xr:uid="{00000000-0005-0000-0000-0000254E0000}"/>
    <cellStyle name="Input 11 2 2 3" xfId="52994" xr:uid="{00000000-0005-0000-0000-0000264E0000}"/>
    <cellStyle name="Input 11 2 3" xfId="7011" xr:uid="{00000000-0005-0000-0000-0000274E0000}"/>
    <cellStyle name="Input 11 2 3 10" xfId="40408" xr:uid="{00000000-0005-0000-0000-0000284E0000}"/>
    <cellStyle name="Input 11 2 3 11" xfId="52995" xr:uid="{00000000-0005-0000-0000-0000294E0000}"/>
    <cellStyle name="Input 11 2 3 2" xfId="10541" xr:uid="{00000000-0005-0000-0000-00002A4E0000}"/>
    <cellStyle name="Input 11 2 3 2 2" xfId="18334" xr:uid="{00000000-0005-0000-0000-00002B4E0000}"/>
    <cellStyle name="Input 11 2 3 2 2 2" xfId="43881" xr:uid="{00000000-0005-0000-0000-00002C4E0000}"/>
    <cellStyle name="Input 11 2 3 2 2 3" xfId="47790" xr:uid="{00000000-0005-0000-0000-00002D4E0000}"/>
    <cellStyle name="Input 11 2 3 2 2 4" xfId="35971" xr:uid="{00000000-0005-0000-0000-00002E4E0000}"/>
    <cellStyle name="Input 11 2 3 2 3" xfId="19433" xr:uid="{00000000-0005-0000-0000-00002F4E0000}"/>
    <cellStyle name="Input 11 2 3 2 3 2" xfId="44970" xr:uid="{00000000-0005-0000-0000-0000304E0000}"/>
    <cellStyle name="Input 11 2 3 2 3 3" xfId="48876" xr:uid="{00000000-0005-0000-0000-0000314E0000}"/>
    <cellStyle name="Input 11 2 3 2 3 4" xfId="36998" xr:uid="{00000000-0005-0000-0000-0000324E0000}"/>
    <cellStyle name="Input 11 2 3 2 4" xfId="11562" xr:uid="{00000000-0005-0000-0000-0000334E0000}"/>
    <cellStyle name="Input 11 2 3 2 4 2" xfId="41573" xr:uid="{00000000-0005-0000-0000-0000344E0000}"/>
    <cellStyle name="Input 11 2 3 2 4 3" xfId="43603" xr:uid="{00000000-0005-0000-0000-0000354E0000}"/>
    <cellStyle name="Input 11 2 3 2 4 4" xfId="29273" xr:uid="{00000000-0005-0000-0000-0000364E0000}"/>
    <cellStyle name="Input 11 2 3 2 5" xfId="20747" xr:uid="{00000000-0005-0000-0000-0000374E0000}"/>
    <cellStyle name="Input 11 2 3 2 5 2" xfId="46284" xr:uid="{00000000-0005-0000-0000-0000384E0000}"/>
    <cellStyle name="Input 11 2 3 2 5 3" xfId="50190" xr:uid="{00000000-0005-0000-0000-0000394E0000}"/>
    <cellStyle name="Input 11 2 3 2 5 4" xfId="38153" xr:uid="{00000000-0005-0000-0000-00003A4E0000}"/>
    <cellStyle name="Input 11 2 3 2 6" xfId="21400" xr:uid="{00000000-0005-0000-0000-00003B4E0000}"/>
    <cellStyle name="Input 11 2 3 2 6 2" xfId="46937" xr:uid="{00000000-0005-0000-0000-00003C4E0000}"/>
    <cellStyle name="Input 11 2 3 2 6 3" xfId="50843" xr:uid="{00000000-0005-0000-0000-00003D4E0000}"/>
    <cellStyle name="Input 11 2 3 2 7" xfId="40740" xr:uid="{00000000-0005-0000-0000-00003E4E0000}"/>
    <cellStyle name="Input 11 2 3 2 8" xfId="41441" xr:uid="{00000000-0005-0000-0000-00003F4E0000}"/>
    <cellStyle name="Input 11 2 3 3" xfId="10836" xr:uid="{00000000-0005-0000-0000-0000404E0000}"/>
    <cellStyle name="Input 11 2 3 3 2" xfId="18629" xr:uid="{00000000-0005-0000-0000-0000414E0000}"/>
    <cellStyle name="Input 11 2 3 3 2 2" xfId="44176" xr:uid="{00000000-0005-0000-0000-0000424E0000}"/>
    <cellStyle name="Input 11 2 3 3 2 3" xfId="48085" xr:uid="{00000000-0005-0000-0000-0000434E0000}"/>
    <cellStyle name="Input 11 2 3 3 2 4" xfId="36266" xr:uid="{00000000-0005-0000-0000-0000444E0000}"/>
    <cellStyle name="Input 11 2 3 3 3" xfId="11515" xr:uid="{00000000-0005-0000-0000-0000454E0000}"/>
    <cellStyle name="Input 11 2 3 3 3 2" xfId="41526" xr:uid="{00000000-0005-0000-0000-0000464E0000}"/>
    <cellStyle name="Input 11 2 3 3 3 3" xfId="41395" xr:uid="{00000000-0005-0000-0000-0000474E0000}"/>
    <cellStyle name="Input 11 2 3 3 3 4" xfId="29230" xr:uid="{00000000-0005-0000-0000-0000484E0000}"/>
    <cellStyle name="Input 11 2 3 3 4" xfId="18903" xr:uid="{00000000-0005-0000-0000-0000494E0000}"/>
    <cellStyle name="Input 11 2 3 3 4 2" xfId="44440" xr:uid="{00000000-0005-0000-0000-00004A4E0000}"/>
    <cellStyle name="Input 11 2 3 3 4 3" xfId="48346" xr:uid="{00000000-0005-0000-0000-00004B4E0000}"/>
    <cellStyle name="Input 11 2 3 3 4 4" xfId="36536" xr:uid="{00000000-0005-0000-0000-00004C4E0000}"/>
    <cellStyle name="Input 11 2 3 3 5" xfId="21042" xr:uid="{00000000-0005-0000-0000-00004D4E0000}"/>
    <cellStyle name="Input 11 2 3 3 5 2" xfId="46579" xr:uid="{00000000-0005-0000-0000-00004E4E0000}"/>
    <cellStyle name="Input 11 2 3 3 5 3" xfId="50485" xr:uid="{00000000-0005-0000-0000-00004F4E0000}"/>
    <cellStyle name="Input 11 2 3 3 5 4" xfId="38448" xr:uid="{00000000-0005-0000-0000-0000504E0000}"/>
    <cellStyle name="Input 11 2 3 3 6" xfId="21695" xr:uid="{00000000-0005-0000-0000-0000514E0000}"/>
    <cellStyle name="Input 11 2 3 3 6 2" xfId="47232" xr:uid="{00000000-0005-0000-0000-0000524E0000}"/>
    <cellStyle name="Input 11 2 3 3 6 3" xfId="51138" xr:uid="{00000000-0005-0000-0000-0000534E0000}"/>
    <cellStyle name="Input 11 2 3 3 7" xfId="41035" xr:uid="{00000000-0005-0000-0000-0000544E0000}"/>
    <cellStyle name="Input 11 2 3 3 8" xfId="43378" xr:uid="{00000000-0005-0000-0000-0000554E0000}"/>
    <cellStyle name="Input 11 2 3 4" xfId="14799" xr:uid="{00000000-0005-0000-0000-0000564E0000}"/>
    <cellStyle name="Input 11 2 3 4 2" xfId="42915" xr:uid="{00000000-0005-0000-0000-0000574E0000}"/>
    <cellStyle name="Input 11 2 3 4 3" xfId="39064" xr:uid="{00000000-0005-0000-0000-0000584E0000}"/>
    <cellStyle name="Input 11 2 3 4 4" xfId="32434" xr:uid="{00000000-0005-0000-0000-0000594E0000}"/>
    <cellStyle name="Input 11 2 3 5" xfId="13081" xr:uid="{00000000-0005-0000-0000-00005A4E0000}"/>
    <cellStyle name="Input 11 2 3 5 2" xfId="42302" xr:uid="{00000000-0005-0000-0000-00005B4E0000}"/>
    <cellStyle name="Input 11 2 3 5 3" xfId="42798" xr:uid="{00000000-0005-0000-0000-00005C4E0000}"/>
    <cellStyle name="Input 11 2 3 5 4" xfId="30730" xr:uid="{00000000-0005-0000-0000-00005D4E0000}"/>
    <cellStyle name="Input 11 2 3 6" xfId="19459" xr:uid="{00000000-0005-0000-0000-00005E4E0000}"/>
    <cellStyle name="Input 11 2 3 6 2" xfId="44996" xr:uid="{00000000-0005-0000-0000-00005F4E0000}"/>
    <cellStyle name="Input 11 2 3 6 3" xfId="48902" xr:uid="{00000000-0005-0000-0000-0000604E0000}"/>
    <cellStyle name="Input 11 2 3 6 4" xfId="37018" xr:uid="{00000000-0005-0000-0000-0000614E0000}"/>
    <cellStyle name="Input 11 2 3 7" xfId="11473" xr:uid="{00000000-0005-0000-0000-0000624E0000}"/>
    <cellStyle name="Input 11 2 3 7 2" xfId="41484" xr:uid="{00000000-0005-0000-0000-0000634E0000}"/>
    <cellStyle name="Input 11 2 3 7 3" xfId="39358" xr:uid="{00000000-0005-0000-0000-0000644E0000}"/>
    <cellStyle name="Input 11 2 3 7 4" xfId="29189" xr:uid="{00000000-0005-0000-0000-0000654E0000}"/>
    <cellStyle name="Input 11 2 3 8" xfId="19458" xr:uid="{00000000-0005-0000-0000-0000664E0000}"/>
    <cellStyle name="Input 11 2 3 8 2" xfId="44995" xr:uid="{00000000-0005-0000-0000-0000674E0000}"/>
    <cellStyle name="Input 11 2 3 8 3" xfId="48901" xr:uid="{00000000-0005-0000-0000-0000684E0000}"/>
    <cellStyle name="Input 11 2 3 9" xfId="39775" xr:uid="{00000000-0005-0000-0000-0000694E0000}"/>
    <cellStyle name="Input 11 2 4" xfId="22430" xr:uid="{00000000-0005-0000-0000-00006A4E0000}"/>
    <cellStyle name="Input 11 2 5" xfId="52993" xr:uid="{00000000-0005-0000-0000-00006B4E0000}"/>
    <cellStyle name="Input 11 2_Sheet1" xfId="1806" xr:uid="{00000000-0005-0000-0000-00006C4E0000}"/>
    <cellStyle name="Input 11 3" xfId="1807" xr:uid="{00000000-0005-0000-0000-00006D4E0000}"/>
    <cellStyle name="Input 11 3 2" xfId="7013" xr:uid="{00000000-0005-0000-0000-00006E4E0000}"/>
    <cellStyle name="Input 11 3 2 10" xfId="42201" xr:uid="{00000000-0005-0000-0000-00006F4E0000}"/>
    <cellStyle name="Input 11 3 2 2" xfId="10543" xr:uid="{00000000-0005-0000-0000-0000704E0000}"/>
    <cellStyle name="Input 11 3 2 2 2" xfId="18336" xr:uid="{00000000-0005-0000-0000-0000714E0000}"/>
    <cellStyle name="Input 11 3 2 2 2 2" xfId="43883" xr:uid="{00000000-0005-0000-0000-0000724E0000}"/>
    <cellStyle name="Input 11 3 2 2 2 3" xfId="47792" xr:uid="{00000000-0005-0000-0000-0000734E0000}"/>
    <cellStyle name="Input 11 3 2 2 2 4" xfId="35973" xr:uid="{00000000-0005-0000-0000-0000744E0000}"/>
    <cellStyle name="Input 11 3 2 2 3" xfId="19306" xr:uid="{00000000-0005-0000-0000-0000754E0000}"/>
    <cellStyle name="Input 11 3 2 2 3 2" xfId="44843" xr:uid="{00000000-0005-0000-0000-0000764E0000}"/>
    <cellStyle name="Input 11 3 2 2 3 3" xfId="48749" xr:uid="{00000000-0005-0000-0000-0000774E0000}"/>
    <cellStyle name="Input 11 3 2 2 3 4" xfId="36884" xr:uid="{00000000-0005-0000-0000-0000784E0000}"/>
    <cellStyle name="Input 11 3 2 2 4" xfId="19564" xr:uid="{00000000-0005-0000-0000-0000794E0000}"/>
    <cellStyle name="Input 11 3 2 2 4 2" xfId="45101" xr:uid="{00000000-0005-0000-0000-00007A4E0000}"/>
    <cellStyle name="Input 11 3 2 2 4 3" xfId="49007" xr:uid="{00000000-0005-0000-0000-00007B4E0000}"/>
    <cellStyle name="Input 11 3 2 2 4 4" xfId="37105" xr:uid="{00000000-0005-0000-0000-00007C4E0000}"/>
    <cellStyle name="Input 11 3 2 2 5" xfId="20749" xr:uid="{00000000-0005-0000-0000-00007D4E0000}"/>
    <cellStyle name="Input 11 3 2 2 5 2" xfId="46286" xr:uid="{00000000-0005-0000-0000-00007E4E0000}"/>
    <cellStyle name="Input 11 3 2 2 5 3" xfId="50192" xr:uid="{00000000-0005-0000-0000-00007F4E0000}"/>
    <cellStyle name="Input 11 3 2 2 5 4" xfId="38155" xr:uid="{00000000-0005-0000-0000-0000804E0000}"/>
    <cellStyle name="Input 11 3 2 2 6" xfId="21402" xr:uid="{00000000-0005-0000-0000-0000814E0000}"/>
    <cellStyle name="Input 11 3 2 2 6 2" xfId="46939" xr:uid="{00000000-0005-0000-0000-0000824E0000}"/>
    <cellStyle name="Input 11 3 2 2 6 3" xfId="50845" xr:uid="{00000000-0005-0000-0000-0000834E0000}"/>
    <cellStyle name="Input 11 3 2 2 7" xfId="40742" xr:uid="{00000000-0005-0000-0000-0000844E0000}"/>
    <cellStyle name="Input 11 3 2 2 8" xfId="40103" xr:uid="{00000000-0005-0000-0000-0000854E0000}"/>
    <cellStyle name="Input 11 3 2 3" xfId="10838" xr:uid="{00000000-0005-0000-0000-0000864E0000}"/>
    <cellStyle name="Input 11 3 2 3 2" xfId="18631" xr:uid="{00000000-0005-0000-0000-0000874E0000}"/>
    <cellStyle name="Input 11 3 2 3 2 2" xfId="44178" xr:uid="{00000000-0005-0000-0000-0000884E0000}"/>
    <cellStyle name="Input 11 3 2 3 2 3" xfId="48087" xr:uid="{00000000-0005-0000-0000-0000894E0000}"/>
    <cellStyle name="Input 11 3 2 3 2 4" xfId="36268" xr:uid="{00000000-0005-0000-0000-00008A4E0000}"/>
    <cellStyle name="Input 11 3 2 3 3" xfId="13335" xr:uid="{00000000-0005-0000-0000-00008B4E0000}"/>
    <cellStyle name="Input 11 3 2 3 3 2" xfId="42505" xr:uid="{00000000-0005-0000-0000-00008C4E0000}"/>
    <cellStyle name="Input 11 3 2 3 3 3" xfId="42792" xr:uid="{00000000-0005-0000-0000-00008D4E0000}"/>
    <cellStyle name="Input 11 3 2 3 3 4" xfId="30975" xr:uid="{00000000-0005-0000-0000-00008E4E0000}"/>
    <cellStyle name="Input 11 3 2 3 4" xfId="18963" xr:uid="{00000000-0005-0000-0000-00008F4E0000}"/>
    <cellStyle name="Input 11 3 2 3 4 2" xfId="44500" xr:uid="{00000000-0005-0000-0000-0000904E0000}"/>
    <cellStyle name="Input 11 3 2 3 4 3" xfId="48406" xr:uid="{00000000-0005-0000-0000-0000914E0000}"/>
    <cellStyle name="Input 11 3 2 3 4 4" xfId="36589" xr:uid="{00000000-0005-0000-0000-0000924E0000}"/>
    <cellStyle name="Input 11 3 2 3 5" xfId="21044" xr:uid="{00000000-0005-0000-0000-0000934E0000}"/>
    <cellStyle name="Input 11 3 2 3 5 2" xfId="46581" xr:uid="{00000000-0005-0000-0000-0000944E0000}"/>
    <cellStyle name="Input 11 3 2 3 5 3" xfId="50487" xr:uid="{00000000-0005-0000-0000-0000954E0000}"/>
    <cellStyle name="Input 11 3 2 3 5 4" xfId="38450" xr:uid="{00000000-0005-0000-0000-0000964E0000}"/>
    <cellStyle name="Input 11 3 2 3 6" xfId="21697" xr:uid="{00000000-0005-0000-0000-0000974E0000}"/>
    <cellStyle name="Input 11 3 2 3 6 2" xfId="47234" xr:uid="{00000000-0005-0000-0000-0000984E0000}"/>
    <cellStyle name="Input 11 3 2 3 6 3" xfId="51140" xr:uid="{00000000-0005-0000-0000-0000994E0000}"/>
    <cellStyle name="Input 11 3 2 3 7" xfId="41037" xr:uid="{00000000-0005-0000-0000-00009A4E0000}"/>
    <cellStyle name="Input 11 3 2 3 8" xfId="39380" xr:uid="{00000000-0005-0000-0000-00009B4E0000}"/>
    <cellStyle name="Input 11 3 2 4" xfId="14801" xr:uid="{00000000-0005-0000-0000-00009C4E0000}"/>
    <cellStyle name="Input 11 3 2 4 2" xfId="42917" xr:uid="{00000000-0005-0000-0000-00009D4E0000}"/>
    <cellStyle name="Input 11 3 2 4 3" xfId="43185" xr:uid="{00000000-0005-0000-0000-00009E4E0000}"/>
    <cellStyle name="Input 11 3 2 4 4" xfId="32436" xr:uid="{00000000-0005-0000-0000-00009F4E0000}"/>
    <cellStyle name="Input 11 3 2 5" xfId="13083" xr:uid="{00000000-0005-0000-0000-0000A04E0000}"/>
    <cellStyle name="Input 11 3 2 5 2" xfId="42304" xr:uid="{00000000-0005-0000-0000-0000A14E0000}"/>
    <cellStyle name="Input 11 3 2 5 3" xfId="40544" xr:uid="{00000000-0005-0000-0000-0000A24E0000}"/>
    <cellStyle name="Input 11 3 2 5 4" xfId="30732" xr:uid="{00000000-0005-0000-0000-0000A34E0000}"/>
    <cellStyle name="Input 11 3 2 6" xfId="19926" xr:uid="{00000000-0005-0000-0000-0000A44E0000}"/>
    <cellStyle name="Input 11 3 2 6 2" xfId="45463" xr:uid="{00000000-0005-0000-0000-0000A54E0000}"/>
    <cellStyle name="Input 11 3 2 6 3" xfId="49369" xr:uid="{00000000-0005-0000-0000-0000A64E0000}"/>
    <cellStyle name="Input 11 3 2 6 4" xfId="37440" xr:uid="{00000000-0005-0000-0000-0000A74E0000}"/>
    <cellStyle name="Input 11 3 2 7" xfId="20471" xr:uid="{00000000-0005-0000-0000-0000A84E0000}"/>
    <cellStyle name="Input 11 3 2 7 2" xfId="46008" xr:uid="{00000000-0005-0000-0000-0000A94E0000}"/>
    <cellStyle name="Input 11 3 2 7 3" xfId="49914" xr:uid="{00000000-0005-0000-0000-0000AA4E0000}"/>
    <cellStyle name="Input 11 3 2 7 4" xfId="37924" xr:uid="{00000000-0005-0000-0000-0000AB4E0000}"/>
    <cellStyle name="Input 11 3 2 8" xfId="19057" xr:uid="{00000000-0005-0000-0000-0000AC4E0000}"/>
    <cellStyle name="Input 11 3 2 8 2" xfId="44594" xr:uid="{00000000-0005-0000-0000-0000AD4E0000}"/>
    <cellStyle name="Input 11 3 2 8 3" xfId="48500" xr:uid="{00000000-0005-0000-0000-0000AE4E0000}"/>
    <cellStyle name="Input 11 3 2 9" xfId="39777" xr:uid="{00000000-0005-0000-0000-0000AF4E0000}"/>
    <cellStyle name="Input 11 3 3" xfId="52996" xr:uid="{00000000-0005-0000-0000-0000B04E0000}"/>
    <cellStyle name="Input 11 4" xfId="7010" xr:uid="{00000000-0005-0000-0000-0000B14E0000}"/>
    <cellStyle name="Input 11 4 10" xfId="43545" xr:uid="{00000000-0005-0000-0000-0000B24E0000}"/>
    <cellStyle name="Input 11 4 11" xfId="52997" xr:uid="{00000000-0005-0000-0000-0000B34E0000}"/>
    <cellStyle name="Input 11 4 2" xfId="10540" xr:uid="{00000000-0005-0000-0000-0000B44E0000}"/>
    <cellStyle name="Input 11 4 2 2" xfId="18333" xr:uid="{00000000-0005-0000-0000-0000B54E0000}"/>
    <cellStyle name="Input 11 4 2 2 2" xfId="43880" xr:uid="{00000000-0005-0000-0000-0000B64E0000}"/>
    <cellStyle name="Input 11 4 2 2 3" xfId="47789" xr:uid="{00000000-0005-0000-0000-0000B74E0000}"/>
    <cellStyle name="Input 11 4 2 2 4" xfId="35970" xr:uid="{00000000-0005-0000-0000-0000B84E0000}"/>
    <cellStyle name="Input 11 4 2 3" xfId="20174" xr:uid="{00000000-0005-0000-0000-0000B94E0000}"/>
    <cellStyle name="Input 11 4 2 3 2" xfId="45711" xr:uid="{00000000-0005-0000-0000-0000BA4E0000}"/>
    <cellStyle name="Input 11 4 2 3 3" xfId="49617" xr:uid="{00000000-0005-0000-0000-0000BB4E0000}"/>
    <cellStyle name="Input 11 4 2 3 4" xfId="37660" xr:uid="{00000000-0005-0000-0000-0000BC4E0000}"/>
    <cellStyle name="Input 11 4 2 4" xfId="11621" xr:uid="{00000000-0005-0000-0000-0000BD4E0000}"/>
    <cellStyle name="Input 11 4 2 4 2" xfId="41632" xr:uid="{00000000-0005-0000-0000-0000BE4E0000}"/>
    <cellStyle name="Input 11 4 2 4 3" xfId="40459" xr:uid="{00000000-0005-0000-0000-0000BF4E0000}"/>
    <cellStyle name="Input 11 4 2 4 4" xfId="29324" xr:uid="{00000000-0005-0000-0000-0000C04E0000}"/>
    <cellStyle name="Input 11 4 2 5" xfId="20746" xr:uid="{00000000-0005-0000-0000-0000C14E0000}"/>
    <cellStyle name="Input 11 4 2 5 2" xfId="46283" xr:uid="{00000000-0005-0000-0000-0000C24E0000}"/>
    <cellStyle name="Input 11 4 2 5 3" xfId="50189" xr:uid="{00000000-0005-0000-0000-0000C34E0000}"/>
    <cellStyle name="Input 11 4 2 5 4" xfId="38152" xr:uid="{00000000-0005-0000-0000-0000C44E0000}"/>
    <cellStyle name="Input 11 4 2 6" xfId="21399" xr:uid="{00000000-0005-0000-0000-0000C54E0000}"/>
    <cellStyle name="Input 11 4 2 6 2" xfId="46936" xr:uid="{00000000-0005-0000-0000-0000C64E0000}"/>
    <cellStyle name="Input 11 4 2 6 3" xfId="50842" xr:uid="{00000000-0005-0000-0000-0000C74E0000}"/>
    <cellStyle name="Input 11 4 2 7" xfId="40739" xr:uid="{00000000-0005-0000-0000-0000C84E0000}"/>
    <cellStyle name="Input 11 4 2 8" xfId="39201" xr:uid="{00000000-0005-0000-0000-0000C94E0000}"/>
    <cellStyle name="Input 11 4 3" xfId="10835" xr:uid="{00000000-0005-0000-0000-0000CA4E0000}"/>
    <cellStyle name="Input 11 4 3 2" xfId="18628" xr:uid="{00000000-0005-0000-0000-0000CB4E0000}"/>
    <cellStyle name="Input 11 4 3 2 2" xfId="44175" xr:uid="{00000000-0005-0000-0000-0000CC4E0000}"/>
    <cellStyle name="Input 11 4 3 2 3" xfId="48084" xr:uid="{00000000-0005-0000-0000-0000CD4E0000}"/>
    <cellStyle name="Input 11 4 3 2 4" xfId="36265" xr:uid="{00000000-0005-0000-0000-0000CE4E0000}"/>
    <cellStyle name="Input 11 4 3 3" xfId="19724" xr:uid="{00000000-0005-0000-0000-0000CF4E0000}"/>
    <cellStyle name="Input 11 4 3 3 2" xfId="45261" xr:uid="{00000000-0005-0000-0000-0000D04E0000}"/>
    <cellStyle name="Input 11 4 3 3 3" xfId="49167" xr:uid="{00000000-0005-0000-0000-0000D14E0000}"/>
    <cellStyle name="Input 11 4 3 3 4" xfId="37251" xr:uid="{00000000-0005-0000-0000-0000D24E0000}"/>
    <cellStyle name="Input 11 4 3 4" xfId="11424" xr:uid="{00000000-0005-0000-0000-0000D34E0000}"/>
    <cellStyle name="Input 11 4 3 4 2" xfId="41449" xr:uid="{00000000-0005-0000-0000-0000D44E0000}"/>
    <cellStyle name="Input 11 4 3 4 3" xfId="39176" xr:uid="{00000000-0005-0000-0000-0000D54E0000}"/>
    <cellStyle name="Input 11 4 3 4 4" xfId="29146" xr:uid="{00000000-0005-0000-0000-0000D64E0000}"/>
    <cellStyle name="Input 11 4 3 5" xfId="21041" xr:uid="{00000000-0005-0000-0000-0000D74E0000}"/>
    <cellStyle name="Input 11 4 3 5 2" xfId="46578" xr:uid="{00000000-0005-0000-0000-0000D84E0000}"/>
    <cellStyle name="Input 11 4 3 5 3" xfId="50484" xr:uid="{00000000-0005-0000-0000-0000D94E0000}"/>
    <cellStyle name="Input 11 4 3 5 4" xfId="38447" xr:uid="{00000000-0005-0000-0000-0000DA4E0000}"/>
    <cellStyle name="Input 11 4 3 6" xfId="21694" xr:uid="{00000000-0005-0000-0000-0000DB4E0000}"/>
    <cellStyle name="Input 11 4 3 6 2" xfId="47231" xr:uid="{00000000-0005-0000-0000-0000DC4E0000}"/>
    <cellStyle name="Input 11 4 3 6 3" xfId="51137" xr:uid="{00000000-0005-0000-0000-0000DD4E0000}"/>
    <cellStyle name="Input 11 4 3 7" xfId="41034" xr:uid="{00000000-0005-0000-0000-0000DE4E0000}"/>
    <cellStyle name="Input 11 4 3 8" xfId="42059" xr:uid="{00000000-0005-0000-0000-0000DF4E0000}"/>
    <cellStyle name="Input 11 4 4" xfId="14798" xr:uid="{00000000-0005-0000-0000-0000E04E0000}"/>
    <cellStyle name="Input 11 4 4 2" xfId="42914" xr:uid="{00000000-0005-0000-0000-0000E14E0000}"/>
    <cellStyle name="Input 11 4 4 3" xfId="39277" xr:uid="{00000000-0005-0000-0000-0000E24E0000}"/>
    <cellStyle name="Input 11 4 4 4" xfId="32433" xr:uid="{00000000-0005-0000-0000-0000E34E0000}"/>
    <cellStyle name="Input 11 4 5" xfId="12469" xr:uid="{00000000-0005-0000-0000-0000E44E0000}"/>
    <cellStyle name="Input 11 4 5 2" xfId="41990" xr:uid="{00000000-0005-0000-0000-0000E54E0000}"/>
    <cellStyle name="Input 11 4 5 3" xfId="43336" xr:uid="{00000000-0005-0000-0000-0000E64E0000}"/>
    <cellStyle name="Input 11 4 5 4" xfId="30140" xr:uid="{00000000-0005-0000-0000-0000E74E0000}"/>
    <cellStyle name="Input 11 4 6" xfId="11341" xr:uid="{00000000-0005-0000-0000-0000E84E0000}"/>
    <cellStyle name="Input 11 4 6 2" xfId="41380" xr:uid="{00000000-0005-0000-0000-0000E94E0000}"/>
    <cellStyle name="Input 11 4 6 3" xfId="40079" xr:uid="{00000000-0005-0000-0000-0000EA4E0000}"/>
    <cellStyle name="Input 11 4 6 4" xfId="29067" xr:uid="{00000000-0005-0000-0000-0000EB4E0000}"/>
    <cellStyle name="Input 11 4 7" xfId="18987" xr:uid="{00000000-0005-0000-0000-0000EC4E0000}"/>
    <cellStyle name="Input 11 4 7 2" xfId="44524" xr:uid="{00000000-0005-0000-0000-0000ED4E0000}"/>
    <cellStyle name="Input 11 4 7 3" xfId="48430" xr:uid="{00000000-0005-0000-0000-0000EE4E0000}"/>
    <cellStyle name="Input 11 4 7 4" xfId="36611" xr:uid="{00000000-0005-0000-0000-0000EF4E0000}"/>
    <cellStyle name="Input 11 4 8" xfId="19627" xr:uid="{00000000-0005-0000-0000-0000F04E0000}"/>
    <cellStyle name="Input 11 4 8 2" xfId="45164" xr:uid="{00000000-0005-0000-0000-0000F14E0000}"/>
    <cellStyle name="Input 11 4 8 3" xfId="49070" xr:uid="{00000000-0005-0000-0000-0000F24E0000}"/>
    <cellStyle name="Input 11 4 9" xfId="39774" xr:uid="{00000000-0005-0000-0000-0000F34E0000}"/>
    <cellStyle name="Input 11 5" xfId="22429" xr:uid="{00000000-0005-0000-0000-0000F44E0000}"/>
    <cellStyle name="Input 11 6" xfId="52992" xr:uid="{00000000-0005-0000-0000-0000F54E0000}"/>
    <cellStyle name="Input 11_Sheet1" xfId="1808" xr:uid="{00000000-0005-0000-0000-0000F64E0000}"/>
    <cellStyle name="Input 12" xfId="1809" xr:uid="{00000000-0005-0000-0000-0000F74E0000}"/>
    <cellStyle name="Input 12 2" xfId="1810" xr:uid="{00000000-0005-0000-0000-0000F84E0000}"/>
    <cellStyle name="Input 12 2 2" xfId="1811" xr:uid="{00000000-0005-0000-0000-0000F94E0000}"/>
    <cellStyle name="Input 12 2 2 2" xfId="7016" xr:uid="{00000000-0005-0000-0000-0000FA4E0000}"/>
    <cellStyle name="Input 12 2 2 2 10" xfId="39418" xr:uid="{00000000-0005-0000-0000-0000FB4E0000}"/>
    <cellStyle name="Input 12 2 2 2 2" xfId="10546" xr:uid="{00000000-0005-0000-0000-0000FC4E0000}"/>
    <cellStyle name="Input 12 2 2 2 2 2" xfId="18339" xr:uid="{00000000-0005-0000-0000-0000FD4E0000}"/>
    <cellStyle name="Input 12 2 2 2 2 2 2" xfId="43886" xr:uid="{00000000-0005-0000-0000-0000FE4E0000}"/>
    <cellStyle name="Input 12 2 2 2 2 2 3" xfId="47795" xr:uid="{00000000-0005-0000-0000-0000FF4E0000}"/>
    <cellStyle name="Input 12 2 2 2 2 2 4" xfId="35976" xr:uid="{00000000-0005-0000-0000-0000004F0000}"/>
    <cellStyle name="Input 12 2 2 2 2 3" xfId="12624" xr:uid="{00000000-0005-0000-0000-0000014F0000}"/>
    <cellStyle name="Input 12 2 2 2 2 3 2" xfId="42103" xr:uid="{00000000-0005-0000-0000-0000024F0000}"/>
    <cellStyle name="Input 12 2 2 2 2 3 3" xfId="39112" xr:uid="{00000000-0005-0000-0000-0000034F0000}"/>
    <cellStyle name="Input 12 2 2 2 2 3 4" xfId="30289" xr:uid="{00000000-0005-0000-0000-0000044F0000}"/>
    <cellStyle name="Input 12 2 2 2 2 4" xfId="20230" xr:uid="{00000000-0005-0000-0000-0000054F0000}"/>
    <cellStyle name="Input 12 2 2 2 2 4 2" xfId="45767" xr:uid="{00000000-0005-0000-0000-0000064F0000}"/>
    <cellStyle name="Input 12 2 2 2 2 4 3" xfId="49673" xr:uid="{00000000-0005-0000-0000-0000074F0000}"/>
    <cellStyle name="Input 12 2 2 2 2 4 4" xfId="37705" xr:uid="{00000000-0005-0000-0000-0000084F0000}"/>
    <cellStyle name="Input 12 2 2 2 2 5" xfId="20752" xr:uid="{00000000-0005-0000-0000-0000094F0000}"/>
    <cellStyle name="Input 12 2 2 2 2 5 2" xfId="46289" xr:uid="{00000000-0005-0000-0000-00000A4F0000}"/>
    <cellStyle name="Input 12 2 2 2 2 5 3" xfId="50195" xr:uid="{00000000-0005-0000-0000-00000B4F0000}"/>
    <cellStyle name="Input 12 2 2 2 2 5 4" xfId="38158" xr:uid="{00000000-0005-0000-0000-00000C4F0000}"/>
    <cellStyle name="Input 12 2 2 2 2 6" xfId="21405" xr:uid="{00000000-0005-0000-0000-00000D4F0000}"/>
    <cellStyle name="Input 12 2 2 2 2 6 2" xfId="46942" xr:uid="{00000000-0005-0000-0000-00000E4F0000}"/>
    <cellStyle name="Input 12 2 2 2 2 6 3" xfId="50848" xr:uid="{00000000-0005-0000-0000-00000F4F0000}"/>
    <cellStyle name="Input 12 2 2 2 2 7" xfId="40745" xr:uid="{00000000-0005-0000-0000-0000104F0000}"/>
    <cellStyle name="Input 12 2 2 2 2 8" xfId="40600" xr:uid="{00000000-0005-0000-0000-0000114F0000}"/>
    <cellStyle name="Input 12 2 2 2 3" xfId="10841" xr:uid="{00000000-0005-0000-0000-0000124F0000}"/>
    <cellStyle name="Input 12 2 2 2 3 2" xfId="18634" xr:uid="{00000000-0005-0000-0000-0000134F0000}"/>
    <cellStyle name="Input 12 2 2 2 3 2 2" xfId="44181" xr:uid="{00000000-0005-0000-0000-0000144F0000}"/>
    <cellStyle name="Input 12 2 2 2 3 2 3" xfId="48090" xr:uid="{00000000-0005-0000-0000-0000154F0000}"/>
    <cellStyle name="Input 12 2 2 2 3 2 4" xfId="36271" xr:uid="{00000000-0005-0000-0000-0000164F0000}"/>
    <cellStyle name="Input 12 2 2 2 3 3" xfId="19403" xr:uid="{00000000-0005-0000-0000-0000174F0000}"/>
    <cellStyle name="Input 12 2 2 2 3 3 2" xfId="44940" xr:uid="{00000000-0005-0000-0000-0000184F0000}"/>
    <cellStyle name="Input 12 2 2 2 3 3 3" xfId="48846" xr:uid="{00000000-0005-0000-0000-0000194F0000}"/>
    <cellStyle name="Input 12 2 2 2 3 3 4" xfId="36968" xr:uid="{00000000-0005-0000-0000-00001A4F0000}"/>
    <cellStyle name="Input 12 2 2 2 3 4" xfId="20199" xr:uid="{00000000-0005-0000-0000-00001B4F0000}"/>
    <cellStyle name="Input 12 2 2 2 3 4 2" xfId="45736" xr:uid="{00000000-0005-0000-0000-00001C4F0000}"/>
    <cellStyle name="Input 12 2 2 2 3 4 3" xfId="49642" xr:uid="{00000000-0005-0000-0000-00001D4F0000}"/>
    <cellStyle name="Input 12 2 2 2 3 4 4" xfId="37681" xr:uid="{00000000-0005-0000-0000-00001E4F0000}"/>
    <cellStyle name="Input 12 2 2 2 3 5" xfId="21047" xr:uid="{00000000-0005-0000-0000-00001F4F0000}"/>
    <cellStyle name="Input 12 2 2 2 3 5 2" xfId="46584" xr:uid="{00000000-0005-0000-0000-0000204F0000}"/>
    <cellStyle name="Input 12 2 2 2 3 5 3" xfId="50490" xr:uid="{00000000-0005-0000-0000-0000214F0000}"/>
    <cellStyle name="Input 12 2 2 2 3 5 4" xfId="38453" xr:uid="{00000000-0005-0000-0000-0000224F0000}"/>
    <cellStyle name="Input 12 2 2 2 3 6" xfId="21700" xr:uid="{00000000-0005-0000-0000-0000234F0000}"/>
    <cellStyle name="Input 12 2 2 2 3 6 2" xfId="47237" xr:uid="{00000000-0005-0000-0000-0000244F0000}"/>
    <cellStyle name="Input 12 2 2 2 3 6 3" xfId="51143" xr:uid="{00000000-0005-0000-0000-0000254F0000}"/>
    <cellStyle name="Input 12 2 2 2 3 7" xfId="41040" xr:uid="{00000000-0005-0000-0000-0000264F0000}"/>
    <cellStyle name="Input 12 2 2 2 3 8" xfId="40092" xr:uid="{00000000-0005-0000-0000-0000274F0000}"/>
    <cellStyle name="Input 12 2 2 2 4" xfId="14804" xr:uid="{00000000-0005-0000-0000-0000284F0000}"/>
    <cellStyle name="Input 12 2 2 2 4 2" xfId="42920" xr:uid="{00000000-0005-0000-0000-0000294F0000}"/>
    <cellStyle name="Input 12 2 2 2 4 3" xfId="43673" xr:uid="{00000000-0005-0000-0000-00002A4F0000}"/>
    <cellStyle name="Input 12 2 2 2 4 4" xfId="32439" xr:uid="{00000000-0005-0000-0000-00002B4F0000}"/>
    <cellStyle name="Input 12 2 2 2 5" xfId="13086" xr:uid="{00000000-0005-0000-0000-00002C4F0000}"/>
    <cellStyle name="Input 12 2 2 2 5 2" xfId="42307" xr:uid="{00000000-0005-0000-0000-00002D4F0000}"/>
    <cellStyle name="Input 12 2 2 2 5 3" xfId="43579" xr:uid="{00000000-0005-0000-0000-00002E4F0000}"/>
    <cellStyle name="Input 12 2 2 2 5 4" xfId="30735" xr:uid="{00000000-0005-0000-0000-00002F4F0000}"/>
    <cellStyle name="Input 12 2 2 2 6" xfId="20268" xr:uid="{00000000-0005-0000-0000-0000304F0000}"/>
    <cellStyle name="Input 12 2 2 2 6 2" xfId="45805" xr:uid="{00000000-0005-0000-0000-0000314F0000}"/>
    <cellStyle name="Input 12 2 2 2 6 3" xfId="49711" xr:uid="{00000000-0005-0000-0000-0000324F0000}"/>
    <cellStyle name="Input 12 2 2 2 6 4" xfId="37738" xr:uid="{00000000-0005-0000-0000-0000334F0000}"/>
    <cellStyle name="Input 12 2 2 2 7" xfId="19678" xr:uid="{00000000-0005-0000-0000-0000344F0000}"/>
    <cellStyle name="Input 12 2 2 2 7 2" xfId="45215" xr:uid="{00000000-0005-0000-0000-0000354F0000}"/>
    <cellStyle name="Input 12 2 2 2 7 3" xfId="49121" xr:uid="{00000000-0005-0000-0000-0000364F0000}"/>
    <cellStyle name="Input 12 2 2 2 7 4" xfId="37210" xr:uid="{00000000-0005-0000-0000-0000374F0000}"/>
    <cellStyle name="Input 12 2 2 2 8" xfId="19154" xr:uid="{00000000-0005-0000-0000-0000384F0000}"/>
    <cellStyle name="Input 12 2 2 2 8 2" xfId="44691" xr:uid="{00000000-0005-0000-0000-0000394F0000}"/>
    <cellStyle name="Input 12 2 2 2 8 3" xfId="48597" xr:uid="{00000000-0005-0000-0000-00003A4F0000}"/>
    <cellStyle name="Input 12 2 2 2 9" xfId="39780" xr:uid="{00000000-0005-0000-0000-00003B4F0000}"/>
    <cellStyle name="Input 12 2 2 3" xfId="53000" xr:uid="{00000000-0005-0000-0000-00003C4F0000}"/>
    <cellStyle name="Input 12 2 3" xfId="7015" xr:uid="{00000000-0005-0000-0000-00003D4F0000}"/>
    <cellStyle name="Input 12 2 3 10" xfId="40290" xr:uid="{00000000-0005-0000-0000-00003E4F0000}"/>
    <cellStyle name="Input 12 2 3 2" xfId="10545" xr:uid="{00000000-0005-0000-0000-00003F4F0000}"/>
    <cellStyle name="Input 12 2 3 2 2" xfId="18338" xr:uid="{00000000-0005-0000-0000-0000404F0000}"/>
    <cellStyle name="Input 12 2 3 2 2 2" xfId="43885" xr:uid="{00000000-0005-0000-0000-0000414F0000}"/>
    <cellStyle name="Input 12 2 3 2 2 3" xfId="47794" xr:uid="{00000000-0005-0000-0000-0000424F0000}"/>
    <cellStyle name="Input 12 2 3 2 2 4" xfId="35975" xr:uid="{00000000-0005-0000-0000-0000434F0000}"/>
    <cellStyle name="Input 12 2 3 2 3" xfId="19138" xr:uid="{00000000-0005-0000-0000-0000444F0000}"/>
    <cellStyle name="Input 12 2 3 2 3 2" xfId="44675" xr:uid="{00000000-0005-0000-0000-0000454F0000}"/>
    <cellStyle name="Input 12 2 3 2 3 3" xfId="48581" xr:uid="{00000000-0005-0000-0000-0000464F0000}"/>
    <cellStyle name="Input 12 2 3 2 3 4" xfId="36733" xr:uid="{00000000-0005-0000-0000-0000474F0000}"/>
    <cellStyle name="Input 12 2 3 2 4" xfId="19993" xr:uid="{00000000-0005-0000-0000-0000484F0000}"/>
    <cellStyle name="Input 12 2 3 2 4 2" xfId="45530" xr:uid="{00000000-0005-0000-0000-0000494F0000}"/>
    <cellStyle name="Input 12 2 3 2 4 3" xfId="49436" xr:uid="{00000000-0005-0000-0000-00004A4F0000}"/>
    <cellStyle name="Input 12 2 3 2 4 4" xfId="37491" xr:uid="{00000000-0005-0000-0000-00004B4F0000}"/>
    <cellStyle name="Input 12 2 3 2 5" xfId="20751" xr:uid="{00000000-0005-0000-0000-00004C4F0000}"/>
    <cellStyle name="Input 12 2 3 2 5 2" xfId="46288" xr:uid="{00000000-0005-0000-0000-00004D4F0000}"/>
    <cellStyle name="Input 12 2 3 2 5 3" xfId="50194" xr:uid="{00000000-0005-0000-0000-00004E4F0000}"/>
    <cellStyle name="Input 12 2 3 2 5 4" xfId="38157" xr:uid="{00000000-0005-0000-0000-00004F4F0000}"/>
    <cellStyle name="Input 12 2 3 2 6" xfId="21404" xr:uid="{00000000-0005-0000-0000-0000504F0000}"/>
    <cellStyle name="Input 12 2 3 2 6 2" xfId="46941" xr:uid="{00000000-0005-0000-0000-0000514F0000}"/>
    <cellStyle name="Input 12 2 3 2 6 3" xfId="50847" xr:uid="{00000000-0005-0000-0000-0000524F0000}"/>
    <cellStyle name="Input 12 2 3 2 7" xfId="40744" xr:uid="{00000000-0005-0000-0000-0000534F0000}"/>
    <cellStyle name="Input 12 2 3 2 8" xfId="43741" xr:uid="{00000000-0005-0000-0000-0000544F0000}"/>
    <cellStyle name="Input 12 2 3 3" xfId="10840" xr:uid="{00000000-0005-0000-0000-0000554F0000}"/>
    <cellStyle name="Input 12 2 3 3 2" xfId="18633" xr:uid="{00000000-0005-0000-0000-0000564F0000}"/>
    <cellStyle name="Input 12 2 3 3 2 2" xfId="44180" xr:uid="{00000000-0005-0000-0000-0000574F0000}"/>
    <cellStyle name="Input 12 2 3 3 2 3" xfId="48089" xr:uid="{00000000-0005-0000-0000-0000584F0000}"/>
    <cellStyle name="Input 12 2 3 3 2 4" xfId="36270" xr:uid="{00000000-0005-0000-0000-0000594F0000}"/>
    <cellStyle name="Input 12 2 3 3 3" xfId="20144" xr:uid="{00000000-0005-0000-0000-00005A4F0000}"/>
    <cellStyle name="Input 12 2 3 3 3 2" xfId="45681" xr:uid="{00000000-0005-0000-0000-00005B4F0000}"/>
    <cellStyle name="Input 12 2 3 3 3 3" xfId="49587" xr:uid="{00000000-0005-0000-0000-00005C4F0000}"/>
    <cellStyle name="Input 12 2 3 3 3 4" xfId="37630" xr:uid="{00000000-0005-0000-0000-00005D4F0000}"/>
    <cellStyle name="Input 12 2 3 3 4" xfId="19079" xr:uid="{00000000-0005-0000-0000-00005E4F0000}"/>
    <cellStyle name="Input 12 2 3 3 4 2" xfId="44616" xr:uid="{00000000-0005-0000-0000-00005F4F0000}"/>
    <cellStyle name="Input 12 2 3 3 4 3" xfId="48522" xr:uid="{00000000-0005-0000-0000-0000604F0000}"/>
    <cellStyle name="Input 12 2 3 3 4 4" xfId="36675" xr:uid="{00000000-0005-0000-0000-0000614F0000}"/>
    <cellStyle name="Input 12 2 3 3 5" xfId="21046" xr:uid="{00000000-0005-0000-0000-0000624F0000}"/>
    <cellStyle name="Input 12 2 3 3 5 2" xfId="46583" xr:uid="{00000000-0005-0000-0000-0000634F0000}"/>
    <cellStyle name="Input 12 2 3 3 5 3" xfId="50489" xr:uid="{00000000-0005-0000-0000-0000644F0000}"/>
    <cellStyle name="Input 12 2 3 3 5 4" xfId="38452" xr:uid="{00000000-0005-0000-0000-0000654F0000}"/>
    <cellStyle name="Input 12 2 3 3 6" xfId="21699" xr:uid="{00000000-0005-0000-0000-0000664F0000}"/>
    <cellStyle name="Input 12 2 3 3 6 2" xfId="47236" xr:uid="{00000000-0005-0000-0000-0000674F0000}"/>
    <cellStyle name="Input 12 2 3 3 6 3" xfId="51142" xr:uid="{00000000-0005-0000-0000-0000684F0000}"/>
    <cellStyle name="Input 12 2 3 3 7" xfId="41039" xr:uid="{00000000-0005-0000-0000-0000694F0000}"/>
    <cellStyle name="Input 12 2 3 3 8" xfId="43233" xr:uid="{00000000-0005-0000-0000-00006A4F0000}"/>
    <cellStyle name="Input 12 2 3 4" xfId="14803" xr:uid="{00000000-0005-0000-0000-00006B4F0000}"/>
    <cellStyle name="Input 12 2 3 4 2" xfId="42919" xr:uid="{00000000-0005-0000-0000-00006C4F0000}"/>
    <cellStyle name="Input 12 2 3 4 3" xfId="42786" xr:uid="{00000000-0005-0000-0000-00006D4F0000}"/>
    <cellStyle name="Input 12 2 3 4 4" xfId="32438" xr:uid="{00000000-0005-0000-0000-00006E4F0000}"/>
    <cellStyle name="Input 12 2 3 5" xfId="13085" xr:uid="{00000000-0005-0000-0000-00006F4F0000}"/>
    <cellStyle name="Input 12 2 3 5 2" xfId="42306" xr:uid="{00000000-0005-0000-0000-0000704F0000}"/>
    <cellStyle name="Input 12 2 3 5 3" xfId="42691" xr:uid="{00000000-0005-0000-0000-0000714F0000}"/>
    <cellStyle name="Input 12 2 3 5 4" xfId="30734" xr:uid="{00000000-0005-0000-0000-0000724F0000}"/>
    <cellStyle name="Input 12 2 3 6" xfId="20320" xr:uid="{00000000-0005-0000-0000-0000734F0000}"/>
    <cellStyle name="Input 12 2 3 6 2" xfId="45857" xr:uid="{00000000-0005-0000-0000-0000744F0000}"/>
    <cellStyle name="Input 12 2 3 6 3" xfId="49763" xr:uid="{00000000-0005-0000-0000-0000754F0000}"/>
    <cellStyle name="Input 12 2 3 6 4" xfId="37784" xr:uid="{00000000-0005-0000-0000-0000764F0000}"/>
    <cellStyle name="Input 12 2 3 7" xfId="20061" xr:uid="{00000000-0005-0000-0000-0000774F0000}"/>
    <cellStyle name="Input 12 2 3 7 2" xfId="45598" xr:uid="{00000000-0005-0000-0000-0000784F0000}"/>
    <cellStyle name="Input 12 2 3 7 3" xfId="49504" xr:uid="{00000000-0005-0000-0000-0000794F0000}"/>
    <cellStyle name="Input 12 2 3 7 4" xfId="37556" xr:uid="{00000000-0005-0000-0000-00007A4F0000}"/>
    <cellStyle name="Input 12 2 3 8" xfId="19652" xr:uid="{00000000-0005-0000-0000-00007B4F0000}"/>
    <cellStyle name="Input 12 2 3 8 2" xfId="45189" xr:uid="{00000000-0005-0000-0000-00007C4F0000}"/>
    <cellStyle name="Input 12 2 3 8 3" xfId="49095" xr:uid="{00000000-0005-0000-0000-00007D4F0000}"/>
    <cellStyle name="Input 12 2 3 9" xfId="39779" xr:uid="{00000000-0005-0000-0000-00007E4F0000}"/>
    <cellStyle name="Input 12 2 4" xfId="52999" xr:uid="{00000000-0005-0000-0000-00007F4F0000}"/>
    <cellStyle name="Input 12 2_Sheet1" xfId="1812" xr:uid="{00000000-0005-0000-0000-0000804F0000}"/>
    <cellStyle name="Input 12 3" xfId="1813" xr:uid="{00000000-0005-0000-0000-0000814F0000}"/>
    <cellStyle name="Input 12 3 2" xfId="7017" xr:uid="{00000000-0005-0000-0000-0000824F0000}"/>
    <cellStyle name="Input 12 3 2 10" xfId="39253" xr:uid="{00000000-0005-0000-0000-0000834F0000}"/>
    <cellStyle name="Input 12 3 2 2" xfId="10547" xr:uid="{00000000-0005-0000-0000-0000844F0000}"/>
    <cellStyle name="Input 12 3 2 2 2" xfId="18340" xr:uid="{00000000-0005-0000-0000-0000854F0000}"/>
    <cellStyle name="Input 12 3 2 2 2 2" xfId="43887" xr:uid="{00000000-0005-0000-0000-0000864F0000}"/>
    <cellStyle name="Input 12 3 2 2 2 3" xfId="47796" xr:uid="{00000000-0005-0000-0000-0000874F0000}"/>
    <cellStyle name="Input 12 3 2 2 2 4" xfId="35977" xr:uid="{00000000-0005-0000-0000-0000884F0000}"/>
    <cellStyle name="Input 12 3 2 2 3" xfId="19618" xr:uid="{00000000-0005-0000-0000-0000894F0000}"/>
    <cellStyle name="Input 12 3 2 2 3 2" xfId="45155" xr:uid="{00000000-0005-0000-0000-00008A4F0000}"/>
    <cellStyle name="Input 12 3 2 2 3 3" xfId="49061" xr:uid="{00000000-0005-0000-0000-00008B4F0000}"/>
    <cellStyle name="Input 12 3 2 2 3 4" xfId="37158" xr:uid="{00000000-0005-0000-0000-00008C4F0000}"/>
    <cellStyle name="Input 12 3 2 2 4" xfId="11822" xr:uid="{00000000-0005-0000-0000-00008D4F0000}"/>
    <cellStyle name="Input 12 3 2 2 4 2" xfId="41760" xr:uid="{00000000-0005-0000-0000-00008E4F0000}"/>
    <cellStyle name="Input 12 3 2 2 4 3" xfId="39148" xr:uid="{00000000-0005-0000-0000-00008F4F0000}"/>
    <cellStyle name="Input 12 3 2 2 4 4" xfId="29508" xr:uid="{00000000-0005-0000-0000-0000904F0000}"/>
    <cellStyle name="Input 12 3 2 2 5" xfId="20753" xr:uid="{00000000-0005-0000-0000-0000914F0000}"/>
    <cellStyle name="Input 12 3 2 2 5 2" xfId="46290" xr:uid="{00000000-0005-0000-0000-0000924F0000}"/>
    <cellStyle name="Input 12 3 2 2 5 3" xfId="50196" xr:uid="{00000000-0005-0000-0000-0000934F0000}"/>
    <cellStyle name="Input 12 3 2 2 5 4" xfId="38159" xr:uid="{00000000-0005-0000-0000-0000944F0000}"/>
    <cellStyle name="Input 12 3 2 2 6" xfId="21406" xr:uid="{00000000-0005-0000-0000-0000954F0000}"/>
    <cellStyle name="Input 12 3 2 2 6 2" xfId="46943" xr:uid="{00000000-0005-0000-0000-0000964F0000}"/>
    <cellStyle name="Input 12 3 2 2 6 3" xfId="50849" xr:uid="{00000000-0005-0000-0000-0000974F0000}"/>
    <cellStyle name="Input 12 3 2 2 7" xfId="40746" xr:uid="{00000000-0005-0000-0000-0000984F0000}"/>
    <cellStyle name="Input 12 3 2 2 8" xfId="39711" xr:uid="{00000000-0005-0000-0000-0000994F0000}"/>
    <cellStyle name="Input 12 3 2 3" xfId="10842" xr:uid="{00000000-0005-0000-0000-00009A4F0000}"/>
    <cellStyle name="Input 12 3 2 3 2" xfId="18635" xr:uid="{00000000-0005-0000-0000-00009B4F0000}"/>
    <cellStyle name="Input 12 3 2 3 2 2" xfId="44182" xr:uid="{00000000-0005-0000-0000-00009C4F0000}"/>
    <cellStyle name="Input 12 3 2 3 2 3" xfId="48091" xr:uid="{00000000-0005-0000-0000-00009D4F0000}"/>
    <cellStyle name="Input 12 3 2 3 2 4" xfId="36272" xr:uid="{00000000-0005-0000-0000-00009E4F0000}"/>
    <cellStyle name="Input 12 3 2 3 3" xfId="20010" xr:uid="{00000000-0005-0000-0000-00009F4F0000}"/>
    <cellStyle name="Input 12 3 2 3 3 2" xfId="45547" xr:uid="{00000000-0005-0000-0000-0000A04F0000}"/>
    <cellStyle name="Input 12 3 2 3 3 3" xfId="49453" xr:uid="{00000000-0005-0000-0000-0000A14F0000}"/>
    <cellStyle name="Input 12 3 2 3 3 4" xfId="37508" xr:uid="{00000000-0005-0000-0000-0000A24F0000}"/>
    <cellStyle name="Input 12 3 2 3 4" xfId="19322" xr:uid="{00000000-0005-0000-0000-0000A34F0000}"/>
    <cellStyle name="Input 12 3 2 3 4 2" xfId="44859" xr:uid="{00000000-0005-0000-0000-0000A44F0000}"/>
    <cellStyle name="Input 12 3 2 3 4 3" xfId="48765" xr:uid="{00000000-0005-0000-0000-0000A54F0000}"/>
    <cellStyle name="Input 12 3 2 3 4 4" xfId="36900" xr:uid="{00000000-0005-0000-0000-0000A64F0000}"/>
    <cellStyle name="Input 12 3 2 3 5" xfId="21048" xr:uid="{00000000-0005-0000-0000-0000A74F0000}"/>
    <cellStyle name="Input 12 3 2 3 5 2" xfId="46585" xr:uid="{00000000-0005-0000-0000-0000A84F0000}"/>
    <cellStyle name="Input 12 3 2 3 5 3" xfId="50491" xr:uid="{00000000-0005-0000-0000-0000A94F0000}"/>
    <cellStyle name="Input 12 3 2 3 5 4" xfId="38454" xr:uid="{00000000-0005-0000-0000-0000AA4F0000}"/>
    <cellStyle name="Input 12 3 2 3 6" xfId="21701" xr:uid="{00000000-0005-0000-0000-0000AB4F0000}"/>
    <cellStyle name="Input 12 3 2 3 6 2" xfId="47238" xr:uid="{00000000-0005-0000-0000-0000AC4F0000}"/>
    <cellStyle name="Input 12 3 2 3 6 3" xfId="51144" xr:uid="{00000000-0005-0000-0000-0000AD4F0000}"/>
    <cellStyle name="Input 12 3 2 3 7" xfId="41041" xr:uid="{00000000-0005-0000-0000-0000AE4F0000}"/>
    <cellStyle name="Input 12 3 2 3 8" xfId="42840" xr:uid="{00000000-0005-0000-0000-0000AF4F0000}"/>
    <cellStyle name="Input 12 3 2 4" xfId="14805" xr:uid="{00000000-0005-0000-0000-0000B04F0000}"/>
    <cellStyle name="Input 12 3 2 4 2" xfId="42921" xr:uid="{00000000-0005-0000-0000-0000B14F0000}"/>
    <cellStyle name="Input 12 3 2 4 3" xfId="40532" xr:uid="{00000000-0005-0000-0000-0000B24F0000}"/>
    <cellStyle name="Input 12 3 2 4 4" xfId="32440" xr:uid="{00000000-0005-0000-0000-0000B34F0000}"/>
    <cellStyle name="Input 12 3 2 5" xfId="13087" xr:uid="{00000000-0005-0000-0000-0000B44F0000}"/>
    <cellStyle name="Input 12 3 2 5 2" xfId="42308" xr:uid="{00000000-0005-0000-0000-0000B54F0000}"/>
    <cellStyle name="Input 12 3 2 5 3" xfId="40440" xr:uid="{00000000-0005-0000-0000-0000B64F0000}"/>
    <cellStyle name="Input 12 3 2 5 4" xfId="30736" xr:uid="{00000000-0005-0000-0000-0000B74F0000}"/>
    <cellStyle name="Input 12 3 2 6" xfId="20069" xr:uid="{00000000-0005-0000-0000-0000B84F0000}"/>
    <cellStyle name="Input 12 3 2 6 2" xfId="45606" xr:uid="{00000000-0005-0000-0000-0000B94F0000}"/>
    <cellStyle name="Input 12 3 2 6 3" xfId="49512" xr:uid="{00000000-0005-0000-0000-0000BA4F0000}"/>
    <cellStyle name="Input 12 3 2 6 4" xfId="37563" xr:uid="{00000000-0005-0000-0000-0000BB4F0000}"/>
    <cellStyle name="Input 12 3 2 7" xfId="11695" xr:uid="{00000000-0005-0000-0000-0000BC4F0000}"/>
    <cellStyle name="Input 12 3 2 7 2" xfId="41702" xr:uid="{00000000-0005-0000-0000-0000BD4F0000}"/>
    <cellStyle name="Input 12 3 2 7 3" xfId="40456" xr:uid="{00000000-0005-0000-0000-0000BE4F0000}"/>
    <cellStyle name="Input 12 3 2 7 4" xfId="29388" xr:uid="{00000000-0005-0000-0000-0000BF4F0000}"/>
    <cellStyle name="Input 12 3 2 8" xfId="20205" xr:uid="{00000000-0005-0000-0000-0000C04F0000}"/>
    <cellStyle name="Input 12 3 2 8 2" xfId="45742" xr:uid="{00000000-0005-0000-0000-0000C14F0000}"/>
    <cellStyle name="Input 12 3 2 8 3" xfId="49648" xr:uid="{00000000-0005-0000-0000-0000C24F0000}"/>
    <cellStyle name="Input 12 3 2 9" xfId="39781" xr:uid="{00000000-0005-0000-0000-0000C34F0000}"/>
    <cellStyle name="Input 12 3 3" xfId="53001" xr:uid="{00000000-0005-0000-0000-0000C44F0000}"/>
    <cellStyle name="Input 12 4" xfId="7014" xr:uid="{00000000-0005-0000-0000-0000C54F0000}"/>
    <cellStyle name="Input 12 4 10" xfId="43428" xr:uid="{00000000-0005-0000-0000-0000C64F0000}"/>
    <cellStyle name="Input 12 4 11" xfId="53002" xr:uid="{00000000-0005-0000-0000-0000C74F0000}"/>
    <cellStyle name="Input 12 4 2" xfId="10544" xr:uid="{00000000-0005-0000-0000-0000C84F0000}"/>
    <cellStyle name="Input 12 4 2 2" xfId="18337" xr:uid="{00000000-0005-0000-0000-0000C94F0000}"/>
    <cellStyle name="Input 12 4 2 2 2" xfId="43884" xr:uid="{00000000-0005-0000-0000-0000CA4F0000}"/>
    <cellStyle name="Input 12 4 2 2 3" xfId="47793" xr:uid="{00000000-0005-0000-0000-0000CB4F0000}"/>
    <cellStyle name="Input 12 4 2 2 4" xfId="35974" xr:uid="{00000000-0005-0000-0000-0000CC4F0000}"/>
    <cellStyle name="Input 12 4 2 3" xfId="19915" xr:uid="{00000000-0005-0000-0000-0000CD4F0000}"/>
    <cellStyle name="Input 12 4 2 3 2" xfId="45452" xr:uid="{00000000-0005-0000-0000-0000CE4F0000}"/>
    <cellStyle name="Input 12 4 2 3 3" xfId="49358" xr:uid="{00000000-0005-0000-0000-0000CF4F0000}"/>
    <cellStyle name="Input 12 4 2 3 4" xfId="37429" xr:uid="{00000000-0005-0000-0000-0000D04F0000}"/>
    <cellStyle name="Input 12 4 2 4" xfId="19189" xr:uid="{00000000-0005-0000-0000-0000D14F0000}"/>
    <cellStyle name="Input 12 4 2 4 2" xfId="44726" xr:uid="{00000000-0005-0000-0000-0000D24F0000}"/>
    <cellStyle name="Input 12 4 2 4 3" xfId="48632" xr:uid="{00000000-0005-0000-0000-0000D34F0000}"/>
    <cellStyle name="Input 12 4 2 4 4" xfId="36776" xr:uid="{00000000-0005-0000-0000-0000D44F0000}"/>
    <cellStyle name="Input 12 4 2 5" xfId="20750" xr:uid="{00000000-0005-0000-0000-0000D54F0000}"/>
    <cellStyle name="Input 12 4 2 5 2" xfId="46287" xr:uid="{00000000-0005-0000-0000-0000D64F0000}"/>
    <cellStyle name="Input 12 4 2 5 3" xfId="50193" xr:uid="{00000000-0005-0000-0000-0000D74F0000}"/>
    <cellStyle name="Input 12 4 2 5 4" xfId="38156" xr:uid="{00000000-0005-0000-0000-0000D84F0000}"/>
    <cellStyle name="Input 12 4 2 6" xfId="21403" xr:uid="{00000000-0005-0000-0000-0000D94F0000}"/>
    <cellStyle name="Input 12 4 2 6 2" xfId="46940" xr:uid="{00000000-0005-0000-0000-0000DA4F0000}"/>
    <cellStyle name="Input 12 4 2 6 3" xfId="50846" xr:uid="{00000000-0005-0000-0000-0000DB4F0000}"/>
    <cellStyle name="Input 12 4 2 7" xfId="40743" xr:uid="{00000000-0005-0000-0000-0000DC4F0000}"/>
    <cellStyle name="Input 12 4 2 8" xfId="42852" xr:uid="{00000000-0005-0000-0000-0000DD4F0000}"/>
    <cellStyle name="Input 12 4 3" xfId="10839" xr:uid="{00000000-0005-0000-0000-0000DE4F0000}"/>
    <cellStyle name="Input 12 4 3 2" xfId="18632" xr:uid="{00000000-0005-0000-0000-0000DF4F0000}"/>
    <cellStyle name="Input 12 4 3 2 2" xfId="44179" xr:uid="{00000000-0005-0000-0000-0000E04F0000}"/>
    <cellStyle name="Input 12 4 3 2 3" xfId="48088" xr:uid="{00000000-0005-0000-0000-0000E14F0000}"/>
    <cellStyle name="Input 12 4 3 2 4" xfId="36269" xr:uid="{00000000-0005-0000-0000-0000E24F0000}"/>
    <cellStyle name="Input 12 4 3 3" xfId="19592" xr:uid="{00000000-0005-0000-0000-0000E34F0000}"/>
    <cellStyle name="Input 12 4 3 3 2" xfId="45129" xr:uid="{00000000-0005-0000-0000-0000E44F0000}"/>
    <cellStyle name="Input 12 4 3 3 3" xfId="49035" xr:uid="{00000000-0005-0000-0000-0000E54F0000}"/>
    <cellStyle name="Input 12 4 3 3 4" xfId="37132" xr:uid="{00000000-0005-0000-0000-0000E64F0000}"/>
    <cellStyle name="Input 12 4 3 4" xfId="19052" xr:uid="{00000000-0005-0000-0000-0000E74F0000}"/>
    <cellStyle name="Input 12 4 3 4 2" xfId="44589" xr:uid="{00000000-0005-0000-0000-0000E84F0000}"/>
    <cellStyle name="Input 12 4 3 4 3" xfId="48495" xr:uid="{00000000-0005-0000-0000-0000E94F0000}"/>
    <cellStyle name="Input 12 4 3 4 4" xfId="36652" xr:uid="{00000000-0005-0000-0000-0000EA4F0000}"/>
    <cellStyle name="Input 12 4 3 5" xfId="21045" xr:uid="{00000000-0005-0000-0000-0000EB4F0000}"/>
    <cellStyle name="Input 12 4 3 5 2" xfId="46582" xr:uid="{00000000-0005-0000-0000-0000EC4F0000}"/>
    <cellStyle name="Input 12 4 3 5 3" xfId="50488" xr:uid="{00000000-0005-0000-0000-0000ED4F0000}"/>
    <cellStyle name="Input 12 4 3 5 4" xfId="38451" xr:uid="{00000000-0005-0000-0000-0000EE4F0000}"/>
    <cellStyle name="Input 12 4 3 6" xfId="21698" xr:uid="{00000000-0005-0000-0000-0000EF4F0000}"/>
    <cellStyle name="Input 12 4 3 6 2" xfId="47235" xr:uid="{00000000-0005-0000-0000-0000F04F0000}"/>
    <cellStyle name="Input 12 4 3 6 3" xfId="51141" xr:uid="{00000000-0005-0000-0000-0000F14F0000}"/>
    <cellStyle name="Input 12 4 3 7" xfId="41038" xr:uid="{00000000-0005-0000-0000-0000F24F0000}"/>
    <cellStyle name="Input 12 4 3 8" xfId="41430" xr:uid="{00000000-0005-0000-0000-0000F34F0000}"/>
    <cellStyle name="Input 12 4 4" xfId="14802" xr:uid="{00000000-0005-0000-0000-0000F44F0000}"/>
    <cellStyle name="Input 12 4 4 2" xfId="42918" xr:uid="{00000000-0005-0000-0000-0000F54F0000}"/>
    <cellStyle name="Input 12 4 4 3" xfId="40044" xr:uid="{00000000-0005-0000-0000-0000F64F0000}"/>
    <cellStyle name="Input 12 4 4 4" xfId="32437" xr:uid="{00000000-0005-0000-0000-0000F74F0000}"/>
    <cellStyle name="Input 12 4 5" xfId="13084" xr:uid="{00000000-0005-0000-0000-0000F84F0000}"/>
    <cellStyle name="Input 12 4 5 2" xfId="42305" xr:uid="{00000000-0005-0000-0000-0000F94F0000}"/>
    <cellStyle name="Input 12 4 5 3" xfId="39654" xr:uid="{00000000-0005-0000-0000-0000FA4F0000}"/>
    <cellStyle name="Input 12 4 5 4" xfId="30733" xr:uid="{00000000-0005-0000-0000-0000FB4F0000}"/>
    <cellStyle name="Input 12 4 6" xfId="11455" xr:uid="{00000000-0005-0000-0000-0000FC4F0000}"/>
    <cellStyle name="Input 12 4 6 2" xfId="41466" xr:uid="{00000000-0005-0000-0000-0000FD4F0000}"/>
    <cellStyle name="Input 12 4 6 3" xfId="43713" xr:uid="{00000000-0005-0000-0000-0000FE4F0000}"/>
    <cellStyle name="Input 12 4 6 4" xfId="29174" xr:uid="{00000000-0005-0000-0000-0000FF4F0000}"/>
    <cellStyle name="Input 12 4 7" xfId="12124" xr:uid="{00000000-0005-0000-0000-000000500000}"/>
    <cellStyle name="Input 12 4 7 2" xfId="41869" xr:uid="{00000000-0005-0000-0000-000001500000}"/>
    <cellStyle name="Input 12 4 7 3" xfId="47497" xr:uid="{00000000-0005-0000-0000-000002500000}"/>
    <cellStyle name="Input 12 4 7 4" xfId="29797" xr:uid="{00000000-0005-0000-0000-000003500000}"/>
    <cellStyle name="Input 12 4 8" xfId="20622" xr:uid="{00000000-0005-0000-0000-000004500000}"/>
    <cellStyle name="Input 12 4 8 2" xfId="46159" xr:uid="{00000000-0005-0000-0000-000005500000}"/>
    <cellStyle name="Input 12 4 8 3" xfId="50065" xr:uid="{00000000-0005-0000-0000-000006500000}"/>
    <cellStyle name="Input 12 4 9" xfId="39778" xr:uid="{00000000-0005-0000-0000-000007500000}"/>
    <cellStyle name="Input 12 5" xfId="22431" xr:uid="{00000000-0005-0000-0000-000008500000}"/>
    <cellStyle name="Input 12 6" xfId="22921" xr:uid="{00000000-0005-0000-0000-000009500000}"/>
    <cellStyle name="Input 12 7" xfId="52998" xr:uid="{00000000-0005-0000-0000-00000A500000}"/>
    <cellStyle name="Input 12_Sheet1" xfId="1814" xr:uid="{00000000-0005-0000-0000-00000B500000}"/>
    <cellStyle name="Input 13" xfId="1815" xr:uid="{00000000-0005-0000-0000-00000C500000}"/>
    <cellStyle name="Input 13 2" xfId="1816" xr:uid="{00000000-0005-0000-0000-00000D500000}"/>
    <cellStyle name="Input 13 2 2" xfId="1817" xr:uid="{00000000-0005-0000-0000-00000E500000}"/>
    <cellStyle name="Input 13 2 2 2" xfId="7020" xr:uid="{00000000-0005-0000-0000-00000F500000}"/>
    <cellStyle name="Input 13 2 2 2 10" xfId="43279" xr:uid="{00000000-0005-0000-0000-000010500000}"/>
    <cellStyle name="Input 13 2 2 2 2" xfId="10550" xr:uid="{00000000-0005-0000-0000-000011500000}"/>
    <cellStyle name="Input 13 2 2 2 2 2" xfId="18343" xr:uid="{00000000-0005-0000-0000-000012500000}"/>
    <cellStyle name="Input 13 2 2 2 2 2 2" xfId="43890" xr:uid="{00000000-0005-0000-0000-000013500000}"/>
    <cellStyle name="Input 13 2 2 2 2 2 3" xfId="47799" xr:uid="{00000000-0005-0000-0000-000014500000}"/>
    <cellStyle name="Input 13 2 2 2 2 2 4" xfId="35980" xr:uid="{00000000-0005-0000-0000-000015500000}"/>
    <cellStyle name="Input 13 2 2 2 2 3" xfId="20039" xr:uid="{00000000-0005-0000-0000-000016500000}"/>
    <cellStyle name="Input 13 2 2 2 2 3 2" xfId="45576" xr:uid="{00000000-0005-0000-0000-000017500000}"/>
    <cellStyle name="Input 13 2 2 2 2 3 3" xfId="49482" xr:uid="{00000000-0005-0000-0000-000018500000}"/>
    <cellStyle name="Input 13 2 2 2 2 3 4" xfId="37537" xr:uid="{00000000-0005-0000-0000-000019500000}"/>
    <cellStyle name="Input 13 2 2 2 2 4" xfId="13254" xr:uid="{00000000-0005-0000-0000-00001A500000}"/>
    <cellStyle name="Input 13 2 2 2 2 4 2" xfId="42432" xr:uid="{00000000-0005-0000-0000-00001B500000}"/>
    <cellStyle name="Input 13 2 2 2 2 4 3" xfId="40175" xr:uid="{00000000-0005-0000-0000-00001C500000}"/>
    <cellStyle name="Input 13 2 2 2 2 4 4" xfId="30899" xr:uid="{00000000-0005-0000-0000-00001D500000}"/>
    <cellStyle name="Input 13 2 2 2 2 5" xfId="20756" xr:uid="{00000000-0005-0000-0000-00001E500000}"/>
    <cellStyle name="Input 13 2 2 2 2 5 2" xfId="46293" xr:uid="{00000000-0005-0000-0000-00001F500000}"/>
    <cellStyle name="Input 13 2 2 2 2 5 3" xfId="50199" xr:uid="{00000000-0005-0000-0000-000020500000}"/>
    <cellStyle name="Input 13 2 2 2 2 5 4" xfId="38162" xr:uid="{00000000-0005-0000-0000-000021500000}"/>
    <cellStyle name="Input 13 2 2 2 2 6" xfId="21409" xr:uid="{00000000-0005-0000-0000-000022500000}"/>
    <cellStyle name="Input 13 2 2 2 2 6 2" xfId="46946" xr:uid="{00000000-0005-0000-0000-000023500000}"/>
    <cellStyle name="Input 13 2 2 2 2 6 3" xfId="50852" xr:uid="{00000000-0005-0000-0000-000024500000}"/>
    <cellStyle name="Input 13 2 2 2 2 7" xfId="40749" xr:uid="{00000000-0005-0000-0000-000025500000}"/>
    <cellStyle name="Input 13 2 2 2 2 8" xfId="40495" xr:uid="{00000000-0005-0000-0000-000026500000}"/>
    <cellStyle name="Input 13 2 2 2 3" xfId="10845" xr:uid="{00000000-0005-0000-0000-000027500000}"/>
    <cellStyle name="Input 13 2 2 2 3 2" xfId="18638" xr:uid="{00000000-0005-0000-0000-000028500000}"/>
    <cellStyle name="Input 13 2 2 2 3 2 2" xfId="44185" xr:uid="{00000000-0005-0000-0000-000029500000}"/>
    <cellStyle name="Input 13 2 2 2 3 2 3" xfId="48094" xr:uid="{00000000-0005-0000-0000-00002A500000}"/>
    <cellStyle name="Input 13 2 2 2 3 2 4" xfId="36275" xr:uid="{00000000-0005-0000-0000-00002B500000}"/>
    <cellStyle name="Input 13 2 2 2 3 3" xfId="19108" xr:uid="{00000000-0005-0000-0000-00002C500000}"/>
    <cellStyle name="Input 13 2 2 2 3 3 2" xfId="44645" xr:uid="{00000000-0005-0000-0000-00002D500000}"/>
    <cellStyle name="Input 13 2 2 2 3 3 3" xfId="48551" xr:uid="{00000000-0005-0000-0000-00002E500000}"/>
    <cellStyle name="Input 13 2 2 2 3 3 4" xfId="36703" xr:uid="{00000000-0005-0000-0000-00002F500000}"/>
    <cellStyle name="Input 13 2 2 2 3 4" xfId="20257" xr:uid="{00000000-0005-0000-0000-000030500000}"/>
    <cellStyle name="Input 13 2 2 2 3 4 2" xfId="45794" xr:uid="{00000000-0005-0000-0000-000031500000}"/>
    <cellStyle name="Input 13 2 2 2 3 4 3" xfId="49700" xr:uid="{00000000-0005-0000-0000-000032500000}"/>
    <cellStyle name="Input 13 2 2 2 3 4 4" xfId="37728" xr:uid="{00000000-0005-0000-0000-000033500000}"/>
    <cellStyle name="Input 13 2 2 2 3 5" xfId="21051" xr:uid="{00000000-0005-0000-0000-000034500000}"/>
    <cellStyle name="Input 13 2 2 2 3 5 2" xfId="46588" xr:uid="{00000000-0005-0000-0000-000035500000}"/>
    <cellStyle name="Input 13 2 2 2 3 5 3" xfId="50494" xr:uid="{00000000-0005-0000-0000-000036500000}"/>
    <cellStyle name="Input 13 2 2 2 3 5 4" xfId="38457" xr:uid="{00000000-0005-0000-0000-000037500000}"/>
    <cellStyle name="Input 13 2 2 2 3 6" xfId="21704" xr:uid="{00000000-0005-0000-0000-000038500000}"/>
    <cellStyle name="Input 13 2 2 2 3 6 2" xfId="47241" xr:uid="{00000000-0005-0000-0000-000039500000}"/>
    <cellStyle name="Input 13 2 2 2 3 6 3" xfId="51147" xr:uid="{00000000-0005-0000-0000-00003A500000}"/>
    <cellStyle name="Input 13 2 2 2 3 7" xfId="41044" xr:uid="{00000000-0005-0000-0000-00003B500000}"/>
    <cellStyle name="Input 13 2 2 2 3 8" xfId="39699" xr:uid="{00000000-0005-0000-0000-00003C500000}"/>
    <cellStyle name="Input 13 2 2 2 4" xfId="14808" xr:uid="{00000000-0005-0000-0000-00003D500000}"/>
    <cellStyle name="Input 13 2 2 2 4 2" xfId="42924" xr:uid="{00000000-0005-0000-0000-00003E500000}"/>
    <cellStyle name="Input 13 2 2 2 4 3" xfId="43564" xr:uid="{00000000-0005-0000-0000-00003F500000}"/>
    <cellStyle name="Input 13 2 2 2 4 4" xfId="32443" xr:uid="{00000000-0005-0000-0000-000040500000}"/>
    <cellStyle name="Input 13 2 2 2 5" xfId="11288" xr:uid="{00000000-0005-0000-0000-000041500000}"/>
    <cellStyle name="Input 13 2 2 2 5 2" xfId="41335" xr:uid="{00000000-0005-0000-0000-000042500000}"/>
    <cellStyle name="Input 13 2 2 2 5 3" xfId="42722" xr:uid="{00000000-0005-0000-0000-000043500000}"/>
    <cellStyle name="Input 13 2 2 2 5 4" xfId="29016" xr:uid="{00000000-0005-0000-0000-000044500000}"/>
    <cellStyle name="Input 13 2 2 2 6" xfId="20232" xr:uid="{00000000-0005-0000-0000-000045500000}"/>
    <cellStyle name="Input 13 2 2 2 6 2" xfId="45769" xr:uid="{00000000-0005-0000-0000-000046500000}"/>
    <cellStyle name="Input 13 2 2 2 6 3" xfId="49675" xr:uid="{00000000-0005-0000-0000-000047500000}"/>
    <cellStyle name="Input 13 2 2 2 6 4" xfId="37706" xr:uid="{00000000-0005-0000-0000-000048500000}"/>
    <cellStyle name="Input 13 2 2 2 7" xfId="19035" xr:uid="{00000000-0005-0000-0000-000049500000}"/>
    <cellStyle name="Input 13 2 2 2 7 2" xfId="44572" xr:uid="{00000000-0005-0000-0000-00004A500000}"/>
    <cellStyle name="Input 13 2 2 2 7 3" xfId="48478" xr:uid="{00000000-0005-0000-0000-00004B500000}"/>
    <cellStyle name="Input 13 2 2 2 7 4" xfId="36641" xr:uid="{00000000-0005-0000-0000-00004C500000}"/>
    <cellStyle name="Input 13 2 2 2 8" xfId="12868" xr:uid="{00000000-0005-0000-0000-00004D500000}"/>
    <cellStyle name="Input 13 2 2 2 8 2" xfId="42251" xr:uid="{00000000-0005-0000-0000-00004E500000}"/>
    <cellStyle name="Input 13 2 2 2 8 3" xfId="40332" xr:uid="{00000000-0005-0000-0000-00004F500000}"/>
    <cellStyle name="Input 13 2 2 2 9" xfId="39784" xr:uid="{00000000-0005-0000-0000-000050500000}"/>
    <cellStyle name="Input 13 2 2 3" xfId="53005" xr:uid="{00000000-0005-0000-0000-000051500000}"/>
    <cellStyle name="Input 13 2 3" xfId="7019" xr:uid="{00000000-0005-0000-0000-000052500000}"/>
    <cellStyle name="Input 13 2 3 10" xfId="41729" xr:uid="{00000000-0005-0000-0000-000053500000}"/>
    <cellStyle name="Input 13 2 3 2" xfId="10549" xr:uid="{00000000-0005-0000-0000-000054500000}"/>
    <cellStyle name="Input 13 2 3 2 2" xfId="18342" xr:uid="{00000000-0005-0000-0000-000055500000}"/>
    <cellStyle name="Input 13 2 3 2 2 2" xfId="43889" xr:uid="{00000000-0005-0000-0000-000056500000}"/>
    <cellStyle name="Input 13 2 3 2 2 3" xfId="47798" xr:uid="{00000000-0005-0000-0000-000057500000}"/>
    <cellStyle name="Input 13 2 3 2 2 4" xfId="35979" xr:uid="{00000000-0005-0000-0000-000058500000}"/>
    <cellStyle name="Input 13 2 3 2 3" xfId="19432" xr:uid="{00000000-0005-0000-0000-000059500000}"/>
    <cellStyle name="Input 13 2 3 2 3 2" xfId="44969" xr:uid="{00000000-0005-0000-0000-00005A500000}"/>
    <cellStyle name="Input 13 2 3 2 3 3" xfId="48875" xr:uid="{00000000-0005-0000-0000-00005B500000}"/>
    <cellStyle name="Input 13 2 3 2 3 4" xfId="36997" xr:uid="{00000000-0005-0000-0000-00005C500000}"/>
    <cellStyle name="Input 13 2 3 2 4" xfId="20385" xr:uid="{00000000-0005-0000-0000-00005D500000}"/>
    <cellStyle name="Input 13 2 3 2 4 2" xfId="45922" xr:uid="{00000000-0005-0000-0000-00005E500000}"/>
    <cellStyle name="Input 13 2 3 2 4 3" xfId="49828" xr:uid="{00000000-0005-0000-0000-00005F500000}"/>
    <cellStyle name="Input 13 2 3 2 4 4" xfId="37839" xr:uid="{00000000-0005-0000-0000-000060500000}"/>
    <cellStyle name="Input 13 2 3 2 5" xfId="20755" xr:uid="{00000000-0005-0000-0000-000061500000}"/>
    <cellStyle name="Input 13 2 3 2 5 2" xfId="46292" xr:uid="{00000000-0005-0000-0000-000062500000}"/>
    <cellStyle name="Input 13 2 3 2 5 3" xfId="50198" xr:uid="{00000000-0005-0000-0000-000063500000}"/>
    <cellStyle name="Input 13 2 3 2 5 4" xfId="38161" xr:uid="{00000000-0005-0000-0000-000064500000}"/>
    <cellStyle name="Input 13 2 3 2 6" xfId="21408" xr:uid="{00000000-0005-0000-0000-000065500000}"/>
    <cellStyle name="Input 13 2 3 2 6 2" xfId="46945" xr:uid="{00000000-0005-0000-0000-000066500000}"/>
    <cellStyle name="Input 13 2 3 2 6 3" xfId="50851" xr:uid="{00000000-0005-0000-0000-000067500000}"/>
    <cellStyle name="Input 13 2 3 2 7" xfId="40748" xr:uid="{00000000-0005-0000-0000-000068500000}"/>
    <cellStyle name="Input 13 2 3 2 8" xfId="43637" xr:uid="{00000000-0005-0000-0000-000069500000}"/>
    <cellStyle name="Input 13 2 3 3" xfId="10844" xr:uid="{00000000-0005-0000-0000-00006A500000}"/>
    <cellStyle name="Input 13 2 3 3 2" xfId="18637" xr:uid="{00000000-0005-0000-0000-00006B500000}"/>
    <cellStyle name="Input 13 2 3 3 2 2" xfId="44184" xr:uid="{00000000-0005-0000-0000-00006C500000}"/>
    <cellStyle name="Input 13 2 3 3 2 3" xfId="48093" xr:uid="{00000000-0005-0000-0000-00006D500000}"/>
    <cellStyle name="Input 13 2 3 3 2 4" xfId="36274" xr:uid="{00000000-0005-0000-0000-00006E500000}"/>
    <cellStyle name="Input 13 2 3 3 3" xfId="19885" xr:uid="{00000000-0005-0000-0000-00006F500000}"/>
    <cellStyle name="Input 13 2 3 3 3 2" xfId="45422" xr:uid="{00000000-0005-0000-0000-000070500000}"/>
    <cellStyle name="Input 13 2 3 3 3 3" xfId="49328" xr:uid="{00000000-0005-0000-0000-000071500000}"/>
    <cellStyle name="Input 13 2 3 3 3 4" xfId="37399" xr:uid="{00000000-0005-0000-0000-000072500000}"/>
    <cellStyle name="Input 13 2 3 3 4" xfId="12067" xr:uid="{00000000-0005-0000-0000-000073500000}"/>
    <cellStyle name="Input 13 2 3 3 4 2" xfId="41818" xr:uid="{00000000-0005-0000-0000-000074500000}"/>
    <cellStyle name="Input 13 2 3 3 4 3" xfId="39669" xr:uid="{00000000-0005-0000-0000-000075500000}"/>
    <cellStyle name="Input 13 2 3 3 4 4" xfId="29745" xr:uid="{00000000-0005-0000-0000-000076500000}"/>
    <cellStyle name="Input 13 2 3 3 5" xfId="21050" xr:uid="{00000000-0005-0000-0000-000077500000}"/>
    <cellStyle name="Input 13 2 3 3 5 2" xfId="46587" xr:uid="{00000000-0005-0000-0000-000078500000}"/>
    <cellStyle name="Input 13 2 3 3 5 3" xfId="50493" xr:uid="{00000000-0005-0000-0000-000079500000}"/>
    <cellStyle name="Input 13 2 3 3 5 4" xfId="38456" xr:uid="{00000000-0005-0000-0000-00007A500000}"/>
    <cellStyle name="Input 13 2 3 3 6" xfId="21703" xr:uid="{00000000-0005-0000-0000-00007B500000}"/>
    <cellStyle name="Input 13 2 3 3 6 2" xfId="47240" xr:uid="{00000000-0005-0000-0000-00007C500000}"/>
    <cellStyle name="Input 13 2 3 3 6 3" xfId="51146" xr:uid="{00000000-0005-0000-0000-00007D500000}"/>
    <cellStyle name="Input 13 2 3 3 7" xfId="41043" xr:uid="{00000000-0005-0000-0000-00007E500000}"/>
    <cellStyle name="Input 13 2 3 3 8" xfId="40588" xr:uid="{00000000-0005-0000-0000-00007F500000}"/>
    <cellStyle name="Input 13 2 3 4" xfId="14807" xr:uid="{00000000-0005-0000-0000-000080500000}"/>
    <cellStyle name="Input 13 2 3 4 2" xfId="42923" xr:uid="{00000000-0005-0000-0000-000081500000}"/>
    <cellStyle name="Input 13 2 3 4 3" xfId="42676" xr:uid="{00000000-0005-0000-0000-000082500000}"/>
    <cellStyle name="Input 13 2 3 4 4" xfId="32442" xr:uid="{00000000-0005-0000-0000-000083500000}"/>
    <cellStyle name="Input 13 2 3 5" xfId="11286" xr:uid="{00000000-0005-0000-0000-000084500000}"/>
    <cellStyle name="Input 13 2 3 5 2" xfId="41333" xr:uid="{00000000-0005-0000-0000-000085500000}"/>
    <cellStyle name="Input 13 2 3 5 3" xfId="40574" xr:uid="{00000000-0005-0000-0000-000086500000}"/>
    <cellStyle name="Input 13 2 3 5 4" xfId="29014" xr:uid="{00000000-0005-0000-0000-000087500000}"/>
    <cellStyle name="Input 13 2 3 6" xfId="13265" xr:uid="{00000000-0005-0000-0000-000088500000}"/>
    <cellStyle name="Input 13 2 3 6 2" xfId="42435" xr:uid="{00000000-0005-0000-0000-000089500000}"/>
    <cellStyle name="Input 13 2 3 6 3" xfId="43574" xr:uid="{00000000-0005-0000-0000-00008A500000}"/>
    <cellStyle name="Input 13 2 3 6 4" xfId="30910" xr:uid="{00000000-0005-0000-0000-00008B500000}"/>
    <cellStyle name="Input 13 2 3 7" xfId="11077" xr:uid="{00000000-0005-0000-0000-00008C500000}"/>
    <cellStyle name="Input 13 2 3 7 2" xfId="41276" xr:uid="{00000000-0005-0000-0000-00008D500000}"/>
    <cellStyle name="Input 13 2 3 7 3" xfId="39478" xr:uid="{00000000-0005-0000-0000-00008E500000}"/>
    <cellStyle name="Input 13 2 3 7 4" xfId="28807" xr:uid="{00000000-0005-0000-0000-00008F500000}"/>
    <cellStyle name="Input 13 2 3 8" xfId="18900" xr:uid="{00000000-0005-0000-0000-000090500000}"/>
    <cellStyle name="Input 13 2 3 8 2" xfId="44437" xr:uid="{00000000-0005-0000-0000-000091500000}"/>
    <cellStyle name="Input 13 2 3 8 3" xfId="48343" xr:uid="{00000000-0005-0000-0000-000092500000}"/>
    <cellStyle name="Input 13 2 3 9" xfId="39783" xr:uid="{00000000-0005-0000-0000-000093500000}"/>
    <cellStyle name="Input 13 2 4" xfId="53004" xr:uid="{00000000-0005-0000-0000-000094500000}"/>
    <cellStyle name="Input 13 2_Sheet1" xfId="1818" xr:uid="{00000000-0005-0000-0000-000095500000}"/>
    <cellStyle name="Input 13 3" xfId="1819" xr:uid="{00000000-0005-0000-0000-000096500000}"/>
    <cellStyle name="Input 13 3 2" xfId="7021" xr:uid="{00000000-0005-0000-0000-000097500000}"/>
    <cellStyle name="Input 13 3 2 10" xfId="40138" xr:uid="{00000000-0005-0000-0000-000098500000}"/>
    <cellStyle name="Input 13 3 2 2" xfId="10551" xr:uid="{00000000-0005-0000-0000-000099500000}"/>
    <cellStyle name="Input 13 3 2 2 2" xfId="18344" xr:uid="{00000000-0005-0000-0000-00009A500000}"/>
    <cellStyle name="Input 13 3 2 2 2 2" xfId="43891" xr:uid="{00000000-0005-0000-0000-00009B500000}"/>
    <cellStyle name="Input 13 3 2 2 2 3" xfId="47800" xr:uid="{00000000-0005-0000-0000-00009C500000}"/>
    <cellStyle name="Input 13 3 2 2 2 4" xfId="35981" xr:uid="{00000000-0005-0000-0000-00009D500000}"/>
    <cellStyle name="Input 13 3 2 2 3" xfId="19305" xr:uid="{00000000-0005-0000-0000-00009E500000}"/>
    <cellStyle name="Input 13 3 2 2 3 2" xfId="44842" xr:uid="{00000000-0005-0000-0000-00009F500000}"/>
    <cellStyle name="Input 13 3 2 2 3 3" xfId="48748" xr:uid="{00000000-0005-0000-0000-0000A0500000}"/>
    <cellStyle name="Input 13 3 2 2 3 4" xfId="36883" xr:uid="{00000000-0005-0000-0000-0000A1500000}"/>
    <cellStyle name="Input 13 3 2 2 4" xfId="20133" xr:uid="{00000000-0005-0000-0000-0000A2500000}"/>
    <cellStyle name="Input 13 3 2 2 4 2" xfId="45670" xr:uid="{00000000-0005-0000-0000-0000A3500000}"/>
    <cellStyle name="Input 13 3 2 2 4 3" xfId="49576" xr:uid="{00000000-0005-0000-0000-0000A4500000}"/>
    <cellStyle name="Input 13 3 2 2 4 4" xfId="37619" xr:uid="{00000000-0005-0000-0000-0000A5500000}"/>
    <cellStyle name="Input 13 3 2 2 5" xfId="20757" xr:uid="{00000000-0005-0000-0000-0000A6500000}"/>
    <cellStyle name="Input 13 3 2 2 5 2" xfId="46294" xr:uid="{00000000-0005-0000-0000-0000A7500000}"/>
    <cellStyle name="Input 13 3 2 2 5 3" xfId="50200" xr:uid="{00000000-0005-0000-0000-0000A8500000}"/>
    <cellStyle name="Input 13 3 2 2 5 4" xfId="38163" xr:uid="{00000000-0005-0000-0000-0000A9500000}"/>
    <cellStyle name="Input 13 3 2 2 6" xfId="21410" xr:uid="{00000000-0005-0000-0000-0000AA500000}"/>
    <cellStyle name="Input 13 3 2 2 6 2" xfId="46947" xr:uid="{00000000-0005-0000-0000-0000AB500000}"/>
    <cellStyle name="Input 13 3 2 2 6 3" xfId="50853" xr:uid="{00000000-0005-0000-0000-0000AC500000}"/>
    <cellStyle name="Input 13 3 2 2 7" xfId="40750" xr:uid="{00000000-0005-0000-0000-0000AD500000}"/>
    <cellStyle name="Input 13 3 2 2 8" xfId="39605" xr:uid="{00000000-0005-0000-0000-0000AE500000}"/>
    <cellStyle name="Input 13 3 2 3" xfId="10846" xr:uid="{00000000-0005-0000-0000-0000AF500000}"/>
    <cellStyle name="Input 13 3 2 3 2" xfId="18639" xr:uid="{00000000-0005-0000-0000-0000B0500000}"/>
    <cellStyle name="Input 13 3 2 3 2 2" xfId="44186" xr:uid="{00000000-0005-0000-0000-0000B1500000}"/>
    <cellStyle name="Input 13 3 2 3 2 3" xfId="48095" xr:uid="{00000000-0005-0000-0000-0000B2500000}"/>
    <cellStyle name="Input 13 3 2 3 2 4" xfId="36276" xr:uid="{00000000-0005-0000-0000-0000B3500000}"/>
    <cellStyle name="Input 13 3 2 3 3" xfId="19722" xr:uid="{00000000-0005-0000-0000-0000B4500000}"/>
    <cellStyle name="Input 13 3 2 3 3 2" xfId="45259" xr:uid="{00000000-0005-0000-0000-0000B5500000}"/>
    <cellStyle name="Input 13 3 2 3 3 3" xfId="49165" xr:uid="{00000000-0005-0000-0000-0000B6500000}"/>
    <cellStyle name="Input 13 3 2 3 3 4" xfId="37249" xr:uid="{00000000-0005-0000-0000-0000B7500000}"/>
    <cellStyle name="Input 13 3 2 3 4" xfId="19206" xr:uid="{00000000-0005-0000-0000-0000B8500000}"/>
    <cellStyle name="Input 13 3 2 3 4 2" xfId="44743" xr:uid="{00000000-0005-0000-0000-0000B9500000}"/>
    <cellStyle name="Input 13 3 2 3 4 3" xfId="48649" xr:uid="{00000000-0005-0000-0000-0000BA500000}"/>
    <cellStyle name="Input 13 3 2 3 4 4" xfId="36791" xr:uid="{00000000-0005-0000-0000-0000BB500000}"/>
    <cellStyle name="Input 13 3 2 3 5" xfId="21052" xr:uid="{00000000-0005-0000-0000-0000BC500000}"/>
    <cellStyle name="Input 13 3 2 3 5 2" xfId="46589" xr:uid="{00000000-0005-0000-0000-0000BD500000}"/>
    <cellStyle name="Input 13 3 2 3 5 3" xfId="50495" xr:uid="{00000000-0005-0000-0000-0000BE500000}"/>
    <cellStyle name="Input 13 3 2 3 5 4" xfId="38458" xr:uid="{00000000-0005-0000-0000-0000BF500000}"/>
    <cellStyle name="Input 13 3 2 3 6" xfId="21705" xr:uid="{00000000-0005-0000-0000-0000C0500000}"/>
    <cellStyle name="Input 13 3 2 3 6 2" xfId="47242" xr:uid="{00000000-0005-0000-0000-0000C1500000}"/>
    <cellStyle name="Input 13 3 2 3 6 3" xfId="51148" xr:uid="{00000000-0005-0000-0000-0000C2500000}"/>
    <cellStyle name="Input 13 3 2 3 7" xfId="41045" xr:uid="{00000000-0005-0000-0000-0000C3500000}"/>
    <cellStyle name="Input 13 3 2 3 8" xfId="42736" xr:uid="{00000000-0005-0000-0000-0000C4500000}"/>
    <cellStyle name="Input 13 3 2 4" xfId="14809" xr:uid="{00000000-0005-0000-0000-0000C5500000}"/>
    <cellStyle name="Input 13 3 2 4 2" xfId="42925" xr:uid="{00000000-0005-0000-0000-0000C6500000}"/>
    <cellStyle name="Input 13 3 2 4 3" xfId="40425" xr:uid="{00000000-0005-0000-0000-0000C7500000}"/>
    <cellStyle name="Input 13 3 2 4 4" xfId="32444" xr:uid="{00000000-0005-0000-0000-0000C8500000}"/>
    <cellStyle name="Input 13 3 2 5" xfId="11287" xr:uid="{00000000-0005-0000-0000-0000C9500000}"/>
    <cellStyle name="Input 13 3 2 5 2" xfId="41334" xr:uid="{00000000-0005-0000-0000-0000CA500000}"/>
    <cellStyle name="Input 13 3 2 5 3" xfId="39685" xr:uid="{00000000-0005-0000-0000-0000CB500000}"/>
    <cellStyle name="Input 13 3 2 5 4" xfId="29015" xr:uid="{00000000-0005-0000-0000-0000CC500000}"/>
    <cellStyle name="Input 13 3 2 6" xfId="19382" xr:uid="{00000000-0005-0000-0000-0000CD500000}"/>
    <cellStyle name="Input 13 3 2 6 2" xfId="44919" xr:uid="{00000000-0005-0000-0000-0000CE500000}"/>
    <cellStyle name="Input 13 3 2 6 3" xfId="48825" xr:uid="{00000000-0005-0000-0000-0000CF500000}"/>
    <cellStyle name="Input 13 3 2 6 4" xfId="36948" xr:uid="{00000000-0005-0000-0000-0000D0500000}"/>
    <cellStyle name="Input 13 3 2 7" xfId="19577" xr:uid="{00000000-0005-0000-0000-0000D1500000}"/>
    <cellStyle name="Input 13 3 2 7 2" xfId="45114" xr:uid="{00000000-0005-0000-0000-0000D2500000}"/>
    <cellStyle name="Input 13 3 2 7 3" xfId="49020" xr:uid="{00000000-0005-0000-0000-0000D3500000}"/>
    <cellStyle name="Input 13 3 2 7 4" xfId="37117" xr:uid="{00000000-0005-0000-0000-0000D4500000}"/>
    <cellStyle name="Input 13 3 2 8" xfId="19455" xr:uid="{00000000-0005-0000-0000-0000D5500000}"/>
    <cellStyle name="Input 13 3 2 8 2" xfId="44992" xr:uid="{00000000-0005-0000-0000-0000D6500000}"/>
    <cellStyle name="Input 13 3 2 8 3" xfId="48898" xr:uid="{00000000-0005-0000-0000-0000D7500000}"/>
    <cellStyle name="Input 13 3 2 9" xfId="39785" xr:uid="{00000000-0005-0000-0000-0000D8500000}"/>
    <cellStyle name="Input 13 3 3" xfId="53006" xr:uid="{00000000-0005-0000-0000-0000D9500000}"/>
    <cellStyle name="Input 13 4" xfId="7018" xr:uid="{00000000-0005-0000-0000-0000DA500000}"/>
    <cellStyle name="Input 13 4 10" xfId="47596" xr:uid="{00000000-0005-0000-0000-0000DB500000}"/>
    <cellStyle name="Input 13 4 11" xfId="53007" xr:uid="{00000000-0005-0000-0000-0000DC500000}"/>
    <cellStyle name="Input 13 4 2" xfId="10548" xr:uid="{00000000-0005-0000-0000-0000DD500000}"/>
    <cellStyle name="Input 13 4 2 2" xfId="18341" xr:uid="{00000000-0005-0000-0000-0000DE500000}"/>
    <cellStyle name="Input 13 4 2 2 2" xfId="43888" xr:uid="{00000000-0005-0000-0000-0000DF500000}"/>
    <cellStyle name="Input 13 4 2 2 3" xfId="47797" xr:uid="{00000000-0005-0000-0000-0000E0500000}"/>
    <cellStyle name="Input 13 4 2 2 4" xfId="35978" xr:uid="{00000000-0005-0000-0000-0000E1500000}"/>
    <cellStyle name="Input 13 4 2 3" xfId="20173" xr:uid="{00000000-0005-0000-0000-0000E2500000}"/>
    <cellStyle name="Input 13 4 2 3 2" xfId="45710" xr:uid="{00000000-0005-0000-0000-0000E3500000}"/>
    <cellStyle name="Input 13 4 2 3 3" xfId="49616" xr:uid="{00000000-0005-0000-0000-0000E4500000}"/>
    <cellStyle name="Input 13 4 2 3 4" xfId="37659" xr:uid="{00000000-0005-0000-0000-0000E5500000}"/>
    <cellStyle name="Input 13 4 2 4" xfId="18953" xr:uid="{00000000-0005-0000-0000-0000E6500000}"/>
    <cellStyle name="Input 13 4 2 4 2" xfId="44490" xr:uid="{00000000-0005-0000-0000-0000E7500000}"/>
    <cellStyle name="Input 13 4 2 4 3" xfId="48396" xr:uid="{00000000-0005-0000-0000-0000E8500000}"/>
    <cellStyle name="Input 13 4 2 4 4" xfId="36579" xr:uid="{00000000-0005-0000-0000-0000E9500000}"/>
    <cellStyle name="Input 13 4 2 5" xfId="20754" xr:uid="{00000000-0005-0000-0000-0000EA500000}"/>
    <cellStyle name="Input 13 4 2 5 2" xfId="46291" xr:uid="{00000000-0005-0000-0000-0000EB500000}"/>
    <cellStyle name="Input 13 4 2 5 3" xfId="50197" xr:uid="{00000000-0005-0000-0000-0000EC500000}"/>
    <cellStyle name="Input 13 4 2 5 4" xfId="38160" xr:uid="{00000000-0005-0000-0000-0000ED500000}"/>
    <cellStyle name="Input 13 4 2 6" xfId="21407" xr:uid="{00000000-0005-0000-0000-0000EE500000}"/>
    <cellStyle name="Input 13 4 2 6 2" xfId="46944" xr:uid="{00000000-0005-0000-0000-0000EF500000}"/>
    <cellStyle name="Input 13 4 2 6 3" xfId="50850" xr:uid="{00000000-0005-0000-0000-0000F0500000}"/>
    <cellStyle name="Input 13 4 2 7" xfId="40747" xr:uid="{00000000-0005-0000-0000-0000F1500000}"/>
    <cellStyle name="Input 13 4 2 8" xfId="42748" xr:uid="{00000000-0005-0000-0000-0000F2500000}"/>
    <cellStyle name="Input 13 4 3" xfId="10843" xr:uid="{00000000-0005-0000-0000-0000F3500000}"/>
    <cellStyle name="Input 13 4 3 2" xfId="18636" xr:uid="{00000000-0005-0000-0000-0000F4500000}"/>
    <cellStyle name="Input 13 4 3 2 2" xfId="44183" xr:uid="{00000000-0005-0000-0000-0000F5500000}"/>
    <cellStyle name="Input 13 4 3 2 3" xfId="48092" xr:uid="{00000000-0005-0000-0000-0000F6500000}"/>
    <cellStyle name="Input 13 4 3 2 4" xfId="36273" xr:uid="{00000000-0005-0000-0000-0000F7500000}"/>
    <cellStyle name="Input 13 4 3 3" xfId="19276" xr:uid="{00000000-0005-0000-0000-0000F8500000}"/>
    <cellStyle name="Input 13 4 3 3 2" xfId="44813" xr:uid="{00000000-0005-0000-0000-0000F9500000}"/>
    <cellStyle name="Input 13 4 3 3 3" xfId="48719" xr:uid="{00000000-0005-0000-0000-0000FA500000}"/>
    <cellStyle name="Input 13 4 3 3 4" xfId="36854" xr:uid="{00000000-0005-0000-0000-0000FB500000}"/>
    <cellStyle name="Input 13 4 3 4" xfId="19997" xr:uid="{00000000-0005-0000-0000-0000FC500000}"/>
    <cellStyle name="Input 13 4 3 4 2" xfId="45534" xr:uid="{00000000-0005-0000-0000-0000FD500000}"/>
    <cellStyle name="Input 13 4 3 4 3" xfId="49440" xr:uid="{00000000-0005-0000-0000-0000FE500000}"/>
    <cellStyle name="Input 13 4 3 4 4" xfId="37495" xr:uid="{00000000-0005-0000-0000-0000FF500000}"/>
    <cellStyle name="Input 13 4 3 5" xfId="21049" xr:uid="{00000000-0005-0000-0000-000000510000}"/>
    <cellStyle name="Input 13 4 3 5 2" xfId="46586" xr:uid="{00000000-0005-0000-0000-000001510000}"/>
    <cellStyle name="Input 13 4 3 5 3" xfId="50492" xr:uid="{00000000-0005-0000-0000-000002510000}"/>
    <cellStyle name="Input 13 4 3 5 4" xfId="38455" xr:uid="{00000000-0005-0000-0000-000003510000}"/>
    <cellStyle name="Input 13 4 3 6" xfId="21702" xr:uid="{00000000-0005-0000-0000-000004510000}"/>
    <cellStyle name="Input 13 4 3 6 2" xfId="47239" xr:uid="{00000000-0005-0000-0000-000005510000}"/>
    <cellStyle name="Input 13 4 3 6 3" xfId="51145" xr:uid="{00000000-0005-0000-0000-000006510000}"/>
    <cellStyle name="Input 13 4 3 7" xfId="41042" xr:uid="{00000000-0005-0000-0000-000007510000}"/>
    <cellStyle name="Input 13 4 3 8" xfId="43729" xr:uid="{00000000-0005-0000-0000-000008510000}"/>
    <cellStyle name="Input 13 4 4" xfId="14806" xr:uid="{00000000-0005-0000-0000-000009510000}"/>
    <cellStyle name="Input 13 4 4 2" xfId="42922" xr:uid="{00000000-0005-0000-0000-00000A510000}"/>
    <cellStyle name="Input 13 4 4 3" xfId="39640" xr:uid="{00000000-0005-0000-0000-00000B510000}"/>
    <cellStyle name="Input 13 4 4 4" xfId="32441" xr:uid="{00000000-0005-0000-0000-00000C510000}"/>
    <cellStyle name="Input 13 4 5" xfId="11285" xr:uid="{00000000-0005-0000-0000-00000D510000}"/>
    <cellStyle name="Input 13 4 5 2" xfId="41332" xr:uid="{00000000-0005-0000-0000-00000E510000}"/>
    <cellStyle name="Input 13 4 5 3" xfId="43716" xr:uid="{00000000-0005-0000-0000-00000F510000}"/>
    <cellStyle name="Input 13 4 5 4" xfId="29013" xr:uid="{00000000-0005-0000-0000-000010510000}"/>
    <cellStyle name="Input 13 4 6" xfId="11478" xr:uid="{00000000-0005-0000-0000-000011510000}"/>
    <cellStyle name="Input 13 4 6 2" xfId="41489" xr:uid="{00000000-0005-0000-0000-000012510000}"/>
    <cellStyle name="Input 13 4 6 3" xfId="42823" xr:uid="{00000000-0005-0000-0000-000013510000}"/>
    <cellStyle name="Input 13 4 6 4" xfId="29194" xr:uid="{00000000-0005-0000-0000-000014510000}"/>
    <cellStyle name="Input 13 4 7" xfId="20308" xr:uid="{00000000-0005-0000-0000-000015510000}"/>
    <cellStyle name="Input 13 4 7 2" xfId="45845" xr:uid="{00000000-0005-0000-0000-000016510000}"/>
    <cellStyle name="Input 13 4 7 3" xfId="49751" xr:uid="{00000000-0005-0000-0000-000017510000}"/>
    <cellStyle name="Input 13 4 7 4" xfId="37774" xr:uid="{00000000-0005-0000-0000-000018510000}"/>
    <cellStyle name="Input 13 4 8" xfId="20503" xr:uid="{00000000-0005-0000-0000-000019510000}"/>
    <cellStyle name="Input 13 4 8 2" xfId="46040" xr:uid="{00000000-0005-0000-0000-00001A510000}"/>
    <cellStyle name="Input 13 4 8 3" xfId="49946" xr:uid="{00000000-0005-0000-0000-00001B510000}"/>
    <cellStyle name="Input 13 4 9" xfId="39782" xr:uid="{00000000-0005-0000-0000-00001C510000}"/>
    <cellStyle name="Input 13 5" xfId="22432" xr:uid="{00000000-0005-0000-0000-00001D510000}"/>
    <cellStyle name="Input 13 6" xfId="22920" xr:uid="{00000000-0005-0000-0000-00001E510000}"/>
    <cellStyle name="Input 13 7" xfId="53003" xr:uid="{00000000-0005-0000-0000-00001F510000}"/>
    <cellStyle name="Input 13_Sheet1" xfId="1820" xr:uid="{00000000-0005-0000-0000-000020510000}"/>
    <cellStyle name="Input 14" xfId="1821" xr:uid="{00000000-0005-0000-0000-000021510000}"/>
    <cellStyle name="Input 14 2" xfId="1822" xr:uid="{00000000-0005-0000-0000-000022510000}"/>
    <cellStyle name="Input 14 2 2" xfId="1823" xr:uid="{00000000-0005-0000-0000-000023510000}"/>
    <cellStyle name="Input 14 2 2 2" xfId="7024" xr:uid="{00000000-0005-0000-0000-000024510000}"/>
    <cellStyle name="Input 14 2 2 2 10" xfId="40633" xr:uid="{00000000-0005-0000-0000-000025510000}"/>
    <cellStyle name="Input 14 2 2 2 2" xfId="10554" xr:uid="{00000000-0005-0000-0000-000026510000}"/>
    <cellStyle name="Input 14 2 2 2 2 2" xfId="18347" xr:uid="{00000000-0005-0000-0000-000027510000}"/>
    <cellStyle name="Input 14 2 2 2 2 2 2" xfId="43894" xr:uid="{00000000-0005-0000-0000-000028510000}"/>
    <cellStyle name="Input 14 2 2 2 2 2 3" xfId="47803" xr:uid="{00000000-0005-0000-0000-000029510000}"/>
    <cellStyle name="Input 14 2 2 2 2 2 4" xfId="35984" xr:uid="{00000000-0005-0000-0000-00002A510000}"/>
    <cellStyle name="Input 14 2 2 2 2 3" xfId="19759" xr:uid="{00000000-0005-0000-0000-00002B510000}"/>
    <cellStyle name="Input 14 2 2 2 2 3 2" xfId="45296" xr:uid="{00000000-0005-0000-0000-00002C510000}"/>
    <cellStyle name="Input 14 2 2 2 2 3 3" xfId="49202" xr:uid="{00000000-0005-0000-0000-00002D510000}"/>
    <cellStyle name="Input 14 2 2 2 2 3 4" xfId="37286" xr:uid="{00000000-0005-0000-0000-00002E510000}"/>
    <cellStyle name="Input 14 2 2 2 2 4" xfId="19060" xr:uid="{00000000-0005-0000-0000-00002F510000}"/>
    <cellStyle name="Input 14 2 2 2 2 4 2" xfId="44597" xr:uid="{00000000-0005-0000-0000-000030510000}"/>
    <cellStyle name="Input 14 2 2 2 2 4 3" xfId="48503" xr:uid="{00000000-0005-0000-0000-000031510000}"/>
    <cellStyle name="Input 14 2 2 2 2 4 4" xfId="36659" xr:uid="{00000000-0005-0000-0000-000032510000}"/>
    <cellStyle name="Input 14 2 2 2 2 5" xfId="20760" xr:uid="{00000000-0005-0000-0000-000033510000}"/>
    <cellStyle name="Input 14 2 2 2 2 5 2" xfId="46297" xr:uid="{00000000-0005-0000-0000-000034510000}"/>
    <cellStyle name="Input 14 2 2 2 2 5 3" xfId="50203" xr:uid="{00000000-0005-0000-0000-000035510000}"/>
    <cellStyle name="Input 14 2 2 2 2 5 4" xfId="38166" xr:uid="{00000000-0005-0000-0000-000036510000}"/>
    <cellStyle name="Input 14 2 2 2 2 6" xfId="21413" xr:uid="{00000000-0005-0000-0000-000037510000}"/>
    <cellStyle name="Input 14 2 2 2 2 6 2" xfId="46950" xr:uid="{00000000-0005-0000-0000-000038510000}"/>
    <cellStyle name="Input 14 2 2 2 2 6 3" xfId="50856" xr:uid="{00000000-0005-0000-0000-000039510000}"/>
    <cellStyle name="Input 14 2 2 2 2 7" xfId="40753" xr:uid="{00000000-0005-0000-0000-00003A510000}"/>
    <cellStyle name="Input 14 2 2 2 2 8" xfId="40389" xr:uid="{00000000-0005-0000-0000-00003B510000}"/>
    <cellStyle name="Input 14 2 2 2 3" xfId="10849" xr:uid="{00000000-0005-0000-0000-00003C510000}"/>
    <cellStyle name="Input 14 2 2 2 3 2" xfId="18642" xr:uid="{00000000-0005-0000-0000-00003D510000}"/>
    <cellStyle name="Input 14 2 2 2 3 2 2" xfId="44189" xr:uid="{00000000-0005-0000-0000-00003E510000}"/>
    <cellStyle name="Input 14 2 2 2 3 2 3" xfId="48098" xr:uid="{00000000-0005-0000-0000-00003F510000}"/>
    <cellStyle name="Input 14 2 2 2 3 2 4" xfId="36279" xr:uid="{00000000-0005-0000-0000-000040510000}"/>
    <cellStyle name="Input 14 2 2 2 3 3" xfId="19591" xr:uid="{00000000-0005-0000-0000-000041510000}"/>
    <cellStyle name="Input 14 2 2 2 3 3 2" xfId="45128" xr:uid="{00000000-0005-0000-0000-000042510000}"/>
    <cellStyle name="Input 14 2 2 2 3 3 3" xfId="49034" xr:uid="{00000000-0005-0000-0000-000043510000}"/>
    <cellStyle name="Input 14 2 2 2 3 3 4" xfId="37131" xr:uid="{00000000-0005-0000-0000-000044510000}"/>
    <cellStyle name="Input 14 2 2 2 3 4" xfId="11633" xr:uid="{00000000-0005-0000-0000-000045510000}"/>
    <cellStyle name="Input 14 2 2 2 3 4 2" xfId="41644" xr:uid="{00000000-0005-0000-0000-000046510000}"/>
    <cellStyle name="Input 14 2 2 2 3 4 3" xfId="41390" xr:uid="{00000000-0005-0000-0000-000047510000}"/>
    <cellStyle name="Input 14 2 2 2 3 4 4" xfId="29334" xr:uid="{00000000-0005-0000-0000-000048510000}"/>
    <cellStyle name="Input 14 2 2 2 3 5" xfId="21055" xr:uid="{00000000-0005-0000-0000-000049510000}"/>
    <cellStyle name="Input 14 2 2 2 3 5 2" xfId="46592" xr:uid="{00000000-0005-0000-0000-00004A510000}"/>
    <cellStyle name="Input 14 2 2 2 3 5 3" xfId="50498" xr:uid="{00000000-0005-0000-0000-00004B510000}"/>
    <cellStyle name="Input 14 2 2 2 3 5 4" xfId="38461" xr:uid="{00000000-0005-0000-0000-00004C510000}"/>
    <cellStyle name="Input 14 2 2 2 3 6" xfId="21708" xr:uid="{00000000-0005-0000-0000-00004D510000}"/>
    <cellStyle name="Input 14 2 2 2 3 6 2" xfId="47245" xr:uid="{00000000-0005-0000-0000-00004E510000}"/>
    <cellStyle name="Input 14 2 2 2 3 6 3" xfId="51151" xr:uid="{00000000-0005-0000-0000-00004F510000}"/>
    <cellStyle name="Input 14 2 2 2 3 7" xfId="41048" xr:uid="{00000000-0005-0000-0000-000050510000}"/>
    <cellStyle name="Input 14 2 2 2 3 8" xfId="39593" xr:uid="{00000000-0005-0000-0000-000051510000}"/>
    <cellStyle name="Input 14 2 2 2 4" xfId="14812" xr:uid="{00000000-0005-0000-0000-000052510000}"/>
    <cellStyle name="Input 14 2 2 2 4 2" xfId="42928" xr:uid="{00000000-0005-0000-0000-000053510000}"/>
    <cellStyle name="Input 14 2 2 2 4 3" xfId="43455" xr:uid="{00000000-0005-0000-0000-000054510000}"/>
    <cellStyle name="Input 14 2 2 2 4 4" xfId="32447" xr:uid="{00000000-0005-0000-0000-000055510000}"/>
    <cellStyle name="Input 14 2 2 2 5" xfId="12023" xr:uid="{00000000-0005-0000-0000-000056510000}"/>
    <cellStyle name="Input 14 2 2 2 5 2" xfId="41780" xr:uid="{00000000-0005-0000-0000-000057510000}"/>
    <cellStyle name="Input 14 2 2 2 5 3" xfId="39336" xr:uid="{00000000-0005-0000-0000-000058510000}"/>
    <cellStyle name="Input 14 2 2 2 5 4" xfId="29705" xr:uid="{00000000-0005-0000-0000-000059510000}"/>
    <cellStyle name="Input 14 2 2 2 6" xfId="12039" xr:uid="{00000000-0005-0000-0000-00005A510000}"/>
    <cellStyle name="Input 14 2 2 2 6 2" xfId="41795" xr:uid="{00000000-0005-0000-0000-00005B510000}"/>
    <cellStyle name="Input 14 2 2 2 6 3" xfId="43699" xr:uid="{00000000-0005-0000-0000-00005C510000}"/>
    <cellStyle name="Input 14 2 2 2 6 4" xfId="29718" xr:uid="{00000000-0005-0000-0000-00005D510000}"/>
    <cellStyle name="Input 14 2 2 2 7" xfId="11800" xr:uid="{00000000-0005-0000-0000-00005E510000}"/>
    <cellStyle name="Input 14 2 2 2 7 2" xfId="41750" xr:uid="{00000000-0005-0000-0000-00005F510000}"/>
    <cellStyle name="Input 14 2 2 2 7 3" xfId="39149" xr:uid="{00000000-0005-0000-0000-000060510000}"/>
    <cellStyle name="Input 14 2 2 2 7 4" xfId="29486" xr:uid="{00000000-0005-0000-0000-000061510000}"/>
    <cellStyle name="Input 14 2 2 2 8" xfId="19950" xr:uid="{00000000-0005-0000-0000-000062510000}"/>
    <cellStyle name="Input 14 2 2 2 8 2" xfId="45487" xr:uid="{00000000-0005-0000-0000-000063510000}"/>
    <cellStyle name="Input 14 2 2 2 8 3" xfId="49393" xr:uid="{00000000-0005-0000-0000-000064510000}"/>
    <cellStyle name="Input 14 2 2 2 9" xfId="39788" xr:uid="{00000000-0005-0000-0000-000065510000}"/>
    <cellStyle name="Input 14 2 2 3" xfId="53010" xr:uid="{00000000-0005-0000-0000-000066510000}"/>
    <cellStyle name="Input 14 2 3" xfId="7023" xr:uid="{00000000-0005-0000-0000-000067510000}"/>
    <cellStyle name="Input 14 2 3 10" xfId="43774" xr:uid="{00000000-0005-0000-0000-000068510000}"/>
    <cellStyle name="Input 14 2 3 2" xfId="10553" xr:uid="{00000000-0005-0000-0000-000069510000}"/>
    <cellStyle name="Input 14 2 3 2 2" xfId="18346" xr:uid="{00000000-0005-0000-0000-00006A510000}"/>
    <cellStyle name="Input 14 2 3 2 2 2" xfId="43893" xr:uid="{00000000-0005-0000-0000-00006B510000}"/>
    <cellStyle name="Input 14 2 3 2 2 3" xfId="47802" xr:uid="{00000000-0005-0000-0000-00006C510000}"/>
    <cellStyle name="Input 14 2 3 2 2 4" xfId="35983" xr:uid="{00000000-0005-0000-0000-00006D510000}"/>
    <cellStyle name="Input 14 2 3 2 3" xfId="19137" xr:uid="{00000000-0005-0000-0000-00006E510000}"/>
    <cellStyle name="Input 14 2 3 2 3 2" xfId="44674" xr:uid="{00000000-0005-0000-0000-00006F510000}"/>
    <cellStyle name="Input 14 2 3 2 3 3" xfId="48580" xr:uid="{00000000-0005-0000-0000-000070510000}"/>
    <cellStyle name="Input 14 2 3 2 3 4" xfId="36732" xr:uid="{00000000-0005-0000-0000-000071510000}"/>
    <cellStyle name="Input 14 2 3 2 4" xfId="19229" xr:uid="{00000000-0005-0000-0000-000072510000}"/>
    <cellStyle name="Input 14 2 3 2 4 2" xfId="44766" xr:uid="{00000000-0005-0000-0000-000073510000}"/>
    <cellStyle name="Input 14 2 3 2 4 3" xfId="48672" xr:uid="{00000000-0005-0000-0000-000074510000}"/>
    <cellStyle name="Input 14 2 3 2 4 4" xfId="36812" xr:uid="{00000000-0005-0000-0000-000075510000}"/>
    <cellStyle name="Input 14 2 3 2 5" xfId="20759" xr:uid="{00000000-0005-0000-0000-000076510000}"/>
    <cellStyle name="Input 14 2 3 2 5 2" xfId="46296" xr:uid="{00000000-0005-0000-0000-000077510000}"/>
    <cellStyle name="Input 14 2 3 2 5 3" xfId="50202" xr:uid="{00000000-0005-0000-0000-000078510000}"/>
    <cellStyle name="Input 14 2 3 2 5 4" xfId="38165" xr:uid="{00000000-0005-0000-0000-000079510000}"/>
    <cellStyle name="Input 14 2 3 2 6" xfId="21412" xr:uid="{00000000-0005-0000-0000-00007A510000}"/>
    <cellStyle name="Input 14 2 3 2 6 2" xfId="46949" xr:uid="{00000000-0005-0000-0000-00007B510000}"/>
    <cellStyle name="Input 14 2 3 2 6 3" xfId="50855" xr:uid="{00000000-0005-0000-0000-00007C510000}"/>
    <cellStyle name="Input 14 2 3 2 7" xfId="40752" xr:uid="{00000000-0005-0000-0000-00007D510000}"/>
    <cellStyle name="Input 14 2 3 2 8" xfId="43526" xr:uid="{00000000-0005-0000-0000-00007E510000}"/>
    <cellStyle name="Input 14 2 3 3" xfId="10848" xr:uid="{00000000-0005-0000-0000-00007F510000}"/>
    <cellStyle name="Input 14 2 3 3 2" xfId="18641" xr:uid="{00000000-0005-0000-0000-000080510000}"/>
    <cellStyle name="Input 14 2 3 3 2 2" xfId="44188" xr:uid="{00000000-0005-0000-0000-000081510000}"/>
    <cellStyle name="Input 14 2 3 3 2 3" xfId="48097" xr:uid="{00000000-0005-0000-0000-000082510000}"/>
    <cellStyle name="Input 14 2 3 3 2 4" xfId="36278" xr:uid="{00000000-0005-0000-0000-000083510000}"/>
    <cellStyle name="Input 14 2 3 3 3" xfId="12168" xr:uid="{00000000-0005-0000-0000-000084510000}"/>
    <cellStyle name="Input 14 2 3 3 3 2" xfId="41913" xr:uid="{00000000-0005-0000-0000-000085510000}"/>
    <cellStyle name="Input 14 2 3 3 3 3" xfId="39458" xr:uid="{00000000-0005-0000-0000-000086510000}"/>
    <cellStyle name="Input 14 2 3 3 3 4" xfId="29840" xr:uid="{00000000-0005-0000-0000-000087510000}"/>
    <cellStyle name="Input 14 2 3 3 4" xfId="20303" xr:uid="{00000000-0005-0000-0000-000088510000}"/>
    <cellStyle name="Input 14 2 3 3 4 2" xfId="45840" xr:uid="{00000000-0005-0000-0000-000089510000}"/>
    <cellStyle name="Input 14 2 3 3 4 3" xfId="49746" xr:uid="{00000000-0005-0000-0000-00008A510000}"/>
    <cellStyle name="Input 14 2 3 3 4 4" xfId="37769" xr:uid="{00000000-0005-0000-0000-00008B510000}"/>
    <cellStyle name="Input 14 2 3 3 5" xfId="21054" xr:uid="{00000000-0005-0000-0000-00008C510000}"/>
    <cellStyle name="Input 14 2 3 3 5 2" xfId="46591" xr:uid="{00000000-0005-0000-0000-00008D510000}"/>
    <cellStyle name="Input 14 2 3 3 5 3" xfId="50497" xr:uid="{00000000-0005-0000-0000-00008E510000}"/>
    <cellStyle name="Input 14 2 3 3 5 4" xfId="38460" xr:uid="{00000000-0005-0000-0000-00008F510000}"/>
    <cellStyle name="Input 14 2 3 3 6" xfId="21707" xr:uid="{00000000-0005-0000-0000-000090510000}"/>
    <cellStyle name="Input 14 2 3 3 6 2" xfId="47244" xr:uid="{00000000-0005-0000-0000-000091510000}"/>
    <cellStyle name="Input 14 2 3 3 6 3" xfId="51150" xr:uid="{00000000-0005-0000-0000-000092510000}"/>
    <cellStyle name="Input 14 2 3 3 7" xfId="41047" xr:uid="{00000000-0005-0000-0000-000093510000}"/>
    <cellStyle name="Input 14 2 3 3 8" xfId="40483" xr:uid="{00000000-0005-0000-0000-000094510000}"/>
    <cellStyle name="Input 14 2 3 4" xfId="14811" xr:uid="{00000000-0005-0000-0000-000095510000}"/>
    <cellStyle name="Input 14 2 3 4 2" xfId="42927" xr:uid="{00000000-0005-0000-0000-000096510000}"/>
    <cellStyle name="Input 14 2 3 4 3" xfId="42544" xr:uid="{00000000-0005-0000-0000-000097510000}"/>
    <cellStyle name="Input 14 2 3 4 4" xfId="32446" xr:uid="{00000000-0005-0000-0000-000098510000}"/>
    <cellStyle name="Input 14 2 3 5" xfId="13089" xr:uid="{00000000-0005-0000-0000-000099510000}"/>
    <cellStyle name="Input 14 2 3 5 2" xfId="42310" xr:uid="{00000000-0005-0000-0000-00009A510000}"/>
    <cellStyle name="Input 14 2 3 5 3" xfId="42557" xr:uid="{00000000-0005-0000-0000-00009B510000}"/>
    <cellStyle name="Input 14 2 3 5 4" xfId="30738" xr:uid="{00000000-0005-0000-0000-00009C510000}"/>
    <cellStyle name="Input 14 2 3 6" xfId="20060" xr:uid="{00000000-0005-0000-0000-00009D510000}"/>
    <cellStyle name="Input 14 2 3 6 2" xfId="45597" xr:uid="{00000000-0005-0000-0000-00009E510000}"/>
    <cellStyle name="Input 14 2 3 6 3" xfId="49503" xr:uid="{00000000-0005-0000-0000-00009F510000}"/>
    <cellStyle name="Input 14 2 3 6 4" xfId="37555" xr:uid="{00000000-0005-0000-0000-0000A0510000}"/>
    <cellStyle name="Input 14 2 3 7" xfId="20070" xr:uid="{00000000-0005-0000-0000-0000A1510000}"/>
    <cellStyle name="Input 14 2 3 7 2" xfId="45607" xr:uid="{00000000-0005-0000-0000-0000A2510000}"/>
    <cellStyle name="Input 14 2 3 7 3" xfId="49513" xr:uid="{00000000-0005-0000-0000-0000A3510000}"/>
    <cellStyle name="Input 14 2 3 7 4" xfId="37564" xr:uid="{00000000-0005-0000-0000-0000A4510000}"/>
    <cellStyle name="Input 14 2 3 8" xfId="11331" xr:uid="{00000000-0005-0000-0000-0000A5510000}"/>
    <cellStyle name="Input 14 2 3 8 2" xfId="41376" xr:uid="{00000000-0005-0000-0000-0000A6510000}"/>
    <cellStyle name="Input 14 2 3 8 3" xfId="42039" xr:uid="{00000000-0005-0000-0000-0000A7510000}"/>
    <cellStyle name="Input 14 2 3 9" xfId="39787" xr:uid="{00000000-0005-0000-0000-0000A8510000}"/>
    <cellStyle name="Input 14 2 4" xfId="53009" xr:uid="{00000000-0005-0000-0000-0000A9510000}"/>
    <cellStyle name="Input 14 2_Sheet1" xfId="1824" xr:uid="{00000000-0005-0000-0000-0000AA510000}"/>
    <cellStyle name="Input 14 3" xfId="1825" xr:uid="{00000000-0005-0000-0000-0000AB510000}"/>
    <cellStyle name="Input 14 3 2" xfId="7025" xr:uid="{00000000-0005-0000-0000-0000AC510000}"/>
    <cellStyle name="Input 14 3 2 10" xfId="39967" xr:uid="{00000000-0005-0000-0000-0000AD510000}"/>
    <cellStyle name="Input 14 3 2 2" xfId="10555" xr:uid="{00000000-0005-0000-0000-0000AE510000}"/>
    <cellStyle name="Input 14 3 2 2 2" xfId="18348" xr:uid="{00000000-0005-0000-0000-0000AF510000}"/>
    <cellStyle name="Input 14 3 2 2 2 2" xfId="43895" xr:uid="{00000000-0005-0000-0000-0000B0510000}"/>
    <cellStyle name="Input 14 3 2 2 2 3" xfId="47804" xr:uid="{00000000-0005-0000-0000-0000B1510000}"/>
    <cellStyle name="Input 14 3 2 2 2 4" xfId="35985" xr:uid="{00000000-0005-0000-0000-0000B2510000}"/>
    <cellStyle name="Input 14 3 2 2 3" xfId="11491" xr:uid="{00000000-0005-0000-0000-0000B3510000}"/>
    <cellStyle name="Input 14 3 2 2 3 2" xfId="41502" xr:uid="{00000000-0005-0000-0000-0000B4510000}"/>
    <cellStyle name="Input 14 3 2 2 3 3" xfId="43352" xr:uid="{00000000-0005-0000-0000-0000B5510000}"/>
    <cellStyle name="Input 14 3 2 2 3 4" xfId="29206" xr:uid="{00000000-0005-0000-0000-0000B6510000}"/>
    <cellStyle name="Input 14 3 2 2 4" xfId="19221" xr:uid="{00000000-0005-0000-0000-0000B7510000}"/>
    <cellStyle name="Input 14 3 2 2 4 2" xfId="44758" xr:uid="{00000000-0005-0000-0000-0000B8510000}"/>
    <cellStyle name="Input 14 3 2 2 4 3" xfId="48664" xr:uid="{00000000-0005-0000-0000-0000B9510000}"/>
    <cellStyle name="Input 14 3 2 2 4 4" xfId="36806" xr:uid="{00000000-0005-0000-0000-0000BA510000}"/>
    <cellStyle name="Input 14 3 2 2 5" xfId="20761" xr:uid="{00000000-0005-0000-0000-0000BB510000}"/>
    <cellStyle name="Input 14 3 2 2 5 2" xfId="46298" xr:uid="{00000000-0005-0000-0000-0000BC510000}"/>
    <cellStyle name="Input 14 3 2 2 5 3" xfId="50204" xr:uid="{00000000-0005-0000-0000-0000BD510000}"/>
    <cellStyle name="Input 14 3 2 2 5 4" xfId="38167" xr:uid="{00000000-0005-0000-0000-0000BE510000}"/>
    <cellStyle name="Input 14 3 2 2 6" xfId="21414" xr:uid="{00000000-0005-0000-0000-0000BF510000}"/>
    <cellStyle name="Input 14 3 2 2 6 2" xfId="46951" xr:uid="{00000000-0005-0000-0000-0000C0510000}"/>
    <cellStyle name="Input 14 3 2 2 6 3" xfId="50857" xr:uid="{00000000-0005-0000-0000-0000C1510000}"/>
    <cellStyle name="Input 14 3 2 2 7" xfId="40754" xr:uid="{00000000-0005-0000-0000-0000C2510000}"/>
    <cellStyle name="Input 14 3 2 2 8" xfId="39501" xr:uid="{00000000-0005-0000-0000-0000C3510000}"/>
    <cellStyle name="Input 14 3 2 3" xfId="10850" xr:uid="{00000000-0005-0000-0000-0000C4510000}"/>
    <cellStyle name="Input 14 3 2 3 2" xfId="18643" xr:uid="{00000000-0005-0000-0000-0000C5510000}"/>
    <cellStyle name="Input 14 3 2 3 2 2" xfId="44190" xr:uid="{00000000-0005-0000-0000-0000C6510000}"/>
    <cellStyle name="Input 14 3 2 3 2 3" xfId="48099" xr:uid="{00000000-0005-0000-0000-0000C7510000}"/>
    <cellStyle name="Input 14 3 2 3 2 4" xfId="36280" xr:uid="{00000000-0005-0000-0000-0000C8510000}"/>
    <cellStyle name="Input 14 3 2 3 3" xfId="20143" xr:uid="{00000000-0005-0000-0000-0000C9510000}"/>
    <cellStyle name="Input 14 3 2 3 3 2" xfId="45680" xr:uid="{00000000-0005-0000-0000-0000CA510000}"/>
    <cellStyle name="Input 14 3 2 3 3 3" xfId="49586" xr:uid="{00000000-0005-0000-0000-0000CB510000}"/>
    <cellStyle name="Input 14 3 2 3 3 4" xfId="37629" xr:uid="{00000000-0005-0000-0000-0000CC510000}"/>
    <cellStyle name="Input 14 3 2 3 4" xfId="18950" xr:uid="{00000000-0005-0000-0000-0000CD510000}"/>
    <cellStyle name="Input 14 3 2 3 4 2" xfId="44487" xr:uid="{00000000-0005-0000-0000-0000CE510000}"/>
    <cellStyle name="Input 14 3 2 3 4 3" xfId="48393" xr:uid="{00000000-0005-0000-0000-0000CF510000}"/>
    <cellStyle name="Input 14 3 2 3 4 4" xfId="36576" xr:uid="{00000000-0005-0000-0000-0000D0510000}"/>
    <cellStyle name="Input 14 3 2 3 5" xfId="21056" xr:uid="{00000000-0005-0000-0000-0000D1510000}"/>
    <cellStyle name="Input 14 3 2 3 5 2" xfId="46593" xr:uid="{00000000-0005-0000-0000-0000D2510000}"/>
    <cellStyle name="Input 14 3 2 3 5 3" xfId="50499" xr:uid="{00000000-0005-0000-0000-0000D3510000}"/>
    <cellStyle name="Input 14 3 2 3 5 4" xfId="38462" xr:uid="{00000000-0005-0000-0000-0000D4510000}"/>
    <cellStyle name="Input 14 3 2 3 6" xfId="21709" xr:uid="{00000000-0005-0000-0000-0000D5510000}"/>
    <cellStyle name="Input 14 3 2 3 6 2" xfId="47246" xr:uid="{00000000-0005-0000-0000-0000D6510000}"/>
    <cellStyle name="Input 14 3 2 3 6 3" xfId="51152" xr:uid="{00000000-0005-0000-0000-0000D7510000}"/>
    <cellStyle name="Input 14 3 2 3 7" xfId="41049" xr:uid="{00000000-0005-0000-0000-0000D8510000}"/>
    <cellStyle name="Input 14 3 2 3 8" xfId="42601" xr:uid="{00000000-0005-0000-0000-0000D9510000}"/>
    <cellStyle name="Input 14 3 2 4" xfId="14813" xr:uid="{00000000-0005-0000-0000-0000DA510000}"/>
    <cellStyle name="Input 14 3 2 4 2" xfId="42929" xr:uid="{00000000-0005-0000-0000-0000DB510000}"/>
    <cellStyle name="Input 14 3 2 4 3" xfId="40317" xr:uid="{00000000-0005-0000-0000-0000DC510000}"/>
    <cellStyle name="Input 14 3 2 4 4" xfId="32448" xr:uid="{00000000-0005-0000-0000-0000DD510000}"/>
    <cellStyle name="Input 14 3 2 5" xfId="13090" xr:uid="{00000000-0005-0000-0000-0000DE510000}"/>
    <cellStyle name="Input 14 3 2 5 2" xfId="42311" xr:uid="{00000000-0005-0000-0000-0000DF510000}"/>
    <cellStyle name="Input 14 3 2 5 3" xfId="43468" xr:uid="{00000000-0005-0000-0000-0000E0510000}"/>
    <cellStyle name="Input 14 3 2 5 4" xfId="30739" xr:uid="{00000000-0005-0000-0000-0000E1510000}"/>
    <cellStyle name="Input 14 3 2 6" xfId="19149" xr:uid="{00000000-0005-0000-0000-0000E2510000}"/>
    <cellStyle name="Input 14 3 2 6 2" xfId="44686" xr:uid="{00000000-0005-0000-0000-0000E3510000}"/>
    <cellStyle name="Input 14 3 2 6 3" xfId="48592" xr:uid="{00000000-0005-0000-0000-0000E4510000}"/>
    <cellStyle name="Input 14 3 2 6 4" xfId="36744" xr:uid="{00000000-0005-0000-0000-0000E5510000}"/>
    <cellStyle name="Input 14 3 2 7" xfId="12860" xr:uid="{00000000-0005-0000-0000-0000E6510000}"/>
    <cellStyle name="Input 14 3 2 7 2" xfId="42243" xr:uid="{00000000-0005-0000-0000-0000E7510000}"/>
    <cellStyle name="Input 14 3 2 7 3" xfId="40547" xr:uid="{00000000-0005-0000-0000-0000E8510000}"/>
    <cellStyle name="Input 14 3 2 7 4" xfId="30512" xr:uid="{00000000-0005-0000-0000-0000E9510000}"/>
    <cellStyle name="Input 14 3 2 8" xfId="11722" xr:uid="{00000000-0005-0000-0000-0000EA510000}"/>
    <cellStyle name="Input 14 3 2 8 2" xfId="41711" xr:uid="{00000000-0005-0000-0000-0000EB510000}"/>
    <cellStyle name="Input 14 3 2 8 3" xfId="40349" xr:uid="{00000000-0005-0000-0000-0000EC510000}"/>
    <cellStyle name="Input 14 3 2 9" xfId="39789" xr:uid="{00000000-0005-0000-0000-0000ED510000}"/>
    <cellStyle name="Input 14 3 3" xfId="53011" xr:uid="{00000000-0005-0000-0000-0000EE510000}"/>
    <cellStyle name="Input 14 4" xfId="7022" xr:uid="{00000000-0005-0000-0000-0000EF510000}"/>
    <cellStyle name="Input 14 4 10" xfId="43107" xr:uid="{00000000-0005-0000-0000-0000F0510000}"/>
    <cellStyle name="Input 14 4 11" xfId="53012" xr:uid="{00000000-0005-0000-0000-0000F1510000}"/>
    <cellStyle name="Input 14 4 2" xfId="10552" xr:uid="{00000000-0005-0000-0000-0000F2510000}"/>
    <cellStyle name="Input 14 4 2 2" xfId="18345" xr:uid="{00000000-0005-0000-0000-0000F3510000}"/>
    <cellStyle name="Input 14 4 2 2 2" xfId="43892" xr:uid="{00000000-0005-0000-0000-0000F4510000}"/>
    <cellStyle name="Input 14 4 2 2 3" xfId="47801" xr:uid="{00000000-0005-0000-0000-0000F5510000}"/>
    <cellStyle name="Input 14 4 2 2 4" xfId="35982" xr:uid="{00000000-0005-0000-0000-0000F6510000}"/>
    <cellStyle name="Input 14 4 2 3" xfId="19914" xr:uid="{00000000-0005-0000-0000-0000F7510000}"/>
    <cellStyle name="Input 14 4 2 3 2" xfId="45451" xr:uid="{00000000-0005-0000-0000-0000F8510000}"/>
    <cellStyle name="Input 14 4 2 3 3" xfId="49357" xr:uid="{00000000-0005-0000-0000-0000F9510000}"/>
    <cellStyle name="Input 14 4 2 3 4" xfId="37428" xr:uid="{00000000-0005-0000-0000-0000FA510000}"/>
    <cellStyle name="Input 14 4 2 4" xfId="19973" xr:uid="{00000000-0005-0000-0000-0000FB510000}"/>
    <cellStyle name="Input 14 4 2 4 2" xfId="45510" xr:uid="{00000000-0005-0000-0000-0000FC510000}"/>
    <cellStyle name="Input 14 4 2 4 3" xfId="49416" xr:uid="{00000000-0005-0000-0000-0000FD510000}"/>
    <cellStyle name="Input 14 4 2 4 4" xfId="37477" xr:uid="{00000000-0005-0000-0000-0000FE510000}"/>
    <cellStyle name="Input 14 4 2 5" xfId="20758" xr:uid="{00000000-0005-0000-0000-0000FF510000}"/>
    <cellStyle name="Input 14 4 2 5 2" xfId="46295" xr:uid="{00000000-0005-0000-0000-000000520000}"/>
    <cellStyle name="Input 14 4 2 5 3" xfId="50201" xr:uid="{00000000-0005-0000-0000-000001520000}"/>
    <cellStyle name="Input 14 4 2 5 4" xfId="38164" xr:uid="{00000000-0005-0000-0000-000002520000}"/>
    <cellStyle name="Input 14 4 2 6" xfId="21411" xr:uid="{00000000-0005-0000-0000-000003520000}"/>
    <cellStyle name="Input 14 4 2 6 2" xfId="46948" xr:uid="{00000000-0005-0000-0000-000004520000}"/>
    <cellStyle name="Input 14 4 2 6 3" xfId="50854" xr:uid="{00000000-0005-0000-0000-000005520000}"/>
    <cellStyle name="Input 14 4 2 7" xfId="40751" xr:uid="{00000000-0005-0000-0000-000006520000}"/>
    <cellStyle name="Input 14 4 2 8" xfId="42613" xr:uid="{00000000-0005-0000-0000-000007520000}"/>
    <cellStyle name="Input 14 4 3" xfId="10847" xr:uid="{00000000-0005-0000-0000-000008520000}"/>
    <cellStyle name="Input 14 4 3 2" xfId="18640" xr:uid="{00000000-0005-0000-0000-000009520000}"/>
    <cellStyle name="Input 14 4 3 2 2" xfId="44187" xr:uid="{00000000-0005-0000-0000-00000A520000}"/>
    <cellStyle name="Input 14 4 3 2 3" xfId="48096" xr:uid="{00000000-0005-0000-0000-00000B520000}"/>
    <cellStyle name="Input 14 4 3 2 4" xfId="36277" xr:uid="{00000000-0005-0000-0000-00000C520000}"/>
    <cellStyle name="Input 14 4 3 3" xfId="12637" xr:uid="{00000000-0005-0000-0000-00000D520000}"/>
    <cellStyle name="Input 14 4 3 3 2" xfId="42116" xr:uid="{00000000-0005-0000-0000-00000E520000}"/>
    <cellStyle name="Input 14 4 3 3 3" xfId="43478" xr:uid="{00000000-0005-0000-0000-00000F520000}"/>
    <cellStyle name="Input 14 4 3 3 4" xfId="30302" xr:uid="{00000000-0005-0000-0000-000010520000}"/>
    <cellStyle name="Input 14 4 3 4" xfId="18904" xr:uid="{00000000-0005-0000-0000-000011520000}"/>
    <cellStyle name="Input 14 4 3 4 2" xfId="44441" xr:uid="{00000000-0005-0000-0000-000012520000}"/>
    <cellStyle name="Input 14 4 3 4 3" xfId="48347" xr:uid="{00000000-0005-0000-0000-000013520000}"/>
    <cellStyle name="Input 14 4 3 4 4" xfId="36537" xr:uid="{00000000-0005-0000-0000-000014520000}"/>
    <cellStyle name="Input 14 4 3 5" xfId="21053" xr:uid="{00000000-0005-0000-0000-000015520000}"/>
    <cellStyle name="Input 14 4 3 5 2" xfId="46590" xr:uid="{00000000-0005-0000-0000-000016520000}"/>
    <cellStyle name="Input 14 4 3 5 3" xfId="50496" xr:uid="{00000000-0005-0000-0000-000017520000}"/>
    <cellStyle name="Input 14 4 3 5 4" xfId="38459" xr:uid="{00000000-0005-0000-0000-000018520000}"/>
    <cellStyle name="Input 14 4 3 6" xfId="21706" xr:uid="{00000000-0005-0000-0000-000019520000}"/>
    <cellStyle name="Input 14 4 3 6 2" xfId="47243" xr:uid="{00000000-0005-0000-0000-00001A520000}"/>
    <cellStyle name="Input 14 4 3 6 3" xfId="51149" xr:uid="{00000000-0005-0000-0000-00001B520000}"/>
    <cellStyle name="Input 14 4 3 7" xfId="41046" xr:uid="{00000000-0005-0000-0000-00001C520000}"/>
    <cellStyle name="Input 14 4 3 8" xfId="43625" xr:uid="{00000000-0005-0000-0000-00001D520000}"/>
    <cellStyle name="Input 14 4 4" xfId="14810" xr:uid="{00000000-0005-0000-0000-00001E520000}"/>
    <cellStyle name="Input 14 4 4 2" xfId="42926" xr:uid="{00000000-0005-0000-0000-00001F520000}"/>
    <cellStyle name="Input 14 4 4 3" xfId="39534" xr:uid="{00000000-0005-0000-0000-000020520000}"/>
    <cellStyle name="Input 14 4 4 4" xfId="32445" xr:uid="{00000000-0005-0000-0000-000021520000}"/>
    <cellStyle name="Input 14 4 5" xfId="13088" xr:uid="{00000000-0005-0000-0000-000022520000}"/>
    <cellStyle name="Input 14 4 5 2" xfId="42309" xr:uid="{00000000-0005-0000-0000-000023520000}"/>
    <cellStyle name="Input 14 4 5 3" xfId="39547" xr:uid="{00000000-0005-0000-0000-000024520000}"/>
    <cellStyle name="Input 14 4 5 4" xfId="30737" xr:uid="{00000000-0005-0000-0000-000025520000}"/>
    <cellStyle name="Input 14 4 6" xfId="12858" xr:uid="{00000000-0005-0000-0000-000026520000}"/>
    <cellStyle name="Input 14 4 6 2" xfId="42241" xr:uid="{00000000-0005-0000-0000-000027520000}"/>
    <cellStyle name="Input 14 4 6 3" xfId="42801" xr:uid="{00000000-0005-0000-0000-000028520000}"/>
    <cellStyle name="Input 14 4 6 4" xfId="30510" xr:uid="{00000000-0005-0000-0000-000029520000}"/>
    <cellStyle name="Input 14 4 7" xfId="19018" xr:uid="{00000000-0005-0000-0000-00002A520000}"/>
    <cellStyle name="Input 14 4 7 2" xfId="44555" xr:uid="{00000000-0005-0000-0000-00002B520000}"/>
    <cellStyle name="Input 14 4 7 3" xfId="48461" xr:uid="{00000000-0005-0000-0000-00002C520000}"/>
    <cellStyle name="Input 14 4 7 4" xfId="36626" xr:uid="{00000000-0005-0000-0000-00002D520000}"/>
    <cellStyle name="Input 14 4 8" xfId="20294" xr:uid="{00000000-0005-0000-0000-00002E520000}"/>
    <cellStyle name="Input 14 4 8 2" xfId="45831" xr:uid="{00000000-0005-0000-0000-00002F520000}"/>
    <cellStyle name="Input 14 4 8 3" xfId="49737" xr:uid="{00000000-0005-0000-0000-000030520000}"/>
    <cellStyle name="Input 14 4 9" xfId="39786" xr:uid="{00000000-0005-0000-0000-000031520000}"/>
    <cellStyle name="Input 14 5" xfId="22433" xr:uid="{00000000-0005-0000-0000-000032520000}"/>
    <cellStyle name="Input 14 6" xfId="22919" xr:uid="{00000000-0005-0000-0000-000033520000}"/>
    <cellStyle name="Input 14 7" xfId="53008" xr:uid="{00000000-0005-0000-0000-000034520000}"/>
    <cellStyle name="Input 14_Sheet1" xfId="1826" xr:uid="{00000000-0005-0000-0000-000035520000}"/>
    <cellStyle name="Input 15" xfId="1827" xr:uid="{00000000-0005-0000-0000-000036520000}"/>
    <cellStyle name="Input 15 2" xfId="1828" xr:uid="{00000000-0005-0000-0000-000037520000}"/>
    <cellStyle name="Input 15 2 2" xfId="1829" xr:uid="{00000000-0005-0000-0000-000038520000}"/>
    <cellStyle name="Input 15 2 2 2" xfId="7028" xr:uid="{00000000-0005-0000-0000-000039520000}"/>
    <cellStyle name="Input 15 2 2 2 10" xfId="40513" xr:uid="{00000000-0005-0000-0000-00003A520000}"/>
    <cellStyle name="Input 15 2 2 2 2" xfId="10558" xr:uid="{00000000-0005-0000-0000-00003B520000}"/>
    <cellStyle name="Input 15 2 2 2 2 2" xfId="18351" xr:uid="{00000000-0005-0000-0000-00003C520000}"/>
    <cellStyle name="Input 15 2 2 2 2 2 2" xfId="43898" xr:uid="{00000000-0005-0000-0000-00003D520000}"/>
    <cellStyle name="Input 15 2 2 2 2 2 3" xfId="47807" xr:uid="{00000000-0005-0000-0000-00003E520000}"/>
    <cellStyle name="Input 15 2 2 2 2 2 4" xfId="35988" xr:uid="{00000000-0005-0000-0000-00003F520000}"/>
    <cellStyle name="Input 15 2 2 2 2 3" xfId="19616" xr:uid="{00000000-0005-0000-0000-000040520000}"/>
    <cellStyle name="Input 15 2 2 2 2 3 2" xfId="45153" xr:uid="{00000000-0005-0000-0000-000041520000}"/>
    <cellStyle name="Input 15 2 2 2 2 3 3" xfId="49059" xr:uid="{00000000-0005-0000-0000-000042520000}"/>
    <cellStyle name="Input 15 2 2 2 2 3 4" xfId="37156" xr:uid="{00000000-0005-0000-0000-000043520000}"/>
    <cellStyle name="Input 15 2 2 2 2 4" xfId="12999" xr:uid="{00000000-0005-0000-0000-000044520000}"/>
    <cellStyle name="Input 15 2 2 2 2 4 2" xfId="42264" xr:uid="{00000000-0005-0000-0000-000045520000}"/>
    <cellStyle name="Input 15 2 2 2 2 4 3" xfId="43323" xr:uid="{00000000-0005-0000-0000-000046520000}"/>
    <cellStyle name="Input 15 2 2 2 2 4 4" xfId="30648" xr:uid="{00000000-0005-0000-0000-000047520000}"/>
    <cellStyle name="Input 15 2 2 2 2 5" xfId="20764" xr:uid="{00000000-0005-0000-0000-000048520000}"/>
    <cellStyle name="Input 15 2 2 2 2 5 2" xfId="46301" xr:uid="{00000000-0005-0000-0000-000049520000}"/>
    <cellStyle name="Input 15 2 2 2 2 5 3" xfId="50207" xr:uid="{00000000-0005-0000-0000-00004A520000}"/>
    <cellStyle name="Input 15 2 2 2 2 5 4" xfId="38170" xr:uid="{00000000-0005-0000-0000-00004B520000}"/>
    <cellStyle name="Input 15 2 2 2 2 6" xfId="21417" xr:uid="{00000000-0005-0000-0000-00004C520000}"/>
    <cellStyle name="Input 15 2 2 2 2 6 2" xfId="46954" xr:uid="{00000000-0005-0000-0000-00004D520000}"/>
    <cellStyle name="Input 15 2 2 2 2 6 3" xfId="50860" xr:uid="{00000000-0005-0000-0000-00004E520000}"/>
    <cellStyle name="Input 15 2 2 2 2 7" xfId="40757" xr:uid="{00000000-0005-0000-0000-00004F520000}"/>
    <cellStyle name="Input 15 2 2 2 2 8" xfId="40256" xr:uid="{00000000-0005-0000-0000-000050520000}"/>
    <cellStyle name="Input 15 2 2 2 3" xfId="10853" xr:uid="{00000000-0005-0000-0000-000051520000}"/>
    <cellStyle name="Input 15 2 2 2 3 2" xfId="18646" xr:uid="{00000000-0005-0000-0000-000052520000}"/>
    <cellStyle name="Input 15 2 2 2 3 2 2" xfId="44193" xr:uid="{00000000-0005-0000-0000-000053520000}"/>
    <cellStyle name="Input 15 2 2 2 3 2 3" xfId="48102" xr:uid="{00000000-0005-0000-0000-000054520000}"/>
    <cellStyle name="Input 15 2 2 2 3 2 4" xfId="36283" xr:uid="{00000000-0005-0000-0000-000055520000}"/>
    <cellStyle name="Input 15 2 2 2 3 3" xfId="19275" xr:uid="{00000000-0005-0000-0000-000056520000}"/>
    <cellStyle name="Input 15 2 2 2 3 3 2" xfId="44812" xr:uid="{00000000-0005-0000-0000-000057520000}"/>
    <cellStyle name="Input 15 2 2 2 3 3 3" xfId="48718" xr:uid="{00000000-0005-0000-0000-000058520000}"/>
    <cellStyle name="Input 15 2 2 2 3 3 4" xfId="36853" xr:uid="{00000000-0005-0000-0000-000059520000}"/>
    <cellStyle name="Input 15 2 2 2 3 4" xfId="19235" xr:uid="{00000000-0005-0000-0000-00005A520000}"/>
    <cellStyle name="Input 15 2 2 2 3 4 2" xfId="44772" xr:uid="{00000000-0005-0000-0000-00005B520000}"/>
    <cellStyle name="Input 15 2 2 2 3 4 3" xfId="48678" xr:uid="{00000000-0005-0000-0000-00005C520000}"/>
    <cellStyle name="Input 15 2 2 2 3 4 4" xfId="36816" xr:uid="{00000000-0005-0000-0000-00005D520000}"/>
    <cellStyle name="Input 15 2 2 2 3 5" xfId="21059" xr:uid="{00000000-0005-0000-0000-00005E520000}"/>
    <cellStyle name="Input 15 2 2 2 3 5 2" xfId="46596" xr:uid="{00000000-0005-0000-0000-00005F520000}"/>
    <cellStyle name="Input 15 2 2 2 3 5 3" xfId="50502" xr:uid="{00000000-0005-0000-0000-000060520000}"/>
    <cellStyle name="Input 15 2 2 2 3 5 4" xfId="38465" xr:uid="{00000000-0005-0000-0000-000061520000}"/>
    <cellStyle name="Input 15 2 2 2 3 6" xfId="21712" xr:uid="{00000000-0005-0000-0000-000062520000}"/>
    <cellStyle name="Input 15 2 2 2 3 6 2" xfId="47249" xr:uid="{00000000-0005-0000-0000-000063520000}"/>
    <cellStyle name="Input 15 2 2 2 3 6 3" xfId="51155" xr:uid="{00000000-0005-0000-0000-000064520000}"/>
    <cellStyle name="Input 15 2 2 2 3 7" xfId="41052" xr:uid="{00000000-0005-0000-0000-000065520000}"/>
    <cellStyle name="Input 15 2 2 2 3 8" xfId="39489" xr:uid="{00000000-0005-0000-0000-000066520000}"/>
    <cellStyle name="Input 15 2 2 2 4" xfId="14816" xr:uid="{00000000-0005-0000-0000-000067520000}"/>
    <cellStyle name="Input 15 2 2 2 4 2" xfId="42932" xr:uid="{00000000-0005-0000-0000-000068520000}"/>
    <cellStyle name="Input 15 2 2 2 4 3" xfId="43303" xr:uid="{00000000-0005-0000-0000-000069520000}"/>
    <cellStyle name="Input 15 2 2 2 4 4" xfId="32451" xr:uid="{00000000-0005-0000-0000-00006A520000}"/>
    <cellStyle name="Input 15 2 2 2 5" xfId="13092" xr:uid="{00000000-0005-0000-0000-00006B520000}"/>
    <cellStyle name="Input 15 2 2 2 5 2" xfId="42313" xr:uid="{00000000-0005-0000-0000-00006C520000}"/>
    <cellStyle name="Input 15 2 2 2 5 3" xfId="39447" xr:uid="{00000000-0005-0000-0000-00006D520000}"/>
    <cellStyle name="Input 15 2 2 2 5 4" xfId="30741" xr:uid="{00000000-0005-0000-0000-00006E520000}"/>
    <cellStyle name="Input 15 2 2 2 6" xfId="19531" xr:uid="{00000000-0005-0000-0000-00006F520000}"/>
    <cellStyle name="Input 15 2 2 2 6 2" xfId="45068" xr:uid="{00000000-0005-0000-0000-000070520000}"/>
    <cellStyle name="Input 15 2 2 2 6 3" xfId="48974" xr:uid="{00000000-0005-0000-0000-000071520000}"/>
    <cellStyle name="Input 15 2 2 2 6 4" xfId="37078" xr:uid="{00000000-0005-0000-0000-000072520000}"/>
    <cellStyle name="Input 15 2 2 2 7" xfId="12797" xr:uid="{00000000-0005-0000-0000-000073520000}"/>
    <cellStyle name="Input 15 2 2 2 7 2" xfId="42217" xr:uid="{00000000-0005-0000-0000-000074520000}"/>
    <cellStyle name="Input 15 2 2 2 7 3" xfId="40058" xr:uid="{00000000-0005-0000-0000-000075520000}"/>
    <cellStyle name="Input 15 2 2 2 7 4" xfId="30454" xr:uid="{00000000-0005-0000-0000-000076520000}"/>
    <cellStyle name="Input 15 2 2 2 8" xfId="20091" xr:uid="{00000000-0005-0000-0000-000077520000}"/>
    <cellStyle name="Input 15 2 2 2 8 2" xfId="45628" xr:uid="{00000000-0005-0000-0000-000078520000}"/>
    <cellStyle name="Input 15 2 2 2 8 3" xfId="49534" xr:uid="{00000000-0005-0000-0000-000079520000}"/>
    <cellStyle name="Input 15 2 2 2 9" xfId="39792" xr:uid="{00000000-0005-0000-0000-00007A520000}"/>
    <cellStyle name="Input 15 2 2 3" xfId="53015" xr:uid="{00000000-0005-0000-0000-00007B520000}"/>
    <cellStyle name="Input 15 2 3" xfId="7027" xr:uid="{00000000-0005-0000-0000-00007C520000}"/>
    <cellStyle name="Input 15 2 3 10" xfId="43655" xr:uid="{00000000-0005-0000-0000-00007D520000}"/>
    <cellStyle name="Input 15 2 3 11" xfId="53016" xr:uid="{00000000-0005-0000-0000-00007E520000}"/>
    <cellStyle name="Input 15 2 3 2" xfId="10557" xr:uid="{00000000-0005-0000-0000-00007F520000}"/>
    <cellStyle name="Input 15 2 3 2 2" xfId="18350" xr:uid="{00000000-0005-0000-0000-000080520000}"/>
    <cellStyle name="Input 15 2 3 2 2 2" xfId="43897" xr:uid="{00000000-0005-0000-0000-000081520000}"/>
    <cellStyle name="Input 15 2 3 2 2 3" xfId="47806" xr:uid="{00000000-0005-0000-0000-000082520000}"/>
    <cellStyle name="Input 15 2 3 2 2 4" xfId="35987" xr:uid="{00000000-0005-0000-0000-000083520000}"/>
    <cellStyle name="Input 15 2 3 2 3" xfId="13323" xr:uid="{00000000-0005-0000-0000-000084520000}"/>
    <cellStyle name="Input 15 2 3 2 3 2" xfId="42493" xr:uid="{00000000-0005-0000-0000-000085520000}"/>
    <cellStyle name="Input 15 2 3 2 3 3" xfId="42684" xr:uid="{00000000-0005-0000-0000-000086520000}"/>
    <cellStyle name="Input 15 2 3 2 3 4" xfId="30963" xr:uid="{00000000-0005-0000-0000-000087520000}"/>
    <cellStyle name="Input 15 2 3 2 4" xfId="12689" xr:uid="{00000000-0005-0000-0000-000088520000}"/>
    <cellStyle name="Input 15 2 3 2 4 2" xfId="42168" xr:uid="{00000000-0005-0000-0000-000089520000}"/>
    <cellStyle name="Input 15 2 3 2 4 3" xfId="40550" xr:uid="{00000000-0005-0000-0000-00008A520000}"/>
    <cellStyle name="Input 15 2 3 2 4 4" xfId="30350" xr:uid="{00000000-0005-0000-0000-00008B520000}"/>
    <cellStyle name="Input 15 2 3 2 5" xfId="20763" xr:uid="{00000000-0005-0000-0000-00008C520000}"/>
    <cellStyle name="Input 15 2 3 2 5 2" xfId="46300" xr:uid="{00000000-0005-0000-0000-00008D520000}"/>
    <cellStyle name="Input 15 2 3 2 5 3" xfId="50206" xr:uid="{00000000-0005-0000-0000-00008E520000}"/>
    <cellStyle name="Input 15 2 3 2 5 4" xfId="38169" xr:uid="{00000000-0005-0000-0000-00008F520000}"/>
    <cellStyle name="Input 15 2 3 2 6" xfId="21416" xr:uid="{00000000-0005-0000-0000-000090520000}"/>
    <cellStyle name="Input 15 2 3 2 6 2" xfId="46953" xr:uid="{00000000-0005-0000-0000-000091520000}"/>
    <cellStyle name="Input 15 2 3 2 6 3" xfId="50859" xr:uid="{00000000-0005-0000-0000-000092520000}"/>
    <cellStyle name="Input 15 2 3 2 7" xfId="40756" xr:uid="{00000000-0005-0000-0000-000093520000}"/>
    <cellStyle name="Input 15 2 3 2 8" xfId="43394" xr:uid="{00000000-0005-0000-0000-000094520000}"/>
    <cellStyle name="Input 15 2 3 3" xfId="10852" xr:uid="{00000000-0005-0000-0000-000095520000}"/>
    <cellStyle name="Input 15 2 3 3 2" xfId="18645" xr:uid="{00000000-0005-0000-0000-000096520000}"/>
    <cellStyle name="Input 15 2 3 3 2 2" xfId="44192" xr:uid="{00000000-0005-0000-0000-000097520000}"/>
    <cellStyle name="Input 15 2 3 3 2 3" xfId="48101" xr:uid="{00000000-0005-0000-0000-000098520000}"/>
    <cellStyle name="Input 15 2 3 3 2 4" xfId="36282" xr:uid="{00000000-0005-0000-0000-000099520000}"/>
    <cellStyle name="Input 15 2 3 3 3" xfId="20009" xr:uid="{00000000-0005-0000-0000-00009A520000}"/>
    <cellStyle name="Input 15 2 3 3 3 2" xfId="45546" xr:uid="{00000000-0005-0000-0000-00009B520000}"/>
    <cellStyle name="Input 15 2 3 3 3 3" xfId="49452" xr:uid="{00000000-0005-0000-0000-00009C520000}"/>
    <cellStyle name="Input 15 2 3 3 3 4" xfId="37507" xr:uid="{00000000-0005-0000-0000-00009D520000}"/>
    <cellStyle name="Input 15 2 3 3 4" xfId="12540" xr:uid="{00000000-0005-0000-0000-00009E520000}"/>
    <cellStyle name="Input 15 2 3 3 4 2" xfId="42042" xr:uid="{00000000-0005-0000-0000-00009F520000}"/>
    <cellStyle name="Input 15 2 3 3 4 3" xfId="40451" xr:uid="{00000000-0005-0000-0000-0000A0520000}"/>
    <cellStyle name="Input 15 2 3 3 4 4" xfId="30208" xr:uid="{00000000-0005-0000-0000-0000A1520000}"/>
    <cellStyle name="Input 15 2 3 3 5" xfId="21058" xr:uid="{00000000-0005-0000-0000-0000A2520000}"/>
    <cellStyle name="Input 15 2 3 3 5 2" xfId="46595" xr:uid="{00000000-0005-0000-0000-0000A3520000}"/>
    <cellStyle name="Input 15 2 3 3 5 3" xfId="50501" xr:uid="{00000000-0005-0000-0000-0000A4520000}"/>
    <cellStyle name="Input 15 2 3 3 5 4" xfId="38464" xr:uid="{00000000-0005-0000-0000-0000A5520000}"/>
    <cellStyle name="Input 15 2 3 3 6" xfId="21711" xr:uid="{00000000-0005-0000-0000-0000A6520000}"/>
    <cellStyle name="Input 15 2 3 3 6 2" xfId="47248" xr:uid="{00000000-0005-0000-0000-0000A7520000}"/>
    <cellStyle name="Input 15 2 3 3 6 3" xfId="51154" xr:uid="{00000000-0005-0000-0000-0000A8520000}"/>
    <cellStyle name="Input 15 2 3 3 7" xfId="41051" xr:uid="{00000000-0005-0000-0000-0000A9520000}"/>
    <cellStyle name="Input 15 2 3 3 8" xfId="40377" xr:uid="{00000000-0005-0000-0000-0000AA520000}"/>
    <cellStyle name="Input 15 2 3 4" xfId="14815" xr:uid="{00000000-0005-0000-0000-0000AB520000}"/>
    <cellStyle name="Input 15 2 3 4 2" xfId="42931" xr:uid="{00000000-0005-0000-0000-0000AC520000}"/>
    <cellStyle name="Input 15 2 3 4 3" xfId="41949" xr:uid="{00000000-0005-0000-0000-0000AD520000}"/>
    <cellStyle name="Input 15 2 3 4 4" xfId="32450" xr:uid="{00000000-0005-0000-0000-0000AE520000}"/>
    <cellStyle name="Input 15 2 3 5" xfId="13091" xr:uid="{00000000-0005-0000-0000-0000AF520000}"/>
    <cellStyle name="Input 15 2 3 5 2" xfId="42312" xr:uid="{00000000-0005-0000-0000-0000B0520000}"/>
    <cellStyle name="Input 15 2 3 5 3" xfId="40330" xr:uid="{00000000-0005-0000-0000-0000B1520000}"/>
    <cellStyle name="Input 15 2 3 5 4" xfId="30740" xr:uid="{00000000-0005-0000-0000-0000B2520000}"/>
    <cellStyle name="Input 15 2 3 6" xfId="13905" xr:uid="{00000000-0005-0000-0000-0000B3520000}"/>
    <cellStyle name="Input 15 2 3 6 2" xfId="42640" xr:uid="{00000000-0005-0000-0000-0000B4520000}"/>
    <cellStyle name="Input 15 2 3 6 3" xfId="42547" xr:uid="{00000000-0005-0000-0000-0000B5520000}"/>
    <cellStyle name="Input 15 2 3 6 4" xfId="31544" xr:uid="{00000000-0005-0000-0000-0000B6520000}"/>
    <cellStyle name="Input 15 2 3 7" xfId="19376" xr:uid="{00000000-0005-0000-0000-0000B7520000}"/>
    <cellStyle name="Input 15 2 3 7 2" xfId="44913" xr:uid="{00000000-0005-0000-0000-0000B8520000}"/>
    <cellStyle name="Input 15 2 3 7 3" xfId="48819" xr:uid="{00000000-0005-0000-0000-0000B9520000}"/>
    <cellStyle name="Input 15 2 3 7 4" xfId="36942" xr:uid="{00000000-0005-0000-0000-0000BA520000}"/>
    <cellStyle name="Input 15 2 3 8" xfId="19975" xr:uid="{00000000-0005-0000-0000-0000BB520000}"/>
    <cellStyle name="Input 15 2 3 8 2" xfId="45512" xr:uid="{00000000-0005-0000-0000-0000BC520000}"/>
    <cellStyle name="Input 15 2 3 8 3" xfId="49418" xr:uid="{00000000-0005-0000-0000-0000BD520000}"/>
    <cellStyle name="Input 15 2 3 9" xfId="39791" xr:uid="{00000000-0005-0000-0000-0000BE520000}"/>
    <cellStyle name="Input 15 2 4" xfId="22435" xr:uid="{00000000-0005-0000-0000-0000BF520000}"/>
    <cellStyle name="Input 15 2 5" xfId="53014" xr:uid="{00000000-0005-0000-0000-0000C0520000}"/>
    <cellStyle name="Input 15 2_Sheet1" xfId="1830" xr:uid="{00000000-0005-0000-0000-0000C1520000}"/>
    <cellStyle name="Input 15 3" xfId="1831" xr:uid="{00000000-0005-0000-0000-0000C2520000}"/>
    <cellStyle name="Input 15 3 2" xfId="7029" xr:uid="{00000000-0005-0000-0000-0000C3520000}"/>
    <cellStyle name="Input 15 3 2 10" xfId="39623" xr:uid="{00000000-0005-0000-0000-0000C4520000}"/>
    <cellStyle name="Input 15 3 2 2" xfId="10559" xr:uid="{00000000-0005-0000-0000-0000C5520000}"/>
    <cellStyle name="Input 15 3 2 2 2" xfId="18352" xr:uid="{00000000-0005-0000-0000-0000C6520000}"/>
    <cellStyle name="Input 15 3 2 2 2 2" xfId="43899" xr:uid="{00000000-0005-0000-0000-0000C7520000}"/>
    <cellStyle name="Input 15 3 2 2 2 3" xfId="47808" xr:uid="{00000000-0005-0000-0000-0000C8520000}"/>
    <cellStyle name="Input 15 3 2 2 2 4" xfId="35989" xr:uid="{00000000-0005-0000-0000-0000C9520000}"/>
    <cellStyle name="Input 15 3 2 2 3" xfId="20171" xr:uid="{00000000-0005-0000-0000-0000CA520000}"/>
    <cellStyle name="Input 15 3 2 2 3 2" xfId="45708" xr:uid="{00000000-0005-0000-0000-0000CB520000}"/>
    <cellStyle name="Input 15 3 2 2 3 3" xfId="49614" xr:uid="{00000000-0005-0000-0000-0000CC520000}"/>
    <cellStyle name="Input 15 3 2 2 3 4" xfId="37657" xr:uid="{00000000-0005-0000-0000-0000CD520000}"/>
    <cellStyle name="Input 15 3 2 2 4" xfId="19088" xr:uid="{00000000-0005-0000-0000-0000CE520000}"/>
    <cellStyle name="Input 15 3 2 2 4 2" xfId="44625" xr:uid="{00000000-0005-0000-0000-0000CF520000}"/>
    <cellStyle name="Input 15 3 2 2 4 3" xfId="48531" xr:uid="{00000000-0005-0000-0000-0000D0520000}"/>
    <cellStyle name="Input 15 3 2 2 4 4" xfId="36684" xr:uid="{00000000-0005-0000-0000-0000D1520000}"/>
    <cellStyle name="Input 15 3 2 2 5" xfId="20765" xr:uid="{00000000-0005-0000-0000-0000D2520000}"/>
    <cellStyle name="Input 15 3 2 2 5 2" xfId="46302" xr:uid="{00000000-0005-0000-0000-0000D3520000}"/>
    <cellStyle name="Input 15 3 2 2 5 3" xfId="50208" xr:uid="{00000000-0005-0000-0000-0000D4520000}"/>
    <cellStyle name="Input 15 3 2 2 5 4" xfId="38171" xr:uid="{00000000-0005-0000-0000-0000D5520000}"/>
    <cellStyle name="Input 15 3 2 2 6" xfId="21418" xr:uid="{00000000-0005-0000-0000-0000D6520000}"/>
    <cellStyle name="Input 15 3 2 2 6 2" xfId="46955" xr:uid="{00000000-0005-0000-0000-0000D7520000}"/>
    <cellStyle name="Input 15 3 2 2 6 3" xfId="50861" xr:uid="{00000000-0005-0000-0000-0000D8520000}"/>
    <cellStyle name="Input 15 3 2 2 7" xfId="40758" xr:uid="{00000000-0005-0000-0000-0000D9520000}"/>
    <cellStyle name="Input 15 3 2 2 8" xfId="39396" xr:uid="{00000000-0005-0000-0000-0000DA520000}"/>
    <cellStyle name="Input 15 3 2 3" xfId="10854" xr:uid="{00000000-0005-0000-0000-0000DB520000}"/>
    <cellStyle name="Input 15 3 2 3 2" xfId="18647" xr:uid="{00000000-0005-0000-0000-0000DC520000}"/>
    <cellStyle name="Input 15 3 2 3 2 2" xfId="44194" xr:uid="{00000000-0005-0000-0000-0000DD520000}"/>
    <cellStyle name="Input 15 3 2 3 2 3" xfId="48103" xr:uid="{00000000-0005-0000-0000-0000DE520000}"/>
    <cellStyle name="Input 15 3 2 3 2 4" xfId="36284" xr:uid="{00000000-0005-0000-0000-0000DF520000}"/>
    <cellStyle name="Input 15 3 2 3 3" xfId="19884" xr:uid="{00000000-0005-0000-0000-0000E0520000}"/>
    <cellStyle name="Input 15 3 2 3 3 2" xfId="45421" xr:uid="{00000000-0005-0000-0000-0000E1520000}"/>
    <cellStyle name="Input 15 3 2 3 3 3" xfId="49327" xr:uid="{00000000-0005-0000-0000-0000E2520000}"/>
    <cellStyle name="Input 15 3 2 3 3 4" xfId="37398" xr:uid="{00000000-0005-0000-0000-0000E3520000}"/>
    <cellStyle name="Input 15 3 2 3 4" xfId="19072" xr:uid="{00000000-0005-0000-0000-0000E4520000}"/>
    <cellStyle name="Input 15 3 2 3 4 2" xfId="44609" xr:uid="{00000000-0005-0000-0000-0000E5520000}"/>
    <cellStyle name="Input 15 3 2 3 4 3" xfId="48515" xr:uid="{00000000-0005-0000-0000-0000E6520000}"/>
    <cellStyle name="Input 15 3 2 3 4 4" xfId="36669" xr:uid="{00000000-0005-0000-0000-0000E7520000}"/>
    <cellStyle name="Input 15 3 2 3 5" xfId="21060" xr:uid="{00000000-0005-0000-0000-0000E8520000}"/>
    <cellStyle name="Input 15 3 2 3 5 2" xfId="46597" xr:uid="{00000000-0005-0000-0000-0000E9520000}"/>
    <cellStyle name="Input 15 3 2 3 5 3" xfId="50503" xr:uid="{00000000-0005-0000-0000-0000EA520000}"/>
    <cellStyle name="Input 15 3 2 3 5 4" xfId="38466" xr:uid="{00000000-0005-0000-0000-0000EB520000}"/>
    <cellStyle name="Input 15 3 2 3 6" xfId="21713" xr:uid="{00000000-0005-0000-0000-0000EC520000}"/>
    <cellStyle name="Input 15 3 2 3 6 2" xfId="47250" xr:uid="{00000000-0005-0000-0000-0000ED520000}"/>
    <cellStyle name="Input 15 3 2 3 6 3" xfId="51156" xr:uid="{00000000-0005-0000-0000-0000EE520000}"/>
    <cellStyle name="Input 15 3 2 3 7" xfId="41053" xr:uid="{00000000-0005-0000-0000-0000EF520000}"/>
    <cellStyle name="Input 15 3 2 3 8" xfId="42057" xr:uid="{00000000-0005-0000-0000-0000F0520000}"/>
    <cellStyle name="Input 15 3 2 4" xfId="14817" xr:uid="{00000000-0005-0000-0000-0000F1520000}"/>
    <cellStyle name="Input 15 3 2 4 2" xfId="42933" xr:uid="{00000000-0005-0000-0000-0000F2520000}"/>
    <cellStyle name="Input 15 3 2 4 3" xfId="40162" xr:uid="{00000000-0005-0000-0000-0000F3520000}"/>
    <cellStyle name="Input 15 3 2 4 4" xfId="32452" xr:uid="{00000000-0005-0000-0000-0000F4520000}"/>
    <cellStyle name="Input 15 3 2 5" xfId="13093" xr:uid="{00000000-0005-0000-0000-0000F5520000}"/>
    <cellStyle name="Input 15 3 2 5 2" xfId="42314" xr:uid="{00000000-0005-0000-0000-0000F6520000}"/>
    <cellStyle name="Input 15 3 2 5 3" xfId="41973" xr:uid="{00000000-0005-0000-0000-0000F7520000}"/>
    <cellStyle name="Input 15 3 2 5 4" xfId="30742" xr:uid="{00000000-0005-0000-0000-0000F8520000}"/>
    <cellStyle name="Input 15 3 2 6" xfId="20224" xr:uid="{00000000-0005-0000-0000-0000F9520000}"/>
    <cellStyle name="Input 15 3 2 6 2" xfId="45761" xr:uid="{00000000-0005-0000-0000-0000FA520000}"/>
    <cellStyle name="Input 15 3 2 6 3" xfId="49667" xr:uid="{00000000-0005-0000-0000-0000FB520000}"/>
    <cellStyle name="Input 15 3 2 6 4" xfId="37701" xr:uid="{00000000-0005-0000-0000-0000FC520000}"/>
    <cellStyle name="Input 15 3 2 7" xfId="19161" xr:uid="{00000000-0005-0000-0000-0000FD520000}"/>
    <cellStyle name="Input 15 3 2 7 2" xfId="44698" xr:uid="{00000000-0005-0000-0000-0000FE520000}"/>
    <cellStyle name="Input 15 3 2 7 3" xfId="48604" xr:uid="{00000000-0005-0000-0000-0000FF520000}"/>
    <cellStyle name="Input 15 3 2 7 4" xfId="36753" xr:uid="{00000000-0005-0000-0000-000000530000}"/>
    <cellStyle name="Input 15 3 2 8" xfId="11454" xr:uid="{00000000-0005-0000-0000-000001530000}"/>
    <cellStyle name="Input 15 3 2 8 2" xfId="41465" xr:uid="{00000000-0005-0000-0000-000002530000}"/>
    <cellStyle name="Input 15 3 2 8 3" xfId="42824" xr:uid="{00000000-0005-0000-0000-000003530000}"/>
    <cellStyle name="Input 15 3 2 9" xfId="39793" xr:uid="{00000000-0005-0000-0000-000004530000}"/>
    <cellStyle name="Input 15 3 3" xfId="53017" xr:uid="{00000000-0005-0000-0000-000005530000}"/>
    <cellStyle name="Input 15 4" xfId="7026" xr:uid="{00000000-0005-0000-0000-000006530000}"/>
    <cellStyle name="Input 15 4 10" xfId="42767" xr:uid="{00000000-0005-0000-0000-000007530000}"/>
    <cellStyle name="Input 15 4 11" xfId="53018" xr:uid="{00000000-0005-0000-0000-000008530000}"/>
    <cellStyle name="Input 15 4 2" xfId="10556" xr:uid="{00000000-0005-0000-0000-000009530000}"/>
    <cellStyle name="Input 15 4 2 2" xfId="18349" xr:uid="{00000000-0005-0000-0000-00000A530000}"/>
    <cellStyle name="Input 15 4 2 2 2" xfId="43896" xr:uid="{00000000-0005-0000-0000-00000B530000}"/>
    <cellStyle name="Input 15 4 2 2 3" xfId="47805" xr:uid="{00000000-0005-0000-0000-00000C530000}"/>
    <cellStyle name="Input 15 4 2 2 4" xfId="35986" xr:uid="{00000000-0005-0000-0000-00000D530000}"/>
    <cellStyle name="Input 15 4 2 3" xfId="12159" xr:uid="{00000000-0005-0000-0000-00000E530000}"/>
    <cellStyle name="Input 15 4 2 3 2" xfId="41904" xr:uid="{00000000-0005-0000-0000-00000F530000}"/>
    <cellStyle name="Input 15 4 2 3 3" xfId="40558" xr:uid="{00000000-0005-0000-0000-000010530000}"/>
    <cellStyle name="Input 15 4 2 3 4" xfId="29831" xr:uid="{00000000-0005-0000-0000-000011530000}"/>
    <cellStyle name="Input 15 4 2 4" xfId="11755" xr:uid="{00000000-0005-0000-0000-000012530000}"/>
    <cellStyle name="Input 15 4 2 4 2" xfId="41732" xr:uid="{00000000-0005-0000-0000-000013530000}"/>
    <cellStyle name="Input 15 4 2 4 3" xfId="39344" xr:uid="{00000000-0005-0000-0000-000014530000}"/>
    <cellStyle name="Input 15 4 2 4 4" xfId="29442" xr:uid="{00000000-0005-0000-0000-000015530000}"/>
    <cellStyle name="Input 15 4 2 5" xfId="20762" xr:uid="{00000000-0005-0000-0000-000016530000}"/>
    <cellStyle name="Input 15 4 2 5 2" xfId="46299" xr:uid="{00000000-0005-0000-0000-000017530000}"/>
    <cellStyle name="Input 15 4 2 5 3" xfId="50205" xr:uid="{00000000-0005-0000-0000-000018530000}"/>
    <cellStyle name="Input 15 4 2 5 4" xfId="38168" xr:uid="{00000000-0005-0000-0000-000019530000}"/>
    <cellStyle name="Input 15 4 2 6" xfId="21415" xr:uid="{00000000-0005-0000-0000-00001A530000}"/>
    <cellStyle name="Input 15 4 2 6 2" xfId="46952" xr:uid="{00000000-0005-0000-0000-00001B530000}"/>
    <cellStyle name="Input 15 4 2 6 3" xfId="50858" xr:uid="{00000000-0005-0000-0000-00001C530000}"/>
    <cellStyle name="Input 15 4 2 7" xfId="40755" xr:uid="{00000000-0005-0000-0000-00001D530000}"/>
    <cellStyle name="Input 15 4 2 8" xfId="42075" xr:uid="{00000000-0005-0000-0000-00001E530000}"/>
    <cellStyle name="Input 15 4 3" xfId="10851" xr:uid="{00000000-0005-0000-0000-00001F530000}"/>
    <cellStyle name="Input 15 4 3 2" xfId="18644" xr:uid="{00000000-0005-0000-0000-000020530000}"/>
    <cellStyle name="Input 15 4 3 2 2" xfId="44191" xr:uid="{00000000-0005-0000-0000-000021530000}"/>
    <cellStyle name="Input 15 4 3 2 3" xfId="48100" xr:uid="{00000000-0005-0000-0000-000022530000}"/>
    <cellStyle name="Input 15 4 3 2 4" xfId="36281" xr:uid="{00000000-0005-0000-0000-000023530000}"/>
    <cellStyle name="Input 15 4 3 3" xfId="19402" xr:uid="{00000000-0005-0000-0000-000024530000}"/>
    <cellStyle name="Input 15 4 3 3 2" xfId="44939" xr:uid="{00000000-0005-0000-0000-000025530000}"/>
    <cellStyle name="Input 15 4 3 3 3" xfId="48845" xr:uid="{00000000-0005-0000-0000-000026530000}"/>
    <cellStyle name="Input 15 4 3 3 4" xfId="36967" xr:uid="{00000000-0005-0000-0000-000027530000}"/>
    <cellStyle name="Input 15 4 3 4" xfId="12018" xr:uid="{00000000-0005-0000-0000-000028530000}"/>
    <cellStyle name="Input 15 4 3 4 2" xfId="41778" xr:uid="{00000000-0005-0000-0000-000029530000}"/>
    <cellStyle name="Input 15 4 3 4 3" xfId="40347" xr:uid="{00000000-0005-0000-0000-00002A530000}"/>
    <cellStyle name="Input 15 4 3 4 4" xfId="29700" xr:uid="{00000000-0005-0000-0000-00002B530000}"/>
    <cellStyle name="Input 15 4 3 5" xfId="21057" xr:uid="{00000000-0005-0000-0000-00002C530000}"/>
    <cellStyle name="Input 15 4 3 5 2" xfId="46594" xr:uid="{00000000-0005-0000-0000-00002D530000}"/>
    <cellStyle name="Input 15 4 3 5 3" xfId="50500" xr:uid="{00000000-0005-0000-0000-00002E530000}"/>
    <cellStyle name="Input 15 4 3 5 4" xfId="38463" xr:uid="{00000000-0005-0000-0000-00002F530000}"/>
    <cellStyle name="Input 15 4 3 6" xfId="21710" xr:uid="{00000000-0005-0000-0000-000030530000}"/>
    <cellStyle name="Input 15 4 3 6 2" xfId="47247" xr:uid="{00000000-0005-0000-0000-000031530000}"/>
    <cellStyle name="Input 15 4 3 6 3" xfId="51153" xr:uid="{00000000-0005-0000-0000-000032530000}"/>
    <cellStyle name="Input 15 4 3 7" xfId="41050" xr:uid="{00000000-0005-0000-0000-000033530000}"/>
    <cellStyle name="Input 15 4 3 8" xfId="43514" xr:uid="{00000000-0005-0000-0000-000034530000}"/>
    <cellStyle name="Input 15 4 4" xfId="14814" xr:uid="{00000000-0005-0000-0000-000035530000}"/>
    <cellStyle name="Input 15 4 4 2" xfId="42930" xr:uid="{00000000-0005-0000-0000-000036530000}"/>
    <cellStyle name="Input 15 4 4 3" xfId="39434" xr:uid="{00000000-0005-0000-0000-000037530000}"/>
    <cellStyle name="Input 15 4 4 4" xfId="32449" xr:uid="{00000000-0005-0000-0000-000038530000}"/>
    <cellStyle name="Input 15 4 5" xfId="11289" xr:uid="{00000000-0005-0000-0000-000039530000}"/>
    <cellStyle name="Input 15 4 5 2" xfId="41336" xr:uid="{00000000-0005-0000-0000-00003A530000}"/>
    <cellStyle name="Input 15 4 5 3" xfId="43610" xr:uid="{00000000-0005-0000-0000-00003B530000}"/>
    <cellStyle name="Input 15 4 5 4" xfId="29017" xr:uid="{00000000-0005-0000-0000-00003C530000}"/>
    <cellStyle name="Input 15 4 6" xfId="19988" xr:uid="{00000000-0005-0000-0000-00003D530000}"/>
    <cellStyle name="Input 15 4 6 2" xfId="45525" xr:uid="{00000000-0005-0000-0000-00003E530000}"/>
    <cellStyle name="Input 15 4 6 3" xfId="49431" xr:uid="{00000000-0005-0000-0000-00003F530000}"/>
    <cellStyle name="Input 15 4 6 4" xfId="37487" xr:uid="{00000000-0005-0000-0000-000040530000}"/>
    <cellStyle name="Input 15 4 7" xfId="19387" xr:uid="{00000000-0005-0000-0000-000041530000}"/>
    <cellStyle name="Input 15 4 7 2" xfId="44924" xr:uid="{00000000-0005-0000-0000-000042530000}"/>
    <cellStyle name="Input 15 4 7 3" xfId="48830" xr:uid="{00000000-0005-0000-0000-000043530000}"/>
    <cellStyle name="Input 15 4 7 4" xfId="36953" xr:uid="{00000000-0005-0000-0000-000044530000}"/>
    <cellStyle name="Input 15 4 8" xfId="20621" xr:uid="{00000000-0005-0000-0000-000045530000}"/>
    <cellStyle name="Input 15 4 8 2" xfId="46158" xr:uid="{00000000-0005-0000-0000-000046530000}"/>
    <cellStyle name="Input 15 4 8 3" xfId="50064" xr:uid="{00000000-0005-0000-0000-000047530000}"/>
    <cellStyle name="Input 15 4 9" xfId="39790" xr:uid="{00000000-0005-0000-0000-000048530000}"/>
    <cellStyle name="Input 15 5" xfId="22434" xr:uid="{00000000-0005-0000-0000-000049530000}"/>
    <cellStyle name="Input 15 6" xfId="53013" xr:uid="{00000000-0005-0000-0000-00004A530000}"/>
    <cellStyle name="Input 15_Sheet1" xfId="1832" xr:uid="{00000000-0005-0000-0000-00004B530000}"/>
    <cellStyle name="Input 16" xfId="1833" xr:uid="{00000000-0005-0000-0000-00004C530000}"/>
    <cellStyle name="Input 16 2" xfId="1834" xr:uid="{00000000-0005-0000-0000-00004D530000}"/>
    <cellStyle name="Input 16 2 2" xfId="1835" xr:uid="{00000000-0005-0000-0000-00004E530000}"/>
    <cellStyle name="Input 16 2 2 2" xfId="7032" xr:uid="{00000000-0005-0000-0000-00004F530000}"/>
    <cellStyle name="Input 16 2 2 2 10" xfId="40407" xr:uid="{00000000-0005-0000-0000-000050530000}"/>
    <cellStyle name="Input 16 2 2 2 2" xfId="10562" xr:uid="{00000000-0005-0000-0000-000051530000}"/>
    <cellStyle name="Input 16 2 2 2 2 2" xfId="18355" xr:uid="{00000000-0005-0000-0000-000052530000}"/>
    <cellStyle name="Input 16 2 2 2 2 2 2" xfId="43902" xr:uid="{00000000-0005-0000-0000-000053530000}"/>
    <cellStyle name="Input 16 2 2 2 2 2 3" xfId="47811" xr:uid="{00000000-0005-0000-0000-000054530000}"/>
    <cellStyle name="Input 16 2 2 2 2 2 4" xfId="35992" xr:uid="{00000000-0005-0000-0000-000055530000}"/>
    <cellStyle name="Input 16 2 2 2 2 3" xfId="19303" xr:uid="{00000000-0005-0000-0000-000056530000}"/>
    <cellStyle name="Input 16 2 2 2 2 3 2" xfId="44840" xr:uid="{00000000-0005-0000-0000-000057530000}"/>
    <cellStyle name="Input 16 2 2 2 2 3 3" xfId="48746" xr:uid="{00000000-0005-0000-0000-000058530000}"/>
    <cellStyle name="Input 16 2 2 2 2 3 4" xfId="36881" xr:uid="{00000000-0005-0000-0000-000059530000}"/>
    <cellStyle name="Input 16 2 2 2 2 4" xfId="11653" xr:uid="{00000000-0005-0000-0000-00005A530000}"/>
    <cellStyle name="Input 16 2 2 2 2 4 2" xfId="41664" xr:uid="{00000000-0005-0000-0000-00005B530000}"/>
    <cellStyle name="Input 16 2 2 2 2 4 3" xfId="40458" xr:uid="{00000000-0005-0000-0000-00005C530000}"/>
    <cellStyle name="Input 16 2 2 2 2 4 4" xfId="29352" xr:uid="{00000000-0005-0000-0000-00005D530000}"/>
    <cellStyle name="Input 16 2 2 2 2 5" xfId="20768" xr:uid="{00000000-0005-0000-0000-00005E530000}"/>
    <cellStyle name="Input 16 2 2 2 2 5 2" xfId="46305" xr:uid="{00000000-0005-0000-0000-00005F530000}"/>
    <cellStyle name="Input 16 2 2 2 2 5 3" xfId="50211" xr:uid="{00000000-0005-0000-0000-000060530000}"/>
    <cellStyle name="Input 16 2 2 2 2 5 4" xfId="38174" xr:uid="{00000000-0005-0000-0000-000061530000}"/>
    <cellStyle name="Input 16 2 2 2 2 6" xfId="21421" xr:uid="{00000000-0005-0000-0000-000062530000}"/>
    <cellStyle name="Input 16 2 2 2 2 6 2" xfId="46958" xr:uid="{00000000-0005-0000-0000-000063530000}"/>
    <cellStyle name="Input 16 2 2 2 2 6 3" xfId="50864" xr:uid="{00000000-0005-0000-0000-000064530000}"/>
    <cellStyle name="Input 16 2 2 2 2 7" xfId="40761" xr:uid="{00000000-0005-0000-0000-000065530000}"/>
    <cellStyle name="Input 16 2 2 2 2 8" xfId="40258" xr:uid="{00000000-0005-0000-0000-000066530000}"/>
    <cellStyle name="Input 16 2 2 2 3" xfId="10857" xr:uid="{00000000-0005-0000-0000-000067530000}"/>
    <cellStyle name="Input 16 2 2 2 3 2" xfId="18650" xr:uid="{00000000-0005-0000-0000-000068530000}"/>
    <cellStyle name="Input 16 2 2 2 3 2 2" xfId="44197" xr:uid="{00000000-0005-0000-0000-000069530000}"/>
    <cellStyle name="Input 16 2 2 2 3 2 3" xfId="48106" xr:uid="{00000000-0005-0000-0000-00006A530000}"/>
    <cellStyle name="Input 16 2 2 2 3 2 4" xfId="36287" xr:uid="{00000000-0005-0000-0000-00006B530000}"/>
    <cellStyle name="Input 16 2 2 2 3 3" xfId="11516" xr:uid="{00000000-0005-0000-0000-00006C530000}"/>
    <cellStyle name="Input 16 2 2 2 3 3 2" xfId="41527" xr:uid="{00000000-0005-0000-0000-00006D530000}"/>
    <cellStyle name="Input 16 2 2 2 3 3 3" xfId="43216" xr:uid="{00000000-0005-0000-0000-00006E530000}"/>
    <cellStyle name="Input 16 2 2 2 3 3 4" xfId="29231" xr:uid="{00000000-0005-0000-0000-00006F530000}"/>
    <cellStyle name="Input 16 2 2 2 3 4" xfId="19535" xr:uid="{00000000-0005-0000-0000-000070530000}"/>
    <cellStyle name="Input 16 2 2 2 3 4 2" xfId="45072" xr:uid="{00000000-0005-0000-0000-000071530000}"/>
    <cellStyle name="Input 16 2 2 2 3 4 3" xfId="48978" xr:uid="{00000000-0005-0000-0000-000072530000}"/>
    <cellStyle name="Input 16 2 2 2 3 4 4" xfId="37082" xr:uid="{00000000-0005-0000-0000-000073530000}"/>
    <cellStyle name="Input 16 2 2 2 3 5" xfId="21063" xr:uid="{00000000-0005-0000-0000-000074530000}"/>
    <cellStyle name="Input 16 2 2 2 3 5 2" xfId="46600" xr:uid="{00000000-0005-0000-0000-000075530000}"/>
    <cellStyle name="Input 16 2 2 2 3 5 3" xfId="50506" xr:uid="{00000000-0005-0000-0000-000076530000}"/>
    <cellStyle name="Input 16 2 2 2 3 5 4" xfId="38469" xr:uid="{00000000-0005-0000-0000-000077530000}"/>
    <cellStyle name="Input 16 2 2 2 3 6" xfId="21716" xr:uid="{00000000-0005-0000-0000-000078530000}"/>
    <cellStyle name="Input 16 2 2 2 3 6 2" xfId="47253" xr:uid="{00000000-0005-0000-0000-000079530000}"/>
    <cellStyle name="Input 16 2 2 2 3 6 3" xfId="51159" xr:uid="{00000000-0005-0000-0000-00007A530000}"/>
    <cellStyle name="Input 16 2 2 2 3 7" xfId="41056" xr:uid="{00000000-0005-0000-0000-00007B530000}"/>
    <cellStyle name="Input 16 2 2 2 3 8" xfId="39378" xr:uid="{00000000-0005-0000-0000-00007C530000}"/>
    <cellStyle name="Input 16 2 2 2 4" xfId="14820" xr:uid="{00000000-0005-0000-0000-00007D530000}"/>
    <cellStyle name="Input 16 2 2 2 4 2" xfId="42936" xr:uid="{00000000-0005-0000-0000-00007E530000}"/>
    <cellStyle name="Input 16 2 2 2 4 3" xfId="41291" xr:uid="{00000000-0005-0000-0000-00007F530000}"/>
    <cellStyle name="Input 16 2 2 2 4 4" xfId="32455" xr:uid="{00000000-0005-0000-0000-000080530000}"/>
    <cellStyle name="Input 16 2 2 2 5" xfId="13095" xr:uid="{00000000-0005-0000-0000-000081530000}"/>
    <cellStyle name="Input 16 2 2 2 5 2" xfId="42316" xr:uid="{00000000-0005-0000-0000-000082530000}"/>
    <cellStyle name="Input 16 2 2 2 5 3" xfId="40181" xr:uid="{00000000-0005-0000-0000-000083530000}"/>
    <cellStyle name="Input 16 2 2 2 5 4" xfId="30744" xr:uid="{00000000-0005-0000-0000-000084530000}"/>
    <cellStyle name="Input 16 2 2 2 6" xfId="12857" xr:uid="{00000000-0005-0000-0000-000085530000}"/>
    <cellStyle name="Input 16 2 2 2 6 2" xfId="42240" xr:uid="{00000000-0005-0000-0000-000086530000}"/>
    <cellStyle name="Input 16 2 2 2 6 3" xfId="40057" xr:uid="{00000000-0005-0000-0000-000087530000}"/>
    <cellStyle name="Input 16 2 2 2 6 4" xfId="30509" xr:uid="{00000000-0005-0000-0000-000088530000}"/>
    <cellStyle name="Input 16 2 2 2 7" xfId="13303" xr:uid="{00000000-0005-0000-0000-000089530000}"/>
    <cellStyle name="Input 16 2 2 2 7 2" xfId="42473" xr:uid="{00000000-0005-0000-0000-00008A530000}"/>
    <cellStyle name="Input 16 2 2 2 7 3" xfId="39646" xr:uid="{00000000-0005-0000-0000-00008B530000}"/>
    <cellStyle name="Input 16 2 2 2 7 4" xfId="30947" xr:uid="{00000000-0005-0000-0000-00008C530000}"/>
    <cellStyle name="Input 16 2 2 2 8" xfId="20271" xr:uid="{00000000-0005-0000-0000-00008D530000}"/>
    <cellStyle name="Input 16 2 2 2 8 2" xfId="45808" xr:uid="{00000000-0005-0000-0000-00008E530000}"/>
    <cellStyle name="Input 16 2 2 2 8 3" xfId="49714" xr:uid="{00000000-0005-0000-0000-00008F530000}"/>
    <cellStyle name="Input 16 2 2 2 9" xfId="39796" xr:uid="{00000000-0005-0000-0000-000090530000}"/>
    <cellStyle name="Input 16 2 2 3" xfId="53021" xr:uid="{00000000-0005-0000-0000-000091530000}"/>
    <cellStyle name="Input 16 2 3" xfId="7031" xr:uid="{00000000-0005-0000-0000-000092530000}"/>
    <cellStyle name="Input 16 2 3 10" xfId="43544" xr:uid="{00000000-0005-0000-0000-000093530000}"/>
    <cellStyle name="Input 16 2 3 11" xfId="53022" xr:uid="{00000000-0005-0000-0000-000094530000}"/>
    <cellStyle name="Input 16 2 3 2" xfId="10561" xr:uid="{00000000-0005-0000-0000-000095530000}"/>
    <cellStyle name="Input 16 2 3 2 2" xfId="18354" xr:uid="{00000000-0005-0000-0000-000096530000}"/>
    <cellStyle name="Input 16 2 3 2 2 2" xfId="43901" xr:uid="{00000000-0005-0000-0000-000097530000}"/>
    <cellStyle name="Input 16 2 3 2 2 3" xfId="47810" xr:uid="{00000000-0005-0000-0000-000098530000}"/>
    <cellStyle name="Input 16 2 3 2 2 4" xfId="35991" xr:uid="{00000000-0005-0000-0000-000099530000}"/>
    <cellStyle name="Input 16 2 3 2 3" xfId="20037" xr:uid="{00000000-0005-0000-0000-00009A530000}"/>
    <cellStyle name="Input 16 2 3 2 3 2" xfId="45574" xr:uid="{00000000-0005-0000-0000-00009B530000}"/>
    <cellStyle name="Input 16 2 3 2 3 3" xfId="49480" xr:uid="{00000000-0005-0000-0000-00009C530000}"/>
    <cellStyle name="Input 16 2 3 2 3 4" xfId="37535" xr:uid="{00000000-0005-0000-0000-00009D530000}"/>
    <cellStyle name="Input 16 2 3 2 4" xfId="19839" xr:uid="{00000000-0005-0000-0000-00009E530000}"/>
    <cellStyle name="Input 16 2 3 2 4 2" xfId="45376" xr:uid="{00000000-0005-0000-0000-00009F530000}"/>
    <cellStyle name="Input 16 2 3 2 4 3" xfId="49282" xr:uid="{00000000-0005-0000-0000-0000A0530000}"/>
    <cellStyle name="Input 16 2 3 2 4 4" xfId="37357" xr:uid="{00000000-0005-0000-0000-0000A1530000}"/>
    <cellStyle name="Input 16 2 3 2 5" xfId="20767" xr:uid="{00000000-0005-0000-0000-0000A2530000}"/>
    <cellStyle name="Input 16 2 3 2 5 2" xfId="46304" xr:uid="{00000000-0005-0000-0000-0000A3530000}"/>
    <cellStyle name="Input 16 2 3 2 5 3" xfId="50210" xr:uid="{00000000-0005-0000-0000-0000A4530000}"/>
    <cellStyle name="Input 16 2 3 2 5 4" xfId="38173" xr:uid="{00000000-0005-0000-0000-0000A5530000}"/>
    <cellStyle name="Input 16 2 3 2 6" xfId="21420" xr:uid="{00000000-0005-0000-0000-0000A6530000}"/>
    <cellStyle name="Input 16 2 3 2 6 2" xfId="46957" xr:uid="{00000000-0005-0000-0000-0000A7530000}"/>
    <cellStyle name="Input 16 2 3 2 6 3" xfId="50863" xr:uid="{00000000-0005-0000-0000-0000A8530000}"/>
    <cellStyle name="Input 16 2 3 2 7" xfId="40760" xr:uid="{00000000-0005-0000-0000-0000A9530000}"/>
    <cellStyle name="Input 16 2 3 2 8" xfId="43396" xr:uid="{00000000-0005-0000-0000-0000AA530000}"/>
    <cellStyle name="Input 16 2 3 3" xfId="10856" xr:uid="{00000000-0005-0000-0000-0000AB530000}"/>
    <cellStyle name="Input 16 2 3 3 2" xfId="18649" xr:uid="{00000000-0005-0000-0000-0000AC530000}"/>
    <cellStyle name="Input 16 2 3 3 2 2" xfId="44196" xr:uid="{00000000-0005-0000-0000-0000AD530000}"/>
    <cellStyle name="Input 16 2 3 3 2 3" xfId="48105" xr:uid="{00000000-0005-0000-0000-0000AE530000}"/>
    <cellStyle name="Input 16 2 3 3 2 4" xfId="36286" xr:uid="{00000000-0005-0000-0000-0000AF530000}"/>
    <cellStyle name="Input 16 2 3 3 3" xfId="19720" xr:uid="{00000000-0005-0000-0000-0000B0530000}"/>
    <cellStyle name="Input 16 2 3 3 3 2" xfId="45257" xr:uid="{00000000-0005-0000-0000-0000B1530000}"/>
    <cellStyle name="Input 16 2 3 3 3 3" xfId="49163" xr:uid="{00000000-0005-0000-0000-0000B2530000}"/>
    <cellStyle name="Input 16 2 3 3 3 4" xfId="37247" xr:uid="{00000000-0005-0000-0000-0000B3530000}"/>
    <cellStyle name="Input 16 2 3 3 4" xfId="20284" xr:uid="{00000000-0005-0000-0000-0000B4530000}"/>
    <cellStyle name="Input 16 2 3 3 4 2" xfId="45821" xr:uid="{00000000-0005-0000-0000-0000B5530000}"/>
    <cellStyle name="Input 16 2 3 3 4 3" xfId="49727" xr:uid="{00000000-0005-0000-0000-0000B6530000}"/>
    <cellStyle name="Input 16 2 3 3 4 4" xfId="37752" xr:uid="{00000000-0005-0000-0000-0000B7530000}"/>
    <cellStyle name="Input 16 2 3 3 5" xfId="21062" xr:uid="{00000000-0005-0000-0000-0000B8530000}"/>
    <cellStyle name="Input 16 2 3 3 5 2" xfId="46599" xr:uid="{00000000-0005-0000-0000-0000B9530000}"/>
    <cellStyle name="Input 16 2 3 3 5 3" xfId="50505" xr:uid="{00000000-0005-0000-0000-0000BA530000}"/>
    <cellStyle name="Input 16 2 3 3 5 4" xfId="38468" xr:uid="{00000000-0005-0000-0000-0000BB530000}"/>
    <cellStyle name="Input 16 2 3 3 6" xfId="21715" xr:uid="{00000000-0005-0000-0000-0000BC530000}"/>
    <cellStyle name="Input 16 2 3 3 6 2" xfId="47252" xr:uid="{00000000-0005-0000-0000-0000BD530000}"/>
    <cellStyle name="Input 16 2 3 3 6 3" xfId="51158" xr:uid="{00000000-0005-0000-0000-0000BE530000}"/>
    <cellStyle name="Input 16 2 3 3 7" xfId="41055" xr:uid="{00000000-0005-0000-0000-0000BF530000}"/>
    <cellStyle name="Input 16 2 3 3 8" xfId="40238" xr:uid="{00000000-0005-0000-0000-0000C0530000}"/>
    <cellStyle name="Input 16 2 3 4" xfId="14819" xr:uid="{00000000-0005-0000-0000-0000C1530000}"/>
    <cellStyle name="Input 16 2 3 4 2" xfId="42935" xr:uid="{00000000-0005-0000-0000-0000C2530000}"/>
    <cellStyle name="Input 16 2 3 4 3" xfId="39063" xr:uid="{00000000-0005-0000-0000-0000C3530000}"/>
    <cellStyle name="Input 16 2 3 4 4" xfId="32454" xr:uid="{00000000-0005-0000-0000-0000C4530000}"/>
    <cellStyle name="Input 16 2 3 5" xfId="11290" xr:uid="{00000000-0005-0000-0000-0000C5530000}"/>
    <cellStyle name="Input 16 2 3 5 2" xfId="41337" xr:uid="{00000000-0005-0000-0000-0000C6530000}"/>
    <cellStyle name="Input 16 2 3 5 3" xfId="40469" xr:uid="{00000000-0005-0000-0000-0000C7530000}"/>
    <cellStyle name="Input 16 2 3 5 4" xfId="29018" xr:uid="{00000000-0005-0000-0000-0000C8530000}"/>
    <cellStyle name="Input 16 2 3 6" xfId="19223" xr:uid="{00000000-0005-0000-0000-0000C9530000}"/>
    <cellStyle name="Input 16 2 3 6 2" xfId="44760" xr:uid="{00000000-0005-0000-0000-0000CA530000}"/>
    <cellStyle name="Input 16 2 3 6 3" xfId="48666" xr:uid="{00000000-0005-0000-0000-0000CB530000}"/>
    <cellStyle name="Input 16 2 3 6 4" xfId="36808" xr:uid="{00000000-0005-0000-0000-0000CC530000}"/>
    <cellStyle name="Input 16 2 3 7" xfId="20482" xr:uid="{00000000-0005-0000-0000-0000CD530000}"/>
    <cellStyle name="Input 16 2 3 7 2" xfId="46019" xr:uid="{00000000-0005-0000-0000-0000CE530000}"/>
    <cellStyle name="Input 16 2 3 7 3" xfId="49925" xr:uid="{00000000-0005-0000-0000-0000CF530000}"/>
    <cellStyle name="Input 16 2 3 7 4" xfId="37932" xr:uid="{00000000-0005-0000-0000-0000D0530000}"/>
    <cellStyle name="Input 16 2 3 8" xfId="19004" xr:uid="{00000000-0005-0000-0000-0000D1530000}"/>
    <cellStyle name="Input 16 2 3 8 2" xfId="44541" xr:uid="{00000000-0005-0000-0000-0000D2530000}"/>
    <cellStyle name="Input 16 2 3 8 3" xfId="48447" xr:uid="{00000000-0005-0000-0000-0000D3530000}"/>
    <cellStyle name="Input 16 2 3 9" xfId="39795" xr:uid="{00000000-0005-0000-0000-0000D4530000}"/>
    <cellStyle name="Input 16 2 4" xfId="22437" xr:uid="{00000000-0005-0000-0000-0000D5530000}"/>
    <cellStyle name="Input 16 2 5" xfId="53020" xr:uid="{00000000-0005-0000-0000-0000D6530000}"/>
    <cellStyle name="Input 16 2_Sheet1" xfId="1836" xr:uid="{00000000-0005-0000-0000-0000D7530000}"/>
    <cellStyle name="Input 16 3" xfId="1837" xr:uid="{00000000-0005-0000-0000-0000D8530000}"/>
    <cellStyle name="Input 16 3 2" xfId="7033" xr:uid="{00000000-0005-0000-0000-0000D9530000}"/>
    <cellStyle name="Input 16 3 2 10" xfId="39519" xr:uid="{00000000-0005-0000-0000-0000DA530000}"/>
    <cellStyle name="Input 16 3 2 2" xfId="10563" xr:uid="{00000000-0005-0000-0000-0000DB530000}"/>
    <cellStyle name="Input 16 3 2 2 2" xfId="18356" xr:uid="{00000000-0005-0000-0000-0000DC530000}"/>
    <cellStyle name="Input 16 3 2 2 2 2" xfId="43903" xr:uid="{00000000-0005-0000-0000-0000DD530000}"/>
    <cellStyle name="Input 16 3 2 2 2 3" xfId="47812" xr:uid="{00000000-0005-0000-0000-0000DE530000}"/>
    <cellStyle name="Input 16 3 2 2 2 4" xfId="35993" xr:uid="{00000000-0005-0000-0000-0000DF530000}"/>
    <cellStyle name="Input 16 3 2 2 3" xfId="19912" xr:uid="{00000000-0005-0000-0000-0000E0530000}"/>
    <cellStyle name="Input 16 3 2 2 3 2" xfId="45449" xr:uid="{00000000-0005-0000-0000-0000E1530000}"/>
    <cellStyle name="Input 16 3 2 2 3 3" xfId="49355" xr:uid="{00000000-0005-0000-0000-0000E2530000}"/>
    <cellStyle name="Input 16 3 2 2 3 4" xfId="37426" xr:uid="{00000000-0005-0000-0000-0000E3530000}"/>
    <cellStyle name="Input 16 3 2 2 4" xfId="19208" xr:uid="{00000000-0005-0000-0000-0000E4530000}"/>
    <cellStyle name="Input 16 3 2 2 4 2" xfId="44745" xr:uid="{00000000-0005-0000-0000-0000E5530000}"/>
    <cellStyle name="Input 16 3 2 2 4 3" xfId="48651" xr:uid="{00000000-0005-0000-0000-0000E6530000}"/>
    <cellStyle name="Input 16 3 2 2 4 4" xfId="36793" xr:uid="{00000000-0005-0000-0000-0000E7530000}"/>
    <cellStyle name="Input 16 3 2 2 5" xfId="20769" xr:uid="{00000000-0005-0000-0000-0000E8530000}"/>
    <cellStyle name="Input 16 3 2 2 5 2" xfId="46306" xr:uid="{00000000-0005-0000-0000-0000E9530000}"/>
    <cellStyle name="Input 16 3 2 2 5 3" xfId="50212" xr:uid="{00000000-0005-0000-0000-0000EA530000}"/>
    <cellStyle name="Input 16 3 2 2 5 4" xfId="38175" xr:uid="{00000000-0005-0000-0000-0000EB530000}"/>
    <cellStyle name="Input 16 3 2 2 6" xfId="21422" xr:uid="{00000000-0005-0000-0000-0000EC530000}"/>
    <cellStyle name="Input 16 3 2 2 6 2" xfId="46959" xr:uid="{00000000-0005-0000-0000-0000ED530000}"/>
    <cellStyle name="Input 16 3 2 2 6 3" xfId="50865" xr:uid="{00000000-0005-0000-0000-0000EE530000}"/>
    <cellStyle name="Input 16 3 2 2 7" xfId="40762" xr:uid="{00000000-0005-0000-0000-0000EF530000}"/>
    <cellStyle name="Input 16 3 2 2 8" xfId="42854" xr:uid="{00000000-0005-0000-0000-0000F0530000}"/>
    <cellStyle name="Input 16 3 2 3" xfId="10858" xr:uid="{00000000-0005-0000-0000-0000F1530000}"/>
    <cellStyle name="Input 16 3 2 3 2" xfId="18651" xr:uid="{00000000-0005-0000-0000-0000F2530000}"/>
    <cellStyle name="Input 16 3 2 3 2 2" xfId="44198" xr:uid="{00000000-0005-0000-0000-0000F3530000}"/>
    <cellStyle name="Input 16 3 2 3 2 3" xfId="48107" xr:uid="{00000000-0005-0000-0000-0000F4530000}"/>
    <cellStyle name="Input 16 3 2 3 2 4" xfId="36288" xr:uid="{00000000-0005-0000-0000-0000F5530000}"/>
    <cellStyle name="Input 16 3 2 3 3" xfId="19721" xr:uid="{00000000-0005-0000-0000-0000F6530000}"/>
    <cellStyle name="Input 16 3 2 3 3 2" xfId="45258" xr:uid="{00000000-0005-0000-0000-0000F7530000}"/>
    <cellStyle name="Input 16 3 2 3 3 3" xfId="49164" xr:uid="{00000000-0005-0000-0000-0000F8530000}"/>
    <cellStyle name="Input 16 3 2 3 3 4" xfId="37248" xr:uid="{00000000-0005-0000-0000-0000F9530000}"/>
    <cellStyle name="Input 16 3 2 3 4" xfId="19343" xr:uid="{00000000-0005-0000-0000-0000FA530000}"/>
    <cellStyle name="Input 16 3 2 3 4 2" xfId="44880" xr:uid="{00000000-0005-0000-0000-0000FB530000}"/>
    <cellStyle name="Input 16 3 2 3 4 3" xfId="48786" xr:uid="{00000000-0005-0000-0000-0000FC530000}"/>
    <cellStyle name="Input 16 3 2 3 4 4" xfId="36915" xr:uid="{00000000-0005-0000-0000-0000FD530000}"/>
    <cellStyle name="Input 16 3 2 3 5" xfId="21064" xr:uid="{00000000-0005-0000-0000-0000FE530000}"/>
    <cellStyle name="Input 16 3 2 3 5 2" xfId="46601" xr:uid="{00000000-0005-0000-0000-0000FF530000}"/>
    <cellStyle name="Input 16 3 2 3 5 3" xfId="50507" xr:uid="{00000000-0005-0000-0000-000000540000}"/>
    <cellStyle name="Input 16 3 2 3 5 4" xfId="38470" xr:uid="{00000000-0005-0000-0000-000001540000}"/>
    <cellStyle name="Input 16 3 2 3 6" xfId="21717" xr:uid="{00000000-0005-0000-0000-000002540000}"/>
    <cellStyle name="Input 16 3 2 3 6 2" xfId="47254" xr:uid="{00000000-0005-0000-0000-000003540000}"/>
    <cellStyle name="Input 16 3 2 3 6 3" xfId="51160" xr:uid="{00000000-0005-0000-0000-000004540000}"/>
    <cellStyle name="Input 16 3 2 3 7" xfId="41057" xr:uid="{00000000-0005-0000-0000-000005540000}"/>
    <cellStyle name="Input 16 3 2 3 8" xfId="42058" xr:uid="{00000000-0005-0000-0000-000006540000}"/>
    <cellStyle name="Input 16 3 2 4" xfId="14821" xr:uid="{00000000-0005-0000-0000-000007540000}"/>
    <cellStyle name="Input 16 3 2 4 2" xfId="42937" xr:uid="{00000000-0005-0000-0000-000008540000}"/>
    <cellStyle name="Input 16 3 2 4 3" xfId="43184" xr:uid="{00000000-0005-0000-0000-000009540000}"/>
    <cellStyle name="Input 16 3 2 4 4" xfId="32456" xr:uid="{00000000-0005-0000-0000-00000A540000}"/>
    <cellStyle name="Input 16 3 2 5" xfId="13096" xr:uid="{00000000-0005-0000-0000-00000B540000}"/>
    <cellStyle name="Input 16 3 2 5 2" xfId="42317" xr:uid="{00000000-0005-0000-0000-00000C540000}"/>
    <cellStyle name="Input 16 3 2 5 3" xfId="39304" xr:uid="{00000000-0005-0000-0000-00000D540000}"/>
    <cellStyle name="Input 16 3 2 5 4" xfId="30745" xr:uid="{00000000-0005-0000-0000-00000E540000}"/>
    <cellStyle name="Input 16 3 2 6" xfId="19324" xr:uid="{00000000-0005-0000-0000-00000F540000}"/>
    <cellStyle name="Input 16 3 2 6 2" xfId="44861" xr:uid="{00000000-0005-0000-0000-000010540000}"/>
    <cellStyle name="Input 16 3 2 6 3" xfId="48767" xr:uid="{00000000-0005-0000-0000-000011540000}"/>
    <cellStyle name="Input 16 3 2 6 4" xfId="36902" xr:uid="{00000000-0005-0000-0000-000012540000}"/>
    <cellStyle name="Input 16 3 2 7" xfId="11595" xr:uid="{00000000-0005-0000-0000-000013540000}"/>
    <cellStyle name="Input 16 3 2 7 2" xfId="41606" xr:uid="{00000000-0005-0000-0000-000014540000}"/>
    <cellStyle name="Input 16 3 2 7 3" xfId="43706" xr:uid="{00000000-0005-0000-0000-000015540000}"/>
    <cellStyle name="Input 16 3 2 7 4" xfId="29302" xr:uid="{00000000-0005-0000-0000-000016540000}"/>
    <cellStyle name="Input 16 3 2 8" xfId="11346" xr:uid="{00000000-0005-0000-0000-000017540000}"/>
    <cellStyle name="Input 16 3 2 8 2" xfId="41385" xr:uid="{00000000-0005-0000-0000-000018540000}"/>
    <cellStyle name="Input 16 3 2 8 3" xfId="42721" xr:uid="{00000000-0005-0000-0000-000019540000}"/>
    <cellStyle name="Input 16 3 2 9" xfId="39797" xr:uid="{00000000-0005-0000-0000-00001A540000}"/>
    <cellStyle name="Input 16 3 3" xfId="53023" xr:uid="{00000000-0005-0000-0000-00001B540000}"/>
    <cellStyle name="Input 16 4" xfId="7030" xr:uid="{00000000-0005-0000-0000-00001C540000}"/>
    <cellStyle name="Input 16 4 10" xfId="42631" xr:uid="{00000000-0005-0000-0000-00001D540000}"/>
    <cellStyle name="Input 16 4 11" xfId="53024" xr:uid="{00000000-0005-0000-0000-00001E540000}"/>
    <cellStyle name="Input 16 4 2" xfId="10560" xr:uid="{00000000-0005-0000-0000-00001F540000}"/>
    <cellStyle name="Input 16 4 2 2" xfId="18353" xr:uid="{00000000-0005-0000-0000-000020540000}"/>
    <cellStyle name="Input 16 4 2 2 2" xfId="43900" xr:uid="{00000000-0005-0000-0000-000021540000}"/>
    <cellStyle name="Input 16 4 2 2 3" xfId="47809" xr:uid="{00000000-0005-0000-0000-000022540000}"/>
    <cellStyle name="Input 16 4 2 2 4" xfId="35990" xr:uid="{00000000-0005-0000-0000-000023540000}"/>
    <cellStyle name="Input 16 4 2 3" xfId="19430" xr:uid="{00000000-0005-0000-0000-000024540000}"/>
    <cellStyle name="Input 16 4 2 3 2" xfId="44967" xr:uid="{00000000-0005-0000-0000-000025540000}"/>
    <cellStyle name="Input 16 4 2 3 3" xfId="48873" xr:uid="{00000000-0005-0000-0000-000026540000}"/>
    <cellStyle name="Input 16 4 2 3 4" xfId="36995" xr:uid="{00000000-0005-0000-0000-000027540000}"/>
    <cellStyle name="Input 16 4 2 4" xfId="19570" xr:uid="{00000000-0005-0000-0000-000028540000}"/>
    <cellStyle name="Input 16 4 2 4 2" xfId="45107" xr:uid="{00000000-0005-0000-0000-000029540000}"/>
    <cellStyle name="Input 16 4 2 4 3" xfId="49013" xr:uid="{00000000-0005-0000-0000-00002A540000}"/>
    <cellStyle name="Input 16 4 2 4 4" xfId="37111" xr:uid="{00000000-0005-0000-0000-00002B540000}"/>
    <cellStyle name="Input 16 4 2 5" xfId="20766" xr:uid="{00000000-0005-0000-0000-00002C540000}"/>
    <cellStyle name="Input 16 4 2 5 2" xfId="46303" xr:uid="{00000000-0005-0000-0000-00002D540000}"/>
    <cellStyle name="Input 16 4 2 5 3" xfId="50209" xr:uid="{00000000-0005-0000-0000-00002E540000}"/>
    <cellStyle name="Input 16 4 2 5 4" xfId="38172" xr:uid="{00000000-0005-0000-0000-00002F540000}"/>
    <cellStyle name="Input 16 4 2 6" xfId="21419" xr:uid="{00000000-0005-0000-0000-000030540000}"/>
    <cellStyle name="Input 16 4 2 6 2" xfId="46956" xr:uid="{00000000-0005-0000-0000-000031540000}"/>
    <cellStyle name="Input 16 4 2 6 3" xfId="50862" xr:uid="{00000000-0005-0000-0000-000032540000}"/>
    <cellStyle name="Input 16 4 2 7" xfId="40759" xr:uid="{00000000-0005-0000-0000-000033540000}"/>
    <cellStyle name="Input 16 4 2 8" xfId="42077" xr:uid="{00000000-0005-0000-0000-000034540000}"/>
    <cellStyle name="Input 16 4 3" xfId="10855" xr:uid="{00000000-0005-0000-0000-000035540000}"/>
    <cellStyle name="Input 16 4 3 2" xfId="18648" xr:uid="{00000000-0005-0000-0000-000036540000}"/>
    <cellStyle name="Input 16 4 3 2 2" xfId="44195" xr:uid="{00000000-0005-0000-0000-000037540000}"/>
    <cellStyle name="Input 16 4 3 2 3" xfId="48104" xr:uid="{00000000-0005-0000-0000-000038540000}"/>
    <cellStyle name="Input 16 4 3 2 4" xfId="36285" xr:uid="{00000000-0005-0000-0000-000039540000}"/>
    <cellStyle name="Input 16 4 3 3" xfId="19107" xr:uid="{00000000-0005-0000-0000-00003A540000}"/>
    <cellStyle name="Input 16 4 3 3 2" xfId="44644" xr:uid="{00000000-0005-0000-0000-00003B540000}"/>
    <cellStyle name="Input 16 4 3 3 3" xfId="48550" xr:uid="{00000000-0005-0000-0000-00003C540000}"/>
    <cellStyle name="Input 16 4 3 3 4" xfId="36702" xr:uid="{00000000-0005-0000-0000-00003D540000}"/>
    <cellStyle name="Input 16 4 3 4" xfId="19558" xr:uid="{00000000-0005-0000-0000-00003E540000}"/>
    <cellStyle name="Input 16 4 3 4 2" xfId="45095" xr:uid="{00000000-0005-0000-0000-00003F540000}"/>
    <cellStyle name="Input 16 4 3 4 3" xfId="49001" xr:uid="{00000000-0005-0000-0000-000040540000}"/>
    <cellStyle name="Input 16 4 3 4 4" xfId="37099" xr:uid="{00000000-0005-0000-0000-000041540000}"/>
    <cellStyle name="Input 16 4 3 5" xfId="21061" xr:uid="{00000000-0005-0000-0000-000042540000}"/>
    <cellStyle name="Input 16 4 3 5 2" xfId="46598" xr:uid="{00000000-0005-0000-0000-000043540000}"/>
    <cellStyle name="Input 16 4 3 5 3" xfId="50504" xr:uid="{00000000-0005-0000-0000-000044540000}"/>
    <cellStyle name="Input 16 4 3 5 4" xfId="38467" xr:uid="{00000000-0005-0000-0000-000045540000}"/>
    <cellStyle name="Input 16 4 3 6" xfId="21714" xr:uid="{00000000-0005-0000-0000-000046540000}"/>
    <cellStyle name="Input 16 4 3 6 2" xfId="47251" xr:uid="{00000000-0005-0000-0000-000047540000}"/>
    <cellStyle name="Input 16 4 3 6 3" xfId="51157" xr:uid="{00000000-0005-0000-0000-000048540000}"/>
    <cellStyle name="Input 16 4 3 7" xfId="41054" xr:uid="{00000000-0005-0000-0000-000049540000}"/>
    <cellStyle name="Input 16 4 3 8" xfId="43376" xr:uid="{00000000-0005-0000-0000-00004A540000}"/>
    <cellStyle name="Input 16 4 4" xfId="14818" xr:uid="{00000000-0005-0000-0000-00004B540000}"/>
    <cellStyle name="Input 16 4 4 2" xfId="42934" xr:uid="{00000000-0005-0000-0000-00004C540000}"/>
    <cellStyle name="Input 16 4 4 3" xfId="39276" xr:uid="{00000000-0005-0000-0000-00004D540000}"/>
    <cellStyle name="Input 16 4 4 4" xfId="32453" xr:uid="{00000000-0005-0000-0000-00004E540000}"/>
    <cellStyle name="Input 16 4 5" xfId="13094" xr:uid="{00000000-0005-0000-0000-00004F540000}"/>
    <cellStyle name="Input 16 4 5 2" xfId="42315" xr:uid="{00000000-0005-0000-0000-000050540000}"/>
    <cellStyle name="Input 16 4 5 3" xfId="43321" xr:uid="{00000000-0005-0000-0000-000051540000}"/>
    <cellStyle name="Input 16 4 5 4" xfId="30743" xr:uid="{00000000-0005-0000-0000-000052540000}"/>
    <cellStyle name="Input 16 4 6" xfId="19331" xr:uid="{00000000-0005-0000-0000-000053540000}"/>
    <cellStyle name="Input 16 4 6 2" xfId="44868" xr:uid="{00000000-0005-0000-0000-000054540000}"/>
    <cellStyle name="Input 16 4 6 3" xfId="48774" xr:uid="{00000000-0005-0000-0000-000055540000}"/>
    <cellStyle name="Input 16 4 6 4" xfId="36906" xr:uid="{00000000-0005-0000-0000-000056540000}"/>
    <cellStyle name="Input 16 4 7" xfId="20103" xr:uid="{00000000-0005-0000-0000-000057540000}"/>
    <cellStyle name="Input 16 4 7 2" xfId="45640" xr:uid="{00000000-0005-0000-0000-000058540000}"/>
    <cellStyle name="Input 16 4 7 3" xfId="49546" xr:uid="{00000000-0005-0000-0000-000059540000}"/>
    <cellStyle name="Input 16 4 7 4" xfId="37592" xr:uid="{00000000-0005-0000-0000-00005A540000}"/>
    <cellStyle name="Input 16 4 8" xfId="19952" xr:uid="{00000000-0005-0000-0000-00005B540000}"/>
    <cellStyle name="Input 16 4 8 2" xfId="45489" xr:uid="{00000000-0005-0000-0000-00005C540000}"/>
    <cellStyle name="Input 16 4 8 3" xfId="49395" xr:uid="{00000000-0005-0000-0000-00005D540000}"/>
    <cellStyle name="Input 16 4 9" xfId="39794" xr:uid="{00000000-0005-0000-0000-00005E540000}"/>
    <cellStyle name="Input 16 5" xfId="22436" xr:uid="{00000000-0005-0000-0000-00005F540000}"/>
    <cellStyle name="Input 16 6" xfId="53019" xr:uid="{00000000-0005-0000-0000-000060540000}"/>
    <cellStyle name="Input 16_Sheet1" xfId="1838" xr:uid="{00000000-0005-0000-0000-000061540000}"/>
    <cellStyle name="Input 17" xfId="1839" xr:uid="{00000000-0005-0000-0000-000062540000}"/>
    <cellStyle name="Input 17 2" xfId="1840" xr:uid="{00000000-0005-0000-0000-000063540000}"/>
    <cellStyle name="Input 17 2 2" xfId="1841" xr:uid="{00000000-0005-0000-0000-000064540000}"/>
    <cellStyle name="Input 17 2 2 2" xfId="7036" xr:uid="{00000000-0005-0000-0000-000065540000}"/>
    <cellStyle name="Input 17 2 2 2 10" xfId="40289" xr:uid="{00000000-0005-0000-0000-000066540000}"/>
    <cellStyle name="Input 17 2 2 2 2" xfId="10566" xr:uid="{00000000-0005-0000-0000-000067540000}"/>
    <cellStyle name="Input 17 2 2 2 2 2" xfId="18359" xr:uid="{00000000-0005-0000-0000-000068540000}"/>
    <cellStyle name="Input 17 2 2 2 2 2 2" xfId="43906" xr:uid="{00000000-0005-0000-0000-000069540000}"/>
    <cellStyle name="Input 17 2 2 2 2 2 3" xfId="47815" xr:uid="{00000000-0005-0000-0000-00006A540000}"/>
    <cellStyle name="Input 17 2 2 2 2 2 4" xfId="35996" xr:uid="{00000000-0005-0000-0000-00006B540000}"/>
    <cellStyle name="Input 17 2 2 2 2 3" xfId="11493" xr:uid="{00000000-0005-0000-0000-00006C540000}"/>
    <cellStyle name="Input 17 2 2 2 2 3 2" xfId="41504" xr:uid="{00000000-0005-0000-0000-00006D540000}"/>
    <cellStyle name="Input 17 2 2 2 2 3 3" xfId="39356" xr:uid="{00000000-0005-0000-0000-00006E540000}"/>
    <cellStyle name="Input 17 2 2 2 2 3 4" xfId="29208" xr:uid="{00000000-0005-0000-0000-00006F540000}"/>
    <cellStyle name="Input 17 2 2 2 2 4" xfId="19851" xr:uid="{00000000-0005-0000-0000-000070540000}"/>
    <cellStyle name="Input 17 2 2 2 2 4 2" xfId="45388" xr:uid="{00000000-0005-0000-0000-000071540000}"/>
    <cellStyle name="Input 17 2 2 2 2 4 3" xfId="49294" xr:uid="{00000000-0005-0000-0000-000072540000}"/>
    <cellStyle name="Input 17 2 2 2 2 4 4" xfId="37367" xr:uid="{00000000-0005-0000-0000-000073540000}"/>
    <cellStyle name="Input 17 2 2 2 2 5" xfId="20772" xr:uid="{00000000-0005-0000-0000-000074540000}"/>
    <cellStyle name="Input 17 2 2 2 2 5 2" xfId="46309" xr:uid="{00000000-0005-0000-0000-000075540000}"/>
    <cellStyle name="Input 17 2 2 2 2 5 3" xfId="50215" xr:uid="{00000000-0005-0000-0000-000076540000}"/>
    <cellStyle name="Input 17 2 2 2 2 5 4" xfId="38178" xr:uid="{00000000-0005-0000-0000-000077540000}"/>
    <cellStyle name="Input 17 2 2 2 2 6" xfId="21425" xr:uid="{00000000-0005-0000-0000-000078540000}"/>
    <cellStyle name="Input 17 2 2 2 2 6 2" xfId="46962" xr:uid="{00000000-0005-0000-0000-000079540000}"/>
    <cellStyle name="Input 17 2 2 2 2 6 3" xfId="50868" xr:uid="{00000000-0005-0000-0000-00007A540000}"/>
    <cellStyle name="Input 17 2 2 2 2 7" xfId="40765" xr:uid="{00000000-0005-0000-0000-00007B540000}"/>
    <cellStyle name="Input 17 2 2 2 2 8" xfId="39713" xr:uid="{00000000-0005-0000-0000-00007C540000}"/>
    <cellStyle name="Input 17 2 2 2 3" xfId="10861" xr:uid="{00000000-0005-0000-0000-00007D540000}"/>
    <cellStyle name="Input 17 2 2 2 3 2" xfId="18654" xr:uid="{00000000-0005-0000-0000-00007E540000}"/>
    <cellStyle name="Input 17 2 2 2 3 2 2" xfId="44201" xr:uid="{00000000-0005-0000-0000-00007F540000}"/>
    <cellStyle name="Input 17 2 2 2 3 2 3" xfId="48110" xr:uid="{00000000-0005-0000-0000-000080540000}"/>
    <cellStyle name="Input 17 2 2 2 3 2 4" xfId="36291" xr:uid="{00000000-0005-0000-0000-000081540000}"/>
    <cellStyle name="Input 17 2 2 2 3 3" xfId="11517" xr:uid="{00000000-0005-0000-0000-000082540000}"/>
    <cellStyle name="Input 17 2 2 2 3 3 2" xfId="41528" xr:uid="{00000000-0005-0000-0000-000083540000}"/>
    <cellStyle name="Input 17 2 2 2 3 3 3" xfId="40075" xr:uid="{00000000-0005-0000-0000-000084540000}"/>
    <cellStyle name="Input 17 2 2 2 3 3 4" xfId="29232" xr:uid="{00000000-0005-0000-0000-000085540000}"/>
    <cellStyle name="Input 17 2 2 2 3 4" xfId="19984" xr:uid="{00000000-0005-0000-0000-000086540000}"/>
    <cellStyle name="Input 17 2 2 2 3 4 2" xfId="45521" xr:uid="{00000000-0005-0000-0000-000087540000}"/>
    <cellStyle name="Input 17 2 2 2 3 4 3" xfId="49427" xr:uid="{00000000-0005-0000-0000-000088540000}"/>
    <cellStyle name="Input 17 2 2 2 3 4 4" xfId="37483" xr:uid="{00000000-0005-0000-0000-000089540000}"/>
    <cellStyle name="Input 17 2 2 2 3 5" xfId="21067" xr:uid="{00000000-0005-0000-0000-00008A540000}"/>
    <cellStyle name="Input 17 2 2 2 3 5 2" xfId="46604" xr:uid="{00000000-0005-0000-0000-00008B540000}"/>
    <cellStyle name="Input 17 2 2 2 3 5 3" xfId="50510" xr:uid="{00000000-0005-0000-0000-00008C540000}"/>
    <cellStyle name="Input 17 2 2 2 3 5 4" xfId="38473" xr:uid="{00000000-0005-0000-0000-00008D540000}"/>
    <cellStyle name="Input 17 2 2 2 3 6" xfId="21720" xr:uid="{00000000-0005-0000-0000-00008E540000}"/>
    <cellStyle name="Input 17 2 2 2 3 6 2" xfId="47257" xr:uid="{00000000-0005-0000-0000-00008F540000}"/>
    <cellStyle name="Input 17 2 2 2 3 6 3" xfId="51163" xr:uid="{00000000-0005-0000-0000-000090540000}"/>
    <cellStyle name="Input 17 2 2 2 3 7" xfId="41060" xr:uid="{00000000-0005-0000-0000-000091540000}"/>
    <cellStyle name="Input 17 2 2 2 3 8" xfId="39379" xr:uid="{00000000-0005-0000-0000-000092540000}"/>
    <cellStyle name="Input 17 2 2 2 4" xfId="14824" xr:uid="{00000000-0005-0000-0000-000093540000}"/>
    <cellStyle name="Input 17 2 2 2 4 2" xfId="42940" xr:uid="{00000000-0005-0000-0000-000094540000}"/>
    <cellStyle name="Input 17 2 2 2 4 3" xfId="43672" xr:uid="{00000000-0005-0000-0000-000095540000}"/>
    <cellStyle name="Input 17 2 2 2 4 4" xfId="32459" xr:uid="{00000000-0005-0000-0000-000096540000}"/>
    <cellStyle name="Input 17 2 2 2 5" xfId="13098" xr:uid="{00000000-0005-0000-0000-000097540000}"/>
    <cellStyle name="Input 17 2 2 2 5 2" xfId="42319" xr:uid="{00000000-0005-0000-0000-000098540000}"/>
    <cellStyle name="Input 17 2 2 2 5 3" xfId="47489" xr:uid="{00000000-0005-0000-0000-000099540000}"/>
    <cellStyle name="Input 17 2 2 2 5 4" xfId="30747" xr:uid="{00000000-0005-0000-0000-00009A540000}"/>
    <cellStyle name="Input 17 2 2 2 6" xfId="19774" xr:uid="{00000000-0005-0000-0000-00009B540000}"/>
    <cellStyle name="Input 17 2 2 2 6 2" xfId="45311" xr:uid="{00000000-0005-0000-0000-00009C540000}"/>
    <cellStyle name="Input 17 2 2 2 6 3" xfId="49217" xr:uid="{00000000-0005-0000-0000-00009D540000}"/>
    <cellStyle name="Input 17 2 2 2 6 4" xfId="37301" xr:uid="{00000000-0005-0000-0000-00009E540000}"/>
    <cellStyle name="Input 17 2 2 2 7" xfId="12912" xr:uid="{00000000-0005-0000-0000-00009F540000}"/>
    <cellStyle name="Input 17 2 2 2 7 2" xfId="42255" xr:uid="{00000000-0005-0000-0000-0000A0540000}"/>
    <cellStyle name="Input 17 2 2 2 7 3" xfId="47609" xr:uid="{00000000-0005-0000-0000-0000A1540000}"/>
    <cellStyle name="Input 17 2 2 2 7 4" xfId="30562" xr:uid="{00000000-0005-0000-0000-0000A2540000}"/>
    <cellStyle name="Input 17 2 2 2 8" xfId="20620" xr:uid="{00000000-0005-0000-0000-0000A3540000}"/>
    <cellStyle name="Input 17 2 2 2 8 2" xfId="46157" xr:uid="{00000000-0005-0000-0000-0000A4540000}"/>
    <cellStyle name="Input 17 2 2 2 8 3" xfId="50063" xr:uid="{00000000-0005-0000-0000-0000A5540000}"/>
    <cellStyle name="Input 17 2 2 2 9" xfId="39800" xr:uid="{00000000-0005-0000-0000-0000A6540000}"/>
    <cellStyle name="Input 17 2 2 3" xfId="53027" xr:uid="{00000000-0005-0000-0000-0000A7540000}"/>
    <cellStyle name="Input 17 2 3" xfId="7035" xr:uid="{00000000-0005-0000-0000-0000A8540000}"/>
    <cellStyle name="Input 17 2 3 10" xfId="43427" xr:uid="{00000000-0005-0000-0000-0000A9540000}"/>
    <cellStyle name="Input 17 2 3 11" xfId="53028" xr:uid="{00000000-0005-0000-0000-0000AA540000}"/>
    <cellStyle name="Input 17 2 3 2" xfId="10565" xr:uid="{00000000-0005-0000-0000-0000AB540000}"/>
    <cellStyle name="Input 17 2 3 2 2" xfId="18358" xr:uid="{00000000-0005-0000-0000-0000AC540000}"/>
    <cellStyle name="Input 17 2 3 2 2 2" xfId="43905" xr:uid="{00000000-0005-0000-0000-0000AD540000}"/>
    <cellStyle name="Input 17 2 3 2 2 3" xfId="47814" xr:uid="{00000000-0005-0000-0000-0000AE540000}"/>
    <cellStyle name="Input 17 2 3 2 2 4" xfId="35995" xr:uid="{00000000-0005-0000-0000-0000AF540000}"/>
    <cellStyle name="Input 17 2 3 2 3" xfId="19757" xr:uid="{00000000-0005-0000-0000-0000B0540000}"/>
    <cellStyle name="Input 17 2 3 2 3 2" xfId="45294" xr:uid="{00000000-0005-0000-0000-0000B1540000}"/>
    <cellStyle name="Input 17 2 3 2 3 3" xfId="49200" xr:uid="{00000000-0005-0000-0000-0000B2540000}"/>
    <cellStyle name="Input 17 2 3 2 3 4" xfId="37284" xr:uid="{00000000-0005-0000-0000-0000B3540000}"/>
    <cellStyle name="Input 17 2 3 2 4" xfId="19062" xr:uid="{00000000-0005-0000-0000-0000B4540000}"/>
    <cellStyle name="Input 17 2 3 2 4 2" xfId="44599" xr:uid="{00000000-0005-0000-0000-0000B5540000}"/>
    <cellStyle name="Input 17 2 3 2 4 3" xfId="48505" xr:uid="{00000000-0005-0000-0000-0000B6540000}"/>
    <cellStyle name="Input 17 2 3 2 4 4" xfId="36661" xr:uid="{00000000-0005-0000-0000-0000B7540000}"/>
    <cellStyle name="Input 17 2 3 2 5" xfId="20771" xr:uid="{00000000-0005-0000-0000-0000B8540000}"/>
    <cellStyle name="Input 17 2 3 2 5 2" xfId="46308" xr:uid="{00000000-0005-0000-0000-0000B9540000}"/>
    <cellStyle name="Input 17 2 3 2 5 3" xfId="50214" xr:uid="{00000000-0005-0000-0000-0000BA540000}"/>
    <cellStyle name="Input 17 2 3 2 5 4" xfId="38177" xr:uid="{00000000-0005-0000-0000-0000BB540000}"/>
    <cellStyle name="Input 17 2 3 2 6" xfId="21424" xr:uid="{00000000-0005-0000-0000-0000BC540000}"/>
    <cellStyle name="Input 17 2 3 2 6 2" xfId="46961" xr:uid="{00000000-0005-0000-0000-0000BD540000}"/>
    <cellStyle name="Input 17 2 3 2 6 3" xfId="50867" xr:uid="{00000000-0005-0000-0000-0000BE540000}"/>
    <cellStyle name="Input 17 2 3 2 7" xfId="40764" xr:uid="{00000000-0005-0000-0000-0000BF540000}"/>
    <cellStyle name="Input 17 2 3 2 8" xfId="40602" xr:uid="{00000000-0005-0000-0000-0000C0540000}"/>
    <cellStyle name="Input 17 2 3 3" xfId="10860" xr:uid="{00000000-0005-0000-0000-0000C1540000}"/>
    <cellStyle name="Input 17 2 3 3 2" xfId="18653" xr:uid="{00000000-0005-0000-0000-0000C2540000}"/>
    <cellStyle name="Input 17 2 3 3 2 2" xfId="44200" xr:uid="{00000000-0005-0000-0000-0000C3540000}"/>
    <cellStyle name="Input 17 2 3 3 2 3" xfId="48109" xr:uid="{00000000-0005-0000-0000-0000C4540000}"/>
    <cellStyle name="Input 17 2 3 3 2 4" xfId="36290" xr:uid="{00000000-0005-0000-0000-0000C5540000}"/>
    <cellStyle name="Input 17 2 3 3 3" xfId="13336" xr:uid="{00000000-0005-0000-0000-0000C6540000}"/>
    <cellStyle name="Input 17 2 3 3 3 2" xfId="42506" xr:uid="{00000000-0005-0000-0000-0000C7540000}"/>
    <cellStyle name="Input 17 2 3 3 3 3" xfId="43679" xr:uid="{00000000-0005-0000-0000-0000C8540000}"/>
    <cellStyle name="Input 17 2 3 3 3 4" xfId="30976" xr:uid="{00000000-0005-0000-0000-0000C9540000}"/>
    <cellStyle name="Input 17 2 3 3 4" xfId="18961" xr:uid="{00000000-0005-0000-0000-0000CA540000}"/>
    <cellStyle name="Input 17 2 3 3 4 2" xfId="44498" xr:uid="{00000000-0005-0000-0000-0000CB540000}"/>
    <cellStyle name="Input 17 2 3 3 4 3" xfId="48404" xr:uid="{00000000-0005-0000-0000-0000CC540000}"/>
    <cellStyle name="Input 17 2 3 3 4 4" xfId="36587" xr:uid="{00000000-0005-0000-0000-0000CD540000}"/>
    <cellStyle name="Input 17 2 3 3 5" xfId="21066" xr:uid="{00000000-0005-0000-0000-0000CE540000}"/>
    <cellStyle name="Input 17 2 3 3 5 2" xfId="46603" xr:uid="{00000000-0005-0000-0000-0000CF540000}"/>
    <cellStyle name="Input 17 2 3 3 5 3" xfId="50509" xr:uid="{00000000-0005-0000-0000-0000D0540000}"/>
    <cellStyle name="Input 17 2 3 3 5 4" xfId="38472" xr:uid="{00000000-0005-0000-0000-0000D1540000}"/>
    <cellStyle name="Input 17 2 3 3 6" xfId="21719" xr:uid="{00000000-0005-0000-0000-0000D2540000}"/>
    <cellStyle name="Input 17 2 3 3 6 2" xfId="47256" xr:uid="{00000000-0005-0000-0000-0000D3540000}"/>
    <cellStyle name="Input 17 2 3 3 6 3" xfId="51162" xr:uid="{00000000-0005-0000-0000-0000D4540000}"/>
    <cellStyle name="Input 17 2 3 3 7" xfId="41059" xr:uid="{00000000-0005-0000-0000-0000D5540000}"/>
    <cellStyle name="Input 17 2 3 3 8" xfId="40239" xr:uid="{00000000-0005-0000-0000-0000D6540000}"/>
    <cellStyle name="Input 17 2 3 4" xfId="14823" xr:uid="{00000000-0005-0000-0000-0000D7540000}"/>
    <cellStyle name="Input 17 2 3 4 2" xfId="42939" xr:uid="{00000000-0005-0000-0000-0000D8540000}"/>
    <cellStyle name="Input 17 2 3 4 3" xfId="42785" xr:uid="{00000000-0005-0000-0000-0000D9540000}"/>
    <cellStyle name="Input 17 2 3 4 4" xfId="32458" xr:uid="{00000000-0005-0000-0000-0000DA540000}"/>
    <cellStyle name="Input 17 2 3 5" xfId="13097" xr:uid="{00000000-0005-0000-0000-0000DB540000}"/>
    <cellStyle name="Input 17 2 3 5 2" xfId="42318" xr:uid="{00000000-0005-0000-0000-0000DC540000}"/>
    <cellStyle name="Input 17 2 3 5 3" xfId="39106" xr:uid="{00000000-0005-0000-0000-0000DD540000}"/>
    <cellStyle name="Input 17 2 3 5 4" xfId="30746" xr:uid="{00000000-0005-0000-0000-0000DE540000}"/>
    <cellStyle name="Input 17 2 3 6" xfId="12525" xr:uid="{00000000-0005-0000-0000-0000DF540000}"/>
    <cellStyle name="Input 17 2 3 6 2" xfId="42033" xr:uid="{00000000-0005-0000-0000-0000E0540000}"/>
    <cellStyle name="Input 17 2 3 6 3" xfId="40195" xr:uid="{00000000-0005-0000-0000-0000E1540000}"/>
    <cellStyle name="Input 17 2 3 6 4" xfId="30193" xr:uid="{00000000-0005-0000-0000-0000E2540000}"/>
    <cellStyle name="Input 17 2 3 7" xfId="19942" xr:uid="{00000000-0005-0000-0000-0000E3540000}"/>
    <cellStyle name="Input 17 2 3 7 2" xfId="45479" xr:uid="{00000000-0005-0000-0000-0000E4540000}"/>
    <cellStyle name="Input 17 2 3 7 3" xfId="49385" xr:uid="{00000000-0005-0000-0000-0000E5540000}"/>
    <cellStyle name="Input 17 2 3 7 4" xfId="37451" xr:uid="{00000000-0005-0000-0000-0000E6540000}"/>
    <cellStyle name="Input 17 2 3 8" xfId="19335" xr:uid="{00000000-0005-0000-0000-0000E7540000}"/>
    <cellStyle name="Input 17 2 3 8 2" xfId="44872" xr:uid="{00000000-0005-0000-0000-0000E8540000}"/>
    <cellStyle name="Input 17 2 3 8 3" xfId="48778" xr:uid="{00000000-0005-0000-0000-0000E9540000}"/>
    <cellStyle name="Input 17 2 3 9" xfId="39799" xr:uid="{00000000-0005-0000-0000-0000EA540000}"/>
    <cellStyle name="Input 17 2 4" xfId="22439" xr:uid="{00000000-0005-0000-0000-0000EB540000}"/>
    <cellStyle name="Input 17 2 5" xfId="53026" xr:uid="{00000000-0005-0000-0000-0000EC540000}"/>
    <cellStyle name="Input 17 2_Sheet1" xfId="1842" xr:uid="{00000000-0005-0000-0000-0000ED540000}"/>
    <cellStyle name="Input 17 3" xfId="1843" xr:uid="{00000000-0005-0000-0000-0000EE540000}"/>
    <cellStyle name="Input 17 3 2" xfId="7037" xr:uid="{00000000-0005-0000-0000-0000EF540000}"/>
    <cellStyle name="Input 17 3 2 10" xfId="39417" xr:uid="{00000000-0005-0000-0000-0000F0540000}"/>
    <cellStyle name="Input 17 3 2 2" xfId="10567" xr:uid="{00000000-0005-0000-0000-0000F1540000}"/>
    <cellStyle name="Input 17 3 2 2 2" xfId="18360" xr:uid="{00000000-0005-0000-0000-0000F2540000}"/>
    <cellStyle name="Input 17 3 2 2 2 2" xfId="43907" xr:uid="{00000000-0005-0000-0000-0000F3540000}"/>
    <cellStyle name="Input 17 3 2 2 2 3" xfId="47816" xr:uid="{00000000-0005-0000-0000-0000F4540000}"/>
    <cellStyle name="Input 17 3 2 2 2 4" xfId="35997" xr:uid="{00000000-0005-0000-0000-0000F5540000}"/>
    <cellStyle name="Input 17 3 2 2 3" xfId="12160" xr:uid="{00000000-0005-0000-0000-0000F6540000}"/>
    <cellStyle name="Input 17 3 2 2 3 2" xfId="41905" xr:uid="{00000000-0005-0000-0000-0000F7540000}"/>
    <cellStyle name="Input 17 3 2 2 3 3" xfId="39667" xr:uid="{00000000-0005-0000-0000-0000F8540000}"/>
    <cellStyle name="Input 17 3 2 2 3 4" xfId="29832" xr:uid="{00000000-0005-0000-0000-0000F9540000}"/>
    <cellStyle name="Input 17 3 2 2 4" xfId="12760" xr:uid="{00000000-0005-0000-0000-0000FA540000}"/>
    <cellStyle name="Input 17 3 2 2 4 2" xfId="42205" xr:uid="{00000000-0005-0000-0000-0000FB540000}"/>
    <cellStyle name="Input 17 3 2 2 4 3" xfId="40187" xr:uid="{00000000-0005-0000-0000-0000FC540000}"/>
    <cellStyle name="Input 17 3 2 2 4 4" xfId="30418" xr:uid="{00000000-0005-0000-0000-0000FD540000}"/>
    <cellStyle name="Input 17 3 2 2 5" xfId="20773" xr:uid="{00000000-0005-0000-0000-0000FE540000}"/>
    <cellStyle name="Input 17 3 2 2 5 2" xfId="46310" xr:uid="{00000000-0005-0000-0000-0000FF540000}"/>
    <cellStyle name="Input 17 3 2 2 5 3" xfId="50216" xr:uid="{00000000-0005-0000-0000-000000550000}"/>
    <cellStyle name="Input 17 3 2 2 5 4" xfId="38179" xr:uid="{00000000-0005-0000-0000-000001550000}"/>
    <cellStyle name="Input 17 3 2 2 6" xfId="21426" xr:uid="{00000000-0005-0000-0000-000002550000}"/>
    <cellStyle name="Input 17 3 2 2 6 2" xfId="46963" xr:uid="{00000000-0005-0000-0000-000003550000}"/>
    <cellStyle name="Input 17 3 2 2 6 3" xfId="50869" xr:uid="{00000000-0005-0000-0000-000004550000}"/>
    <cellStyle name="Input 17 3 2 2 7" xfId="40766" xr:uid="{00000000-0005-0000-0000-000005550000}"/>
    <cellStyle name="Input 17 3 2 2 8" xfId="42750" xr:uid="{00000000-0005-0000-0000-000006550000}"/>
    <cellStyle name="Input 17 3 2 3" xfId="10862" xr:uid="{00000000-0005-0000-0000-000007550000}"/>
    <cellStyle name="Input 17 3 2 3 2" xfId="18655" xr:uid="{00000000-0005-0000-0000-000008550000}"/>
    <cellStyle name="Input 17 3 2 3 2 2" xfId="44202" xr:uid="{00000000-0005-0000-0000-000009550000}"/>
    <cellStyle name="Input 17 3 2 3 2 3" xfId="48111" xr:uid="{00000000-0005-0000-0000-00000A550000}"/>
    <cellStyle name="Input 17 3 2 3 2 4" xfId="36292" xr:uid="{00000000-0005-0000-0000-00000B550000}"/>
    <cellStyle name="Input 17 3 2 3 3" xfId="11518" xr:uid="{00000000-0005-0000-0000-00000C550000}"/>
    <cellStyle name="Input 17 3 2 3 3 2" xfId="41529" xr:uid="{00000000-0005-0000-0000-00000D550000}"/>
    <cellStyle name="Input 17 3 2 3 3 3" xfId="42821" xr:uid="{00000000-0005-0000-0000-00000E550000}"/>
    <cellStyle name="Input 17 3 2 3 3 4" xfId="29233" xr:uid="{00000000-0005-0000-0000-00000F550000}"/>
    <cellStyle name="Input 17 3 2 3 4" xfId="19219" xr:uid="{00000000-0005-0000-0000-000010550000}"/>
    <cellStyle name="Input 17 3 2 3 4 2" xfId="44756" xr:uid="{00000000-0005-0000-0000-000011550000}"/>
    <cellStyle name="Input 17 3 2 3 4 3" xfId="48662" xr:uid="{00000000-0005-0000-0000-000012550000}"/>
    <cellStyle name="Input 17 3 2 3 4 4" xfId="36804" xr:uid="{00000000-0005-0000-0000-000013550000}"/>
    <cellStyle name="Input 17 3 2 3 5" xfId="21068" xr:uid="{00000000-0005-0000-0000-000014550000}"/>
    <cellStyle name="Input 17 3 2 3 5 2" xfId="46605" xr:uid="{00000000-0005-0000-0000-000015550000}"/>
    <cellStyle name="Input 17 3 2 3 5 3" xfId="50511" xr:uid="{00000000-0005-0000-0000-000016550000}"/>
    <cellStyle name="Input 17 3 2 3 5 4" xfId="38474" xr:uid="{00000000-0005-0000-0000-000017550000}"/>
    <cellStyle name="Input 17 3 2 3 6" xfId="21721" xr:uid="{00000000-0005-0000-0000-000018550000}"/>
    <cellStyle name="Input 17 3 2 3 6 2" xfId="47258" xr:uid="{00000000-0005-0000-0000-000019550000}"/>
    <cellStyle name="Input 17 3 2 3 6 3" xfId="51164" xr:uid="{00000000-0005-0000-0000-00001A550000}"/>
    <cellStyle name="Input 17 3 2 3 7" xfId="41061" xr:uid="{00000000-0005-0000-0000-00001B550000}"/>
    <cellStyle name="Input 17 3 2 3 8" xfId="39188" xr:uid="{00000000-0005-0000-0000-00001C550000}"/>
    <cellStyle name="Input 17 3 2 4" xfId="14825" xr:uid="{00000000-0005-0000-0000-00001D550000}"/>
    <cellStyle name="Input 17 3 2 4 2" xfId="42941" xr:uid="{00000000-0005-0000-0000-00001E550000}"/>
    <cellStyle name="Input 17 3 2 4 3" xfId="40531" xr:uid="{00000000-0005-0000-0000-00001F550000}"/>
    <cellStyle name="Input 17 3 2 4 4" xfId="32460" xr:uid="{00000000-0005-0000-0000-000020550000}"/>
    <cellStyle name="Input 17 3 2 5" xfId="13099" xr:uid="{00000000-0005-0000-0000-000021550000}"/>
    <cellStyle name="Input 17 3 2 5 2" xfId="42320" xr:uid="{00000000-0005-0000-0000-000022550000}"/>
    <cellStyle name="Input 17 3 2 5 3" xfId="39105" xr:uid="{00000000-0005-0000-0000-000023550000}"/>
    <cellStyle name="Input 17 3 2 5 4" xfId="30748" xr:uid="{00000000-0005-0000-0000-000024550000}"/>
    <cellStyle name="Input 17 3 2 6" xfId="13290" xr:uid="{00000000-0005-0000-0000-000025550000}"/>
    <cellStyle name="Input 17 3 2 6 2" xfId="42460" xr:uid="{00000000-0005-0000-0000-000026550000}"/>
    <cellStyle name="Input 17 3 2 6 3" xfId="40324" xr:uid="{00000000-0005-0000-0000-000027550000}"/>
    <cellStyle name="Input 17 3 2 6 4" xfId="30935" xr:uid="{00000000-0005-0000-0000-000028550000}"/>
    <cellStyle name="Input 17 3 2 7" xfId="18890" xr:uid="{00000000-0005-0000-0000-000029550000}"/>
    <cellStyle name="Input 17 3 2 7 2" xfId="44427" xr:uid="{00000000-0005-0000-0000-00002A550000}"/>
    <cellStyle name="Input 17 3 2 7 3" xfId="48333" xr:uid="{00000000-0005-0000-0000-00002B550000}"/>
    <cellStyle name="Input 17 3 2 7 4" xfId="36526" xr:uid="{00000000-0005-0000-0000-00002C550000}"/>
    <cellStyle name="Input 17 3 2 8" xfId="13916" xr:uid="{00000000-0005-0000-0000-00002D550000}"/>
    <cellStyle name="Input 17 3 2 8 2" xfId="42651" xr:uid="{00000000-0005-0000-0000-00002E550000}"/>
    <cellStyle name="Input 17 3 2 8 3" xfId="41299" xr:uid="{00000000-0005-0000-0000-00002F550000}"/>
    <cellStyle name="Input 17 3 2 9" xfId="39801" xr:uid="{00000000-0005-0000-0000-000030550000}"/>
    <cellStyle name="Input 17 3 3" xfId="53029" xr:uid="{00000000-0005-0000-0000-000031550000}"/>
    <cellStyle name="Input 17 4" xfId="7034" xr:uid="{00000000-0005-0000-0000-000032550000}"/>
    <cellStyle name="Input 17 4 10" xfId="42200" xr:uid="{00000000-0005-0000-0000-000033550000}"/>
    <cellStyle name="Input 17 4 11" xfId="53030" xr:uid="{00000000-0005-0000-0000-000034550000}"/>
    <cellStyle name="Input 17 4 2" xfId="10564" xr:uid="{00000000-0005-0000-0000-000035550000}"/>
    <cellStyle name="Input 17 4 2 2" xfId="18357" xr:uid="{00000000-0005-0000-0000-000036550000}"/>
    <cellStyle name="Input 17 4 2 2 2" xfId="43904" xr:uid="{00000000-0005-0000-0000-000037550000}"/>
    <cellStyle name="Input 17 4 2 2 3" xfId="47813" xr:uid="{00000000-0005-0000-0000-000038550000}"/>
    <cellStyle name="Input 17 4 2 2 4" xfId="35994" xr:uid="{00000000-0005-0000-0000-000039550000}"/>
    <cellStyle name="Input 17 4 2 3" xfId="19135" xr:uid="{00000000-0005-0000-0000-00003A550000}"/>
    <cellStyle name="Input 17 4 2 3 2" xfId="44672" xr:uid="{00000000-0005-0000-0000-00003B550000}"/>
    <cellStyle name="Input 17 4 2 3 3" xfId="48578" xr:uid="{00000000-0005-0000-0000-00003C550000}"/>
    <cellStyle name="Input 17 4 2 3 4" xfId="36730" xr:uid="{00000000-0005-0000-0000-00003D550000}"/>
    <cellStyle name="Input 17 4 2 4" xfId="19868" xr:uid="{00000000-0005-0000-0000-00003E550000}"/>
    <cellStyle name="Input 17 4 2 4 2" xfId="45405" xr:uid="{00000000-0005-0000-0000-00003F550000}"/>
    <cellStyle name="Input 17 4 2 4 3" xfId="49311" xr:uid="{00000000-0005-0000-0000-000040550000}"/>
    <cellStyle name="Input 17 4 2 4 4" xfId="37382" xr:uid="{00000000-0005-0000-0000-000041550000}"/>
    <cellStyle name="Input 17 4 2 5" xfId="20770" xr:uid="{00000000-0005-0000-0000-000042550000}"/>
    <cellStyle name="Input 17 4 2 5 2" xfId="46307" xr:uid="{00000000-0005-0000-0000-000043550000}"/>
    <cellStyle name="Input 17 4 2 5 3" xfId="50213" xr:uid="{00000000-0005-0000-0000-000044550000}"/>
    <cellStyle name="Input 17 4 2 5 4" xfId="38176" xr:uid="{00000000-0005-0000-0000-000045550000}"/>
    <cellStyle name="Input 17 4 2 6" xfId="21423" xr:uid="{00000000-0005-0000-0000-000046550000}"/>
    <cellStyle name="Input 17 4 2 6 2" xfId="46960" xr:uid="{00000000-0005-0000-0000-000047550000}"/>
    <cellStyle name="Input 17 4 2 6 3" xfId="50866" xr:uid="{00000000-0005-0000-0000-000048550000}"/>
    <cellStyle name="Input 17 4 2 7" xfId="40763" xr:uid="{00000000-0005-0000-0000-000049550000}"/>
    <cellStyle name="Input 17 4 2 8" xfId="43743" xr:uid="{00000000-0005-0000-0000-00004A550000}"/>
    <cellStyle name="Input 17 4 3" xfId="10859" xr:uid="{00000000-0005-0000-0000-00004B550000}"/>
    <cellStyle name="Input 17 4 3 2" xfId="18652" xr:uid="{00000000-0005-0000-0000-00004C550000}"/>
    <cellStyle name="Input 17 4 3 2 2" xfId="44199" xr:uid="{00000000-0005-0000-0000-00004D550000}"/>
    <cellStyle name="Input 17 4 3 2 3" xfId="48108" xr:uid="{00000000-0005-0000-0000-00004E550000}"/>
    <cellStyle name="Input 17 4 3 2 4" xfId="36289" xr:uid="{00000000-0005-0000-0000-00004F550000}"/>
    <cellStyle name="Input 17 4 3 3" xfId="12638" xr:uid="{00000000-0005-0000-0000-000050550000}"/>
    <cellStyle name="Input 17 4 3 3 2" xfId="42117" xr:uid="{00000000-0005-0000-0000-000051550000}"/>
    <cellStyle name="Input 17 4 3 3 3" xfId="40339" xr:uid="{00000000-0005-0000-0000-000052550000}"/>
    <cellStyle name="Input 17 4 3 3 4" xfId="30303" xr:uid="{00000000-0005-0000-0000-000053550000}"/>
    <cellStyle name="Input 17 4 3 4" xfId="19196" xr:uid="{00000000-0005-0000-0000-000054550000}"/>
    <cellStyle name="Input 17 4 3 4 2" xfId="44733" xr:uid="{00000000-0005-0000-0000-000055550000}"/>
    <cellStyle name="Input 17 4 3 4 3" xfId="48639" xr:uid="{00000000-0005-0000-0000-000056550000}"/>
    <cellStyle name="Input 17 4 3 4 4" xfId="36783" xr:uid="{00000000-0005-0000-0000-000057550000}"/>
    <cellStyle name="Input 17 4 3 5" xfId="21065" xr:uid="{00000000-0005-0000-0000-000058550000}"/>
    <cellStyle name="Input 17 4 3 5 2" xfId="46602" xr:uid="{00000000-0005-0000-0000-000059550000}"/>
    <cellStyle name="Input 17 4 3 5 3" xfId="50508" xr:uid="{00000000-0005-0000-0000-00005A550000}"/>
    <cellStyle name="Input 17 4 3 5 4" xfId="38471" xr:uid="{00000000-0005-0000-0000-00005B550000}"/>
    <cellStyle name="Input 17 4 3 6" xfId="21718" xr:uid="{00000000-0005-0000-0000-00005C550000}"/>
    <cellStyle name="Input 17 4 3 6 2" xfId="47255" xr:uid="{00000000-0005-0000-0000-00005D550000}"/>
    <cellStyle name="Input 17 4 3 6 3" xfId="51161" xr:uid="{00000000-0005-0000-0000-00005E550000}"/>
    <cellStyle name="Input 17 4 3 7" xfId="41058" xr:uid="{00000000-0005-0000-0000-00005F550000}"/>
    <cellStyle name="Input 17 4 3 8" xfId="43377" xr:uid="{00000000-0005-0000-0000-000060550000}"/>
    <cellStyle name="Input 17 4 4" xfId="14822" xr:uid="{00000000-0005-0000-0000-000061550000}"/>
    <cellStyle name="Input 17 4 4 2" xfId="42938" xr:uid="{00000000-0005-0000-0000-000062550000}"/>
    <cellStyle name="Input 17 4 4 3" xfId="40043" xr:uid="{00000000-0005-0000-0000-000063550000}"/>
    <cellStyle name="Input 17 4 4 4" xfId="32457" xr:uid="{00000000-0005-0000-0000-000064550000}"/>
    <cellStyle name="Input 17 4 5" xfId="19579" xr:uid="{00000000-0005-0000-0000-000065550000}"/>
    <cellStyle name="Input 17 4 5 2" xfId="45116" xr:uid="{00000000-0005-0000-0000-000066550000}"/>
    <cellStyle name="Input 17 4 5 3" xfId="49022" xr:uid="{00000000-0005-0000-0000-000067550000}"/>
    <cellStyle name="Input 17 4 5 4" xfId="37119" xr:uid="{00000000-0005-0000-0000-000068550000}"/>
    <cellStyle name="Input 17 4 6" xfId="19242" xr:uid="{00000000-0005-0000-0000-000069550000}"/>
    <cellStyle name="Input 17 4 6 2" xfId="44779" xr:uid="{00000000-0005-0000-0000-00006A550000}"/>
    <cellStyle name="Input 17 4 6 3" xfId="48685" xr:uid="{00000000-0005-0000-0000-00006B550000}"/>
    <cellStyle name="Input 17 4 6 4" xfId="36820" xr:uid="{00000000-0005-0000-0000-00006C550000}"/>
    <cellStyle name="Input 17 4 7" xfId="11558" xr:uid="{00000000-0005-0000-0000-00006D550000}"/>
    <cellStyle name="Input 17 4 7 2" xfId="41569" xr:uid="{00000000-0005-0000-0000-00006E550000}"/>
    <cellStyle name="Input 17 4 7 3" xfId="43709" xr:uid="{00000000-0005-0000-0000-00006F550000}"/>
    <cellStyle name="Input 17 4 7 4" xfId="29270" xr:uid="{00000000-0005-0000-0000-000070550000}"/>
    <cellStyle name="Input 17 4 8" xfId="11119" xr:uid="{00000000-0005-0000-0000-000071550000}"/>
    <cellStyle name="Input 17 4 8 2" xfId="41280" xr:uid="{00000000-0005-0000-0000-000072550000}"/>
    <cellStyle name="Input 17 4 8 3" xfId="42725" xr:uid="{00000000-0005-0000-0000-000073550000}"/>
    <cellStyle name="Input 17 4 9" xfId="39798" xr:uid="{00000000-0005-0000-0000-000074550000}"/>
    <cellStyle name="Input 17 5" xfId="22438" xr:uid="{00000000-0005-0000-0000-000075550000}"/>
    <cellStyle name="Input 17 6" xfId="53025" xr:uid="{00000000-0005-0000-0000-000076550000}"/>
    <cellStyle name="Input 17_Sheet1" xfId="1844" xr:uid="{00000000-0005-0000-0000-000077550000}"/>
    <cellStyle name="Input 18" xfId="1845" xr:uid="{00000000-0005-0000-0000-000078550000}"/>
    <cellStyle name="Input 18 2" xfId="1846" xr:uid="{00000000-0005-0000-0000-000079550000}"/>
    <cellStyle name="Input 18 2 2" xfId="1847" xr:uid="{00000000-0005-0000-0000-00007A550000}"/>
    <cellStyle name="Input 18 2 2 2" xfId="7040" xr:uid="{00000000-0005-0000-0000-00007B550000}"/>
    <cellStyle name="Input 18 2 2 2 10" xfId="41728" xr:uid="{00000000-0005-0000-0000-00007C550000}"/>
    <cellStyle name="Input 18 2 2 2 2" xfId="10570" xr:uid="{00000000-0005-0000-0000-00007D550000}"/>
    <cellStyle name="Input 18 2 2 2 2 2" xfId="18363" xr:uid="{00000000-0005-0000-0000-00007E550000}"/>
    <cellStyle name="Input 18 2 2 2 2 2 2" xfId="43910" xr:uid="{00000000-0005-0000-0000-00007F550000}"/>
    <cellStyle name="Input 18 2 2 2 2 2 3" xfId="47819" xr:uid="{00000000-0005-0000-0000-000080550000}"/>
    <cellStyle name="Input 18 2 2 2 2 2 4" xfId="36000" xr:uid="{00000000-0005-0000-0000-000081550000}"/>
    <cellStyle name="Input 18 2 2 2 2 3" xfId="19429" xr:uid="{00000000-0005-0000-0000-000082550000}"/>
    <cellStyle name="Input 18 2 2 2 2 3 2" xfId="44966" xr:uid="{00000000-0005-0000-0000-000083550000}"/>
    <cellStyle name="Input 18 2 2 2 2 3 3" xfId="48872" xr:uid="{00000000-0005-0000-0000-000084550000}"/>
    <cellStyle name="Input 18 2 2 2 2 3 4" xfId="36994" xr:uid="{00000000-0005-0000-0000-000085550000}"/>
    <cellStyle name="Input 18 2 2 2 2 4" xfId="11563" xr:uid="{00000000-0005-0000-0000-000086550000}"/>
    <cellStyle name="Input 18 2 2 2 2 4 2" xfId="41574" xr:uid="{00000000-0005-0000-0000-000087550000}"/>
    <cellStyle name="Input 18 2 2 2 2 4 3" xfId="40463" xr:uid="{00000000-0005-0000-0000-000088550000}"/>
    <cellStyle name="Input 18 2 2 2 2 4 4" xfId="29274" xr:uid="{00000000-0005-0000-0000-000089550000}"/>
    <cellStyle name="Input 18 2 2 2 2 5" xfId="20776" xr:uid="{00000000-0005-0000-0000-00008A550000}"/>
    <cellStyle name="Input 18 2 2 2 2 5 2" xfId="46313" xr:uid="{00000000-0005-0000-0000-00008B550000}"/>
    <cellStyle name="Input 18 2 2 2 2 5 3" xfId="50219" xr:uid="{00000000-0005-0000-0000-00008C550000}"/>
    <cellStyle name="Input 18 2 2 2 2 5 4" xfId="38182" xr:uid="{00000000-0005-0000-0000-00008D550000}"/>
    <cellStyle name="Input 18 2 2 2 2 6" xfId="21429" xr:uid="{00000000-0005-0000-0000-00008E550000}"/>
    <cellStyle name="Input 18 2 2 2 2 6 2" xfId="46966" xr:uid="{00000000-0005-0000-0000-00008F550000}"/>
    <cellStyle name="Input 18 2 2 2 2 6 3" xfId="50872" xr:uid="{00000000-0005-0000-0000-000090550000}"/>
    <cellStyle name="Input 18 2 2 2 2 7" xfId="40769" xr:uid="{00000000-0005-0000-0000-000091550000}"/>
    <cellStyle name="Input 18 2 2 2 2 8" xfId="39607" xr:uid="{00000000-0005-0000-0000-000092550000}"/>
    <cellStyle name="Input 18 2 2 2 3" xfId="10865" xr:uid="{00000000-0005-0000-0000-000093550000}"/>
    <cellStyle name="Input 18 2 2 2 3 2" xfId="18658" xr:uid="{00000000-0005-0000-0000-000094550000}"/>
    <cellStyle name="Input 18 2 2 2 3 2 2" xfId="44205" xr:uid="{00000000-0005-0000-0000-000095550000}"/>
    <cellStyle name="Input 18 2 2 2 3 2 3" xfId="48114" xr:uid="{00000000-0005-0000-0000-000096550000}"/>
    <cellStyle name="Input 18 2 2 2 3 2 4" xfId="36295" xr:uid="{00000000-0005-0000-0000-000097550000}"/>
    <cellStyle name="Input 18 2 2 2 3 3" xfId="13337" xr:uid="{00000000-0005-0000-0000-000098550000}"/>
    <cellStyle name="Input 18 2 2 2 3 3 2" xfId="42507" xr:uid="{00000000-0005-0000-0000-000099550000}"/>
    <cellStyle name="Input 18 2 2 2 3 3 3" xfId="40538" xr:uid="{00000000-0005-0000-0000-00009A550000}"/>
    <cellStyle name="Input 18 2 2 2 3 3 4" xfId="30977" xr:uid="{00000000-0005-0000-0000-00009B550000}"/>
    <cellStyle name="Input 18 2 2 2 3 4" xfId="18962" xr:uid="{00000000-0005-0000-0000-00009C550000}"/>
    <cellStyle name="Input 18 2 2 2 3 4 2" xfId="44499" xr:uid="{00000000-0005-0000-0000-00009D550000}"/>
    <cellStyle name="Input 18 2 2 2 3 4 3" xfId="48405" xr:uid="{00000000-0005-0000-0000-00009E550000}"/>
    <cellStyle name="Input 18 2 2 2 3 4 4" xfId="36588" xr:uid="{00000000-0005-0000-0000-00009F550000}"/>
    <cellStyle name="Input 18 2 2 2 3 5" xfId="21071" xr:uid="{00000000-0005-0000-0000-0000A0550000}"/>
    <cellStyle name="Input 18 2 2 2 3 5 2" xfId="46608" xr:uid="{00000000-0005-0000-0000-0000A1550000}"/>
    <cellStyle name="Input 18 2 2 2 3 5 3" xfId="50514" xr:uid="{00000000-0005-0000-0000-0000A2550000}"/>
    <cellStyle name="Input 18 2 2 2 3 5 4" xfId="38477" xr:uid="{00000000-0005-0000-0000-0000A3550000}"/>
    <cellStyle name="Input 18 2 2 2 3 6" xfId="21724" xr:uid="{00000000-0005-0000-0000-0000A4550000}"/>
    <cellStyle name="Input 18 2 2 2 3 6 2" xfId="47261" xr:uid="{00000000-0005-0000-0000-0000A5550000}"/>
    <cellStyle name="Input 18 2 2 2 3 6 3" xfId="51167" xr:uid="{00000000-0005-0000-0000-0000A6550000}"/>
    <cellStyle name="Input 18 2 2 2 3 7" xfId="41064" xr:uid="{00000000-0005-0000-0000-0000A7550000}"/>
    <cellStyle name="Input 18 2 2 2 3 8" xfId="40091" xr:uid="{00000000-0005-0000-0000-0000A8550000}"/>
    <cellStyle name="Input 18 2 2 2 4" xfId="14828" xr:uid="{00000000-0005-0000-0000-0000A9550000}"/>
    <cellStyle name="Input 18 2 2 2 4 2" xfId="42944" xr:uid="{00000000-0005-0000-0000-0000AA550000}"/>
    <cellStyle name="Input 18 2 2 2 4 3" xfId="43563" xr:uid="{00000000-0005-0000-0000-0000AB550000}"/>
    <cellStyle name="Input 18 2 2 2 4 4" xfId="32463" xr:uid="{00000000-0005-0000-0000-0000AC550000}"/>
    <cellStyle name="Input 18 2 2 2 5" xfId="12471" xr:uid="{00000000-0005-0000-0000-0000AD550000}"/>
    <cellStyle name="Input 18 2 2 2 5 2" xfId="41992" xr:uid="{00000000-0005-0000-0000-0000AE550000}"/>
    <cellStyle name="Input 18 2 2 2 5 3" xfId="39318" xr:uid="{00000000-0005-0000-0000-0000AF550000}"/>
    <cellStyle name="Input 18 2 2 2 5 4" xfId="30142" xr:uid="{00000000-0005-0000-0000-0000B0550000}"/>
    <cellStyle name="Input 18 2 2 2 6" xfId="13295" xr:uid="{00000000-0005-0000-0000-0000B1550000}"/>
    <cellStyle name="Input 18 2 2 2 6 2" xfId="42465" xr:uid="{00000000-0005-0000-0000-0000B2550000}"/>
    <cellStyle name="Input 18 2 2 2 6 3" xfId="39287" xr:uid="{00000000-0005-0000-0000-0000B3550000}"/>
    <cellStyle name="Input 18 2 2 2 6 4" xfId="30939" xr:uid="{00000000-0005-0000-0000-0000B4550000}"/>
    <cellStyle name="Input 18 2 2 2 7" xfId="18931" xr:uid="{00000000-0005-0000-0000-0000B5550000}"/>
    <cellStyle name="Input 18 2 2 2 7 2" xfId="44468" xr:uid="{00000000-0005-0000-0000-0000B6550000}"/>
    <cellStyle name="Input 18 2 2 2 7 3" xfId="48374" xr:uid="{00000000-0005-0000-0000-0000B7550000}"/>
    <cellStyle name="Input 18 2 2 2 7 4" xfId="36559" xr:uid="{00000000-0005-0000-0000-0000B8550000}"/>
    <cellStyle name="Input 18 2 2 2 8" xfId="19672" xr:uid="{00000000-0005-0000-0000-0000B9550000}"/>
    <cellStyle name="Input 18 2 2 2 8 2" xfId="45209" xr:uid="{00000000-0005-0000-0000-0000BA550000}"/>
    <cellStyle name="Input 18 2 2 2 8 3" xfId="49115" xr:uid="{00000000-0005-0000-0000-0000BB550000}"/>
    <cellStyle name="Input 18 2 2 2 9" xfId="39804" xr:uid="{00000000-0005-0000-0000-0000BC550000}"/>
    <cellStyle name="Input 18 2 2 3" xfId="53033" xr:uid="{00000000-0005-0000-0000-0000BD550000}"/>
    <cellStyle name="Input 18 2 3" xfId="7039" xr:uid="{00000000-0005-0000-0000-0000BE550000}"/>
    <cellStyle name="Input 18 2 3 10" xfId="47604" xr:uid="{00000000-0005-0000-0000-0000BF550000}"/>
    <cellStyle name="Input 18 2 3 11" xfId="53034" xr:uid="{00000000-0005-0000-0000-0000C0550000}"/>
    <cellStyle name="Input 18 2 3 2" xfId="10569" xr:uid="{00000000-0005-0000-0000-0000C1550000}"/>
    <cellStyle name="Input 18 2 3 2 2" xfId="18362" xr:uid="{00000000-0005-0000-0000-0000C2550000}"/>
    <cellStyle name="Input 18 2 3 2 2 2" xfId="43909" xr:uid="{00000000-0005-0000-0000-0000C3550000}"/>
    <cellStyle name="Input 18 2 3 2 2 3" xfId="47818" xr:uid="{00000000-0005-0000-0000-0000C4550000}"/>
    <cellStyle name="Input 18 2 3 2 2 4" xfId="35999" xr:uid="{00000000-0005-0000-0000-0000C5550000}"/>
    <cellStyle name="Input 18 2 3 2 3" xfId="20170" xr:uid="{00000000-0005-0000-0000-0000C6550000}"/>
    <cellStyle name="Input 18 2 3 2 3 2" xfId="45707" xr:uid="{00000000-0005-0000-0000-0000C7550000}"/>
    <cellStyle name="Input 18 2 3 2 3 3" xfId="49613" xr:uid="{00000000-0005-0000-0000-0000C8550000}"/>
    <cellStyle name="Input 18 2 3 2 3 4" xfId="37656" xr:uid="{00000000-0005-0000-0000-0000C9550000}"/>
    <cellStyle name="Input 18 2 3 2 4" xfId="19090" xr:uid="{00000000-0005-0000-0000-0000CA550000}"/>
    <cellStyle name="Input 18 2 3 2 4 2" xfId="44627" xr:uid="{00000000-0005-0000-0000-0000CB550000}"/>
    <cellStyle name="Input 18 2 3 2 4 3" xfId="48533" xr:uid="{00000000-0005-0000-0000-0000CC550000}"/>
    <cellStyle name="Input 18 2 3 2 4 4" xfId="36686" xr:uid="{00000000-0005-0000-0000-0000CD550000}"/>
    <cellStyle name="Input 18 2 3 2 5" xfId="20775" xr:uid="{00000000-0005-0000-0000-0000CE550000}"/>
    <cellStyle name="Input 18 2 3 2 5 2" xfId="46312" xr:uid="{00000000-0005-0000-0000-0000CF550000}"/>
    <cellStyle name="Input 18 2 3 2 5 3" xfId="50218" xr:uid="{00000000-0005-0000-0000-0000D0550000}"/>
    <cellStyle name="Input 18 2 3 2 5 4" xfId="38181" xr:uid="{00000000-0005-0000-0000-0000D1550000}"/>
    <cellStyle name="Input 18 2 3 2 6" xfId="21428" xr:uid="{00000000-0005-0000-0000-0000D2550000}"/>
    <cellStyle name="Input 18 2 3 2 6 2" xfId="46965" xr:uid="{00000000-0005-0000-0000-0000D3550000}"/>
    <cellStyle name="Input 18 2 3 2 6 3" xfId="50871" xr:uid="{00000000-0005-0000-0000-0000D4550000}"/>
    <cellStyle name="Input 18 2 3 2 7" xfId="40768" xr:uid="{00000000-0005-0000-0000-0000D5550000}"/>
    <cellStyle name="Input 18 2 3 2 8" xfId="40497" xr:uid="{00000000-0005-0000-0000-0000D6550000}"/>
    <cellStyle name="Input 18 2 3 3" xfId="10864" xr:uid="{00000000-0005-0000-0000-0000D7550000}"/>
    <cellStyle name="Input 18 2 3 3 2" xfId="18657" xr:uid="{00000000-0005-0000-0000-0000D8550000}"/>
    <cellStyle name="Input 18 2 3 3 2 2" xfId="44204" xr:uid="{00000000-0005-0000-0000-0000D9550000}"/>
    <cellStyle name="Input 18 2 3 3 2 3" xfId="48113" xr:uid="{00000000-0005-0000-0000-0000DA550000}"/>
    <cellStyle name="Input 18 2 3 3 2 4" xfId="36294" xr:uid="{00000000-0005-0000-0000-0000DB550000}"/>
    <cellStyle name="Input 18 2 3 3 3" xfId="12169" xr:uid="{00000000-0005-0000-0000-0000DC550000}"/>
    <cellStyle name="Input 18 2 3 3 3 2" xfId="41914" xr:uid="{00000000-0005-0000-0000-0000DD550000}"/>
    <cellStyle name="Input 18 2 3 3 3 3" xfId="41988" xr:uid="{00000000-0005-0000-0000-0000DE550000}"/>
    <cellStyle name="Input 18 2 3 3 3 4" xfId="29841" xr:uid="{00000000-0005-0000-0000-0000DF550000}"/>
    <cellStyle name="Input 18 2 3 3 4" xfId="19518" xr:uid="{00000000-0005-0000-0000-0000E0550000}"/>
    <cellStyle name="Input 18 2 3 3 4 2" xfId="45055" xr:uid="{00000000-0005-0000-0000-0000E1550000}"/>
    <cellStyle name="Input 18 2 3 3 4 3" xfId="48961" xr:uid="{00000000-0005-0000-0000-0000E2550000}"/>
    <cellStyle name="Input 18 2 3 3 4 4" xfId="37066" xr:uid="{00000000-0005-0000-0000-0000E3550000}"/>
    <cellStyle name="Input 18 2 3 3 5" xfId="21070" xr:uid="{00000000-0005-0000-0000-0000E4550000}"/>
    <cellStyle name="Input 18 2 3 3 5 2" xfId="46607" xr:uid="{00000000-0005-0000-0000-0000E5550000}"/>
    <cellStyle name="Input 18 2 3 3 5 3" xfId="50513" xr:uid="{00000000-0005-0000-0000-0000E6550000}"/>
    <cellStyle name="Input 18 2 3 3 5 4" xfId="38476" xr:uid="{00000000-0005-0000-0000-0000E7550000}"/>
    <cellStyle name="Input 18 2 3 3 6" xfId="21723" xr:uid="{00000000-0005-0000-0000-0000E8550000}"/>
    <cellStyle name="Input 18 2 3 3 6 2" xfId="47260" xr:uid="{00000000-0005-0000-0000-0000E9550000}"/>
    <cellStyle name="Input 18 2 3 3 6 3" xfId="51166" xr:uid="{00000000-0005-0000-0000-0000EA550000}"/>
    <cellStyle name="Input 18 2 3 3 7" xfId="41063" xr:uid="{00000000-0005-0000-0000-0000EB550000}"/>
    <cellStyle name="Input 18 2 3 3 8" xfId="43232" xr:uid="{00000000-0005-0000-0000-0000EC550000}"/>
    <cellStyle name="Input 18 2 3 4" xfId="14827" xr:uid="{00000000-0005-0000-0000-0000ED550000}"/>
    <cellStyle name="Input 18 2 3 4 2" xfId="42943" xr:uid="{00000000-0005-0000-0000-0000EE550000}"/>
    <cellStyle name="Input 18 2 3 4 3" xfId="42675" xr:uid="{00000000-0005-0000-0000-0000EF550000}"/>
    <cellStyle name="Input 18 2 3 4 4" xfId="32462" xr:uid="{00000000-0005-0000-0000-0000F0550000}"/>
    <cellStyle name="Input 18 2 3 5" xfId="12470" xr:uid="{00000000-0005-0000-0000-0000F1550000}"/>
    <cellStyle name="Input 18 2 3 5 2" xfId="41991" xr:uid="{00000000-0005-0000-0000-0000F2550000}"/>
    <cellStyle name="Input 18 2 3 5 3" xfId="40196" xr:uid="{00000000-0005-0000-0000-0000F3550000}"/>
    <cellStyle name="Input 18 2 3 5 4" xfId="30141" xr:uid="{00000000-0005-0000-0000-0000F4550000}"/>
    <cellStyle name="Input 18 2 3 6" xfId="20096" xr:uid="{00000000-0005-0000-0000-0000F5550000}"/>
    <cellStyle name="Input 18 2 3 6 2" xfId="45633" xr:uid="{00000000-0005-0000-0000-0000F6550000}"/>
    <cellStyle name="Input 18 2 3 6 3" xfId="49539" xr:uid="{00000000-0005-0000-0000-0000F7550000}"/>
    <cellStyle name="Input 18 2 3 6 4" xfId="37586" xr:uid="{00000000-0005-0000-0000-0000F8550000}"/>
    <cellStyle name="Input 18 2 3 7" xfId="20495" xr:uid="{00000000-0005-0000-0000-0000F9550000}"/>
    <cellStyle name="Input 18 2 3 7 2" xfId="46032" xr:uid="{00000000-0005-0000-0000-0000FA550000}"/>
    <cellStyle name="Input 18 2 3 7 3" xfId="49938" xr:uid="{00000000-0005-0000-0000-0000FB550000}"/>
    <cellStyle name="Input 18 2 3 7 4" xfId="37939" xr:uid="{00000000-0005-0000-0000-0000FC550000}"/>
    <cellStyle name="Input 18 2 3 8" xfId="11785" xr:uid="{00000000-0005-0000-0000-0000FD550000}"/>
    <cellStyle name="Input 18 2 3 8 2" xfId="41739" xr:uid="{00000000-0005-0000-0000-0000FE550000}"/>
    <cellStyle name="Input 18 2 3 8 3" xfId="39157" xr:uid="{00000000-0005-0000-0000-0000FF550000}"/>
    <cellStyle name="Input 18 2 3 9" xfId="39803" xr:uid="{00000000-0005-0000-0000-000000560000}"/>
    <cellStyle name="Input 18 2 4" xfId="22441" xr:uid="{00000000-0005-0000-0000-000001560000}"/>
    <cellStyle name="Input 18 2 5" xfId="53032" xr:uid="{00000000-0005-0000-0000-000002560000}"/>
    <cellStyle name="Input 18 2_Sheet1" xfId="1848" xr:uid="{00000000-0005-0000-0000-000003560000}"/>
    <cellStyle name="Input 18 3" xfId="1849" xr:uid="{00000000-0005-0000-0000-000004560000}"/>
    <cellStyle name="Input 18 3 2" xfId="7041" xr:uid="{00000000-0005-0000-0000-000005560000}"/>
    <cellStyle name="Input 18 3 2 10" xfId="43278" xr:uid="{00000000-0005-0000-0000-000006560000}"/>
    <cellStyle name="Input 18 3 2 2" xfId="10571" xr:uid="{00000000-0005-0000-0000-000007560000}"/>
    <cellStyle name="Input 18 3 2 2 2" xfId="18364" xr:uid="{00000000-0005-0000-0000-000008560000}"/>
    <cellStyle name="Input 18 3 2 2 2 2" xfId="43911" xr:uid="{00000000-0005-0000-0000-000009560000}"/>
    <cellStyle name="Input 18 3 2 2 2 3" xfId="47820" xr:uid="{00000000-0005-0000-0000-00000A560000}"/>
    <cellStyle name="Input 18 3 2 2 2 4" xfId="36001" xr:uid="{00000000-0005-0000-0000-00000B560000}"/>
    <cellStyle name="Input 18 3 2 2 3" xfId="20036" xr:uid="{00000000-0005-0000-0000-00000C560000}"/>
    <cellStyle name="Input 18 3 2 2 3 2" xfId="45573" xr:uid="{00000000-0005-0000-0000-00000D560000}"/>
    <cellStyle name="Input 18 3 2 2 3 3" xfId="49479" xr:uid="{00000000-0005-0000-0000-00000E560000}"/>
    <cellStyle name="Input 18 3 2 2 3 4" xfId="37534" xr:uid="{00000000-0005-0000-0000-00000F560000}"/>
    <cellStyle name="Input 18 3 2 2 4" xfId="13267" xr:uid="{00000000-0005-0000-0000-000010560000}"/>
    <cellStyle name="Input 18 3 2 2 4 2" xfId="42437" xr:uid="{00000000-0005-0000-0000-000011560000}"/>
    <cellStyle name="Input 18 3 2 2 4 3" xfId="39543" xr:uid="{00000000-0005-0000-0000-000012560000}"/>
    <cellStyle name="Input 18 3 2 2 4 4" xfId="30912" xr:uid="{00000000-0005-0000-0000-000013560000}"/>
    <cellStyle name="Input 18 3 2 2 5" xfId="20777" xr:uid="{00000000-0005-0000-0000-000014560000}"/>
    <cellStyle name="Input 18 3 2 2 5 2" xfId="46314" xr:uid="{00000000-0005-0000-0000-000015560000}"/>
    <cellStyle name="Input 18 3 2 2 5 3" xfId="50220" xr:uid="{00000000-0005-0000-0000-000016560000}"/>
    <cellStyle name="Input 18 3 2 2 5 4" xfId="38183" xr:uid="{00000000-0005-0000-0000-000017560000}"/>
    <cellStyle name="Input 18 3 2 2 6" xfId="21430" xr:uid="{00000000-0005-0000-0000-000018560000}"/>
    <cellStyle name="Input 18 3 2 2 6 2" xfId="46967" xr:uid="{00000000-0005-0000-0000-000019560000}"/>
    <cellStyle name="Input 18 3 2 2 6 3" xfId="50873" xr:uid="{00000000-0005-0000-0000-00001A560000}"/>
    <cellStyle name="Input 18 3 2 2 7" xfId="40770" xr:uid="{00000000-0005-0000-0000-00001B560000}"/>
    <cellStyle name="Input 18 3 2 2 8" xfId="42615" xr:uid="{00000000-0005-0000-0000-00001C560000}"/>
    <cellStyle name="Input 18 3 2 3" xfId="10866" xr:uid="{00000000-0005-0000-0000-00001D560000}"/>
    <cellStyle name="Input 18 3 2 3 2" xfId="18659" xr:uid="{00000000-0005-0000-0000-00001E560000}"/>
    <cellStyle name="Input 18 3 2 3 2 2" xfId="44206" xr:uid="{00000000-0005-0000-0000-00001F560000}"/>
    <cellStyle name="Input 18 3 2 3 2 3" xfId="48115" xr:uid="{00000000-0005-0000-0000-000020560000}"/>
    <cellStyle name="Input 18 3 2 3 2 4" xfId="36296" xr:uid="{00000000-0005-0000-0000-000021560000}"/>
    <cellStyle name="Input 18 3 2 3 3" xfId="12170" xr:uid="{00000000-0005-0000-0000-000022560000}"/>
    <cellStyle name="Input 18 3 2 3 3 2" xfId="41915" xr:uid="{00000000-0005-0000-0000-000023560000}"/>
    <cellStyle name="Input 18 3 2 3 3 3" xfId="43337" xr:uid="{00000000-0005-0000-0000-000024560000}"/>
    <cellStyle name="Input 18 3 2 3 3 4" xfId="29842" xr:uid="{00000000-0005-0000-0000-000025560000}"/>
    <cellStyle name="Input 18 3 2 3 4" xfId="12762" xr:uid="{00000000-0005-0000-0000-000026560000}"/>
    <cellStyle name="Input 18 3 2 3 4 2" xfId="42207" xr:uid="{00000000-0005-0000-0000-000027560000}"/>
    <cellStyle name="Input 18 3 2 3 4 3" xfId="39109" xr:uid="{00000000-0005-0000-0000-000028560000}"/>
    <cellStyle name="Input 18 3 2 3 4 4" xfId="30420" xr:uid="{00000000-0005-0000-0000-000029560000}"/>
    <cellStyle name="Input 18 3 2 3 5" xfId="21072" xr:uid="{00000000-0005-0000-0000-00002A560000}"/>
    <cellStyle name="Input 18 3 2 3 5 2" xfId="46609" xr:uid="{00000000-0005-0000-0000-00002B560000}"/>
    <cellStyle name="Input 18 3 2 3 5 3" xfId="50515" xr:uid="{00000000-0005-0000-0000-00002C560000}"/>
    <cellStyle name="Input 18 3 2 3 5 4" xfId="38478" xr:uid="{00000000-0005-0000-0000-00002D560000}"/>
    <cellStyle name="Input 18 3 2 3 6" xfId="21725" xr:uid="{00000000-0005-0000-0000-00002E560000}"/>
    <cellStyle name="Input 18 3 2 3 6 2" xfId="47262" xr:uid="{00000000-0005-0000-0000-00002F560000}"/>
    <cellStyle name="Input 18 3 2 3 6 3" xfId="51168" xr:uid="{00000000-0005-0000-0000-000030560000}"/>
    <cellStyle name="Input 18 3 2 3 7" xfId="41065" xr:uid="{00000000-0005-0000-0000-000031560000}"/>
    <cellStyle name="Input 18 3 2 3 8" xfId="42839" xr:uid="{00000000-0005-0000-0000-000032560000}"/>
    <cellStyle name="Input 18 3 2 4" xfId="14829" xr:uid="{00000000-0005-0000-0000-000033560000}"/>
    <cellStyle name="Input 18 3 2 4 2" xfId="42945" xr:uid="{00000000-0005-0000-0000-000034560000}"/>
    <cellStyle name="Input 18 3 2 4 3" xfId="40424" xr:uid="{00000000-0005-0000-0000-000035560000}"/>
    <cellStyle name="Input 18 3 2 4 4" xfId="32464" xr:uid="{00000000-0005-0000-0000-000036560000}"/>
    <cellStyle name="Input 18 3 2 5" xfId="13101" xr:uid="{00000000-0005-0000-0000-000037560000}"/>
    <cellStyle name="Input 18 3 2 5 2" xfId="42322" xr:uid="{00000000-0005-0000-0000-000038560000}"/>
    <cellStyle name="Input 18 3 2 5 3" xfId="41308" xr:uid="{00000000-0005-0000-0000-000039560000}"/>
    <cellStyle name="Input 18 3 2 5 4" xfId="30750" xr:uid="{00000000-0005-0000-0000-00003A560000}"/>
    <cellStyle name="Input 18 3 2 6" xfId="20335" xr:uid="{00000000-0005-0000-0000-00003B560000}"/>
    <cellStyle name="Input 18 3 2 6 2" xfId="45872" xr:uid="{00000000-0005-0000-0000-00003C560000}"/>
    <cellStyle name="Input 18 3 2 6 3" xfId="49778" xr:uid="{00000000-0005-0000-0000-00003D560000}"/>
    <cellStyle name="Input 18 3 2 6 4" xfId="37799" xr:uid="{00000000-0005-0000-0000-00003E560000}"/>
    <cellStyle name="Input 18 3 2 7" xfId="19658" xr:uid="{00000000-0005-0000-0000-00003F560000}"/>
    <cellStyle name="Input 18 3 2 7 2" xfId="45195" xr:uid="{00000000-0005-0000-0000-000040560000}"/>
    <cellStyle name="Input 18 3 2 7 3" xfId="49101" xr:uid="{00000000-0005-0000-0000-000041560000}"/>
    <cellStyle name="Input 18 3 2 7 4" xfId="37192" xr:uid="{00000000-0005-0000-0000-000042560000}"/>
    <cellStyle name="Input 18 3 2 8" xfId="19574" xr:uid="{00000000-0005-0000-0000-000043560000}"/>
    <cellStyle name="Input 18 3 2 8 2" xfId="45111" xr:uid="{00000000-0005-0000-0000-000044560000}"/>
    <cellStyle name="Input 18 3 2 8 3" xfId="49017" xr:uid="{00000000-0005-0000-0000-000045560000}"/>
    <cellStyle name="Input 18 3 2 9" xfId="39805" xr:uid="{00000000-0005-0000-0000-000046560000}"/>
    <cellStyle name="Input 18 3 3" xfId="53035" xr:uid="{00000000-0005-0000-0000-000047560000}"/>
    <cellStyle name="Input 18 4" xfId="7038" xr:uid="{00000000-0005-0000-0000-000048560000}"/>
    <cellStyle name="Input 18 4 10" xfId="39252" xr:uid="{00000000-0005-0000-0000-000049560000}"/>
    <cellStyle name="Input 18 4 11" xfId="53036" xr:uid="{00000000-0005-0000-0000-00004A560000}"/>
    <cellStyle name="Input 18 4 2" xfId="10568" xr:uid="{00000000-0005-0000-0000-00004B560000}"/>
    <cellStyle name="Input 18 4 2 2" xfId="18361" xr:uid="{00000000-0005-0000-0000-00004C560000}"/>
    <cellStyle name="Input 18 4 2 2 2" xfId="43908" xr:uid="{00000000-0005-0000-0000-00004D560000}"/>
    <cellStyle name="Input 18 4 2 2 3" xfId="47817" xr:uid="{00000000-0005-0000-0000-00004E560000}"/>
    <cellStyle name="Input 18 4 2 2 4" xfId="35998" xr:uid="{00000000-0005-0000-0000-00004F560000}"/>
    <cellStyle name="Input 18 4 2 3" xfId="19615" xr:uid="{00000000-0005-0000-0000-000050560000}"/>
    <cellStyle name="Input 18 4 2 3 2" xfId="45152" xr:uid="{00000000-0005-0000-0000-000051560000}"/>
    <cellStyle name="Input 18 4 2 3 3" xfId="49058" xr:uid="{00000000-0005-0000-0000-000052560000}"/>
    <cellStyle name="Input 18 4 2 3 4" xfId="37155" xr:uid="{00000000-0005-0000-0000-000053560000}"/>
    <cellStyle name="Input 18 4 2 4" xfId="19448" xr:uid="{00000000-0005-0000-0000-000054560000}"/>
    <cellStyle name="Input 18 4 2 4 2" xfId="44985" xr:uid="{00000000-0005-0000-0000-000055560000}"/>
    <cellStyle name="Input 18 4 2 4 3" xfId="48891" xr:uid="{00000000-0005-0000-0000-000056560000}"/>
    <cellStyle name="Input 18 4 2 4 4" xfId="37013" xr:uid="{00000000-0005-0000-0000-000057560000}"/>
    <cellStyle name="Input 18 4 2 5" xfId="20774" xr:uid="{00000000-0005-0000-0000-000058560000}"/>
    <cellStyle name="Input 18 4 2 5 2" xfId="46311" xr:uid="{00000000-0005-0000-0000-000059560000}"/>
    <cellStyle name="Input 18 4 2 5 3" xfId="50217" xr:uid="{00000000-0005-0000-0000-00005A560000}"/>
    <cellStyle name="Input 18 4 2 5 4" xfId="38180" xr:uid="{00000000-0005-0000-0000-00005B560000}"/>
    <cellStyle name="Input 18 4 2 6" xfId="21427" xr:uid="{00000000-0005-0000-0000-00005C560000}"/>
    <cellStyle name="Input 18 4 2 6 2" xfId="46964" xr:uid="{00000000-0005-0000-0000-00005D560000}"/>
    <cellStyle name="Input 18 4 2 6 3" xfId="50870" xr:uid="{00000000-0005-0000-0000-00005E560000}"/>
    <cellStyle name="Input 18 4 2 7" xfId="40767" xr:uid="{00000000-0005-0000-0000-00005F560000}"/>
    <cellStyle name="Input 18 4 2 8" xfId="43639" xr:uid="{00000000-0005-0000-0000-000060560000}"/>
    <cellStyle name="Input 18 4 3" xfId="10863" xr:uid="{00000000-0005-0000-0000-000061560000}"/>
    <cellStyle name="Input 18 4 3 2" xfId="18656" xr:uid="{00000000-0005-0000-0000-000062560000}"/>
    <cellStyle name="Input 18 4 3 2 2" xfId="44203" xr:uid="{00000000-0005-0000-0000-000063560000}"/>
    <cellStyle name="Input 18 4 3 2 3" xfId="48112" xr:uid="{00000000-0005-0000-0000-000064560000}"/>
    <cellStyle name="Input 18 4 3 2 4" xfId="36293" xr:uid="{00000000-0005-0000-0000-000065560000}"/>
    <cellStyle name="Input 18 4 3 3" xfId="12639" xr:uid="{00000000-0005-0000-0000-000066560000}"/>
    <cellStyle name="Input 18 4 3 3 2" xfId="42118" xr:uid="{00000000-0005-0000-0000-000067560000}"/>
    <cellStyle name="Input 18 4 3 3 3" xfId="39454" xr:uid="{00000000-0005-0000-0000-000068560000}"/>
    <cellStyle name="Input 18 4 3 3 4" xfId="30304" xr:uid="{00000000-0005-0000-0000-000069560000}"/>
    <cellStyle name="Input 18 4 3 4" xfId="19667" xr:uid="{00000000-0005-0000-0000-00006A560000}"/>
    <cellStyle name="Input 18 4 3 4 2" xfId="45204" xr:uid="{00000000-0005-0000-0000-00006B560000}"/>
    <cellStyle name="Input 18 4 3 4 3" xfId="49110" xr:uid="{00000000-0005-0000-0000-00006C560000}"/>
    <cellStyle name="Input 18 4 3 4 4" xfId="37201" xr:uid="{00000000-0005-0000-0000-00006D560000}"/>
    <cellStyle name="Input 18 4 3 5" xfId="21069" xr:uid="{00000000-0005-0000-0000-00006E560000}"/>
    <cellStyle name="Input 18 4 3 5 2" xfId="46606" xr:uid="{00000000-0005-0000-0000-00006F560000}"/>
    <cellStyle name="Input 18 4 3 5 3" xfId="50512" xr:uid="{00000000-0005-0000-0000-000070560000}"/>
    <cellStyle name="Input 18 4 3 5 4" xfId="38475" xr:uid="{00000000-0005-0000-0000-000071560000}"/>
    <cellStyle name="Input 18 4 3 6" xfId="21722" xr:uid="{00000000-0005-0000-0000-000072560000}"/>
    <cellStyle name="Input 18 4 3 6 2" xfId="47259" xr:uid="{00000000-0005-0000-0000-000073560000}"/>
    <cellStyle name="Input 18 4 3 6 3" xfId="51165" xr:uid="{00000000-0005-0000-0000-000074560000}"/>
    <cellStyle name="Input 18 4 3 7" xfId="41062" xr:uid="{00000000-0005-0000-0000-000075560000}"/>
    <cellStyle name="Input 18 4 3 8" xfId="41429" xr:uid="{00000000-0005-0000-0000-000076560000}"/>
    <cellStyle name="Input 18 4 4" xfId="14826" xr:uid="{00000000-0005-0000-0000-000077560000}"/>
    <cellStyle name="Input 18 4 4 2" xfId="42942" xr:uid="{00000000-0005-0000-0000-000078560000}"/>
    <cellStyle name="Input 18 4 4 3" xfId="39639" xr:uid="{00000000-0005-0000-0000-000079560000}"/>
    <cellStyle name="Input 18 4 4 4" xfId="32461" xr:uid="{00000000-0005-0000-0000-00007A560000}"/>
    <cellStyle name="Input 18 4 5" xfId="13100" xr:uid="{00000000-0005-0000-0000-00007B560000}"/>
    <cellStyle name="Input 18 4 5 2" xfId="42321" xr:uid="{00000000-0005-0000-0000-00007C560000}"/>
    <cellStyle name="Input 18 4 5 3" xfId="47608" xr:uid="{00000000-0005-0000-0000-00007D560000}"/>
    <cellStyle name="Input 18 4 5 4" xfId="30749" xr:uid="{00000000-0005-0000-0000-00007E560000}"/>
    <cellStyle name="Input 18 4 6" xfId="20378" xr:uid="{00000000-0005-0000-0000-00007F560000}"/>
    <cellStyle name="Input 18 4 6 2" xfId="45915" xr:uid="{00000000-0005-0000-0000-000080560000}"/>
    <cellStyle name="Input 18 4 6 3" xfId="49821" xr:uid="{00000000-0005-0000-0000-000081560000}"/>
    <cellStyle name="Input 18 4 6 4" xfId="37834" xr:uid="{00000000-0005-0000-0000-000082560000}"/>
    <cellStyle name="Input 18 4 7" xfId="19827" xr:uid="{00000000-0005-0000-0000-000083560000}"/>
    <cellStyle name="Input 18 4 7 2" xfId="45364" xr:uid="{00000000-0005-0000-0000-000084560000}"/>
    <cellStyle name="Input 18 4 7 3" xfId="49270" xr:uid="{00000000-0005-0000-0000-000085560000}"/>
    <cellStyle name="Input 18 4 7 4" xfId="37345" xr:uid="{00000000-0005-0000-0000-000086560000}"/>
    <cellStyle name="Input 18 4 8" xfId="20080" xr:uid="{00000000-0005-0000-0000-000087560000}"/>
    <cellStyle name="Input 18 4 8 2" xfId="45617" xr:uid="{00000000-0005-0000-0000-000088560000}"/>
    <cellStyle name="Input 18 4 8 3" xfId="49523" xr:uid="{00000000-0005-0000-0000-000089560000}"/>
    <cellStyle name="Input 18 4 9" xfId="39802" xr:uid="{00000000-0005-0000-0000-00008A560000}"/>
    <cellStyle name="Input 18 5" xfId="22440" xr:uid="{00000000-0005-0000-0000-00008B560000}"/>
    <cellStyle name="Input 18 6" xfId="53031" xr:uid="{00000000-0005-0000-0000-00008C560000}"/>
    <cellStyle name="Input 18_Sheet1" xfId="1850" xr:uid="{00000000-0005-0000-0000-00008D560000}"/>
    <cellStyle name="Input 19" xfId="1851" xr:uid="{00000000-0005-0000-0000-00008E560000}"/>
    <cellStyle name="Input 19 2" xfId="1852" xr:uid="{00000000-0005-0000-0000-00008F560000}"/>
    <cellStyle name="Input 19 2 2" xfId="1853" xr:uid="{00000000-0005-0000-0000-000090560000}"/>
    <cellStyle name="Input 19 2 2 2" xfId="7044" xr:uid="{00000000-0005-0000-0000-000091560000}"/>
    <cellStyle name="Input 19 2 2 2 10" xfId="43773" xr:uid="{00000000-0005-0000-0000-000092560000}"/>
    <cellStyle name="Input 19 2 2 2 2" xfId="10574" xr:uid="{00000000-0005-0000-0000-000093560000}"/>
    <cellStyle name="Input 19 2 2 2 2 2" xfId="18367" xr:uid="{00000000-0005-0000-0000-000094560000}"/>
    <cellStyle name="Input 19 2 2 2 2 2 2" xfId="43914" xr:uid="{00000000-0005-0000-0000-000095560000}"/>
    <cellStyle name="Input 19 2 2 2 2 2 3" xfId="47823" xr:uid="{00000000-0005-0000-0000-000096560000}"/>
    <cellStyle name="Input 19 2 2 2 2 2 4" xfId="36004" xr:uid="{00000000-0005-0000-0000-000097560000}"/>
    <cellStyle name="Input 19 2 2 2 2 3" xfId="19134" xr:uid="{00000000-0005-0000-0000-000098560000}"/>
    <cellStyle name="Input 19 2 2 2 2 3 2" xfId="44671" xr:uid="{00000000-0005-0000-0000-000099560000}"/>
    <cellStyle name="Input 19 2 2 2 2 3 3" xfId="48577" xr:uid="{00000000-0005-0000-0000-00009A560000}"/>
    <cellStyle name="Input 19 2 2 2 2 3 4" xfId="36729" xr:uid="{00000000-0005-0000-0000-00009B560000}"/>
    <cellStyle name="Input 19 2 2 2 2 4" xfId="20259" xr:uid="{00000000-0005-0000-0000-00009C560000}"/>
    <cellStyle name="Input 19 2 2 2 2 4 2" xfId="45796" xr:uid="{00000000-0005-0000-0000-00009D560000}"/>
    <cellStyle name="Input 19 2 2 2 2 4 3" xfId="49702" xr:uid="{00000000-0005-0000-0000-00009E560000}"/>
    <cellStyle name="Input 19 2 2 2 2 4 4" xfId="37730" xr:uid="{00000000-0005-0000-0000-00009F560000}"/>
    <cellStyle name="Input 19 2 2 2 2 5" xfId="20780" xr:uid="{00000000-0005-0000-0000-0000A0560000}"/>
    <cellStyle name="Input 19 2 2 2 2 5 2" xfId="46317" xr:uid="{00000000-0005-0000-0000-0000A1560000}"/>
    <cellStyle name="Input 19 2 2 2 2 5 3" xfId="50223" xr:uid="{00000000-0005-0000-0000-0000A2560000}"/>
    <cellStyle name="Input 19 2 2 2 2 5 4" xfId="38186" xr:uid="{00000000-0005-0000-0000-0000A3560000}"/>
    <cellStyle name="Input 19 2 2 2 2 6" xfId="21433" xr:uid="{00000000-0005-0000-0000-0000A4560000}"/>
    <cellStyle name="Input 19 2 2 2 2 6 2" xfId="46970" xr:uid="{00000000-0005-0000-0000-0000A5560000}"/>
    <cellStyle name="Input 19 2 2 2 2 6 3" xfId="50876" xr:uid="{00000000-0005-0000-0000-0000A6560000}"/>
    <cellStyle name="Input 19 2 2 2 2 7" xfId="40773" xr:uid="{00000000-0005-0000-0000-0000A7560000}"/>
    <cellStyle name="Input 19 2 2 2 2 8" xfId="39503" xr:uid="{00000000-0005-0000-0000-0000A8560000}"/>
    <cellStyle name="Input 19 2 2 2 3" xfId="10869" xr:uid="{00000000-0005-0000-0000-0000A9560000}"/>
    <cellStyle name="Input 19 2 2 2 3 2" xfId="18662" xr:uid="{00000000-0005-0000-0000-0000AA560000}"/>
    <cellStyle name="Input 19 2 2 2 3 2 2" xfId="44209" xr:uid="{00000000-0005-0000-0000-0000AB560000}"/>
    <cellStyle name="Input 19 2 2 2 3 2 3" xfId="48118" xr:uid="{00000000-0005-0000-0000-0000AC560000}"/>
    <cellStyle name="Input 19 2 2 2 3 2 4" xfId="36299" xr:uid="{00000000-0005-0000-0000-0000AD560000}"/>
    <cellStyle name="Input 19 2 2 2 3 3" xfId="13339" xr:uid="{00000000-0005-0000-0000-0000AE560000}"/>
    <cellStyle name="Input 19 2 2 2 3 3 2" xfId="42509" xr:uid="{00000000-0005-0000-0000-0000AF560000}"/>
    <cellStyle name="Input 19 2 2 2 3 3 3" xfId="42683" xr:uid="{00000000-0005-0000-0000-0000B0560000}"/>
    <cellStyle name="Input 19 2 2 2 3 3 4" xfId="30979" xr:uid="{00000000-0005-0000-0000-0000B1560000}"/>
    <cellStyle name="Input 19 2 2 2 3 4" xfId="11613" xr:uid="{00000000-0005-0000-0000-0000B2560000}"/>
    <cellStyle name="Input 19 2 2 2 3 4 2" xfId="41624" xr:uid="{00000000-0005-0000-0000-0000B3560000}"/>
    <cellStyle name="Input 19 2 2 2 3 4 3" xfId="43212" xr:uid="{00000000-0005-0000-0000-0000B4560000}"/>
    <cellStyle name="Input 19 2 2 2 3 4 4" xfId="29316" xr:uid="{00000000-0005-0000-0000-0000B5560000}"/>
    <cellStyle name="Input 19 2 2 2 3 5" xfId="21075" xr:uid="{00000000-0005-0000-0000-0000B6560000}"/>
    <cellStyle name="Input 19 2 2 2 3 5 2" xfId="46612" xr:uid="{00000000-0005-0000-0000-0000B7560000}"/>
    <cellStyle name="Input 19 2 2 2 3 5 3" xfId="50518" xr:uid="{00000000-0005-0000-0000-0000B8560000}"/>
    <cellStyle name="Input 19 2 2 2 3 5 4" xfId="38481" xr:uid="{00000000-0005-0000-0000-0000B9560000}"/>
    <cellStyle name="Input 19 2 2 2 3 6" xfId="21728" xr:uid="{00000000-0005-0000-0000-0000BA560000}"/>
    <cellStyle name="Input 19 2 2 2 3 6 2" xfId="47265" xr:uid="{00000000-0005-0000-0000-0000BB560000}"/>
    <cellStyle name="Input 19 2 2 2 3 6 3" xfId="51171" xr:uid="{00000000-0005-0000-0000-0000BC560000}"/>
    <cellStyle name="Input 19 2 2 2 3 7" xfId="41068" xr:uid="{00000000-0005-0000-0000-0000BD560000}"/>
    <cellStyle name="Input 19 2 2 2 3 8" xfId="39698" xr:uid="{00000000-0005-0000-0000-0000BE560000}"/>
    <cellStyle name="Input 19 2 2 2 4" xfId="14832" xr:uid="{00000000-0005-0000-0000-0000BF560000}"/>
    <cellStyle name="Input 19 2 2 2 4 2" xfId="42948" xr:uid="{00000000-0005-0000-0000-0000C0560000}"/>
    <cellStyle name="Input 19 2 2 2 4 3" xfId="43454" xr:uid="{00000000-0005-0000-0000-0000C1560000}"/>
    <cellStyle name="Input 19 2 2 2 4 4" xfId="32467" xr:uid="{00000000-0005-0000-0000-0000C2560000}"/>
    <cellStyle name="Input 19 2 2 2 5" xfId="11292" xr:uid="{00000000-0005-0000-0000-0000C3560000}"/>
    <cellStyle name="Input 19 2 2 2 5 2" xfId="41339" xr:uid="{00000000-0005-0000-0000-0000C4560000}"/>
    <cellStyle name="Input 19 2 2 2 5 3" xfId="42587" xr:uid="{00000000-0005-0000-0000-0000C5560000}"/>
    <cellStyle name="Input 19 2 2 2 5 4" xfId="29020" xr:uid="{00000000-0005-0000-0000-0000C6560000}"/>
    <cellStyle name="Input 19 2 2 2 6" xfId="12853" xr:uid="{00000000-0005-0000-0000-0000C7560000}"/>
    <cellStyle name="Input 19 2 2 2 6 2" xfId="42236" xr:uid="{00000000-0005-0000-0000-0000C8560000}"/>
    <cellStyle name="Input 19 2 2 2 6 3" xfId="39307" xr:uid="{00000000-0005-0000-0000-0000C9560000}"/>
    <cellStyle name="Input 19 2 2 2 6 4" xfId="30507" xr:uid="{00000000-0005-0000-0000-0000CA560000}"/>
    <cellStyle name="Input 19 2 2 2 7" xfId="12144" xr:uid="{00000000-0005-0000-0000-0000CB560000}"/>
    <cellStyle name="Input 19 2 2 2 7 2" xfId="41889" xr:uid="{00000000-0005-0000-0000-0000CC560000}"/>
    <cellStyle name="Input 19 2 2 2 7 3" xfId="42570" xr:uid="{00000000-0005-0000-0000-0000CD560000}"/>
    <cellStyle name="Input 19 2 2 2 7 4" xfId="29816" xr:uid="{00000000-0005-0000-0000-0000CE560000}"/>
    <cellStyle name="Input 19 2 2 2 8" xfId="19494" xr:uid="{00000000-0005-0000-0000-0000CF560000}"/>
    <cellStyle name="Input 19 2 2 2 8 2" xfId="45031" xr:uid="{00000000-0005-0000-0000-0000D0560000}"/>
    <cellStyle name="Input 19 2 2 2 8 3" xfId="48937" xr:uid="{00000000-0005-0000-0000-0000D1560000}"/>
    <cellStyle name="Input 19 2 2 2 9" xfId="39808" xr:uid="{00000000-0005-0000-0000-0000D2560000}"/>
    <cellStyle name="Input 19 2 2 3" xfId="53039" xr:uid="{00000000-0005-0000-0000-0000D3560000}"/>
    <cellStyle name="Input 19 2 3" xfId="7043" xr:uid="{00000000-0005-0000-0000-0000D4560000}"/>
    <cellStyle name="Input 19 2 3 10" xfId="43106" xr:uid="{00000000-0005-0000-0000-0000D5560000}"/>
    <cellStyle name="Input 19 2 3 11" xfId="53040" xr:uid="{00000000-0005-0000-0000-0000D6560000}"/>
    <cellStyle name="Input 19 2 3 2" xfId="10573" xr:uid="{00000000-0005-0000-0000-0000D7560000}"/>
    <cellStyle name="Input 19 2 3 2 2" xfId="18366" xr:uid="{00000000-0005-0000-0000-0000D8560000}"/>
    <cellStyle name="Input 19 2 3 2 2 2" xfId="43913" xr:uid="{00000000-0005-0000-0000-0000D9560000}"/>
    <cellStyle name="Input 19 2 3 2 2 3" xfId="47822" xr:uid="{00000000-0005-0000-0000-0000DA560000}"/>
    <cellStyle name="Input 19 2 3 2 2 4" xfId="36003" xr:uid="{00000000-0005-0000-0000-0000DB560000}"/>
    <cellStyle name="Input 19 2 3 2 3" xfId="19911" xr:uid="{00000000-0005-0000-0000-0000DC560000}"/>
    <cellStyle name="Input 19 2 3 2 3 2" xfId="45448" xr:uid="{00000000-0005-0000-0000-0000DD560000}"/>
    <cellStyle name="Input 19 2 3 2 3 3" xfId="49354" xr:uid="{00000000-0005-0000-0000-0000DE560000}"/>
    <cellStyle name="Input 19 2 3 2 3 4" xfId="37425" xr:uid="{00000000-0005-0000-0000-0000DF560000}"/>
    <cellStyle name="Input 19 2 3 2 4" xfId="19803" xr:uid="{00000000-0005-0000-0000-0000E0560000}"/>
    <cellStyle name="Input 19 2 3 2 4 2" xfId="45340" xr:uid="{00000000-0005-0000-0000-0000E1560000}"/>
    <cellStyle name="Input 19 2 3 2 4 3" xfId="49246" xr:uid="{00000000-0005-0000-0000-0000E2560000}"/>
    <cellStyle name="Input 19 2 3 2 4 4" xfId="37325" xr:uid="{00000000-0005-0000-0000-0000E3560000}"/>
    <cellStyle name="Input 19 2 3 2 5" xfId="20779" xr:uid="{00000000-0005-0000-0000-0000E4560000}"/>
    <cellStyle name="Input 19 2 3 2 5 2" xfId="46316" xr:uid="{00000000-0005-0000-0000-0000E5560000}"/>
    <cellStyle name="Input 19 2 3 2 5 3" xfId="50222" xr:uid="{00000000-0005-0000-0000-0000E6560000}"/>
    <cellStyle name="Input 19 2 3 2 5 4" xfId="38185" xr:uid="{00000000-0005-0000-0000-0000E7560000}"/>
    <cellStyle name="Input 19 2 3 2 6" xfId="21432" xr:uid="{00000000-0005-0000-0000-0000E8560000}"/>
    <cellStyle name="Input 19 2 3 2 6 2" xfId="46969" xr:uid="{00000000-0005-0000-0000-0000E9560000}"/>
    <cellStyle name="Input 19 2 3 2 6 3" xfId="50875" xr:uid="{00000000-0005-0000-0000-0000EA560000}"/>
    <cellStyle name="Input 19 2 3 2 7" xfId="40772" xr:uid="{00000000-0005-0000-0000-0000EB560000}"/>
    <cellStyle name="Input 19 2 3 2 8" xfId="40391" xr:uid="{00000000-0005-0000-0000-0000EC560000}"/>
    <cellStyle name="Input 19 2 3 3" xfId="10868" xr:uid="{00000000-0005-0000-0000-0000ED560000}"/>
    <cellStyle name="Input 19 2 3 3 2" xfId="18661" xr:uid="{00000000-0005-0000-0000-0000EE560000}"/>
    <cellStyle name="Input 19 2 3 3 2 2" xfId="44208" xr:uid="{00000000-0005-0000-0000-0000EF560000}"/>
    <cellStyle name="Input 19 2 3 3 2 3" xfId="48117" xr:uid="{00000000-0005-0000-0000-0000F0560000}"/>
    <cellStyle name="Input 19 2 3 3 2 4" xfId="36298" xr:uid="{00000000-0005-0000-0000-0000F1560000}"/>
    <cellStyle name="Input 19 2 3 3 3" xfId="12171" xr:uid="{00000000-0005-0000-0000-0000F2560000}"/>
    <cellStyle name="Input 19 2 3 3 3 2" xfId="41916" xr:uid="{00000000-0005-0000-0000-0000F3560000}"/>
    <cellStyle name="Input 19 2 3 3 3 3" xfId="40197" xr:uid="{00000000-0005-0000-0000-0000F4560000}"/>
    <cellStyle name="Input 19 2 3 3 3 4" xfId="29843" xr:uid="{00000000-0005-0000-0000-0000F5560000}"/>
    <cellStyle name="Input 19 2 3 3 4" xfId="11756" xr:uid="{00000000-0005-0000-0000-0000F6560000}"/>
    <cellStyle name="Input 19 2 3 3 4 2" xfId="41733" xr:uid="{00000000-0005-0000-0000-0000F7560000}"/>
    <cellStyle name="Input 19 2 3 3 4 3" xfId="47473" xr:uid="{00000000-0005-0000-0000-0000F8560000}"/>
    <cellStyle name="Input 19 2 3 3 4 4" xfId="29443" xr:uid="{00000000-0005-0000-0000-0000F9560000}"/>
    <cellStyle name="Input 19 2 3 3 5" xfId="21074" xr:uid="{00000000-0005-0000-0000-0000FA560000}"/>
    <cellStyle name="Input 19 2 3 3 5 2" xfId="46611" xr:uid="{00000000-0005-0000-0000-0000FB560000}"/>
    <cellStyle name="Input 19 2 3 3 5 3" xfId="50517" xr:uid="{00000000-0005-0000-0000-0000FC560000}"/>
    <cellStyle name="Input 19 2 3 3 5 4" xfId="38480" xr:uid="{00000000-0005-0000-0000-0000FD560000}"/>
    <cellStyle name="Input 19 2 3 3 6" xfId="21727" xr:uid="{00000000-0005-0000-0000-0000FE560000}"/>
    <cellStyle name="Input 19 2 3 3 6 2" xfId="47264" xr:uid="{00000000-0005-0000-0000-0000FF560000}"/>
    <cellStyle name="Input 19 2 3 3 6 3" xfId="51170" xr:uid="{00000000-0005-0000-0000-000000570000}"/>
    <cellStyle name="Input 19 2 3 3 7" xfId="41067" xr:uid="{00000000-0005-0000-0000-000001570000}"/>
    <cellStyle name="Input 19 2 3 3 8" xfId="40587" xr:uid="{00000000-0005-0000-0000-000002570000}"/>
    <cellStyle name="Input 19 2 3 4" xfId="14831" xr:uid="{00000000-0005-0000-0000-000003570000}"/>
    <cellStyle name="Input 19 2 3 4 2" xfId="42947" xr:uid="{00000000-0005-0000-0000-000004570000}"/>
    <cellStyle name="Input 19 2 3 4 3" xfId="42543" xr:uid="{00000000-0005-0000-0000-000005570000}"/>
    <cellStyle name="Input 19 2 3 4 4" xfId="32466" xr:uid="{00000000-0005-0000-0000-000006570000}"/>
    <cellStyle name="Input 19 2 3 5" xfId="11291" xr:uid="{00000000-0005-0000-0000-000007570000}"/>
    <cellStyle name="Input 19 2 3 5 2" xfId="41338" xr:uid="{00000000-0005-0000-0000-000008570000}"/>
    <cellStyle name="Input 19 2 3 5 3" xfId="39580" xr:uid="{00000000-0005-0000-0000-000009570000}"/>
    <cellStyle name="Input 19 2 3 5 4" xfId="29019" xr:uid="{00000000-0005-0000-0000-00000A570000}"/>
    <cellStyle name="Input 19 2 3 6" xfId="19167" xr:uid="{00000000-0005-0000-0000-00000B570000}"/>
    <cellStyle name="Input 19 2 3 6 2" xfId="44704" xr:uid="{00000000-0005-0000-0000-00000C570000}"/>
    <cellStyle name="Input 19 2 3 6 3" xfId="48610" xr:uid="{00000000-0005-0000-0000-00000D570000}"/>
    <cellStyle name="Input 19 2 3 6 4" xfId="36759" xr:uid="{00000000-0005-0000-0000-00000E570000}"/>
    <cellStyle name="Input 19 2 3 7" xfId="11175" xr:uid="{00000000-0005-0000-0000-00000F570000}"/>
    <cellStyle name="Input 19 2 3 7 2" xfId="41298" xr:uid="{00000000-0005-0000-0000-000010570000}"/>
    <cellStyle name="Input 19 2 3 7 3" xfId="42829" xr:uid="{00000000-0005-0000-0000-000011570000}"/>
    <cellStyle name="Input 19 2 3 7 4" xfId="28903" xr:uid="{00000000-0005-0000-0000-000012570000}"/>
    <cellStyle name="Input 19 2 3 8" xfId="11643" xr:uid="{00000000-0005-0000-0000-000013570000}"/>
    <cellStyle name="Input 19 2 3 8 2" xfId="41654" xr:uid="{00000000-0005-0000-0000-000014570000}"/>
    <cellStyle name="Input 19 2 3 8 3" xfId="47577" xr:uid="{00000000-0005-0000-0000-000015570000}"/>
    <cellStyle name="Input 19 2 3 9" xfId="39807" xr:uid="{00000000-0005-0000-0000-000016570000}"/>
    <cellStyle name="Input 19 2 4" xfId="22443" xr:uid="{00000000-0005-0000-0000-000017570000}"/>
    <cellStyle name="Input 19 2 5" xfId="53038" xr:uid="{00000000-0005-0000-0000-000018570000}"/>
    <cellStyle name="Input 19 2_Sheet1" xfId="1854" xr:uid="{00000000-0005-0000-0000-000019570000}"/>
    <cellStyle name="Input 19 3" xfId="1855" xr:uid="{00000000-0005-0000-0000-00001A570000}"/>
    <cellStyle name="Input 19 3 2" xfId="7045" xr:uid="{00000000-0005-0000-0000-00001B570000}"/>
    <cellStyle name="Input 19 3 2 10" xfId="40632" xr:uid="{00000000-0005-0000-0000-00001C570000}"/>
    <cellStyle name="Input 19 3 2 2" xfId="10575" xr:uid="{00000000-0005-0000-0000-00001D570000}"/>
    <cellStyle name="Input 19 3 2 2 2" xfId="18368" xr:uid="{00000000-0005-0000-0000-00001E570000}"/>
    <cellStyle name="Input 19 3 2 2 2 2" xfId="43915" xr:uid="{00000000-0005-0000-0000-00001F570000}"/>
    <cellStyle name="Input 19 3 2 2 2 3" xfId="47824" xr:uid="{00000000-0005-0000-0000-000020570000}"/>
    <cellStyle name="Input 19 3 2 2 2 4" xfId="36005" xr:uid="{00000000-0005-0000-0000-000021570000}"/>
    <cellStyle name="Input 19 3 2 2 3" xfId="19756" xr:uid="{00000000-0005-0000-0000-000022570000}"/>
    <cellStyle name="Input 19 3 2 2 3 2" xfId="45293" xr:uid="{00000000-0005-0000-0000-000023570000}"/>
    <cellStyle name="Input 19 3 2 2 3 3" xfId="49199" xr:uid="{00000000-0005-0000-0000-000024570000}"/>
    <cellStyle name="Input 19 3 2 2 3 4" xfId="37283" xr:uid="{00000000-0005-0000-0000-000025570000}"/>
    <cellStyle name="Input 19 3 2 2 4" xfId="19260" xr:uid="{00000000-0005-0000-0000-000026570000}"/>
    <cellStyle name="Input 19 3 2 2 4 2" xfId="44797" xr:uid="{00000000-0005-0000-0000-000027570000}"/>
    <cellStyle name="Input 19 3 2 2 4 3" xfId="48703" xr:uid="{00000000-0005-0000-0000-000028570000}"/>
    <cellStyle name="Input 19 3 2 2 4 4" xfId="36838" xr:uid="{00000000-0005-0000-0000-000029570000}"/>
    <cellStyle name="Input 19 3 2 2 5" xfId="20781" xr:uid="{00000000-0005-0000-0000-00002A570000}"/>
    <cellStyle name="Input 19 3 2 2 5 2" xfId="46318" xr:uid="{00000000-0005-0000-0000-00002B570000}"/>
    <cellStyle name="Input 19 3 2 2 5 3" xfId="50224" xr:uid="{00000000-0005-0000-0000-00002C570000}"/>
    <cellStyle name="Input 19 3 2 2 5 4" xfId="38187" xr:uid="{00000000-0005-0000-0000-00002D570000}"/>
    <cellStyle name="Input 19 3 2 2 6" xfId="21434" xr:uid="{00000000-0005-0000-0000-00002E570000}"/>
    <cellStyle name="Input 19 3 2 2 6 2" xfId="46971" xr:uid="{00000000-0005-0000-0000-00002F570000}"/>
    <cellStyle name="Input 19 3 2 2 6 3" xfId="50877" xr:uid="{00000000-0005-0000-0000-000030570000}"/>
    <cellStyle name="Input 19 3 2 2 7" xfId="40774" xr:uid="{00000000-0005-0000-0000-000031570000}"/>
    <cellStyle name="Input 19 3 2 2 8" xfId="39398" xr:uid="{00000000-0005-0000-0000-000032570000}"/>
    <cellStyle name="Input 19 3 2 3" xfId="10870" xr:uid="{00000000-0005-0000-0000-000033570000}"/>
    <cellStyle name="Input 19 3 2 3 2" xfId="18663" xr:uid="{00000000-0005-0000-0000-000034570000}"/>
    <cellStyle name="Input 19 3 2 3 2 2" xfId="44210" xr:uid="{00000000-0005-0000-0000-000035570000}"/>
    <cellStyle name="Input 19 3 2 3 2 3" xfId="48119" xr:uid="{00000000-0005-0000-0000-000036570000}"/>
    <cellStyle name="Input 19 3 2 3 2 4" xfId="36300" xr:uid="{00000000-0005-0000-0000-000037570000}"/>
    <cellStyle name="Input 19 3 2 3 3" xfId="12640" xr:uid="{00000000-0005-0000-0000-000038570000}"/>
    <cellStyle name="Input 19 3 2 3 3 2" xfId="42119" xr:uid="{00000000-0005-0000-0000-000039570000}"/>
    <cellStyle name="Input 19 3 2 3 3 3" xfId="41981" xr:uid="{00000000-0005-0000-0000-00003A570000}"/>
    <cellStyle name="Input 19 3 2 3 3 4" xfId="30305" xr:uid="{00000000-0005-0000-0000-00003B570000}"/>
    <cellStyle name="Input 19 3 2 3 4" xfId="19849" xr:uid="{00000000-0005-0000-0000-00003C570000}"/>
    <cellStyle name="Input 19 3 2 3 4 2" xfId="45386" xr:uid="{00000000-0005-0000-0000-00003D570000}"/>
    <cellStyle name="Input 19 3 2 3 4 3" xfId="49292" xr:uid="{00000000-0005-0000-0000-00003E570000}"/>
    <cellStyle name="Input 19 3 2 3 4 4" xfId="37365" xr:uid="{00000000-0005-0000-0000-00003F570000}"/>
    <cellStyle name="Input 19 3 2 3 5" xfId="21076" xr:uid="{00000000-0005-0000-0000-000040570000}"/>
    <cellStyle name="Input 19 3 2 3 5 2" xfId="46613" xr:uid="{00000000-0005-0000-0000-000041570000}"/>
    <cellStyle name="Input 19 3 2 3 5 3" xfId="50519" xr:uid="{00000000-0005-0000-0000-000042570000}"/>
    <cellStyle name="Input 19 3 2 3 5 4" xfId="38482" xr:uid="{00000000-0005-0000-0000-000043570000}"/>
    <cellStyle name="Input 19 3 2 3 6" xfId="21729" xr:uid="{00000000-0005-0000-0000-000044570000}"/>
    <cellStyle name="Input 19 3 2 3 6 2" xfId="47266" xr:uid="{00000000-0005-0000-0000-000045570000}"/>
    <cellStyle name="Input 19 3 2 3 6 3" xfId="51172" xr:uid="{00000000-0005-0000-0000-000046570000}"/>
    <cellStyle name="Input 19 3 2 3 7" xfId="41069" xr:uid="{00000000-0005-0000-0000-000047570000}"/>
    <cellStyle name="Input 19 3 2 3 8" xfId="42735" xr:uid="{00000000-0005-0000-0000-000048570000}"/>
    <cellStyle name="Input 19 3 2 4" xfId="14833" xr:uid="{00000000-0005-0000-0000-000049570000}"/>
    <cellStyle name="Input 19 3 2 4 2" xfId="42949" xr:uid="{00000000-0005-0000-0000-00004A570000}"/>
    <cellStyle name="Input 19 3 2 4 3" xfId="40316" xr:uid="{00000000-0005-0000-0000-00004B570000}"/>
    <cellStyle name="Input 19 3 2 4 4" xfId="32468" xr:uid="{00000000-0005-0000-0000-00004C570000}"/>
    <cellStyle name="Input 19 3 2 5" xfId="13102" xr:uid="{00000000-0005-0000-0000-00004D570000}"/>
    <cellStyle name="Input 19 3 2 5 2" xfId="42323" xr:uid="{00000000-0005-0000-0000-00004E570000}"/>
    <cellStyle name="Input 19 3 2 5 3" xfId="43195" xr:uid="{00000000-0005-0000-0000-00004F570000}"/>
    <cellStyle name="Input 19 3 2 5 4" xfId="30751" xr:uid="{00000000-0005-0000-0000-000050570000}"/>
    <cellStyle name="Input 19 3 2 6" xfId="19941" xr:uid="{00000000-0005-0000-0000-000051570000}"/>
    <cellStyle name="Input 19 3 2 6 2" xfId="45478" xr:uid="{00000000-0005-0000-0000-000052570000}"/>
    <cellStyle name="Input 19 3 2 6 3" xfId="49384" xr:uid="{00000000-0005-0000-0000-000053570000}"/>
    <cellStyle name="Input 19 3 2 6 4" xfId="37450" xr:uid="{00000000-0005-0000-0000-000054570000}"/>
    <cellStyle name="Input 19 3 2 7" xfId="11728" xr:uid="{00000000-0005-0000-0000-000055570000}"/>
    <cellStyle name="Input 19 3 2 7 2" xfId="41715" xr:uid="{00000000-0005-0000-0000-000056570000}"/>
    <cellStyle name="Input 19 3 2 7 3" xfId="39345" xr:uid="{00000000-0005-0000-0000-000057570000}"/>
    <cellStyle name="Input 19 3 2 7 4" xfId="29415" xr:uid="{00000000-0005-0000-0000-000058570000}"/>
    <cellStyle name="Input 19 3 2 8" xfId="11678" xr:uid="{00000000-0005-0000-0000-000059570000}"/>
    <cellStyle name="Input 19 3 2 8 2" xfId="41689" xr:uid="{00000000-0005-0000-0000-00005A570000}"/>
    <cellStyle name="Input 19 3 2 8 3" xfId="40350" xr:uid="{00000000-0005-0000-0000-00005B570000}"/>
    <cellStyle name="Input 19 3 2 9" xfId="39809" xr:uid="{00000000-0005-0000-0000-00005C570000}"/>
    <cellStyle name="Input 19 3 3" xfId="53041" xr:uid="{00000000-0005-0000-0000-00005D570000}"/>
    <cellStyle name="Input 19 4" xfId="7042" xr:uid="{00000000-0005-0000-0000-00005E570000}"/>
    <cellStyle name="Input 19 4 10" xfId="40137" xr:uid="{00000000-0005-0000-0000-00005F570000}"/>
    <cellStyle name="Input 19 4 11" xfId="53042" xr:uid="{00000000-0005-0000-0000-000060570000}"/>
    <cellStyle name="Input 19 4 2" xfId="10572" xr:uid="{00000000-0005-0000-0000-000061570000}"/>
    <cellStyle name="Input 19 4 2 2" xfId="18365" xr:uid="{00000000-0005-0000-0000-000062570000}"/>
    <cellStyle name="Input 19 4 2 2 2" xfId="43912" xr:uid="{00000000-0005-0000-0000-000063570000}"/>
    <cellStyle name="Input 19 4 2 2 3" xfId="47821" xr:uid="{00000000-0005-0000-0000-000064570000}"/>
    <cellStyle name="Input 19 4 2 2 4" xfId="36002" xr:uid="{00000000-0005-0000-0000-000065570000}"/>
    <cellStyle name="Input 19 4 2 3" xfId="19302" xr:uid="{00000000-0005-0000-0000-000066570000}"/>
    <cellStyle name="Input 19 4 2 3 2" xfId="44839" xr:uid="{00000000-0005-0000-0000-000067570000}"/>
    <cellStyle name="Input 19 4 2 3 3" xfId="48745" xr:uid="{00000000-0005-0000-0000-000068570000}"/>
    <cellStyle name="Input 19 4 2 3 4" xfId="36880" xr:uid="{00000000-0005-0000-0000-000069570000}"/>
    <cellStyle name="Input 19 4 2 4" xfId="19998" xr:uid="{00000000-0005-0000-0000-00006A570000}"/>
    <cellStyle name="Input 19 4 2 4 2" xfId="45535" xr:uid="{00000000-0005-0000-0000-00006B570000}"/>
    <cellStyle name="Input 19 4 2 4 3" xfId="49441" xr:uid="{00000000-0005-0000-0000-00006C570000}"/>
    <cellStyle name="Input 19 4 2 4 4" xfId="37496" xr:uid="{00000000-0005-0000-0000-00006D570000}"/>
    <cellStyle name="Input 19 4 2 5" xfId="20778" xr:uid="{00000000-0005-0000-0000-00006E570000}"/>
    <cellStyle name="Input 19 4 2 5 2" xfId="46315" xr:uid="{00000000-0005-0000-0000-00006F570000}"/>
    <cellStyle name="Input 19 4 2 5 3" xfId="50221" xr:uid="{00000000-0005-0000-0000-000070570000}"/>
    <cellStyle name="Input 19 4 2 5 4" xfId="38184" xr:uid="{00000000-0005-0000-0000-000071570000}"/>
    <cellStyle name="Input 19 4 2 6" xfId="21431" xr:uid="{00000000-0005-0000-0000-000072570000}"/>
    <cellStyle name="Input 19 4 2 6 2" xfId="46968" xr:uid="{00000000-0005-0000-0000-000073570000}"/>
    <cellStyle name="Input 19 4 2 6 3" xfId="50874" xr:uid="{00000000-0005-0000-0000-000074570000}"/>
    <cellStyle name="Input 19 4 2 7" xfId="40771" xr:uid="{00000000-0005-0000-0000-000075570000}"/>
    <cellStyle name="Input 19 4 2 8" xfId="43528" xr:uid="{00000000-0005-0000-0000-000076570000}"/>
    <cellStyle name="Input 19 4 3" xfId="10867" xr:uid="{00000000-0005-0000-0000-000077570000}"/>
    <cellStyle name="Input 19 4 3 2" xfId="18660" xr:uid="{00000000-0005-0000-0000-000078570000}"/>
    <cellStyle name="Input 19 4 3 2 2" xfId="44207" xr:uid="{00000000-0005-0000-0000-000079570000}"/>
    <cellStyle name="Input 19 4 3 2 3" xfId="48116" xr:uid="{00000000-0005-0000-0000-00007A570000}"/>
    <cellStyle name="Input 19 4 3 2 4" xfId="36297" xr:uid="{00000000-0005-0000-0000-00007B570000}"/>
    <cellStyle name="Input 19 4 3 3" xfId="13338" xr:uid="{00000000-0005-0000-0000-00007C570000}"/>
    <cellStyle name="Input 19 4 3 3 2" xfId="42508" xr:uid="{00000000-0005-0000-0000-00007D570000}"/>
    <cellStyle name="Input 19 4 3 3 3" xfId="39647" xr:uid="{00000000-0005-0000-0000-00007E570000}"/>
    <cellStyle name="Input 19 4 3 3 4" xfId="30978" xr:uid="{00000000-0005-0000-0000-00007F570000}"/>
    <cellStyle name="Input 19 4 3 4" xfId="11612" xr:uid="{00000000-0005-0000-0000-000080570000}"/>
    <cellStyle name="Input 19 4 3 4 2" xfId="41623" xr:uid="{00000000-0005-0000-0000-000081570000}"/>
    <cellStyle name="Input 19 4 3 4 3" xfId="41391" xr:uid="{00000000-0005-0000-0000-000082570000}"/>
    <cellStyle name="Input 19 4 3 4 4" xfId="29315" xr:uid="{00000000-0005-0000-0000-000083570000}"/>
    <cellStyle name="Input 19 4 3 5" xfId="21073" xr:uid="{00000000-0005-0000-0000-000084570000}"/>
    <cellStyle name="Input 19 4 3 5 2" xfId="46610" xr:uid="{00000000-0005-0000-0000-000085570000}"/>
    <cellStyle name="Input 19 4 3 5 3" xfId="50516" xr:uid="{00000000-0005-0000-0000-000086570000}"/>
    <cellStyle name="Input 19 4 3 5 4" xfId="38479" xr:uid="{00000000-0005-0000-0000-000087570000}"/>
    <cellStyle name="Input 19 4 3 6" xfId="21726" xr:uid="{00000000-0005-0000-0000-000088570000}"/>
    <cellStyle name="Input 19 4 3 6 2" xfId="47263" xr:uid="{00000000-0005-0000-0000-000089570000}"/>
    <cellStyle name="Input 19 4 3 6 3" xfId="51169" xr:uid="{00000000-0005-0000-0000-00008A570000}"/>
    <cellStyle name="Input 19 4 3 7" xfId="41066" xr:uid="{00000000-0005-0000-0000-00008B570000}"/>
    <cellStyle name="Input 19 4 3 8" xfId="43728" xr:uid="{00000000-0005-0000-0000-00008C570000}"/>
    <cellStyle name="Input 19 4 4" xfId="14830" xr:uid="{00000000-0005-0000-0000-00008D570000}"/>
    <cellStyle name="Input 19 4 4 2" xfId="42946" xr:uid="{00000000-0005-0000-0000-00008E570000}"/>
    <cellStyle name="Input 19 4 4 3" xfId="39533" xr:uid="{00000000-0005-0000-0000-00008F570000}"/>
    <cellStyle name="Input 19 4 4 4" xfId="32465" xr:uid="{00000000-0005-0000-0000-000090570000}"/>
    <cellStyle name="Input 19 4 5" xfId="12472" xr:uid="{00000000-0005-0000-0000-000091570000}"/>
    <cellStyle name="Input 19 4 5 2" xfId="41993" xr:uid="{00000000-0005-0000-0000-000092570000}"/>
    <cellStyle name="Input 19 4 5 3" xfId="39114" xr:uid="{00000000-0005-0000-0000-000093570000}"/>
    <cellStyle name="Input 19 4 5 4" xfId="30143" xr:uid="{00000000-0005-0000-0000-000094570000}"/>
    <cellStyle name="Input 19 4 6" xfId="20280" xr:uid="{00000000-0005-0000-0000-000095570000}"/>
    <cellStyle name="Input 19 4 6 2" xfId="45817" xr:uid="{00000000-0005-0000-0000-000096570000}"/>
    <cellStyle name="Input 19 4 6 3" xfId="49723" xr:uid="{00000000-0005-0000-0000-000097570000}"/>
    <cellStyle name="Input 19 4 6 4" xfId="37748" xr:uid="{00000000-0005-0000-0000-000098570000}"/>
    <cellStyle name="Input 19 4 7" xfId="20511" xr:uid="{00000000-0005-0000-0000-000099570000}"/>
    <cellStyle name="Input 19 4 7 2" xfId="46048" xr:uid="{00000000-0005-0000-0000-00009A570000}"/>
    <cellStyle name="Input 19 4 7 3" xfId="49954" xr:uid="{00000000-0005-0000-0000-00009B570000}"/>
    <cellStyle name="Input 19 4 7 4" xfId="37947" xr:uid="{00000000-0005-0000-0000-00009C570000}"/>
    <cellStyle name="Input 19 4 8" xfId="12093" xr:uid="{00000000-0005-0000-0000-00009D570000}"/>
    <cellStyle name="Input 19 4 8 2" xfId="41838" xr:uid="{00000000-0005-0000-0000-00009E570000}"/>
    <cellStyle name="Input 19 4 8 3" xfId="39139" xr:uid="{00000000-0005-0000-0000-00009F570000}"/>
    <cellStyle name="Input 19 4 9" xfId="39806" xr:uid="{00000000-0005-0000-0000-0000A0570000}"/>
    <cellStyle name="Input 19 5" xfId="22442" xr:uid="{00000000-0005-0000-0000-0000A1570000}"/>
    <cellStyle name="Input 19 6" xfId="53037" xr:uid="{00000000-0005-0000-0000-0000A2570000}"/>
    <cellStyle name="Input 19_Sheet1" xfId="1856" xr:uid="{00000000-0005-0000-0000-0000A3570000}"/>
    <cellStyle name="Input 2" xfId="106" xr:uid="{00000000-0005-0000-0000-0000A4570000}"/>
    <cellStyle name="Input 2 10" xfId="1858" xr:uid="{00000000-0005-0000-0000-0000A5570000}"/>
    <cellStyle name="Input 2 10 2" xfId="7047" xr:uid="{00000000-0005-0000-0000-0000A6570000}"/>
    <cellStyle name="Input 2 10 2 10" xfId="42766" xr:uid="{00000000-0005-0000-0000-0000A7570000}"/>
    <cellStyle name="Input 2 10 2 2" xfId="10577" xr:uid="{00000000-0005-0000-0000-0000A8570000}"/>
    <cellStyle name="Input 2 10 2 2 2" xfId="18370" xr:uid="{00000000-0005-0000-0000-0000A9570000}"/>
    <cellStyle name="Input 2 10 2 2 2 2" xfId="43917" xr:uid="{00000000-0005-0000-0000-0000AA570000}"/>
    <cellStyle name="Input 2 10 2 2 2 3" xfId="47826" xr:uid="{00000000-0005-0000-0000-0000AB570000}"/>
    <cellStyle name="Input 2 10 2 2 2 4" xfId="36007" xr:uid="{00000000-0005-0000-0000-0000AC570000}"/>
    <cellStyle name="Input 2 10 2 2 3" xfId="13324" xr:uid="{00000000-0005-0000-0000-0000AD570000}"/>
    <cellStyle name="Input 2 10 2 2 3 2" xfId="42494" xr:uid="{00000000-0005-0000-0000-0000AE570000}"/>
    <cellStyle name="Input 2 10 2 2 3 3" xfId="43572" xr:uid="{00000000-0005-0000-0000-0000AF570000}"/>
    <cellStyle name="Input 2 10 2 2 3 4" xfId="30964" xr:uid="{00000000-0005-0000-0000-0000B0570000}"/>
    <cellStyle name="Input 2 10 2 2 4" xfId="11611" xr:uid="{00000000-0005-0000-0000-0000B1570000}"/>
    <cellStyle name="Input 2 10 2 2 4 2" xfId="41622" xr:uid="{00000000-0005-0000-0000-0000B2570000}"/>
    <cellStyle name="Input 2 10 2 2 4 3" xfId="47512" xr:uid="{00000000-0005-0000-0000-0000B3570000}"/>
    <cellStyle name="Input 2 10 2 2 4 4" xfId="29314" xr:uid="{00000000-0005-0000-0000-0000B4570000}"/>
    <cellStyle name="Input 2 10 2 2 5" xfId="20783" xr:uid="{00000000-0005-0000-0000-0000B5570000}"/>
    <cellStyle name="Input 2 10 2 2 5 2" xfId="46320" xr:uid="{00000000-0005-0000-0000-0000B6570000}"/>
    <cellStyle name="Input 2 10 2 2 5 3" xfId="50226" xr:uid="{00000000-0005-0000-0000-0000B7570000}"/>
    <cellStyle name="Input 2 10 2 2 5 4" xfId="38189" xr:uid="{00000000-0005-0000-0000-0000B8570000}"/>
    <cellStyle name="Input 2 10 2 2 6" xfId="21436" xr:uid="{00000000-0005-0000-0000-0000B9570000}"/>
    <cellStyle name="Input 2 10 2 2 6 2" xfId="46973" xr:uid="{00000000-0005-0000-0000-0000BA570000}"/>
    <cellStyle name="Input 2 10 2 2 6 3" xfId="50879" xr:uid="{00000000-0005-0000-0000-0000BB570000}"/>
    <cellStyle name="Input 2 10 2 2 7" xfId="40776" xr:uid="{00000000-0005-0000-0000-0000BC570000}"/>
    <cellStyle name="Input 2 10 2 2 8" xfId="43245" xr:uid="{00000000-0005-0000-0000-0000BD570000}"/>
    <cellStyle name="Input 2 10 2 3" xfId="10872" xr:uid="{00000000-0005-0000-0000-0000BE570000}"/>
    <cellStyle name="Input 2 10 2 3 2" xfId="18665" xr:uid="{00000000-0005-0000-0000-0000BF570000}"/>
    <cellStyle name="Input 2 10 2 3 2 2" xfId="44212" xr:uid="{00000000-0005-0000-0000-0000C0570000}"/>
    <cellStyle name="Input 2 10 2 3 2 3" xfId="48121" xr:uid="{00000000-0005-0000-0000-0000C1570000}"/>
    <cellStyle name="Input 2 10 2 3 2 4" xfId="36302" xr:uid="{00000000-0005-0000-0000-0000C2570000}"/>
    <cellStyle name="Input 2 10 2 3 3" xfId="11520" xr:uid="{00000000-0005-0000-0000-0000C3570000}"/>
    <cellStyle name="Input 2 10 2 3 3 2" xfId="41531" xr:uid="{00000000-0005-0000-0000-0000C4570000}"/>
    <cellStyle name="Input 2 10 2 3 3 3" xfId="40568" xr:uid="{00000000-0005-0000-0000-0000C5570000}"/>
    <cellStyle name="Input 2 10 2 3 3 4" xfId="29235" xr:uid="{00000000-0005-0000-0000-0000C6570000}"/>
    <cellStyle name="Input 2 10 2 3 4" xfId="19534" xr:uid="{00000000-0005-0000-0000-0000C7570000}"/>
    <cellStyle name="Input 2 10 2 3 4 2" xfId="45071" xr:uid="{00000000-0005-0000-0000-0000C8570000}"/>
    <cellStyle name="Input 2 10 2 3 4 3" xfId="48977" xr:uid="{00000000-0005-0000-0000-0000C9570000}"/>
    <cellStyle name="Input 2 10 2 3 4 4" xfId="37081" xr:uid="{00000000-0005-0000-0000-0000CA570000}"/>
    <cellStyle name="Input 2 10 2 3 5" xfId="21078" xr:uid="{00000000-0005-0000-0000-0000CB570000}"/>
    <cellStyle name="Input 2 10 2 3 5 2" xfId="46615" xr:uid="{00000000-0005-0000-0000-0000CC570000}"/>
    <cellStyle name="Input 2 10 2 3 5 3" xfId="50521" xr:uid="{00000000-0005-0000-0000-0000CD570000}"/>
    <cellStyle name="Input 2 10 2 3 5 4" xfId="38484" xr:uid="{00000000-0005-0000-0000-0000CE570000}"/>
    <cellStyle name="Input 2 10 2 3 6" xfId="21731" xr:uid="{00000000-0005-0000-0000-0000CF570000}"/>
    <cellStyle name="Input 2 10 2 3 6 2" xfId="47268" xr:uid="{00000000-0005-0000-0000-0000D0570000}"/>
    <cellStyle name="Input 2 10 2 3 6 3" xfId="51174" xr:uid="{00000000-0005-0000-0000-0000D1570000}"/>
    <cellStyle name="Input 2 10 2 3 7" xfId="41071" xr:uid="{00000000-0005-0000-0000-0000D2570000}"/>
    <cellStyle name="Input 2 10 2 3 8" xfId="40482" xr:uid="{00000000-0005-0000-0000-0000D3570000}"/>
    <cellStyle name="Input 2 10 2 4" xfId="14835" xr:uid="{00000000-0005-0000-0000-0000D4570000}"/>
    <cellStyle name="Input 2 10 2 4 2" xfId="42951" xr:uid="{00000000-0005-0000-0000-0000D5570000}"/>
    <cellStyle name="Input 2 10 2 4 3" xfId="41948" xr:uid="{00000000-0005-0000-0000-0000D6570000}"/>
    <cellStyle name="Input 2 10 2 4 4" xfId="32470" xr:uid="{00000000-0005-0000-0000-0000D7570000}"/>
    <cellStyle name="Input 2 10 2 5" xfId="13104" xr:uid="{00000000-0005-0000-0000-0000D8570000}"/>
    <cellStyle name="Input 2 10 2 5 2" xfId="42325" xr:uid="{00000000-0005-0000-0000-0000D9570000}"/>
    <cellStyle name="Input 2 10 2 5 3" xfId="42796" xr:uid="{00000000-0005-0000-0000-0000DA570000}"/>
    <cellStyle name="Input 2 10 2 5 4" xfId="30753" xr:uid="{00000000-0005-0000-0000-0000DB570000}"/>
    <cellStyle name="Input 2 10 2 6" xfId="19934" xr:uid="{00000000-0005-0000-0000-0000DC570000}"/>
    <cellStyle name="Input 2 10 2 6 2" xfId="45471" xr:uid="{00000000-0005-0000-0000-0000DD570000}"/>
    <cellStyle name="Input 2 10 2 6 3" xfId="49377" xr:uid="{00000000-0005-0000-0000-0000DE570000}"/>
    <cellStyle name="Input 2 10 2 6 4" xfId="37445" xr:uid="{00000000-0005-0000-0000-0000DF570000}"/>
    <cellStyle name="Input 2 10 2 7" xfId="18891" xr:uid="{00000000-0005-0000-0000-0000E0570000}"/>
    <cellStyle name="Input 2 10 2 7 2" xfId="44428" xr:uid="{00000000-0005-0000-0000-0000E1570000}"/>
    <cellStyle name="Input 2 10 2 7 3" xfId="48334" xr:uid="{00000000-0005-0000-0000-0000E2570000}"/>
    <cellStyle name="Input 2 10 2 7 4" xfId="36527" xr:uid="{00000000-0005-0000-0000-0000E3570000}"/>
    <cellStyle name="Input 2 10 2 8" xfId="19945" xr:uid="{00000000-0005-0000-0000-0000E4570000}"/>
    <cellStyle name="Input 2 10 2 8 2" xfId="45482" xr:uid="{00000000-0005-0000-0000-0000E5570000}"/>
    <cellStyle name="Input 2 10 2 8 3" xfId="49388" xr:uid="{00000000-0005-0000-0000-0000E6570000}"/>
    <cellStyle name="Input 2 10 2 9" xfId="39811" xr:uid="{00000000-0005-0000-0000-0000E7570000}"/>
    <cellStyle name="Input 2 10 3" xfId="53044" xr:uid="{00000000-0005-0000-0000-0000E8570000}"/>
    <cellStyle name="Input 2 11" xfId="1859" xr:uid="{00000000-0005-0000-0000-0000E9570000}"/>
    <cellStyle name="Input 2 11 2" xfId="7048" xr:uid="{00000000-0005-0000-0000-0000EA570000}"/>
    <cellStyle name="Input 2 11 2 10" xfId="43654" xr:uid="{00000000-0005-0000-0000-0000EB570000}"/>
    <cellStyle name="Input 2 11 2 2" xfId="10578" xr:uid="{00000000-0005-0000-0000-0000EC570000}"/>
    <cellStyle name="Input 2 11 2 2 2" xfId="18371" xr:uid="{00000000-0005-0000-0000-0000ED570000}"/>
    <cellStyle name="Input 2 11 2 2 2 2" xfId="43918" xr:uid="{00000000-0005-0000-0000-0000EE570000}"/>
    <cellStyle name="Input 2 11 2 2 2 3" xfId="47827" xr:uid="{00000000-0005-0000-0000-0000EF570000}"/>
    <cellStyle name="Input 2 11 2 2 2 4" xfId="36008" xr:uid="{00000000-0005-0000-0000-0000F0570000}"/>
    <cellStyle name="Input 2 11 2 2 3" xfId="19755" xr:uid="{00000000-0005-0000-0000-0000F1570000}"/>
    <cellStyle name="Input 2 11 2 2 3 2" xfId="45292" xr:uid="{00000000-0005-0000-0000-0000F2570000}"/>
    <cellStyle name="Input 2 11 2 2 3 3" xfId="49198" xr:uid="{00000000-0005-0000-0000-0000F3570000}"/>
    <cellStyle name="Input 2 11 2 2 3 4" xfId="37282" xr:uid="{00000000-0005-0000-0000-0000F4570000}"/>
    <cellStyle name="Input 2 11 2 2 4" xfId="19066" xr:uid="{00000000-0005-0000-0000-0000F5570000}"/>
    <cellStyle name="Input 2 11 2 2 4 2" xfId="44603" xr:uid="{00000000-0005-0000-0000-0000F6570000}"/>
    <cellStyle name="Input 2 11 2 2 4 3" xfId="48509" xr:uid="{00000000-0005-0000-0000-0000F7570000}"/>
    <cellStyle name="Input 2 11 2 2 4 4" xfId="36665" xr:uid="{00000000-0005-0000-0000-0000F8570000}"/>
    <cellStyle name="Input 2 11 2 2 5" xfId="20784" xr:uid="{00000000-0005-0000-0000-0000F9570000}"/>
    <cellStyle name="Input 2 11 2 2 5 2" xfId="46321" xr:uid="{00000000-0005-0000-0000-0000FA570000}"/>
    <cellStyle name="Input 2 11 2 2 5 3" xfId="50227" xr:uid="{00000000-0005-0000-0000-0000FB570000}"/>
    <cellStyle name="Input 2 11 2 2 5 4" xfId="38190" xr:uid="{00000000-0005-0000-0000-0000FC570000}"/>
    <cellStyle name="Input 2 11 2 2 6" xfId="21437" xr:uid="{00000000-0005-0000-0000-0000FD570000}"/>
    <cellStyle name="Input 2 11 2 2 6 2" xfId="46974" xr:uid="{00000000-0005-0000-0000-0000FE570000}"/>
    <cellStyle name="Input 2 11 2 2 6 3" xfId="50880" xr:uid="{00000000-0005-0000-0000-0000FF570000}"/>
    <cellStyle name="Input 2 11 2 2 7" xfId="40777" xr:uid="{00000000-0005-0000-0000-000000580000}"/>
    <cellStyle name="Input 2 11 2 2 8" xfId="40104" xr:uid="{00000000-0005-0000-0000-000001580000}"/>
    <cellStyle name="Input 2 11 2 3" xfId="10873" xr:uid="{00000000-0005-0000-0000-000002580000}"/>
    <cellStyle name="Input 2 11 2 3 2" xfId="18666" xr:uid="{00000000-0005-0000-0000-000003580000}"/>
    <cellStyle name="Input 2 11 2 3 2 2" xfId="44213" xr:uid="{00000000-0005-0000-0000-000004580000}"/>
    <cellStyle name="Input 2 11 2 3 2 3" xfId="48122" xr:uid="{00000000-0005-0000-0000-000005580000}"/>
    <cellStyle name="Input 2 11 2 3 2 4" xfId="36303" xr:uid="{00000000-0005-0000-0000-000006580000}"/>
    <cellStyle name="Input 2 11 2 3 3" xfId="12172" xr:uid="{00000000-0005-0000-0000-000007580000}"/>
    <cellStyle name="Input 2 11 2 3 3 2" xfId="41917" xr:uid="{00000000-0005-0000-0000-000008580000}"/>
    <cellStyle name="Input 2 11 2 3 3 3" xfId="39321" xr:uid="{00000000-0005-0000-0000-000009580000}"/>
    <cellStyle name="Input 2 11 2 3 3 4" xfId="29844" xr:uid="{00000000-0005-0000-0000-00000A580000}"/>
    <cellStyle name="Input 2 11 2 3 4" xfId="12763" xr:uid="{00000000-0005-0000-0000-00000B580000}"/>
    <cellStyle name="Input 2 11 2 3 4 2" xfId="42208" xr:uid="{00000000-0005-0000-0000-00000C580000}"/>
    <cellStyle name="Input 2 11 2 3 4 3" xfId="41976" xr:uid="{00000000-0005-0000-0000-00000D580000}"/>
    <cellStyle name="Input 2 11 2 3 4 4" xfId="30421" xr:uid="{00000000-0005-0000-0000-00000E580000}"/>
    <cellStyle name="Input 2 11 2 3 5" xfId="21079" xr:uid="{00000000-0005-0000-0000-00000F580000}"/>
    <cellStyle name="Input 2 11 2 3 5 2" xfId="46616" xr:uid="{00000000-0005-0000-0000-000010580000}"/>
    <cellStyle name="Input 2 11 2 3 5 3" xfId="50522" xr:uid="{00000000-0005-0000-0000-000011580000}"/>
    <cellStyle name="Input 2 11 2 3 5 4" xfId="38485" xr:uid="{00000000-0005-0000-0000-000012580000}"/>
    <cellStyle name="Input 2 11 2 3 6" xfId="21732" xr:uid="{00000000-0005-0000-0000-000013580000}"/>
    <cellStyle name="Input 2 11 2 3 6 2" xfId="47269" xr:uid="{00000000-0005-0000-0000-000014580000}"/>
    <cellStyle name="Input 2 11 2 3 6 3" xfId="51175" xr:uid="{00000000-0005-0000-0000-000015580000}"/>
    <cellStyle name="Input 2 11 2 3 7" xfId="41072" xr:uid="{00000000-0005-0000-0000-000016580000}"/>
    <cellStyle name="Input 2 11 2 3 8" xfId="39592" xr:uid="{00000000-0005-0000-0000-000017580000}"/>
    <cellStyle name="Input 2 11 2 4" xfId="14836" xr:uid="{00000000-0005-0000-0000-000018580000}"/>
    <cellStyle name="Input 2 11 2 4 2" xfId="42952" xr:uid="{00000000-0005-0000-0000-000019580000}"/>
    <cellStyle name="Input 2 11 2 4 3" xfId="43302" xr:uid="{00000000-0005-0000-0000-00001A580000}"/>
    <cellStyle name="Input 2 11 2 4 4" xfId="32471" xr:uid="{00000000-0005-0000-0000-00001B580000}"/>
    <cellStyle name="Input 2 11 2 5" xfId="13105" xr:uid="{00000000-0005-0000-0000-00001C580000}"/>
    <cellStyle name="Input 2 11 2 5 2" xfId="42326" xr:uid="{00000000-0005-0000-0000-00001D580000}"/>
    <cellStyle name="Input 2 11 2 5 3" xfId="43684" xr:uid="{00000000-0005-0000-0000-00001E580000}"/>
    <cellStyle name="Input 2 11 2 5 4" xfId="30754" xr:uid="{00000000-0005-0000-0000-00001F580000}"/>
    <cellStyle name="Input 2 11 2 6" xfId="11363" xr:uid="{00000000-0005-0000-0000-000020580000}"/>
    <cellStyle name="Input 2 11 2 6 2" xfId="41399" xr:uid="{00000000-0005-0000-0000-000021580000}"/>
    <cellStyle name="Input 2 11 2 6 3" xfId="42825" xr:uid="{00000000-0005-0000-0000-000022580000}"/>
    <cellStyle name="Input 2 11 2 6 4" xfId="29086" xr:uid="{00000000-0005-0000-0000-000023580000}"/>
    <cellStyle name="Input 2 11 2 7" xfId="11792" xr:uid="{00000000-0005-0000-0000-000024580000}"/>
    <cellStyle name="Input 2 11 2 7 2" xfId="41744" xr:uid="{00000000-0005-0000-0000-000025580000}"/>
    <cellStyle name="Input 2 11 2 7 3" xfId="39339" xr:uid="{00000000-0005-0000-0000-000026580000}"/>
    <cellStyle name="Input 2 11 2 7 4" xfId="29478" xr:uid="{00000000-0005-0000-0000-000027580000}"/>
    <cellStyle name="Input 2 11 2 8" xfId="11707" xr:uid="{00000000-0005-0000-0000-000028580000}"/>
    <cellStyle name="Input 2 11 2 8 2" xfId="41705" xr:uid="{00000000-0005-0000-0000-000029580000}"/>
    <cellStyle name="Input 2 11 2 8 3" xfId="47474" xr:uid="{00000000-0005-0000-0000-00002A580000}"/>
    <cellStyle name="Input 2 11 2 9" xfId="39812" xr:uid="{00000000-0005-0000-0000-00002B580000}"/>
    <cellStyle name="Input 2 11 3" xfId="53045" xr:uid="{00000000-0005-0000-0000-00002C580000}"/>
    <cellStyle name="Input 2 12" xfId="1860" xr:uid="{00000000-0005-0000-0000-00002D580000}"/>
    <cellStyle name="Input 2 12 2" xfId="7049" xr:uid="{00000000-0005-0000-0000-00002E580000}"/>
    <cellStyle name="Input 2 12 2 10" xfId="40512" xr:uid="{00000000-0005-0000-0000-00002F580000}"/>
    <cellStyle name="Input 2 12 2 2" xfId="10579" xr:uid="{00000000-0005-0000-0000-000030580000}"/>
    <cellStyle name="Input 2 12 2 2 2" xfId="18372" xr:uid="{00000000-0005-0000-0000-000031580000}"/>
    <cellStyle name="Input 2 12 2 2 2 2" xfId="43919" xr:uid="{00000000-0005-0000-0000-000032580000}"/>
    <cellStyle name="Input 2 12 2 2 2 3" xfId="47828" xr:uid="{00000000-0005-0000-0000-000033580000}"/>
    <cellStyle name="Input 2 12 2 2 2 4" xfId="36009" xr:uid="{00000000-0005-0000-0000-000034580000}"/>
    <cellStyle name="Input 2 12 2 2 3" xfId="12625" xr:uid="{00000000-0005-0000-0000-000035580000}"/>
    <cellStyle name="Input 2 12 2 2 3 2" xfId="42104" xr:uid="{00000000-0005-0000-0000-000036580000}"/>
    <cellStyle name="Input 2 12 2 2 3 3" xfId="41314" xr:uid="{00000000-0005-0000-0000-000037580000}"/>
    <cellStyle name="Input 2 12 2 2 3 4" xfId="30290" xr:uid="{00000000-0005-0000-0000-000038580000}"/>
    <cellStyle name="Input 2 12 2 2 4" xfId="19357" xr:uid="{00000000-0005-0000-0000-000039580000}"/>
    <cellStyle name="Input 2 12 2 2 4 2" xfId="44894" xr:uid="{00000000-0005-0000-0000-00003A580000}"/>
    <cellStyle name="Input 2 12 2 2 4 3" xfId="48800" xr:uid="{00000000-0005-0000-0000-00003B580000}"/>
    <cellStyle name="Input 2 12 2 2 4 4" xfId="36926" xr:uid="{00000000-0005-0000-0000-00003C580000}"/>
    <cellStyle name="Input 2 12 2 2 5" xfId="20785" xr:uid="{00000000-0005-0000-0000-00003D580000}"/>
    <cellStyle name="Input 2 12 2 2 5 2" xfId="46322" xr:uid="{00000000-0005-0000-0000-00003E580000}"/>
    <cellStyle name="Input 2 12 2 2 5 3" xfId="50228" xr:uid="{00000000-0005-0000-0000-00003F580000}"/>
    <cellStyle name="Input 2 12 2 2 5 4" xfId="38191" xr:uid="{00000000-0005-0000-0000-000040580000}"/>
    <cellStyle name="Input 2 12 2 2 6" xfId="21438" xr:uid="{00000000-0005-0000-0000-000041580000}"/>
    <cellStyle name="Input 2 12 2 2 6 2" xfId="46975" xr:uid="{00000000-0005-0000-0000-000042580000}"/>
    <cellStyle name="Input 2 12 2 2 6 3" xfId="50881" xr:uid="{00000000-0005-0000-0000-000043580000}"/>
    <cellStyle name="Input 2 12 2 2 7" xfId="40778" xr:uid="{00000000-0005-0000-0000-000044580000}"/>
    <cellStyle name="Input 2 12 2 2 8" xfId="42853" xr:uid="{00000000-0005-0000-0000-000045580000}"/>
    <cellStyle name="Input 2 12 2 3" xfId="10874" xr:uid="{00000000-0005-0000-0000-000046580000}"/>
    <cellStyle name="Input 2 12 2 3 2" xfId="18667" xr:uid="{00000000-0005-0000-0000-000047580000}"/>
    <cellStyle name="Input 2 12 2 3 2 2" xfId="44214" xr:uid="{00000000-0005-0000-0000-000048580000}"/>
    <cellStyle name="Input 2 12 2 3 2 3" xfId="48123" xr:uid="{00000000-0005-0000-0000-000049580000}"/>
    <cellStyle name="Input 2 12 2 3 2 4" xfId="36304" xr:uid="{00000000-0005-0000-0000-00004A580000}"/>
    <cellStyle name="Input 2 12 2 3 3" xfId="13340" xr:uid="{00000000-0005-0000-0000-00004B580000}"/>
    <cellStyle name="Input 2 12 2 3 3 2" xfId="42510" xr:uid="{00000000-0005-0000-0000-00004C580000}"/>
    <cellStyle name="Input 2 12 2 3 3 3" xfId="43571" xr:uid="{00000000-0005-0000-0000-00004D580000}"/>
    <cellStyle name="Input 2 12 2 3 3 4" xfId="30980" xr:uid="{00000000-0005-0000-0000-00004E580000}"/>
    <cellStyle name="Input 2 12 2 3 4" xfId="18960" xr:uid="{00000000-0005-0000-0000-00004F580000}"/>
    <cellStyle name="Input 2 12 2 3 4 2" xfId="44497" xr:uid="{00000000-0005-0000-0000-000050580000}"/>
    <cellStyle name="Input 2 12 2 3 4 3" xfId="48403" xr:uid="{00000000-0005-0000-0000-000051580000}"/>
    <cellStyle name="Input 2 12 2 3 4 4" xfId="36586" xr:uid="{00000000-0005-0000-0000-000052580000}"/>
    <cellStyle name="Input 2 12 2 3 5" xfId="21080" xr:uid="{00000000-0005-0000-0000-000053580000}"/>
    <cellStyle name="Input 2 12 2 3 5 2" xfId="46617" xr:uid="{00000000-0005-0000-0000-000054580000}"/>
    <cellStyle name="Input 2 12 2 3 5 3" xfId="50523" xr:uid="{00000000-0005-0000-0000-000055580000}"/>
    <cellStyle name="Input 2 12 2 3 5 4" xfId="38486" xr:uid="{00000000-0005-0000-0000-000056580000}"/>
    <cellStyle name="Input 2 12 2 3 6" xfId="21733" xr:uid="{00000000-0005-0000-0000-000057580000}"/>
    <cellStyle name="Input 2 12 2 3 6 2" xfId="47270" xr:uid="{00000000-0005-0000-0000-000058580000}"/>
    <cellStyle name="Input 2 12 2 3 6 3" xfId="51176" xr:uid="{00000000-0005-0000-0000-000059580000}"/>
    <cellStyle name="Input 2 12 2 3 7" xfId="41073" xr:uid="{00000000-0005-0000-0000-00005A580000}"/>
    <cellStyle name="Input 2 12 2 3 8" xfId="42600" xr:uid="{00000000-0005-0000-0000-00005B580000}"/>
    <cellStyle name="Input 2 12 2 4" xfId="14837" xr:uid="{00000000-0005-0000-0000-00005C580000}"/>
    <cellStyle name="Input 2 12 2 4 2" xfId="42953" xr:uid="{00000000-0005-0000-0000-00005D580000}"/>
    <cellStyle name="Input 2 12 2 4 3" xfId="40161" xr:uid="{00000000-0005-0000-0000-00005E580000}"/>
    <cellStyle name="Input 2 12 2 4 4" xfId="32472" xr:uid="{00000000-0005-0000-0000-00005F580000}"/>
    <cellStyle name="Input 2 12 2 5" xfId="13106" xr:uid="{00000000-0005-0000-0000-000060580000}"/>
    <cellStyle name="Input 2 12 2 5 2" xfId="42327" xr:uid="{00000000-0005-0000-0000-000061580000}"/>
    <cellStyle name="Input 2 12 2 5 3" xfId="40542" xr:uid="{00000000-0005-0000-0000-000062580000}"/>
    <cellStyle name="Input 2 12 2 5 4" xfId="30755" xr:uid="{00000000-0005-0000-0000-000063580000}"/>
    <cellStyle name="Input 2 12 2 6" xfId="12618" xr:uid="{00000000-0005-0000-0000-000064580000}"/>
    <cellStyle name="Input 2 12 2 6 2" xfId="42097" xr:uid="{00000000-0005-0000-0000-000065580000}"/>
    <cellStyle name="Input 2 12 2 6 3" xfId="40340" xr:uid="{00000000-0005-0000-0000-000066580000}"/>
    <cellStyle name="Input 2 12 2 6 4" xfId="30283" xr:uid="{00000000-0005-0000-0000-000067580000}"/>
    <cellStyle name="Input 2 12 2 7" xfId="19474" xr:uid="{00000000-0005-0000-0000-000068580000}"/>
    <cellStyle name="Input 2 12 2 7 2" xfId="45011" xr:uid="{00000000-0005-0000-0000-000069580000}"/>
    <cellStyle name="Input 2 12 2 7 3" xfId="48917" xr:uid="{00000000-0005-0000-0000-00006A580000}"/>
    <cellStyle name="Input 2 12 2 7 4" xfId="37032" xr:uid="{00000000-0005-0000-0000-00006B580000}"/>
    <cellStyle name="Input 2 12 2 8" xfId="19983" xr:uid="{00000000-0005-0000-0000-00006C580000}"/>
    <cellStyle name="Input 2 12 2 8 2" xfId="45520" xr:uid="{00000000-0005-0000-0000-00006D580000}"/>
    <cellStyle name="Input 2 12 2 8 3" xfId="49426" xr:uid="{00000000-0005-0000-0000-00006E580000}"/>
    <cellStyle name="Input 2 12 2 9" xfId="39813" xr:uid="{00000000-0005-0000-0000-00006F580000}"/>
    <cellStyle name="Input 2 12 3" xfId="53046" xr:uid="{00000000-0005-0000-0000-000070580000}"/>
    <cellStyle name="Input 2 13" xfId="1861" xr:uid="{00000000-0005-0000-0000-000071580000}"/>
    <cellStyle name="Input 2 13 2" xfId="7050" xr:uid="{00000000-0005-0000-0000-000072580000}"/>
    <cellStyle name="Input 2 13 2 10" xfId="39622" xr:uid="{00000000-0005-0000-0000-000073580000}"/>
    <cellStyle name="Input 2 13 2 2" xfId="10580" xr:uid="{00000000-0005-0000-0000-000074580000}"/>
    <cellStyle name="Input 2 13 2 2 2" xfId="18373" xr:uid="{00000000-0005-0000-0000-000075580000}"/>
    <cellStyle name="Input 2 13 2 2 2 2" xfId="43920" xr:uid="{00000000-0005-0000-0000-000076580000}"/>
    <cellStyle name="Input 2 13 2 2 2 3" xfId="47829" xr:uid="{00000000-0005-0000-0000-000077580000}"/>
    <cellStyle name="Input 2 13 2 2 2 4" xfId="36010" xr:uid="{00000000-0005-0000-0000-000078580000}"/>
    <cellStyle name="Input 2 13 2 2 3" xfId="19754" xr:uid="{00000000-0005-0000-0000-000079580000}"/>
    <cellStyle name="Input 2 13 2 2 3 2" xfId="45291" xr:uid="{00000000-0005-0000-0000-00007A580000}"/>
    <cellStyle name="Input 2 13 2 2 3 3" xfId="49197" xr:uid="{00000000-0005-0000-0000-00007B580000}"/>
    <cellStyle name="Input 2 13 2 2 3 4" xfId="37281" xr:uid="{00000000-0005-0000-0000-00007C580000}"/>
    <cellStyle name="Input 2 13 2 2 4" xfId="19258" xr:uid="{00000000-0005-0000-0000-00007D580000}"/>
    <cellStyle name="Input 2 13 2 2 4 2" xfId="44795" xr:uid="{00000000-0005-0000-0000-00007E580000}"/>
    <cellStyle name="Input 2 13 2 2 4 3" xfId="48701" xr:uid="{00000000-0005-0000-0000-00007F580000}"/>
    <cellStyle name="Input 2 13 2 2 4 4" xfId="36836" xr:uid="{00000000-0005-0000-0000-000080580000}"/>
    <cellStyle name="Input 2 13 2 2 5" xfId="20786" xr:uid="{00000000-0005-0000-0000-000081580000}"/>
    <cellStyle name="Input 2 13 2 2 5 2" xfId="46323" xr:uid="{00000000-0005-0000-0000-000082580000}"/>
    <cellStyle name="Input 2 13 2 2 5 3" xfId="50229" xr:uid="{00000000-0005-0000-0000-000083580000}"/>
    <cellStyle name="Input 2 13 2 2 5 4" xfId="38192" xr:uid="{00000000-0005-0000-0000-000084580000}"/>
    <cellStyle name="Input 2 13 2 2 6" xfId="21439" xr:uid="{00000000-0005-0000-0000-000085580000}"/>
    <cellStyle name="Input 2 13 2 2 6 2" xfId="46976" xr:uid="{00000000-0005-0000-0000-000086580000}"/>
    <cellStyle name="Input 2 13 2 2 6 3" xfId="50882" xr:uid="{00000000-0005-0000-0000-000087580000}"/>
    <cellStyle name="Input 2 13 2 2 7" xfId="40779" xr:uid="{00000000-0005-0000-0000-000088580000}"/>
    <cellStyle name="Input 2 13 2 2 8" xfId="43742" xr:uid="{00000000-0005-0000-0000-000089580000}"/>
    <cellStyle name="Input 2 13 2 3" xfId="10875" xr:uid="{00000000-0005-0000-0000-00008A580000}"/>
    <cellStyle name="Input 2 13 2 3 2" xfId="18668" xr:uid="{00000000-0005-0000-0000-00008B580000}"/>
    <cellStyle name="Input 2 13 2 3 2 2" xfId="44215" xr:uid="{00000000-0005-0000-0000-00008C580000}"/>
    <cellStyle name="Input 2 13 2 3 2 3" xfId="48124" xr:uid="{00000000-0005-0000-0000-00008D580000}"/>
    <cellStyle name="Input 2 13 2 3 2 4" xfId="36305" xr:uid="{00000000-0005-0000-0000-00008E580000}"/>
    <cellStyle name="Input 2 13 2 3 3" xfId="12173" xr:uid="{00000000-0005-0000-0000-00008F580000}"/>
    <cellStyle name="Input 2 13 2 3 3 2" xfId="41918" xr:uid="{00000000-0005-0000-0000-000090580000}"/>
    <cellStyle name="Input 2 13 2 3 3 3" xfId="39323" xr:uid="{00000000-0005-0000-0000-000091580000}"/>
    <cellStyle name="Input 2 13 2 3 3 4" xfId="29845" xr:uid="{00000000-0005-0000-0000-000092580000}"/>
    <cellStyle name="Input 2 13 2 3 4" xfId="20358" xr:uid="{00000000-0005-0000-0000-000093580000}"/>
    <cellStyle name="Input 2 13 2 3 4 2" xfId="45895" xr:uid="{00000000-0005-0000-0000-000094580000}"/>
    <cellStyle name="Input 2 13 2 3 4 3" xfId="49801" xr:uid="{00000000-0005-0000-0000-000095580000}"/>
    <cellStyle name="Input 2 13 2 3 4 4" xfId="37814" xr:uid="{00000000-0005-0000-0000-000096580000}"/>
    <cellStyle name="Input 2 13 2 3 5" xfId="21081" xr:uid="{00000000-0005-0000-0000-000097580000}"/>
    <cellStyle name="Input 2 13 2 3 5 2" xfId="46618" xr:uid="{00000000-0005-0000-0000-000098580000}"/>
    <cellStyle name="Input 2 13 2 3 5 3" xfId="50524" xr:uid="{00000000-0005-0000-0000-000099580000}"/>
    <cellStyle name="Input 2 13 2 3 5 4" xfId="38487" xr:uid="{00000000-0005-0000-0000-00009A580000}"/>
    <cellStyle name="Input 2 13 2 3 6" xfId="21734" xr:uid="{00000000-0005-0000-0000-00009B580000}"/>
    <cellStyle name="Input 2 13 2 3 6 2" xfId="47271" xr:uid="{00000000-0005-0000-0000-00009C580000}"/>
    <cellStyle name="Input 2 13 2 3 6 3" xfId="51177" xr:uid="{00000000-0005-0000-0000-00009D580000}"/>
    <cellStyle name="Input 2 13 2 3 7" xfId="41074" xr:uid="{00000000-0005-0000-0000-00009E580000}"/>
    <cellStyle name="Input 2 13 2 3 8" xfId="43513" xr:uid="{00000000-0005-0000-0000-00009F580000}"/>
    <cellStyle name="Input 2 13 2 4" xfId="14838" xr:uid="{00000000-0005-0000-0000-0000A0580000}"/>
    <cellStyle name="Input 2 13 2 4 2" xfId="42954" xr:uid="{00000000-0005-0000-0000-0000A1580000}"/>
    <cellStyle name="Input 2 13 2 4 3" xfId="39275" xr:uid="{00000000-0005-0000-0000-0000A2580000}"/>
    <cellStyle name="Input 2 13 2 4 4" xfId="32473" xr:uid="{00000000-0005-0000-0000-0000A3580000}"/>
    <cellStyle name="Input 2 13 2 5" xfId="13107" xr:uid="{00000000-0005-0000-0000-0000A4580000}"/>
    <cellStyle name="Input 2 13 2 5 2" xfId="42328" xr:uid="{00000000-0005-0000-0000-0000A5580000}"/>
    <cellStyle name="Input 2 13 2 5 3" xfId="39652" xr:uid="{00000000-0005-0000-0000-0000A6580000}"/>
    <cellStyle name="Input 2 13 2 5 4" xfId="30756" xr:uid="{00000000-0005-0000-0000-0000A7580000}"/>
    <cellStyle name="Input 2 13 2 6" xfId="19647" xr:uid="{00000000-0005-0000-0000-0000A8580000}"/>
    <cellStyle name="Input 2 13 2 6 2" xfId="45184" xr:uid="{00000000-0005-0000-0000-0000A9580000}"/>
    <cellStyle name="Input 2 13 2 6 3" xfId="49090" xr:uid="{00000000-0005-0000-0000-0000AA580000}"/>
    <cellStyle name="Input 2 13 2 6 4" xfId="37183" xr:uid="{00000000-0005-0000-0000-0000AB580000}"/>
    <cellStyle name="Input 2 13 2 7" xfId="20467" xr:uid="{00000000-0005-0000-0000-0000AC580000}"/>
    <cellStyle name="Input 2 13 2 7 2" xfId="46004" xr:uid="{00000000-0005-0000-0000-0000AD580000}"/>
    <cellStyle name="Input 2 13 2 7 3" xfId="49910" xr:uid="{00000000-0005-0000-0000-0000AE580000}"/>
    <cellStyle name="Input 2 13 2 7 4" xfId="37920" xr:uid="{00000000-0005-0000-0000-0000AF580000}"/>
    <cellStyle name="Input 2 13 2 8" xfId="12867" xr:uid="{00000000-0005-0000-0000-0000B0580000}"/>
    <cellStyle name="Input 2 13 2 8 2" xfId="42250" xr:uid="{00000000-0005-0000-0000-0000B1580000}"/>
    <cellStyle name="Input 2 13 2 8 3" xfId="43471" xr:uid="{00000000-0005-0000-0000-0000B2580000}"/>
    <cellStyle name="Input 2 13 2 9" xfId="39814" xr:uid="{00000000-0005-0000-0000-0000B3580000}"/>
    <cellStyle name="Input 2 13 3" xfId="22444" xr:uid="{00000000-0005-0000-0000-0000B4580000}"/>
    <cellStyle name="Input 2 14" xfId="1862" xr:uid="{00000000-0005-0000-0000-0000B5580000}"/>
    <cellStyle name="Input 2 14 2" xfId="7051" xr:uid="{00000000-0005-0000-0000-0000B6580000}"/>
    <cellStyle name="Input 2 14 2 10" xfId="42630" xr:uid="{00000000-0005-0000-0000-0000B7580000}"/>
    <cellStyle name="Input 2 14 2 2" xfId="10581" xr:uid="{00000000-0005-0000-0000-0000B8580000}"/>
    <cellStyle name="Input 2 14 2 2 2" xfId="18374" xr:uid="{00000000-0005-0000-0000-0000B9580000}"/>
    <cellStyle name="Input 2 14 2 2 2 2" xfId="43921" xr:uid="{00000000-0005-0000-0000-0000BA580000}"/>
    <cellStyle name="Input 2 14 2 2 2 3" xfId="47830" xr:uid="{00000000-0005-0000-0000-0000BB580000}"/>
    <cellStyle name="Input 2 14 2 2 2 4" xfId="36011" xr:uid="{00000000-0005-0000-0000-0000BC580000}"/>
    <cellStyle name="Input 2 14 2 2 3" xfId="11495" xr:uid="{00000000-0005-0000-0000-0000BD580000}"/>
    <cellStyle name="Input 2 14 2 2 3 2" xfId="41506" xr:uid="{00000000-0005-0000-0000-0000BE580000}"/>
    <cellStyle name="Input 2 14 2 2 3 3" xfId="41396" xr:uid="{00000000-0005-0000-0000-0000BF580000}"/>
    <cellStyle name="Input 2 14 2 2 3 4" xfId="29210" xr:uid="{00000000-0005-0000-0000-0000C0580000}"/>
    <cellStyle name="Input 2 14 2 2 4" xfId="20095" xr:uid="{00000000-0005-0000-0000-0000C1580000}"/>
    <cellStyle name="Input 2 14 2 2 4 2" xfId="45632" xr:uid="{00000000-0005-0000-0000-0000C2580000}"/>
    <cellStyle name="Input 2 14 2 2 4 3" xfId="49538" xr:uid="{00000000-0005-0000-0000-0000C3580000}"/>
    <cellStyle name="Input 2 14 2 2 4 4" xfId="37585" xr:uid="{00000000-0005-0000-0000-0000C4580000}"/>
    <cellStyle name="Input 2 14 2 2 5" xfId="20787" xr:uid="{00000000-0005-0000-0000-0000C5580000}"/>
    <cellStyle name="Input 2 14 2 2 5 2" xfId="46324" xr:uid="{00000000-0005-0000-0000-0000C6580000}"/>
    <cellStyle name="Input 2 14 2 2 5 3" xfId="50230" xr:uid="{00000000-0005-0000-0000-0000C7580000}"/>
    <cellStyle name="Input 2 14 2 2 5 4" xfId="38193" xr:uid="{00000000-0005-0000-0000-0000C8580000}"/>
    <cellStyle name="Input 2 14 2 2 6" xfId="21440" xr:uid="{00000000-0005-0000-0000-0000C9580000}"/>
    <cellStyle name="Input 2 14 2 2 6 2" xfId="46977" xr:uid="{00000000-0005-0000-0000-0000CA580000}"/>
    <cellStyle name="Input 2 14 2 2 6 3" xfId="50883" xr:uid="{00000000-0005-0000-0000-0000CB580000}"/>
    <cellStyle name="Input 2 14 2 2 7" xfId="40780" xr:uid="{00000000-0005-0000-0000-0000CC580000}"/>
    <cellStyle name="Input 2 14 2 2 8" xfId="40601" xr:uid="{00000000-0005-0000-0000-0000CD580000}"/>
    <cellStyle name="Input 2 14 2 3" xfId="10876" xr:uid="{00000000-0005-0000-0000-0000CE580000}"/>
    <cellStyle name="Input 2 14 2 3 2" xfId="18669" xr:uid="{00000000-0005-0000-0000-0000CF580000}"/>
    <cellStyle name="Input 2 14 2 3 2 2" xfId="44216" xr:uid="{00000000-0005-0000-0000-0000D0580000}"/>
    <cellStyle name="Input 2 14 2 3 2 3" xfId="48125" xr:uid="{00000000-0005-0000-0000-0000D1580000}"/>
    <cellStyle name="Input 2 14 2 3 2 4" xfId="36306" xr:uid="{00000000-0005-0000-0000-0000D2580000}"/>
    <cellStyle name="Input 2 14 2 3 3" xfId="13341" xr:uid="{00000000-0005-0000-0000-0000D3580000}"/>
    <cellStyle name="Input 2 14 2 3 3 2" xfId="42511" xr:uid="{00000000-0005-0000-0000-0000D4580000}"/>
    <cellStyle name="Input 2 14 2 3 3 3" xfId="40432" xr:uid="{00000000-0005-0000-0000-0000D5580000}"/>
    <cellStyle name="Input 2 14 2 3 3 4" xfId="30981" xr:uid="{00000000-0005-0000-0000-0000D6580000}"/>
    <cellStyle name="Input 2 14 2 3 4" xfId="11614" xr:uid="{00000000-0005-0000-0000-0000D7580000}"/>
    <cellStyle name="Input 2 14 2 3 4 2" xfId="41625" xr:uid="{00000000-0005-0000-0000-0000D8580000}"/>
    <cellStyle name="Input 2 14 2 3 4 3" xfId="40071" xr:uid="{00000000-0005-0000-0000-0000D9580000}"/>
    <cellStyle name="Input 2 14 2 3 4 4" xfId="29317" xr:uid="{00000000-0005-0000-0000-0000DA580000}"/>
    <cellStyle name="Input 2 14 2 3 5" xfId="21082" xr:uid="{00000000-0005-0000-0000-0000DB580000}"/>
    <cellStyle name="Input 2 14 2 3 5 2" xfId="46619" xr:uid="{00000000-0005-0000-0000-0000DC580000}"/>
    <cellStyle name="Input 2 14 2 3 5 3" xfId="50525" xr:uid="{00000000-0005-0000-0000-0000DD580000}"/>
    <cellStyle name="Input 2 14 2 3 5 4" xfId="38488" xr:uid="{00000000-0005-0000-0000-0000DE580000}"/>
    <cellStyle name="Input 2 14 2 3 6" xfId="21735" xr:uid="{00000000-0005-0000-0000-0000DF580000}"/>
    <cellStyle name="Input 2 14 2 3 6 2" xfId="47272" xr:uid="{00000000-0005-0000-0000-0000E0580000}"/>
    <cellStyle name="Input 2 14 2 3 6 3" xfId="51178" xr:uid="{00000000-0005-0000-0000-0000E1580000}"/>
    <cellStyle name="Input 2 14 2 3 7" xfId="41075" xr:uid="{00000000-0005-0000-0000-0000E2580000}"/>
    <cellStyle name="Input 2 14 2 3 8" xfId="40376" xr:uid="{00000000-0005-0000-0000-0000E3580000}"/>
    <cellStyle name="Input 2 14 2 4" xfId="14839" xr:uid="{00000000-0005-0000-0000-0000E4580000}"/>
    <cellStyle name="Input 2 14 2 4 2" xfId="42955" xr:uid="{00000000-0005-0000-0000-0000E5580000}"/>
    <cellStyle name="Input 2 14 2 4 3" xfId="39062" xr:uid="{00000000-0005-0000-0000-0000E6580000}"/>
    <cellStyle name="Input 2 14 2 4 4" xfId="32474" xr:uid="{00000000-0005-0000-0000-0000E7580000}"/>
    <cellStyle name="Input 2 14 2 5" xfId="11293" xr:uid="{00000000-0005-0000-0000-0000E8580000}"/>
    <cellStyle name="Input 2 14 2 5 2" xfId="41340" xr:uid="{00000000-0005-0000-0000-0000E9580000}"/>
    <cellStyle name="Input 2 14 2 5 3" xfId="43501" xr:uid="{00000000-0005-0000-0000-0000EA580000}"/>
    <cellStyle name="Input 2 14 2 5 4" xfId="29021" xr:uid="{00000000-0005-0000-0000-0000EB580000}"/>
    <cellStyle name="Input 2 14 2 6" xfId="20392" xr:uid="{00000000-0005-0000-0000-0000EC580000}"/>
    <cellStyle name="Input 2 14 2 6 2" xfId="45929" xr:uid="{00000000-0005-0000-0000-0000ED580000}"/>
    <cellStyle name="Input 2 14 2 6 3" xfId="49835" xr:uid="{00000000-0005-0000-0000-0000EE580000}"/>
    <cellStyle name="Input 2 14 2 6 4" xfId="37846" xr:uid="{00000000-0005-0000-0000-0000EF580000}"/>
    <cellStyle name="Input 2 14 2 7" xfId="19153" xr:uid="{00000000-0005-0000-0000-0000F0580000}"/>
    <cellStyle name="Input 2 14 2 7 2" xfId="44690" xr:uid="{00000000-0005-0000-0000-0000F1580000}"/>
    <cellStyle name="Input 2 14 2 7 3" xfId="48596" xr:uid="{00000000-0005-0000-0000-0000F2580000}"/>
    <cellStyle name="Input 2 14 2 7 4" xfId="36747" xr:uid="{00000000-0005-0000-0000-0000F3580000}"/>
    <cellStyle name="Input 2 14 2 8" xfId="19360" xr:uid="{00000000-0005-0000-0000-0000F4580000}"/>
    <cellStyle name="Input 2 14 2 8 2" xfId="44897" xr:uid="{00000000-0005-0000-0000-0000F5580000}"/>
    <cellStyle name="Input 2 14 2 8 3" xfId="48803" xr:uid="{00000000-0005-0000-0000-0000F6580000}"/>
    <cellStyle name="Input 2 14 2 9" xfId="39815" xr:uid="{00000000-0005-0000-0000-0000F7580000}"/>
    <cellStyle name="Input 2 14 3" xfId="53047" xr:uid="{00000000-0005-0000-0000-0000F8580000}"/>
    <cellStyle name="Input 2 15" xfId="4230" xr:uid="{00000000-0005-0000-0000-0000F9580000}"/>
    <cellStyle name="Input 2 15 2" xfId="7052" xr:uid="{00000000-0005-0000-0000-0000FA580000}"/>
    <cellStyle name="Input 2 15 2 10" xfId="43543" xr:uid="{00000000-0005-0000-0000-0000FB580000}"/>
    <cellStyle name="Input 2 15 2 2" xfId="10582" xr:uid="{00000000-0005-0000-0000-0000FC580000}"/>
    <cellStyle name="Input 2 15 2 2 2" xfId="18375" xr:uid="{00000000-0005-0000-0000-0000FD580000}"/>
    <cellStyle name="Input 2 15 2 2 2 2" xfId="43922" xr:uid="{00000000-0005-0000-0000-0000FE580000}"/>
    <cellStyle name="Input 2 15 2 2 2 3" xfId="47831" xr:uid="{00000000-0005-0000-0000-0000FF580000}"/>
    <cellStyle name="Input 2 15 2 2 2 4" xfId="36012" xr:uid="{00000000-0005-0000-0000-000000590000}"/>
    <cellStyle name="Input 2 15 2 2 3" xfId="19614" xr:uid="{00000000-0005-0000-0000-000001590000}"/>
    <cellStyle name="Input 2 15 2 2 3 2" xfId="45151" xr:uid="{00000000-0005-0000-0000-000002590000}"/>
    <cellStyle name="Input 2 15 2 2 3 3" xfId="49057" xr:uid="{00000000-0005-0000-0000-000003590000}"/>
    <cellStyle name="Input 2 15 2 2 3 4" xfId="37154" xr:uid="{00000000-0005-0000-0000-000004590000}"/>
    <cellStyle name="Input 2 15 2 2 4" xfId="12057" xr:uid="{00000000-0005-0000-0000-000005590000}"/>
    <cellStyle name="Input 2 15 2 2 4 2" xfId="41811" xr:uid="{00000000-0005-0000-0000-000006590000}"/>
    <cellStyle name="Input 2 15 2 2 4 3" xfId="41929" xr:uid="{00000000-0005-0000-0000-000007590000}"/>
    <cellStyle name="Input 2 15 2 2 4 4" xfId="29736" xr:uid="{00000000-0005-0000-0000-000008590000}"/>
    <cellStyle name="Input 2 15 2 2 5" xfId="20788" xr:uid="{00000000-0005-0000-0000-000009590000}"/>
    <cellStyle name="Input 2 15 2 2 5 2" xfId="46325" xr:uid="{00000000-0005-0000-0000-00000A590000}"/>
    <cellStyle name="Input 2 15 2 2 5 3" xfId="50231" xr:uid="{00000000-0005-0000-0000-00000B590000}"/>
    <cellStyle name="Input 2 15 2 2 5 4" xfId="38194" xr:uid="{00000000-0005-0000-0000-00000C590000}"/>
    <cellStyle name="Input 2 15 2 2 6" xfId="21441" xr:uid="{00000000-0005-0000-0000-00000D590000}"/>
    <cellStyle name="Input 2 15 2 2 6 2" xfId="46978" xr:uid="{00000000-0005-0000-0000-00000E590000}"/>
    <cellStyle name="Input 2 15 2 2 6 3" xfId="50884" xr:uid="{00000000-0005-0000-0000-00000F590000}"/>
    <cellStyle name="Input 2 15 2 2 7" xfId="40781" xr:uid="{00000000-0005-0000-0000-000010590000}"/>
    <cellStyle name="Input 2 15 2 2 8" xfId="39712" xr:uid="{00000000-0005-0000-0000-000011590000}"/>
    <cellStyle name="Input 2 15 2 3" xfId="10877" xr:uid="{00000000-0005-0000-0000-000012590000}"/>
    <cellStyle name="Input 2 15 2 3 2" xfId="18670" xr:uid="{00000000-0005-0000-0000-000013590000}"/>
    <cellStyle name="Input 2 15 2 3 2 2" xfId="44217" xr:uid="{00000000-0005-0000-0000-000014590000}"/>
    <cellStyle name="Input 2 15 2 3 2 3" xfId="48126" xr:uid="{00000000-0005-0000-0000-000015590000}"/>
    <cellStyle name="Input 2 15 2 3 2 4" xfId="36307" xr:uid="{00000000-0005-0000-0000-000016590000}"/>
    <cellStyle name="Input 2 15 2 3 3" xfId="12174" xr:uid="{00000000-0005-0000-0000-000017590000}"/>
    <cellStyle name="Input 2 15 2 3 3 2" xfId="41919" xr:uid="{00000000-0005-0000-0000-000018590000}"/>
    <cellStyle name="Input 2 15 2 3 3 3" xfId="41989" xr:uid="{00000000-0005-0000-0000-000019590000}"/>
    <cellStyle name="Input 2 15 2 3 3 4" xfId="29846" xr:uid="{00000000-0005-0000-0000-00001A590000}"/>
    <cellStyle name="Input 2 15 2 3 4" xfId="11615" xr:uid="{00000000-0005-0000-0000-00001B590000}"/>
    <cellStyle name="Input 2 15 2 3 4 2" xfId="41626" xr:uid="{00000000-0005-0000-0000-00001C590000}"/>
    <cellStyle name="Input 2 15 2 3 4 3" xfId="42816" xr:uid="{00000000-0005-0000-0000-00001D590000}"/>
    <cellStyle name="Input 2 15 2 3 4 4" xfId="29318" xr:uid="{00000000-0005-0000-0000-00001E590000}"/>
    <cellStyle name="Input 2 15 2 3 5" xfId="21083" xr:uid="{00000000-0005-0000-0000-00001F590000}"/>
    <cellStyle name="Input 2 15 2 3 5 2" xfId="46620" xr:uid="{00000000-0005-0000-0000-000020590000}"/>
    <cellStyle name="Input 2 15 2 3 5 3" xfId="50526" xr:uid="{00000000-0005-0000-0000-000021590000}"/>
    <cellStyle name="Input 2 15 2 3 5 4" xfId="38489" xr:uid="{00000000-0005-0000-0000-000022590000}"/>
    <cellStyle name="Input 2 15 2 3 6" xfId="21736" xr:uid="{00000000-0005-0000-0000-000023590000}"/>
    <cellStyle name="Input 2 15 2 3 6 2" xfId="47273" xr:uid="{00000000-0005-0000-0000-000024590000}"/>
    <cellStyle name="Input 2 15 2 3 6 3" xfId="51179" xr:uid="{00000000-0005-0000-0000-000025590000}"/>
    <cellStyle name="Input 2 15 2 3 7" xfId="41076" xr:uid="{00000000-0005-0000-0000-000026590000}"/>
    <cellStyle name="Input 2 15 2 3 8" xfId="39488" xr:uid="{00000000-0005-0000-0000-000027590000}"/>
    <cellStyle name="Input 2 15 2 4" xfId="14840" xr:uid="{00000000-0005-0000-0000-000028590000}"/>
    <cellStyle name="Input 2 15 2 4 2" xfId="42956" xr:uid="{00000000-0005-0000-0000-000029590000}"/>
    <cellStyle name="Input 2 15 2 4 3" xfId="41289" xr:uid="{00000000-0005-0000-0000-00002A590000}"/>
    <cellStyle name="Input 2 15 2 4 4" xfId="32475" xr:uid="{00000000-0005-0000-0000-00002B590000}"/>
    <cellStyle name="Input 2 15 2 5" xfId="12473" xr:uid="{00000000-0005-0000-0000-00002C590000}"/>
    <cellStyle name="Input 2 15 2 5 2" xfId="41994" xr:uid="{00000000-0005-0000-0000-00002D590000}"/>
    <cellStyle name="Input 2 15 2 5 3" xfId="41315" xr:uid="{00000000-0005-0000-0000-00002E590000}"/>
    <cellStyle name="Input 2 15 2 5 4" xfId="30144" xr:uid="{00000000-0005-0000-0000-00002F590000}"/>
    <cellStyle name="Input 2 15 2 6" xfId="11342" xr:uid="{00000000-0005-0000-0000-000030590000}"/>
    <cellStyle name="Input 2 15 2 6 2" xfId="41381" xr:uid="{00000000-0005-0000-0000-000031590000}"/>
    <cellStyle name="Input 2 15 2 6 3" xfId="42826" xr:uid="{00000000-0005-0000-0000-000032590000}"/>
    <cellStyle name="Input 2 15 2 6 4" xfId="29068" xr:uid="{00000000-0005-0000-0000-000033590000}"/>
    <cellStyle name="Input 2 15 2 7" xfId="19077" xr:uid="{00000000-0005-0000-0000-000034590000}"/>
    <cellStyle name="Input 2 15 2 7 2" xfId="44614" xr:uid="{00000000-0005-0000-0000-000035590000}"/>
    <cellStyle name="Input 2 15 2 7 3" xfId="48520" xr:uid="{00000000-0005-0000-0000-000036590000}"/>
    <cellStyle name="Input 2 15 2 7 4" xfId="36673" xr:uid="{00000000-0005-0000-0000-000037590000}"/>
    <cellStyle name="Input 2 15 2 8" xfId="11663" xr:uid="{00000000-0005-0000-0000-000038590000}"/>
    <cellStyle name="Input 2 15 2 8 2" xfId="41674" xr:uid="{00000000-0005-0000-0000-000039590000}"/>
    <cellStyle name="Input 2 15 2 8 3" xfId="39163" xr:uid="{00000000-0005-0000-0000-00003A590000}"/>
    <cellStyle name="Input 2 15 2 9" xfId="39816" xr:uid="{00000000-0005-0000-0000-00003B590000}"/>
    <cellStyle name="Input 2 16" xfId="4231" xr:uid="{00000000-0005-0000-0000-00003C590000}"/>
    <cellStyle name="Input 2 16 2" xfId="7053" xr:uid="{00000000-0005-0000-0000-00003D590000}"/>
    <cellStyle name="Input 2 16 2 10" xfId="40406" xr:uid="{00000000-0005-0000-0000-00003E590000}"/>
    <cellStyle name="Input 2 16 2 2" xfId="10583" xr:uid="{00000000-0005-0000-0000-00003F590000}"/>
    <cellStyle name="Input 2 16 2 2 2" xfId="18376" xr:uid="{00000000-0005-0000-0000-000040590000}"/>
    <cellStyle name="Input 2 16 2 2 2 2" xfId="43923" xr:uid="{00000000-0005-0000-0000-000041590000}"/>
    <cellStyle name="Input 2 16 2 2 2 3" xfId="47832" xr:uid="{00000000-0005-0000-0000-000042590000}"/>
    <cellStyle name="Input 2 16 2 2 2 4" xfId="36013" xr:uid="{00000000-0005-0000-0000-000043590000}"/>
    <cellStyle name="Input 2 16 2 2 3" xfId="20169" xr:uid="{00000000-0005-0000-0000-000044590000}"/>
    <cellStyle name="Input 2 16 2 2 3 2" xfId="45706" xr:uid="{00000000-0005-0000-0000-000045590000}"/>
    <cellStyle name="Input 2 16 2 2 3 3" xfId="49612" xr:uid="{00000000-0005-0000-0000-000046590000}"/>
    <cellStyle name="Input 2 16 2 2 3 4" xfId="37655" xr:uid="{00000000-0005-0000-0000-000047590000}"/>
    <cellStyle name="Input 2 16 2 2 4" xfId="11622" xr:uid="{00000000-0005-0000-0000-000048590000}"/>
    <cellStyle name="Input 2 16 2 2 4 2" xfId="41633" xr:uid="{00000000-0005-0000-0000-000049590000}"/>
    <cellStyle name="Input 2 16 2 2 4 3" xfId="39570" xr:uid="{00000000-0005-0000-0000-00004A590000}"/>
    <cellStyle name="Input 2 16 2 2 4 4" xfId="29325" xr:uid="{00000000-0005-0000-0000-00004B590000}"/>
    <cellStyle name="Input 2 16 2 2 5" xfId="20789" xr:uid="{00000000-0005-0000-0000-00004C590000}"/>
    <cellStyle name="Input 2 16 2 2 5 2" xfId="46326" xr:uid="{00000000-0005-0000-0000-00004D590000}"/>
    <cellStyle name="Input 2 16 2 2 5 3" xfId="50232" xr:uid="{00000000-0005-0000-0000-00004E590000}"/>
    <cellStyle name="Input 2 16 2 2 5 4" xfId="38195" xr:uid="{00000000-0005-0000-0000-00004F590000}"/>
    <cellStyle name="Input 2 16 2 2 6" xfId="21442" xr:uid="{00000000-0005-0000-0000-000050590000}"/>
    <cellStyle name="Input 2 16 2 2 6 2" xfId="46979" xr:uid="{00000000-0005-0000-0000-000051590000}"/>
    <cellStyle name="Input 2 16 2 2 6 3" xfId="50885" xr:uid="{00000000-0005-0000-0000-000052590000}"/>
    <cellStyle name="Input 2 16 2 2 7" xfId="40782" xr:uid="{00000000-0005-0000-0000-000053590000}"/>
    <cellStyle name="Input 2 16 2 2 8" xfId="42749" xr:uid="{00000000-0005-0000-0000-000054590000}"/>
    <cellStyle name="Input 2 16 2 3" xfId="10878" xr:uid="{00000000-0005-0000-0000-000055590000}"/>
    <cellStyle name="Input 2 16 2 3 2" xfId="18671" xr:uid="{00000000-0005-0000-0000-000056590000}"/>
    <cellStyle name="Input 2 16 2 3 2 2" xfId="44218" xr:uid="{00000000-0005-0000-0000-000057590000}"/>
    <cellStyle name="Input 2 16 2 3 2 3" xfId="48127" xr:uid="{00000000-0005-0000-0000-000058590000}"/>
    <cellStyle name="Input 2 16 2 3 2 4" xfId="36308" xr:uid="{00000000-0005-0000-0000-000059590000}"/>
    <cellStyle name="Input 2 16 2 3 3" xfId="12175" xr:uid="{00000000-0005-0000-0000-00005A590000}"/>
    <cellStyle name="Input 2 16 2 3 3 2" xfId="41920" xr:uid="{00000000-0005-0000-0000-00005B590000}"/>
    <cellStyle name="Input 2 16 2 3 3 3" xfId="43338" xr:uid="{00000000-0005-0000-0000-00005C590000}"/>
    <cellStyle name="Input 2 16 2 3 3 4" xfId="29847" xr:uid="{00000000-0005-0000-0000-00005D590000}"/>
    <cellStyle name="Input 2 16 2 3 4" xfId="18958" xr:uid="{00000000-0005-0000-0000-00005E590000}"/>
    <cellStyle name="Input 2 16 2 3 4 2" xfId="44495" xr:uid="{00000000-0005-0000-0000-00005F590000}"/>
    <cellStyle name="Input 2 16 2 3 4 3" xfId="48401" xr:uid="{00000000-0005-0000-0000-000060590000}"/>
    <cellStyle name="Input 2 16 2 3 4 4" xfId="36584" xr:uid="{00000000-0005-0000-0000-000061590000}"/>
    <cellStyle name="Input 2 16 2 3 5" xfId="21084" xr:uid="{00000000-0005-0000-0000-000062590000}"/>
    <cellStyle name="Input 2 16 2 3 5 2" xfId="46621" xr:uid="{00000000-0005-0000-0000-000063590000}"/>
    <cellStyle name="Input 2 16 2 3 5 3" xfId="50527" xr:uid="{00000000-0005-0000-0000-000064590000}"/>
    <cellStyle name="Input 2 16 2 3 5 4" xfId="38490" xr:uid="{00000000-0005-0000-0000-000065590000}"/>
    <cellStyle name="Input 2 16 2 3 6" xfId="21737" xr:uid="{00000000-0005-0000-0000-000066590000}"/>
    <cellStyle name="Input 2 16 2 3 6 2" xfId="47274" xr:uid="{00000000-0005-0000-0000-000067590000}"/>
    <cellStyle name="Input 2 16 2 3 6 3" xfId="51180" xr:uid="{00000000-0005-0000-0000-000068590000}"/>
    <cellStyle name="Input 2 16 2 3 7" xfId="41077" xr:uid="{00000000-0005-0000-0000-000069590000}"/>
    <cellStyle name="Input 2 16 2 3 8" xfId="42056" xr:uid="{00000000-0005-0000-0000-00006A590000}"/>
    <cellStyle name="Input 2 16 2 4" xfId="14841" xr:uid="{00000000-0005-0000-0000-00006B590000}"/>
    <cellStyle name="Input 2 16 2 4 2" xfId="42957" xr:uid="{00000000-0005-0000-0000-00006C590000}"/>
    <cellStyle name="Input 2 16 2 4 3" xfId="43182" xr:uid="{00000000-0005-0000-0000-00006D590000}"/>
    <cellStyle name="Input 2 16 2 4 4" xfId="32476" xr:uid="{00000000-0005-0000-0000-00006E590000}"/>
    <cellStyle name="Input 2 16 2 5" xfId="12474" xr:uid="{00000000-0005-0000-0000-00006F590000}"/>
    <cellStyle name="Input 2 16 2 5 2" xfId="41995" xr:uid="{00000000-0005-0000-0000-000070590000}"/>
    <cellStyle name="Input 2 16 2 5 3" xfId="43202" xr:uid="{00000000-0005-0000-0000-000071590000}"/>
    <cellStyle name="Input 2 16 2 5 4" xfId="30145" xr:uid="{00000000-0005-0000-0000-000072590000}"/>
    <cellStyle name="Input 2 16 2 6" xfId="19777" xr:uid="{00000000-0005-0000-0000-000073590000}"/>
    <cellStyle name="Input 2 16 2 6 2" xfId="45314" xr:uid="{00000000-0005-0000-0000-000074590000}"/>
    <cellStyle name="Input 2 16 2 6 3" xfId="49220" xr:uid="{00000000-0005-0000-0000-000075590000}"/>
    <cellStyle name="Input 2 16 2 6 4" xfId="37304" xr:uid="{00000000-0005-0000-0000-000076590000}"/>
    <cellStyle name="Input 2 16 2 7" xfId="20367" xr:uid="{00000000-0005-0000-0000-000077590000}"/>
    <cellStyle name="Input 2 16 2 7 2" xfId="45904" xr:uid="{00000000-0005-0000-0000-000078590000}"/>
    <cellStyle name="Input 2 16 2 7 3" xfId="49810" xr:uid="{00000000-0005-0000-0000-000079590000}"/>
    <cellStyle name="Input 2 16 2 7 4" xfId="37823" xr:uid="{00000000-0005-0000-0000-00007A590000}"/>
    <cellStyle name="Input 2 16 2 8" xfId="19802" xr:uid="{00000000-0005-0000-0000-00007B590000}"/>
    <cellStyle name="Input 2 16 2 8 2" xfId="45339" xr:uid="{00000000-0005-0000-0000-00007C590000}"/>
    <cellStyle name="Input 2 16 2 8 3" xfId="49245" xr:uid="{00000000-0005-0000-0000-00007D590000}"/>
    <cellStyle name="Input 2 16 2 9" xfId="39817" xr:uid="{00000000-0005-0000-0000-00007E590000}"/>
    <cellStyle name="Input 2 17" xfId="4232" xr:uid="{00000000-0005-0000-0000-00007F590000}"/>
    <cellStyle name="Input 2 17 2" xfId="10461" xr:uid="{00000000-0005-0000-0000-000080590000}"/>
    <cellStyle name="Input 2 17 2 2" xfId="18254" xr:uid="{00000000-0005-0000-0000-000081590000}"/>
    <cellStyle name="Input 2 17 2 2 2" xfId="43801" xr:uid="{00000000-0005-0000-0000-000082590000}"/>
    <cellStyle name="Input 2 17 2 2 3" xfId="47710" xr:uid="{00000000-0005-0000-0000-000083590000}"/>
    <cellStyle name="Input 2 17 2 2 4" xfId="35891" xr:uid="{00000000-0005-0000-0000-000084590000}"/>
    <cellStyle name="Input 2 17 2 3" xfId="11484" xr:uid="{00000000-0005-0000-0000-000085590000}"/>
    <cellStyle name="Input 2 17 2 3 2" xfId="41495" xr:uid="{00000000-0005-0000-0000-000086590000}"/>
    <cellStyle name="Input 2 17 2 3 3" xfId="40466" xr:uid="{00000000-0005-0000-0000-000087590000}"/>
    <cellStyle name="Input 2 17 2 3 4" xfId="29199" xr:uid="{00000000-0005-0000-0000-000088590000}"/>
    <cellStyle name="Input 2 17 2 4" xfId="12682" xr:uid="{00000000-0005-0000-0000-000089590000}"/>
    <cellStyle name="Input 2 17 2 4 2" xfId="42161" xr:uid="{00000000-0005-0000-0000-00008A590000}"/>
    <cellStyle name="Input 2 17 2 4 3" xfId="40189" xr:uid="{00000000-0005-0000-0000-00008B590000}"/>
    <cellStyle name="Input 2 17 2 4 4" xfId="30344" xr:uid="{00000000-0005-0000-0000-00008C590000}"/>
    <cellStyle name="Input 2 17 2 5" xfId="20667" xr:uid="{00000000-0005-0000-0000-00008D590000}"/>
    <cellStyle name="Input 2 17 2 5 2" xfId="46204" xr:uid="{00000000-0005-0000-0000-00008E590000}"/>
    <cellStyle name="Input 2 17 2 5 3" xfId="50110" xr:uid="{00000000-0005-0000-0000-00008F590000}"/>
    <cellStyle name="Input 2 17 2 5 4" xfId="38073" xr:uid="{00000000-0005-0000-0000-000090590000}"/>
    <cellStyle name="Input 2 17 2 6" xfId="21320" xr:uid="{00000000-0005-0000-0000-000091590000}"/>
    <cellStyle name="Input 2 17 2 6 2" xfId="46857" xr:uid="{00000000-0005-0000-0000-000092590000}"/>
    <cellStyle name="Input 2 17 2 6 3" xfId="50763" xr:uid="{00000000-0005-0000-0000-000093590000}"/>
    <cellStyle name="Input 2 17 2 7" xfId="40660" xr:uid="{00000000-0005-0000-0000-000094590000}"/>
    <cellStyle name="Input 2 17 2 8" xfId="43747" xr:uid="{00000000-0005-0000-0000-000095590000}"/>
    <cellStyle name="Input 2 17 3" xfId="8463" xr:uid="{00000000-0005-0000-0000-000096590000}"/>
    <cellStyle name="Input 2 17 3 2" xfId="16259" xr:uid="{00000000-0005-0000-0000-000097590000}"/>
    <cellStyle name="Input 2 17 3 2 2" xfId="43410" xr:uid="{00000000-0005-0000-0000-000098590000}"/>
    <cellStyle name="Input 2 17 3 2 3" xfId="40518" xr:uid="{00000000-0005-0000-0000-000099590000}"/>
    <cellStyle name="Input 2 17 3 2 4" xfId="33894" xr:uid="{00000000-0005-0000-0000-00009A590000}"/>
    <cellStyle name="Input 2 17 3 3" xfId="13292" xr:uid="{00000000-0005-0000-0000-00009B590000}"/>
    <cellStyle name="Input 2 17 3 3 2" xfId="42462" xr:uid="{00000000-0005-0000-0000-00009C590000}"/>
    <cellStyle name="Input 2 17 3 3 3" xfId="41964" xr:uid="{00000000-0005-0000-0000-00009D590000}"/>
    <cellStyle name="Input 2 17 3 3 4" xfId="30937" xr:uid="{00000000-0005-0000-0000-00009E590000}"/>
    <cellStyle name="Input 2 17 3 4" xfId="11790" xr:uid="{00000000-0005-0000-0000-00009F590000}"/>
    <cellStyle name="Input 2 17 3 4 2" xfId="41743" xr:uid="{00000000-0005-0000-0000-0000A0590000}"/>
    <cellStyle name="Input 2 17 3 4 3" xfId="39155" xr:uid="{00000000-0005-0000-0000-0000A1590000}"/>
    <cellStyle name="Input 2 17 3 4 4" xfId="29476" xr:uid="{00000000-0005-0000-0000-0000A2590000}"/>
    <cellStyle name="Input 2 17 3 5" xfId="20075" xr:uid="{00000000-0005-0000-0000-0000A3590000}"/>
    <cellStyle name="Input 2 17 3 5 2" xfId="45612" xr:uid="{00000000-0005-0000-0000-0000A4590000}"/>
    <cellStyle name="Input 2 17 3 5 3" xfId="49518" xr:uid="{00000000-0005-0000-0000-0000A5590000}"/>
    <cellStyle name="Input 2 17 3 5 4" xfId="37569" xr:uid="{00000000-0005-0000-0000-0000A6590000}"/>
    <cellStyle name="Input 2 17 3 6" xfId="12793" xr:uid="{00000000-0005-0000-0000-0000A7590000}"/>
    <cellStyle name="Input 2 17 3 6 2" xfId="42214" xr:uid="{00000000-0005-0000-0000-0000A8590000}"/>
    <cellStyle name="Input 2 17 3 6 3" xfId="39309" xr:uid="{00000000-0005-0000-0000-0000A9590000}"/>
    <cellStyle name="Input 2 17 3 7" xfId="40272" xr:uid="{00000000-0005-0000-0000-0000AA590000}"/>
    <cellStyle name="Input 2 17 3 8" xfId="39230" xr:uid="{00000000-0005-0000-0000-0000AB590000}"/>
    <cellStyle name="Input 2 18" xfId="7046" xr:uid="{00000000-0005-0000-0000-0000AC590000}"/>
    <cellStyle name="Input 2 18 10" xfId="39966" xr:uid="{00000000-0005-0000-0000-0000AD590000}"/>
    <cellStyle name="Input 2 18 2" xfId="10576" xr:uid="{00000000-0005-0000-0000-0000AE590000}"/>
    <cellStyle name="Input 2 18 2 2" xfId="18369" xr:uid="{00000000-0005-0000-0000-0000AF590000}"/>
    <cellStyle name="Input 2 18 2 2 2" xfId="43916" xr:uid="{00000000-0005-0000-0000-0000B0590000}"/>
    <cellStyle name="Input 2 18 2 2 3" xfId="47825" xr:uid="{00000000-0005-0000-0000-0000B1590000}"/>
    <cellStyle name="Input 2 18 2 2 4" xfId="36006" xr:uid="{00000000-0005-0000-0000-0000B2590000}"/>
    <cellStyle name="Input 2 18 2 3" xfId="11494" xr:uid="{00000000-0005-0000-0000-0000B3590000}"/>
    <cellStyle name="Input 2 18 2 3 2" xfId="41505" xr:uid="{00000000-0005-0000-0000-0000B4590000}"/>
    <cellStyle name="Input 2 18 2 3 3" xfId="39172" xr:uid="{00000000-0005-0000-0000-0000B5590000}"/>
    <cellStyle name="Input 2 18 2 3 4" xfId="29209" xr:uid="{00000000-0005-0000-0000-0000B6590000}"/>
    <cellStyle name="Input 2 18 2 4" xfId="18983" xr:uid="{00000000-0005-0000-0000-0000B7590000}"/>
    <cellStyle name="Input 2 18 2 4 2" xfId="44520" xr:uid="{00000000-0005-0000-0000-0000B8590000}"/>
    <cellStyle name="Input 2 18 2 4 3" xfId="48426" xr:uid="{00000000-0005-0000-0000-0000B9590000}"/>
    <cellStyle name="Input 2 18 2 4 4" xfId="36607" xr:uid="{00000000-0005-0000-0000-0000BA590000}"/>
    <cellStyle name="Input 2 18 2 5" xfId="20782" xr:uid="{00000000-0005-0000-0000-0000BB590000}"/>
    <cellStyle name="Input 2 18 2 5 2" xfId="46319" xr:uid="{00000000-0005-0000-0000-0000BC590000}"/>
    <cellStyle name="Input 2 18 2 5 3" xfId="50225" xr:uid="{00000000-0005-0000-0000-0000BD590000}"/>
    <cellStyle name="Input 2 18 2 5 4" xfId="38188" xr:uid="{00000000-0005-0000-0000-0000BE590000}"/>
    <cellStyle name="Input 2 18 2 6" xfId="21435" xr:uid="{00000000-0005-0000-0000-0000BF590000}"/>
    <cellStyle name="Input 2 18 2 6 2" xfId="46972" xr:uid="{00000000-0005-0000-0000-0000C0590000}"/>
    <cellStyle name="Input 2 18 2 6 3" xfId="50878" xr:uid="{00000000-0005-0000-0000-0000C1590000}"/>
    <cellStyle name="Input 2 18 2 7" xfId="40775" xr:uid="{00000000-0005-0000-0000-0000C2590000}"/>
    <cellStyle name="Input 2 18 2 8" xfId="41442" xr:uid="{00000000-0005-0000-0000-0000C3590000}"/>
    <cellStyle name="Input 2 18 3" xfId="10871" xr:uid="{00000000-0005-0000-0000-0000C4590000}"/>
    <cellStyle name="Input 2 18 3 2" xfId="18664" xr:uid="{00000000-0005-0000-0000-0000C5590000}"/>
    <cellStyle name="Input 2 18 3 2 2" xfId="44211" xr:uid="{00000000-0005-0000-0000-0000C6590000}"/>
    <cellStyle name="Input 2 18 3 2 3" xfId="48120" xr:uid="{00000000-0005-0000-0000-0000C7590000}"/>
    <cellStyle name="Input 2 18 3 2 4" xfId="36301" xr:uid="{00000000-0005-0000-0000-0000C8590000}"/>
    <cellStyle name="Input 2 18 3 3" xfId="11519" xr:uid="{00000000-0005-0000-0000-0000C9590000}"/>
    <cellStyle name="Input 2 18 3 3 2" xfId="41530" xr:uid="{00000000-0005-0000-0000-0000CA590000}"/>
    <cellStyle name="Input 2 18 3 3 3" xfId="43710" xr:uid="{00000000-0005-0000-0000-0000CB590000}"/>
    <cellStyle name="Input 2 18 3 3 4" xfId="29234" xr:uid="{00000000-0005-0000-0000-0000CC590000}"/>
    <cellStyle name="Input 2 18 3 4" xfId="18981" xr:uid="{00000000-0005-0000-0000-0000CD590000}"/>
    <cellStyle name="Input 2 18 3 4 2" xfId="44518" xr:uid="{00000000-0005-0000-0000-0000CE590000}"/>
    <cellStyle name="Input 2 18 3 4 3" xfId="48424" xr:uid="{00000000-0005-0000-0000-0000CF590000}"/>
    <cellStyle name="Input 2 18 3 4 4" xfId="36605" xr:uid="{00000000-0005-0000-0000-0000D0590000}"/>
    <cellStyle name="Input 2 18 3 5" xfId="21077" xr:uid="{00000000-0005-0000-0000-0000D1590000}"/>
    <cellStyle name="Input 2 18 3 5 2" xfId="46614" xr:uid="{00000000-0005-0000-0000-0000D2590000}"/>
    <cellStyle name="Input 2 18 3 5 3" xfId="50520" xr:uid="{00000000-0005-0000-0000-0000D3590000}"/>
    <cellStyle name="Input 2 18 3 5 4" xfId="38483" xr:uid="{00000000-0005-0000-0000-0000D4590000}"/>
    <cellStyle name="Input 2 18 3 6" xfId="21730" xr:uid="{00000000-0005-0000-0000-0000D5590000}"/>
    <cellStyle name="Input 2 18 3 6 2" xfId="47267" xr:uid="{00000000-0005-0000-0000-0000D6590000}"/>
    <cellStyle name="Input 2 18 3 6 3" xfId="51173" xr:uid="{00000000-0005-0000-0000-0000D7590000}"/>
    <cellStyle name="Input 2 18 3 7" xfId="41070" xr:uid="{00000000-0005-0000-0000-0000D8590000}"/>
    <cellStyle name="Input 2 18 3 8" xfId="43624" xr:uid="{00000000-0005-0000-0000-0000D9590000}"/>
    <cellStyle name="Input 2 18 4" xfId="14834" xr:uid="{00000000-0005-0000-0000-0000DA590000}"/>
    <cellStyle name="Input 2 18 4 2" xfId="42950" xr:uid="{00000000-0005-0000-0000-0000DB590000}"/>
    <cellStyle name="Input 2 18 4 3" xfId="39433" xr:uid="{00000000-0005-0000-0000-0000DC590000}"/>
    <cellStyle name="Input 2 18 4 4" xfId="32469" xr:uid="{00000000-0005-0000-0000-0000DD590000}"/>
    <cellStyle name="Input 2 18 5" xfId="13103" xr:uid="{00000000-0005-0000-0000-0000DE590000}"/>
    <cellStyle name="Input 2 18 5 2" xfId="42324" xr:uid="{00000000-0005-0000-0000-0000DF590000}"/>
    <cellStyle name="Input 2 18 5 3" xfId="40054" xr:uid="{00000000-0005-0000-0000-0000E0590000}"/>
    <cellStyle name="Input 2 18 5 4" xfId="30752" xr:uid="{00000000-0005-0000-0000-0000E1590000}"/>
    <cellStyle name="Input 2 18 6" xfId="11850" xr:uid="{00000000-0005-0000-0000-0000E2590000}"/>
    <cellStyle name="Input 2 18 6 2" xfId="41768" xr:uid="{00000000-0005-0000-0000-0000E3590000}"/>
    <cellStyle name="Input 2 18 6 3" xfId="47590" xr:uid="{00000000-0005-0000-0000-0000E4590000}"/>
    <cellStyle name="Input 2 18 6 4" xfId="29534" xr:uid="{00000000-0005-0000-0000-0000E5590000}"/>
    <cellStyle name="Input 2 18 7" xfId="19361" xr:uid="{00000000-0005-0000-0000-0000E6590000}"/>
    <cellStyle name="Input 2 18 7 2" xfId="44898" xr:uid="{00000000-0005-0000-0000-0000E7590000}"/>
    <cellStyle name="Input 2 18 7 3" xfId="48804" xr:uid="{00000000-0005-0000-0000-0000E8590000}"/>
    <cellStyle name="Input 2 18 7 4" xfId="36929" xr:uid="{00000000-0005-0000-0000-0000E9590000}"/>
    <cellStyle name="Input 2 18 8" xfId="20619" xr:uid="{00000000-0005-0000-0000-0000EA590000}"/>
    <cellStyle name="Input 2 18 8 2" xfId="46156" xr:uid="{00000000-0005-0000-0000-0000EB590000}"/>
    <cellStyle name="Input 2 18 8 3" xfId="50062" xr:uid="{00000000-0005-0000-0000-0000EC590000}"/>
    <cellStyle name="Input 2 18 9" xfId="39810" xr:uid="{00000000-0005-0000-0000-0000ED590000}"/>
    <cellStyle name="Input 2 19" xfId="1857" xr:uid="{00000000-0005-0000-0000-0000EE590000}"/>
    <cellStyle name="Input 2 2" xfId="1863" xr:uid="{00000000-0005-0000-0000-0000EF590000}"/>
    <cellStyle name="Input 2 2 2" xfId="1864" xr:uid="{00000000-0005-0000-0000-0000F0590000}"/>
    <cellStyle name="Input 2 2 2 2" xfId="7055" xr:uid="{00000000-0005-0000-0000-0000F1590000}"/>
    <cellStyle name="Input 2 2 2 2 10" xfId="42199" xr:uid="{00000000-0005-0000-0000-0000F2590000}"/>
    <cellStyle name="Input 2 2 2 2 2" xfId="10585" xr:uid="{00000000-0005-0000-0000-0000F3590000}"/>
    <cellStyle name="Input 2 2 2 2 2 2" xfId="18378" xr:uid="{00000000-0005-0000-0000-0000F4590000}"/>
    <cellStyle name="Input 2 2 2 2 2 2 2" xfId="43925" xr:uid="{00000000-0005-0000-0000-0000F5590000}"/>
    <cellStyle name="Input 2 2 2 2 2 2 3" xfId="47834" xr:uid="{00000000-0005-0000-0000-0000F6590000}"/>
    <cellStyle name="Input 2 2 2 2 2 2 4" xfId="36015" xr:uid="{00000000-0005-0000-0000-0000F7590000}"/>
    <cellStyle name="Input 2 2 2 2 2 3" xfId="20035" xr:uid="{00000000-0005-0000-0000-0000F8590000}"/>
    <cellStyle name="Input 2 2 2 2 2 3 2" xfId="45572" xr:uid="{00000000-0005-0000-0000-0000F9590000}"/>
    <cellStyle name="Input 2 2 2 2 2 3 3" xfId="49478" xr:uid="{00000000-0005-0000-0000-0000FA590000}"/>
    <cellStyle name="Input 2 2 2 2 2 3 4" xfId="37533" xr:uid="{00000000-0005-0000-0000-0000FB590000}"/>
    <cellStyle name="Input 2 2 2 2 2 4" xfId="20292" xr:uid="{00000000-0005-0000-0000-0000FC590000}"/>
    <cellStyle name="Input 2 2 2 2 2 4 2" xfId="45829" xr:uid="{00000000-0005-0000-0000-0000FD590000}"/>
    <cellStyle name="Input 2 2 2 2 2 4 3" xfId="49735" xr:uid="{00000000-0005-0000-0000-0000FE590000}"/>
    <cellStyle name="Input 2 2 2 2 2 4 4" xfId="37759" xr:uid="{00000000-0005-0000-0000-0000FF590000}"/>
    <cellStyle name="Input 2 2 2 2 2 5" xfId="20791" xr:uid="{00000000-0005-0000-0000-0000005A0000}"/>
    <cellStyle name="Input 2 2 2 2 2 5 2" xfId="46328" xr:uid="{00000000-0005-0000-0000-0000015A0000}"/>
    <cellStyle name="Input 2 2 2 2 2 5 3" xfId="50234" xr:uid="{00000000-0005-0000-0000-0000025A0000}"/>
    <cellStyle name="Input 2 2 2 2 2 5 4" xfId="38197" xr:uid="{00000000-0005-0000-0000-0000035A0000}"/>
    <cellStyle name="Input 2 2 2 2 2 6" xfId="21444" xr:uid="{00000000-0005-0000-0000-0000045A0000}"/>
    <cellStyle name="Input 2 2 2 2 2 6 2" xfId="46981" xr:uid="{00000000-0005-0000-0000-0000055A0000}"/>
    <cellStyle name="Input 2 2 2 2 2 6 3" xfId="50887" xr:uid="{00000000-0005-0000-0000-0000065A0000}"/>
    <cellStyle name="Input 2 2 2 2 2 7" xfId="40784" xr:uid="{00000000-0005-0000-0000-0000075A0000}"/>
    <cellStyle name="Input 2 2 2 2 2 8" xfId="40496" xr:uid="{00000000-0005-0000-0000-0000085A0000}"/>
    <cellStyle name="Input 2 2 2 2 3" xfId="10880" xr:uid="{00000000-0005-0000-0000-0000095A0000}"/>
    <cellStyle name="Input 2 2 2 2 3 2" xfId="18673" xr:uid="{00000000-0005-0000-0000-00000A5A0000}"/>
    <cellStyle name="Input 2 2 2 2 3 2 2" xfId="44220" xr:uid="{00000000-0005-0000-0000-00000B5A0000}"/>
    <cellStyle name="Input 2 2 2 2 3 2 3" xfId="48129" xr:uid="{00000000-0005-0000-0000-00000C5A0000}"/>
    <cellStyle name="Input 2 2 2 2 3 2 4" xfId="36310" xr:uid="{00000000-0005-0000-0000-00000D5A0000}"/>
    <cellStyle name="Input 2 2 2 2 3 3" xfId="13343" xr:uid="{00000000-0005-0000-0000-00000E5A0000}"/>
    <cellStyle name="Input 2 2 2 2 3 3 2" xfId="42513" xr:uid="{00000000-0005-0000-0000-00000F5A0000}"/>
    <cellStyle name="Input 2 2 2 2 3 3 3" xfId="42549" xr:uid="{00000000-0005-0000-0000-0000105A0000}"/>
    <cellStyle name="Input 2 2 2 2 3 3 4" xfId="30983" xr:uid="{00000000-0005-0000-0000-0000115A0000}"/>
    <cellStyle name="Input 2 2 2 2 3 4" xfId="11616" xr:uid="{00000000-0005-0000-0000-0000125A0000}"/>
    <cellStyle name="Input 2 2 2 2 3 4 2" xfId="41627" xr:uid="{00000000-0005-0000-0000-0000135A0000}"/>
    <cellStyle name="Input 2 2 2 2 3 4 3" xfId="43705" xr:uid="{00000000-0005-0000-0000-0000145A0000}"/>
    <cellStyle name="Input 2 2 2 2 3 4 4" xfId="29319" xr:uid="{00000000-0005-0000-0000-0000155A0000}"/>
    <cellStyle name="Input 2 2 2 2 3 5" xfId="21086" xr:uid="{00000000-0005-0000-0000-0000165A0000}"/>
    <cellStyle name="Input 2 2 2 2 3 5 2" xfId="46623" xr:uid="{00000000-0005-0000-0000-0000175A0000}"/>
    <cellStyle name="Input 2 2 2 2 3 5 3" xfId="50529" xr:uid="{00000000-0005-0000-0000-0000185A0000}"/>
    <cellStyle name="Input 2 2 2 2 3 5 4" xfId="38492" xr:uid="{00000000-0005-0000-0000-0000195A0000}"/>
    <cellStyle name="Input 2 2 2 2 3 6" xfId="21739" xr:uid="{00000000-0005-0000-0000-00001A5A0000}"/>
    <cellStyle name="Input 2 2 2 2 3 6 2" xfId="47276" xr:uid="{00000000-0005-0000-0000-00001B5A0000}"/>
    <cellStyle name="Input 2 2 2 2 3 6 3" xfId="51182" xr:uid="{00000000-0005-0000-0000-00001C5A0000}"/>
    <cellStyle name="Input 2 2 2 2 3 7" xfId="41079" xr:uid="{00000000-0005-0000-0000-00001D5A0000}"/>
    <cellStyle name="Input 2 2 2 2 3 8" xfId="40237" xr:uid="{00000000-0005-0000-0000-00001E5A0000}"/>
    <cellStyle name="Input 2 2 2 2 4" xfId="14843" xr:uid="{00000000-0005-0000-0000-00001F5A0000}"/>
    <cellStyle name="Input 2 2 2 2 4 2" xfId="42959" xr:uid="{00000000-0005-0000-0000-0000205A0000}"/>
    <cellStyle name="Input 2 2 2 2 4 3" xfId="42782" xr:uid="{00000000-0005-0000-0000-0000215A0000}"/>
    <cellStyle name="Input 2 2 2 2 4 4" xfId="32478" xr:uid="{00000000-0005-0000-0000-0000225A0000}"/>
    <cellStyle name="Input 2 2 2 2 5" xfId="13109" xr:uid="{00000000-0005-0000-0000-0000235A0000}"/>
    <cellStyle name="Input 2 2 2 2 5 2" xfId="42330" xr:uid="{00000000-0005-0000-0000-0000245A0000}"/>
    <cellStyle name="Input 2 2 2 2 5 3" xfId="43577" xr:uid="{00000000-0005-0000-0000-0000255A0000}"/>
    <cellStyle name="Input 2 2 2 2 5 4" xfId="30758" xr:uid="{00000000-0005-0000-0000-0000265A0000}"/>
    <cellStyle name="Input 2 2 2 2 6" xfId="20277" xr:uid="{00000000-0005-0000-0000-0000275A0000}"/>
    <cellStyle name="Input 2 2 2 2 6 2" xfId="45814" xr:uid="{00000000-0005-0000-0000-0000285A0000}"/>
    <cellStyle name="Input 2 2 2 2 6 3" xfId="49720" xr:uid="{00000000-0005-0000-0000-0000295A0000}"/>
    <cellStyle name="Input 2 2 2 2 6 4" xfId="37745" xr:uid="{00000000-0005-0000-0000-00002A5A0000}"/>
    <cellStyle name="Input 2 2 2 2 7" xfId="11571" xr:uid="{00000000-0005-0000-0000-00002B5A0000}"/>
    <cellStyle name="Input 2 2 2 2 7 2" xfId="41582" xr:uid="{00000000-0005-0000-0000-00002C5A0000}"/>
    <cellStyle name="Input 2 2 2 2 7 3" xfId="43215" xr:uid="{00000000-0005-0000-0000-00002D5A0000}"/>
    <cellStyle name="Input 2 2 2 2 7 4" xfId="29282" xr:uid="{00000000-0005-0000-0000-00002E5A0000}"/>
    <cellStyle name="Input 2 2 2 2 8" xfId="19496" xr:uid="{00000000-0005-0000-0000-00002F5A0000}"/>
    <cellStyle name="Input 2 2 2 2 8 2" xfId="45033" xr:uid="{00000000-0005-0000-0000-0000305A0000}"/>
    <cellStyle name="Input 2 2 2 2 8 3" xfId="48939" xr:uid="{00000000-0005-0000-0000-0000315A0000}"/>
    <cellStyle name="Input 2 2 2 2 9" xfId="39819" xr:uid="{00000000-0005-0000-0000-0000325A0000}"/>
    <cellStyle name="Input 2 2 2 3" xfId="53049" xr:uid="{00000000-0005-0000-0000-0000335A0000}"/>
    <cellStyle name="Input 2 2 3" xfId="1865" xr:uid="{00000000-0005-0000-0000-0000345A0000}"/>
    <cellStyle name="Input 2 2 3 2" xfId="7056" xr:uid="{00000000-0005-0000-0000-0000355A0000}"/>
    <cellStyle name="Input 2 2 3 2 10" xfId="43426" xr:uid="{00000000-0005-0000-0000-0000365A0000}"/>
    <cellStyle name="Input 2 2 3 2 2" xfId="10586" xr:uid="{00000000-0005-0000-0000-0000375A0000}"/>
    <cellStyle name="Input 2 2 3 2 2 2" xfId="18379" xr:uid="{00000000-0005-0000-0000-0000385A0000}"/>
    <cellStyle name="Input 2 2 3 2 2 2 2" xfId="43926" xr:uid="{00000000-0005-0000-0000-0000395A0000}"/>
    <cellStyle name="Input 2 2 3 2 2 2 3" xfId="47835" xr:uid="{00000000-0005-0000-0000-00003A5A0000}"/>
    <cellStyle name="Input 2 2 3 2 2 2 4" xfId="36016" xr:uid="{00000000-0005-0000-0000-00003B5A0000}"/>
    <cellStyle name="Input 2 2 3 2 2 3" xfId="19301" xr:uid="{00000000-0005-0000-0000-00003C5A0000}"/>
    <cellStyle name="Input 2 2 3 2 2 3 2" xfId="44838" xr:uid="{00000000-0005-0000-0000-00003D5A0000}"/>
    <cellStyle name="Input 2 2 3 2 2 3 3" xfId="48744" xr:uid="{00000000-0005-0000-0000-00003E5A0000}"/>
    <cellStyle name="Input 2 2 3 2 2 3 4" xfId="36879" xr:uid="{00000000-0005-0000-0000-00003F5A0000}"/>
    <cellStyle name="Input 2 2 3 2 2 4" xfId="19236" xr:uid="{00000000-0005-0000-0000-0000405A0000}"/>
    <cellStyle name="Input 2 2 3 2 2 4 2" xfId="44773" xr:uid="{00000000-0005-0000-0000-0000415A0000}"/>
    <cellStyle name="Input 2 2 3 2 2 4 3" xfId="48679" xr:uid="{00000000-0005-0000-0000-0000425A0000}"/>
    <cellStyle name="Input 2 2 3 2 2 4 4" xfId="36817" xr:uid="{00000000-0005-0000-0000-0000435A0000}"/>
    <cellStyle name="Input 2 2 3 2 2 5" xfId="20792" xr:uid="{00000000-0005-0000-0000-0000445A0000}"/>
    <cellStyle name="Input 2 2 3 2 2 5 2" xfId="46329" xr:uid="{00000000-0005-0000-0000-0000455A0000}"/>
    <cellStyle name="Input 2 2 3 2 2 5 3" xfId="50235" xr:uid="{00000000-0005-0000-0000-0000465A0000}"/>
    <cellStyle name="Input 2 2 3 2 2 5 4" xfId="38198" xr:uid="{00000000-0005-0000-0000-0000475A0000}"/>
    <cellStyle name="Input 2 2 3 2 2 6" xfId="21445" xr:uid="{00000000-0005-0000-0000-0000485A0000}"/>
    <cellStyle name="Input 2 2 3 2 2 6 2" xfId="46982" xr:uid="{00000000-0005-0000-0000-0000495A0000}"/>
    <cellStyle name="Input 2 2 3 2 2 6 3" xfId="50888" xr:uid="{00000000-0005-0000-0000-00004A5A0000}"/>
    <cellStyle name="Input 2 2 3 2 2 7" xfId="40785" xr:uid="{00000000-0005-0000-0000-00004B5A0000}"/>
    <cellStyle name="Input 2 2 3 2 2 8" xfId="39606" xr:uid="{00000000-0005-0000-0000-00004C5A0000}"/>
    <cellStyle name="Input 2 2 3 2 3" xfId="10881" xr:uid="{00000000-0005-0000-0000-00004D5A0000}"/>
    <cellStyle name="Input 2 2 3 2 3 2" xfId="18674" xr:uid="{00000000-0005-0000-0000-00004E5A0000}"/>
    <cellStyle name="Input 2 2 3 2 3 2 2" xfId="44221" xr:uid="{00000000-0005-0000-0000-00004F5A0000}"/>
    <cellStyle name="Input 2 2 3 2 3 2 3" xfId="48130" xr:uid="{00000000-0005-0000-0000-0000505A0000}"/>
    <cellStyle name="Input 2 2 3 2 3 2 4" xfId="36311" xr:uid="{00000000-0005-0000-0000-0000515A0000}"/>
    <cellStyle name="Input 2 2 3 2 3 3" xfId="12177" xr:uid="{00000000-0005-0000-0000-0000525A0000}"/>
    <cellStyle name="Input 2 2 3 2 3 3 2" xfId="41922" xr:uid="{00000000-0005-0000-0000-0000535A0000}"/>
    <cellStyle name="Input 2 2 3 2 3 3 3" xfId="39322" xr:uid="{00000000-0005-0000-0000-0000545A0000}"/>
    <cellStyle name="Input 2 2 3 2 3 3 4" xfId="29849" xr:uid="{00000000-0005-0000-0000-0000555A0000}"/>
    <cellStyle name="Input 2 2 3 2 3 4" xfId="20361" xr:uid="{00000000-0005-0000-0000-0000565A0000}"/>
    <cellStyle name="Input 2 2 3 2 3 4 2" xfId="45898" xr:uid="{00000000-0005-0000-0000-0000575A0000}"/>
    <cellStyle name="Input 2 2 3 2 3 4 3" xfId="49804" xr:uid="{00000000-0005-0000-0000-0000585A0000}"/>
    <cellStyle name="Input 2 2 3 2 3 4 4" xfId="37817" xr:uid="{00000000-0005-0000-0000-0000595A0000}"/>
    <cellStyle name="Input 2 2 3 2 3 5" xfId="21087" xr:uid="{00000000-0005-0000-0000-00005A5A0000}"/>
    <cellStyle name="Input 2 2 3 2 3 5 2" xfId="46624" xr:uid="{00000000-0005-0000-0000-00005B5A0000}"/>
    <cellStyle name="Input 2 2 3 2 3 5 3" xfId="50530" xr:uid="{00000000-0005-0000-0000-00005C5A0000}"/>
    <cellStyle name="Input 2 2 3 2 3 5 4" xfId="38493" xr:uid="{00000000-0005-0000-0000-00005D5A0000}"/>
    <cellStyle name="Input 2 2 3 2 3 6" xfId="21740" xr:uid="{00000000-0005-0000-0000-00005E5A0000}"/>
    <cellStyle name="Input 2 2 3 2 3 6 2" xfId="47277" xr:uid="{00000000-0005-0000-0000-00005F5A0000}"/>
    <cellStyle name="Input 2 2 3 2 3 6 3" xfId="51183" xr:uid="{00000000-0005-0000-0000-0000605A0000}"/>
    <cellStyle name="Input 2 2 3 2 3 7" xfId="41080" xr:uid="{00000000-0005-0000-0000-0000615A0000}"/>
    <cellStyle name="Input 2 2 3 2 3 8" xfId="39377" xr:uid="{00000000-0005-0000-0000-0000625A0000}"/>
    <cellStyle name="Input 2 2 3 2 4" xfId="14844" xr:uid="{00000000-0005-0000-0000-0000635A0000}"/>
    <cellStyle name="Input 2 2 3 2 4 2" xfId="42960" xr:uid="{00000000-0005-0000-0000-0000645A0000}"/>
    <cellStyle name="Input 2 2 3 2 4 3" xfId="43669" xr:uid="{00000000-0005-0000-0000-0000655A0000}"/>
    <cellStyle name="Input 2 2 3 2 4 4" xfId="32479" xr:uid="{00000000-0005-0000-0000-0000665A0000}"/>
    <cellStyle name="Input 2 2 3 2 5" xfId="13110" xr:uid="{00000000-0005-0000-0000-0000675A0000}"/>
    <cellStyle name="Input 2 2 3 2 5 2" xfId="42331" xr:uid="{00000000-0005-0000-0000-0000685A0000}"/>
    <cellStyle name="Input 2 2 3 2 5 3" xfId="40438" xr:uid="{00000000-0005-0000-0000-0000695A0000}"/>
    <cellStyle name="Input 2 2 3 2 5 4" xfId="30759" xr:uid="{00000000-0005-0000-0000-00006A5A0000}"/>
    <cellStyle name="Input 2 2 3 2 6" xfId="19166" xr:uid="{00000000-0005-0000-0000-00006B5A0000}"/>
    <cellStyle name="Input 2 2 3 2 6 2" xfId="44703" xr:uid="{00000000-0005-0000-0000-00006C5A0000}"/>
    <cellStyle name="Input 2 2 3 2 6 3" xfId="48609" xr:uid="{00000000-0005-0000-0000-00006D5A0000}"/>
    <cellStyle name="Input 2 2 3 2 6 4" xfId="36758" xr:uid="{00000000-0005-0000-0000-00006E5A0000}"/>
    <cellStyle name="Input 2 2 3 2 7" xfId="11694" xr:uid="{00000000-0005-0000-0000-00006F5A0000}"/>
    <cellStyle name="Input 2 2 3 2 7 2" xfId="41701" xr:uid="{00000000-0005-0000-0000-0000705A0000}"/>
    <cellStyle name="Input 2 2 3 2 7 3" xfId="43596" xr:uid="{00000000-0005-0000-0000-0000715A0000}"/>
    <cellStyle name="Input 2 2 3 2 7 4" xfId="29387" xr:uid="{00000000-0005-0000-0000-0000725A0000}"/>
    <cellStyle name="Input 2 2 3 2 8" xfId="20616" xr:uid="{00000000-0005-0000-0000-0000735A0000}"/>
    <cellStyle name="Input 2 2 3 2 8 2" xfId="46153" xr:uid="{00000000-0005-0000-0000-0000745A0000}"/>
    <cellStyle name="Input 2 2 3 2 8 3" xfId="50059" xr:uid="{00000000-0005-0000-0000-0000755A0000}"/>
    <cellStyle name="Input 2 2 3 2 9" xfId="39820" xr:uid="{00000000-0005-0000-0000-0000765A0000}"/>
    <cellStyle name="Input 2 2 3 3" xfId="22923" xr:uid="{00000000-0005-0000-0000-0000775A0000}"/>
    <cellStyle name="Input 2 2 3 3 2" xfId="47619" xr:uid="{00000000-0005-0000-0000-0000785A0000}"/>
    <cellStyle name="Input 2 2 3 3 3" xfId="51434" xr:uid="{00000000-0005-0000-0000-0000795A0000}"/>
    <cellStyle name="Input 2 2 3 3 4" xfId="39033" xr:uid="{00000000-0005-0000-0000-00007A5A0000}"/>
    <cellStyle name="Input 2 2 3 4" xfId="23063" xr:uid="{00000000-0005-0000-0000-00007B5A0000}"/>
    <cellStyle name="Input 2 2 3 4 2" xfId="47663" xr:uid="{00000000-0005-0000-0000-00007C5A0000}"/>
    <cellStyle name="Input 2 2 3 4 3" xfId="51474" xr:uid="{00000000-0005-0000-0000-00007D5A0000}"/>
    <cellStyle name="Input 2 2 3 5" xfId="53050" xr:uid="{00000000-0005-0000-0000-00007E5A0000}"/>
    <cellStyle name="Input 2 2 4" xfId="4233" xr:uid="{00000000-0005-0000-0000-00007F5A0000}"/>
    <cellStyle name="Input 2 2 4 2" xfId="7057" xr:uid="{00000000-0005-0000-0000-0000805A0000}"/>
    <cellStyle name="Input 2 2 4 2 10" xfId="40288" xr:uid="{00000000-0005-0000-0000-0000815A0000}"/>
    <cellStyle name="Input 2 2 4 2 2" xfId="10587" xr:uid="{00000000-0005-0000-0000-0000825A0000}"/>
    <cellStyle name="Input 2 2 4 2 2 2" xfId="18380" xr:uid="{00000000-0005-0000-0000-0000835A0000}"/>
    <cellStyle name="Input 2 2 4 2 2 2 2" xfId="43927" xr:uid="{00000000-0005-0000-0000-0000845A0000}"/>
    <cellStyle name="Input 2 2 4 2 2 2 3" xfId="47836" xr:uid="{00000000-0005-0000-0000-0000855A0000}"/>
    <cellStyle name="Input 2 2 4 2 2 2 4" xfId="36017" xr:uid="{00000000-0005-0000-0000-0000865A0000}"/>
    <cellStyle name="Input 2 2 4 2 2 3" xfId="19910" xr:uid="{00000000-0005-0000-0000-0000875A0000}"/>
    <cellStyle name="Input 2 2 4 2 2 3 2" xfId="45447" xr:uid="{00000000-0005-0000-0000-0000885A0000}"/>
    <cellStyle name="Input 2 2 4 2 2 3 3" xfId="49353" xr:uid="{00000000-0005-0000-0000-0000895A0000}"/>
    <cellStyle name="Input 2 2 4 2 2 3 4" xfId="37424" xr:uid="{00000000-0005-0000-0000-00008A5A0000}"/>
    <cellStyle name="Input 2 2 4 2 2 4" xfId="12058" xr:uid="{00000000-0005-0000-0000-00008B5A0000}"/>
    <cellStyle name="Input 2 2 4 2 2 4 2" xfId="41812" xr:uid="{00000000-0005-0000-0000-00008C5A0000}"/>
    <cellStyle name="Input 2 2 4 2 2 4 3" xfId="43285" xr:uid="{00000000-0005-0000-0000-00008D5A0000}"/>
    <cellStyle name="Input 2 2 4 2 2 4 4" xfId="29737" xr:uid="{00000000-0005-0000-0000-00008E5A0000}"/>
    <cellStyle name="Input 2 2 4 2 2 5" xfId="20793" xr:uid="{00000000-0005-0000-0000-00008F5A0000}"/>
    <cellStyle name="Input 2 2 4 2 2 5 2" xfId="46330" xr:uid="{00000000-0005-0000-0000-0000905A0000}"/>
    <cellStyle name="Input 2 2 4 2 2 5 3" xfId="50236" xr:uid="{00000000-0005-0000-0000-0000915A0000}"/>
    <cellStyle name="Input 2 2 4 2 2 5 4" xfId="38199" xr:uid="{00000000-0005-0000-0000-0000925A0000}"/>
    <cellStyle name="Input 2 2 4 2 2 6" xfId="21446" xr:uid="{00000000-0005-0000-0000-0000935A0000}"/>
    <cellStyle name="Input 2 2 4 2 2 6 2" xfId="46983" xr:uid="{00000000-0005-0000-0000-0000945A0000}"/>
    <cellStyle name="Input 2 2 4 2 2 6 3" xfId="50889" xr:uid="{00000000-0005-0000-0000-0000955A0000}"/>
    <cellStyle name="Input 2 2 4 2 2 7" xfId="40786" xr:uid="{00000000-0005-0000-0000-0000965A0000}"/>
    <cellStyle name="Input 2 2 4 2 2 8" xfId="42614" xr:uid="{00000000-0005-0000-0000-0000975A0000}"/>
    <cellStyle name="Input 2 2 4 2 3" xfId="10882" xr:uid="{00000000-0005-0000-0000-0000985A0000}"/>
    <cellStyle name="Input 2 2 4 2 3 2" xfId="18675" xr:uid="{00000000-0005-0000-0000-0000995A0000}"/>
    <cellStyle name="Input 2 2 4 2 3 2 2" xfId="44222" xr:uid="{00000000-0005-0000-0000-00009A5A0000}"/>
    <cellStyle name="Input 2 2 4 2 3 2 3" xfId="48131" xr:uid="{00000000-0005-0000-0000-00009B5A0000}"/>
    <cellStyle name="Input 2 2 4 2 3 2 4" xfId="36312" xr:uid="{00000000-0005-0000-0000-00009C5A0000}"/>
    <cellStyle name="Input 2 2 4 2 3 3" xfId="13344" xr:uid="{00000000-0005-0000-0000-00009D5A0000}"/>
    <cellStyle name="Input 2 2 4 2 3 3 2" xfId="42514" xr:uid="{00000000-0005-0000-0000-00009E5A0000}"/>
    <cellStyle name="Input 2 2 4 2 3 3 3" xfId="43460" xr:uid="{00000000-0005-0000-0000-00009F5A0000}"/>
    <cellStyle name="Input 2 2 4 2 3 3 4" xfId="30984" xr:uid="{00000000-0005-0000-0000-0000A05A0000}"/>
    <cellStyle name="Input 2 2 4 2 3 4" xfId="20300" xr:uid="{00000000-0005-0000-0000-0000A15A0000}"/>
    <cellStyle name="Input 2 2 4 2 3 4 2" xfId="45837" xr:uid="{00000000-0005-0000-0000-0000A25A0000}"/>
    <cellStyle name="Input 2 2 4 2 3 4 3" xfId="49743" xr:uid="{00000000-0005-0000-0000-0000A35A0000}"/>
    <cellStyle name="Input 2 2 4 2 3 4 4" xfId="37766" xr:uid="{00000000-0005-0000-0000-0000A45A0000}"/>
    <cellStyle name="Input 2 2 4 2 3 5" xfId="21088" xr:uid="{00000000-0005-0000-0000-0000A55A0000}"/>
    <cellStyle name="Input 2 2 4 2 3 5 2" xfId="46625" xr:uid="{00000000-0005-0000-0000-0000A65A0000}"/>
    <cellStyle name="Input 2 2 4 2 3 5 3" xfId="50531" xr:uid="{00000000-0005-0000-0000-0000A75A0000}"/>
    <cellStyle name="Input 2 2 4 2 3 5 4" xfId="38494" xr:uid="{00000000-0005-0000-0000-0000A85A0000}"/>
    <cellStyle name="Input 2 2 4 2 3 6" xfId="21741" xr:uid="{00000000-0005-0000-0000-0000A95A0000}"/>
    <cellStyle name="Input 2 2 4 2 3 6 2" xfId="47278" xr:uid="{00000000-0005-0000-0000-0000AA5A0000}"/>
    <cellStyle name="Input 2 2 4 2 3 6 3" xfId="51184" xr:uid="{00000000-0005-0000-0000-0000AB5A0000}"/>
    <cellStyle name="Input 2 2 4 2 3 7" xfId="41081" xr:uid="{00000000-0005-0000-0000-0000AC5A0000}"/>
    <cellStyle name="Input 2 2 4 2 3 8" xfId="39187" xr:uid="{00000000-0005-0000-0000-0000AD5A0000}"/>
    <cellStyle name="Input 2 2 4 2 4" xfId="14845" xr:uid="{00000000-0005-0000-0000-0000AE5A0000}"/>
    <cellStyle name="Input 2 2 4 2 4 2" xfId="42961" xr:uid="{00000000-0005-0000-0000-0000AF5A0000}"/>
    <cellStyle name="Input 2 2 4 2 4 3" xfId="40528" xr:uid="{00000000-0005-0000-0000-0000B05A0000}"/>
    <cellStyle name="Input 2 2 4 2 4 4" xfId="32480" xr:uid="{00000000-0005-0000-0000-0000B15A0000}"/>
    <cellStyle name="Input 2 2 4 2 5" xfId="13111" xr:uid="{00000000-0005-0000-0000-0000B25A0000}"/>
    <cellStyle name="Input 2 2 4 2 5 2" xfId="42332" xr:uid="{00000000-0005-0000-0000-0000B35A0000}"/>
    <cellStyle name="Input 2 2 4 2 5 3" xfId="39545" xr:uid="{00000000-0005-0000-0000-0000B45A0000}"/>
    <cellStyle name="Input 2 2 4 2 5 4" xfId="30760" xr:uid="{00000000-0005-0000-0000-0000B55A0000}"/>
    <cellStyle name="Input 2 2 4 2 6" xfId="11172" xr:uid="{00000000-0005-0000-0000-0000B65A0000}"/>
    <cellStyle name="Input 2 2 4 2 6 2" xfId="41295" xr:uid="{00000000-0005-0000-0000-0000B75A0000}"/>
    <cellStyle name="Input 2 2 4 2 6 3" xfId="41419" xr:uid="{00000000-0005-0000-0000-0000B85A0000}"/>
    <cellStyle name="Input 2 2 4 2 6 4" xfId="28900" xr:uid="{00000000-0005-0000-0000-0000B95A0000}"/>
    <cellStyle name="Input 2 2 4 2 7" xfId="19692" xr:uid="{00000000-0005-0000-0000-0000BA5A0000}"/>
    <cellStyle name="Input 2 2 4 2 7 2" xfId="45229" xr:uid="{00000000-0005-0000-0000-0000BB5A0000}"/>
    <cellStyle name="Input 2 2 4 2 7 3" xfId="49135" xr:uid="{00000000-0005-0000-0000-0000BC5A0000}"/>
    <cellStyle name="Input 2 2 4 2 7 4" xfId="37223" xr:uid="{00000000-0005-0000-0000-0000BD5A0000}"/>
    <cellStyle name="Input 2 2 4 2 8" xfId="20315" xr:uid="{00000000-0005-0000-0000-0000BE5A0000}"/>
    <cellStyle name="Input 2 2 4 2 8 2" xfId="45852" xr:uid="{00000000-0005-0000-0000-0000BF5A0000}"/>
    <cellStyle name="Input 2 2 4 2 8 3" xfId="49758" xr:uid="{00000000-0005-0000-0000-0000C05A0000}"/>
    <cellStyle name="Input 2 2 4 2 9" xfId="39821" xr:uid="{00000000-0005-0000-0000-0000C15A0000}"/>
    <cellStyle name="Input 2 2 4 3" xfId="22445" xr:uid="{00000000-0005-0000-0000-0000C25A0000}"/>
    <cellStyle name="Input 2 2 4 3 2" xfId="47530" xr:uid="{00000000-0005-0000-0000-0000C35A0000}"/>
    <cellStyle name="Input 2 2 4 3 3" xfId="51384" xr:uid="{00000000-0005-0000-0000-0000C45A0000}"/>
    <cellStyle name="Input 2 2 4 3 4" xfId="38834" xr:uid="{00000000-0005-0000-0000-0000C55A0000}"/>
    <cellStyle name="Input 2 2 4 4" xfId="23036" xr:uid="{00000000-0005-0000-0000-0000C65A0000}"/>
    <cellStyle name="Input 2 2 4 4 2" xfId="47637" xr:uid="{00000000-0005-0000-0000-0000C75A0000}"/>
    <cellStyle name="Input 2 2 4 4 3" xfId="51448" xr:uid="{00000000-0005-0000-0000-0000C85A0000}"/>
    <cellStyle name="Input 2 2 4 5" xfId="53051" xr:uid="{00000000-0005-0000-0000-0000C95A0000}"/>
    <cellStyle name="Input 2 2 5" xfId="4234" xr:uid="{00000000-0005-0000-0000-0000CA5A0000}"/>
    <cellStyle name="Input 2 2 5 2" xfId="10462" xr:uid="{00000000-0005-0000-0000-0000CB5A0000}"/>
    <cellStyle name="Input 2 2 5 2 2" xfId="18255" xr:uid="{00000000-0005-0000-0000-0000CC5A0000}"/>
    <cellStyle name="Input 2 2 5 2 2 2" xfId="43802" xr:uid="{00000000-0005-0000-0000-0000CD5A0000}"/>
    <cellStyle name="Input 2 2 5 2 2 3" xfId="47711" xr:uid="{00000000-0005-0000-0000-0000CE5A0000}"/>
    <cellStyle name="Input 2 2 5 2 2 4" xfId="35892" xr:uid="{00000000-0005-0000-0000-0000CF5A0000}"/>
    <cellStyle name="Input 2 2 5 2 3" xfId="13319" xr:uid="{00000000-0005-0000-0000-0000D05A0000}"/>
    <cellStyle name="Input 2 2 5 2 3 2" xfId="42489" xr:uid="{00000000-0005-0000-0000-0000D15A0000}"/>
    <cellStyle name="Input 2 2 5 2 3 3" xfId="42793" xr:uid="{00000000-0005-0000-0000-0000D25A0000}"/>
    <cellStyle name="Input 2 2 5 2 3 4" xfId="30959" xr:uid="{00000000-0005-0000-0000-0000D35A0000}"/>
    <cellStyle name="Input 2 2 5 2 4" xfId="20366" xr:uid="{00000000-0005-0000-0000-0000D45A0000}"/>
    <cellStyle name="Input 2 2 5 2 4 2" xfId="45903" xr:uid="{00000000-0005-0000-0000-0000D55A0000}"/>
    <cellStyle name="Input 2 2 5 2 4 3" xfId="49809" xr:uid="{00000000-0005-0000-0000-0000D65A0000}"/>
    <cellStyle name="Input 2 2 5 2 4 4" xfId="37822" xr:uid="{00000000-0005-0000-0000-0000D75A0000}"/>
    <cellStyle name="Input 2 2 5 2 5" xfId="20668" xr:uid="{00000000-0005-0000-0000-0000D85A0000}"/>
    <cellStyle name="Input 2 2 5 2 5 2" xfId="46205" xr:uid="{00000000-0005-0000-0000-0000D95A0000}"/>
    <cellStyle name="Input 2 2 5 2 5 3" xfId="50111" xr:uid="{00000000-0005-0000-0000-0000DA5A0000}"/>
    <cellStyle name="Input 2 2 5 2 5 4" xfId="38074" xr:uid="{00000000-0005-0000-0000-0000DB5A0000}"/>
    <cellStyle name="Input 2 2 5 2 6" xfId="21321" xr:uid="{00000000-0005-0000-0000-0000DC5A0000}"/>
    <cellStyle name="Input 2 2 5 2 6 2" xfId="46858" xr:uid="{00000000-0005-0000-0000-0000DD5A0000}"/>
    <cellStyle name="Input 2 2 5 2 6 3" xfId="50764" xr:uid="{00000000-0005-0000-0000-0000DE5A0000}"/>
    <cellStyle name="Input 2 2 5 2 7" xfId="40661" xr:uid="{00000000-0005-0000-0000-0000DF5A0000}"/>
    <cellStyle name="Input 2 2 5 2 8" xfId="40606" xr:uid="{00000000-0005-0000-0000-0000E05A0000}"/>
    <cellStyle name="Input 2 2 5 3" xfId="8464" xr:uid="{00000000-0005-0000-0000-0000E15A0000}"/>
    <cellStyle name="Input 2 2 5 3 2" xfId="16260" xr:uid="{00000000-0005-0000-0000-0000E25A0000}"/>
    <cellStyle name="Input 2 2 5 3 2 2" xfId="43411" xr:uid="{00000000-0005-0000-0000-0000E35A0000}"/>
    <cellStyle name="Input 2 2 5 3 2 3" xfId="39628" xr:uid="{00000000-0005-0000-0000-0000E45A0000}"/>
    <cellStyle name="Input 2 2 5 3 2 4" xfId="33895" xr:uid="{00000000-0005-0000-0000-0000E55A0000}"/>
    <cellStyle name="Input 2 2 5 3 3" xfId="13900" xr:uid="{00000000-0005-0000-0000-0000E65A0000}"/>
    <cellStyle name="Input 2 2 5 3 3 2" xfId="42635" xr:uid="{00000000-0005-0000-0000-0000E75A0000}"/>
    <cellStyle name="Input 2 2 5 3 3 3" xfId="39644" xr:uid="{00000000-0005-0000-0000-0000E85A0000}"/>
    <cellStyle name="Input 2 2 5 3 3 4" xfId="31540" xr:uid="{00000000-0005-0000-0000-0000E95A0000}"/>
    <cellStyle name="Input 2 2 5 3 4" xfId="12686" xr:uid="{00000000-0005-0000-0000-0000EA5A0000}"/>
    <cellStyle name="Input 2 2 5 3 4 2" xfId="42165" xr:uid="{00000000-0005-0000-0000-0000EB5A0000}"/>
    <cellStyle name="Input 2 2 5 3 4 3" xfId="40190" xr:uid="{00000000-0005-0000-0000-0000EC5A0000}"/>
    <cellStyle name="Input 2 2 5 3 4 4" xfId="30347" xr:uid="{00000000-0005-0000-0000-0000ED5A0000}"/>
    <cellStyle name="Input 2 2 5 3 5" xfId="12094" xr:uid="{00000000-0005-0000-0000-0000EE5A0000}"/>
    <cellStyle name="Input 2 2 5 3 5 2" xfId="41839" xr:uid="{00000000-0005-0000-0000-0000EF5A0000}"/>
    <cellStyle name="Input 2 2 5 3 5 3" xfId="39138" xr:uid="{00000000-0005-0000-0000-0000F05A0000}"/>
    <cellStyle name="Input 2 2 5 3 5 4" xfId="29767" xr:uid="{00000000-0005-0000-0000-0000F15A0000}"/>
    <cellStyle name="Input 2 2 5 3 6" xfId="19822" xr:uid="{00000000-0005-0000-0000-0000F25A0000}"/>
    <cellStyle name="Input 2 2 5 3 6 2" xfId="45359" xr:uid="{00000000-0005-0000-0000-0000F35A0000}"/>
    <cellStyle name="Input 2 2 5 3 6 3" xfId="49265" xr:uid="{00000000-0005-0000-0000-0000F45A0000}"/>
    <cellStyle name="Input 2 2 5 3 7" xfId="40273" xr:uid="{00000000-0005-0000-0000-0000F55A0000}"/>
    <cellStyle name="Input 2 2 5 3 8" xfId="39229" xr:uid="{00000000-0005-0000-0000-0000F65A0000}"/>
    <cellStyle name="Input 2 2 6" xfId="7054" xr:uid="{00000000-0005-0000-0000-0000F75A0000}"/>
    <cellStyle name="Input 2 2 6 10" xfId="39518" xr:uid="{00000000-0005-0000-0000-0000F85A0000}"/>
    <cellStyle name="Input 2 2 6 2" xfId="10584" xr:uid="{00000000-0005-0000-0000-0000F95A0000}"/>
    <cellStyle name="Input 2 2 6 2 2" xfId="18377" xr:uid="{00000000-0005-0000-0000-0000FA5A0000}"/>
    <cellStyle name="Input 2 2 6 2 2 2" xfId="43924" xr:uid="{00000000-0005-0000-0000-0000FB5A0000}"/>
    <cellStyle name="Input 2 2 6 2 2 3" xfId="47833" xr:uid="{00000000-0005-0000-0000-0000FC5A0000}"/>
    <cellStyle name="Input 2 2 6 2 2 4" xfId="36014" xr:uid="{00000000-0005-0000-0000-0000FD5A0000}"/>
    <cellStyle name="Input 2 2 6 2 3" xfId="19428" xr:uid="{00000000-0005-0000-0000-0000FE5A0000}"/>
    <cellStyle name="Input 2 2 6 2 3 2" xfId="44965" xr:uid="{00000000-0005-0000-0000-0000FF5A0000}"/>
    <cellStyle name="Input 2 2 6 2 3 3" xfId="48871" xr:uid="{00000000-0005-0000-0000-0000005B0000}"/>
    <cellStyle name="Input 2 2 6 2 3 4" xfId="36993" xr:uid="{00000000-0005-0000-0000-0000015B0000}"/>
    <cellStyle name="Input 2 2 6 2 4" xfId="20384" xr:uid="{00000000-0005-0000-0000-0000025B0000}"/>
    <cellStyle name="Input 2 2 6 2 4 2" xfId="45921" xr:uid="{00000000-0005-0000-0000-0000035B0000}"/>
    <cellStyle name="Input 2 2 6 2 4 3" xfId="49827" xr:uid="{00000000-0005-0000-0000-0000045B0000}"/>
    <cellStyle name="Input 2 2 6 2 4 4" xfId="37838" xr:uid="{00000000-0005-0000-0000-0000055B0000}"/>
    <cellStyle name="Input 2 2 6 2 5" xfId="20790" xr:uid="{00000000-0005-0000-0000-0000065B0000}"/>
    <cellStyle name="Input 2 2 6 2 5 2" xfId="46327" xr:uid="{00000000-0005-0000-0000-0000075B0000}"/>
    <cellStyle name="Input 2 2 6 2 5 3" xfId="50233" xr:uid="{00000000-0005-0000-0000-0000085B0000}"/>
    <cellStyle name="Input 2 2 6 2 5 4" xfId="38196" xr:uid="{00000000-0005-0000-0000-0000095B0000}"/>
    <cellStyle name="Input 2 2 6 2 6" xfId="21443" xr:uid="{00000000-0005-0000-0000-00000A5B0000}"/>
    <cellStyle name="Input 2 2 6 2 6 2" xfId="46980" xr:uid="{00000000-0005-0000-0000-00000B5B0000}"/>
    <cellStyle name="Input 2 2 6 2 6 3" xfId="50886" xr:uid="{00000000-0005-0000-0000-00000C5B0000}"/>
    <cellStyle name="Input 2 2 6 2 7" xfId="40783" xr:uid="{00000000-0005-0000-0000-00000D5B0000}"/>
    <cellStyle name="Input 2 2 6 2 8" xfId="43638" xr:uid="{00000000-0005-0000-0000-00000E5B0000}"/>
    <cellStyle name="Input 2 2 6 3" xfId="10879" xr:uid="{00000000-0005-0000-0000-00000F5B0000}"/>
    <cellStyle name="Input 2 2 6 3 2" xfId="18672" xr:uid="{00000000-0005-0000-0000-0000105B0000}"/>
    <cellStyle name="Input 2 2 6 3 2 2" xfId="44219" xr:uid="{00000000-0005-0000-0000-0000115B0000}"/>
    <cellStyle name="Input 2 2 6 3 2 3" xfId="48128" xr:uid="{00000000-0005-0000-0000-0000125B0000}"/>
    <cellStyle name="Input 2 2 6 3 2 4" xfId="36309" xr:uid="{00000000-0005-0000-0000-0000135B0000}"/>
    <cellStyle name="Input 2 2 6 3 3" xfId="12176" xr:uid="{00000000-0005-0000-0000-0000145B0000}"/>
    <cellStyle name="Input 2 2 6 3 3 2" xfId="41921" xr:uid="{00000000-0005-0000-0000-0000155B0000}"/>
    <cellStyle name="Input 2 2 6 3 3 3" xfId="40198" xr:uid="{00000000-0005-0000-0000-0000165B0000}"/>
    <cellStyle name="Input 2 2 6 3 3 4" xfId="29848" xr:uid="{00000000-0005-0000-0000-0000175B0000}"/>
    <cellStyle name="Input 2 2 6 3 4" xfId="19512" xr:uid="{00000000-0005-0000-0000-0000185B0000}"/>
    <cellStyle name="Input 2 2 6 3 4 2" xfId="45049" xr:uid="{00000000-0005-0000-0000-0000195B0000}"/>
    <cellStyle name="Input 2 2 6 3 4 3" xfId="48955" xr:uid="{00000000-0005-0000-0000-00001A5B0000}"/>
    <cellStyle name="Input 2 2 6 3 4 4" xfId="37060" xr:uid="{00000000-0005-0000-0000-00001B5B0000}"/>
    <cellStyle name="Input 2 2 6 3 5" xfId="21085" xr:uid="{00000000-0005-0000-0000-00001C5B0000}"/>
    <cellStyle name="Input 2 2 6 3 5 2" xfId="46622" xr:uid="{00000000-0005-0000-0000-00001D5B0000}"/>
    <cellStyle name="Input 2 2 6 3 5 3" xfId="50528" xr:uid="{00000000-0005-0000-0000-00001E5B0000}"/>
    <cellStyle name="Input 2 2 6 3 5 4" xfId="38491" xr:uid="{00000000-0005-0000-0000-00001F5B0000}"/>
    <cellStyle name="Input 2 2 6 3 6" xfId="21738" xr:uid="{00000000-0005-0000-0000-0000205B0000}"/>
    <cellStyle name="Input 2 2 6 3 6 2" xfId="47275" xr:uid="{00000000-0005-0000-0000-0000215B0000}"/>
    <cellStyle name="Input 2 2 6 3 6 3" xfId="51181" xr:uid="{00000000-0005-0000-0000-0000225B0000}"/>
    <cellStyle name="Input 2 2 6 3 7" xfId="41078" xr:uid="{00000000-0005-0000-0000-0000235B0000}"/>
    <cellStyle name="Input 2 2 6 3 8" xfId="43375" xr:uid="{00000000-0005-0000-0000-0000245B0000}"/>
    <cellStyle name="Input 2 2 6 4" xfId="14842" xr:uid="{00000000-0005-0000-0000-0000255B0000}"/>
    <cellStyle name="Input 2 2 6 4 2" xfId="42958" xr:uid="{00000000-0005-0000-0000-0000265B0000}"/>
    <cellStyle name="Input 2 2 6 4 3" xfId="40041" xr:uid="{00000000-0005-0000-0000-0000275B0000}"/>
    <cellStyle name="Input 2 2 6 4 4" xfId="32477" xr:uid="{00000000-0005-0000-0000-0000285B0000}"/>
    <cellStyle name="Input 2 2 6 5" xfId="13108" xr:uid="{00000000-0005-0000-0000-0000295B0000}"/>
    <cellStyle name="Input 2 2 6 5 2" xfId="42329" xr:uid="{00000000-0005-0000-0000-00002A5B0000}"/>
    <cellStyle name="Input 2 2 6 5 3" xfId="42689" xr:uid="{00000000-0005-0000-0000-00002B5B0000}"/>
    <cellStyle name="Input 2 2 6 5 4" xfId="30757" xr:uid="{00000000-0005-0000-0000-00002C5B0000}"/>
    <cellStyle name="Input 2 2 6 6" xfId="20321" xr:uid="{00000000-0005-0000-0000-00002D5B0000}"/>
    <cellStyle name="Input 2 2 6 6 2" xfId="45858" xr:uid="{00000000-0005-0000-0000-00002E5B0000}"/>
    <cellStyle name="Input 2 2 6 6 3" xfId="49764" xr:uid="{00000000-0005-0000-0000-00002F5B0000}"/>
    <cellStyle name="Input 2 2 6 6 4" xfId="37785" xr:uid="{00000000-0005-0000-0000-0000305B0000}"/>
    <cellStyle name="Input 2 2 6 7" xfId="19671" xr:uid="{00000000-0005-0000-0000-0000315B0000}"/>
    <cellStyle name="Input 2 2 6 7 2" xfId="45208" xr:uid="{00000000-0005-0000-0000-0000325B0000}"/>
    <cellStyle name="Input 2 2 6 7 3" xfId="49114" xr:uid="{00000000-0005-0000-0000-0000335B0000}"/>
    <cellStyle name="Input 2 2 6 7 4" xfId="37205" xr:uid="{00000000-0005-0000-0000-0000345B0000}"/>
    <cellStyle name="Input 2 2 6 8" xfId="19499" xr:uid="{00000000-0005-0000-0000-0000355B0000}"/>
    <cellStyle name="Input 2 2 6 8 2" xfId="45036" xr:uid="{00000000-0005-0000-0000-0000365B0000}"/>
    <cellStyle name="Input 2 2 6 8 3" xfId="48942" xr:uid="{00000000-0005-0000-0000-0000375B0000}"/>
    <cellStyle name="Input 2 2 6 9" xfId="39818" xr:uid="{00000000-0005-0000-0000-0000385B0000}"/>
    <cellStyle name="Input 2 2 7" xfId="53048" xr:uid="{00000000-0005-0000-0000-0000395B0000}"/>
    <cellStyle name="Input 2 2_Sheet1" xfId="1866" xr:uid="{00000000-0005-0000-0000-00003A5B0000}"/>
    <cellStyle name="Input 2 20" xfId="52758" xr:uid="{00000000-0005-0000-0000-00003B5B0000}"/>
    <cellStyle name="Input 2 21" xfId="52742" xr:uid="{00000000-0005-0000-0000-00003C5B0000}"/>
    <cellStyle name="Input 2 22" xfId="52755" xr:uid="{00000000-0005-0000-0000-00003D5B0000}"/>
    <cellStyle name="Input 2 23" xfId="52744" xr:uid="{00000000-0005-0000-0000-00003E5B0000}"/>
    <cellStyle name="Input 2 24" xfId="52777" xr:uid="{00000000-0005-0000-0000-00003F5B0000}"/>
    <cellStyle name="Input 2 25" xfId="52740" xr:uid="{00000000-0005-0000-0000-0000405B0000}"/>
    <cellStyle name="Input 2 26" xfId="52753" xr:uid="{00000000-0005-0000-0000-0000415B0000}"/>
    <cellStyle name="Input 2 27" xfId="52779" xr:uid="{00000000-0005-0000-0000-0000425B0000}"/>
    <cellStyle name="Input 2 28" xfId="52819" xr:uid="{00000000-0005-0000-0000-0000435B0000}"/>
    <cellStyle name="Input 2 29" xfId="52797" xr:uid="{00000000-0005-0000-0000-0000445B0000}"/>
    <cellStyle name="Input 2 3" xfId="1867" xr:uid="{00000000-0005-0000-0000-0000455B0000}"/>
    <cellStyle name="Input 2 3 2" xfId="7058" xr:uid="{00000000-0005-0000-0000-0000465B0000}"/>
    <cellStyle name="Input 2 3 2 10" xfId="39822" xr:uid="{00000000-0005-0000-0000-0000475B0000}"/>
    <cellStyle name="Input 2 3 2 11" xfId="39416" xr:uid="{00000000-0005-0000-0000-0000485B0000}"/>
    <cellStyle name="Input 2 3 2 2" xfId="10588" xr:uid="{00000000-0005-0000-0000-0000495B0000}"/>
    <cellStyle name="Input 2 3 2 2 2" xfId="18381" xr:uid="{00000000-0005-0000-0000-00004A5B0000}"/>
    <cellStyle name="Input 2 3 2 2 2 2" xfId="43928" xr:uid="{00000000-0005-0000-0000-00004B5B0000}"/>
    <cellStyle name="Input 2 3 2 2 2 3" xfId="47837" xr:uid="{00000000-0005-0000-0000-00004C5B0000}"/>
    <cellStyle name="Input 2 3 2 2 2 4" xfId="36018" xr:uid="{00000000-0005-0000-0000-00004D5B0000}"/>
    <cellStyle name="Input 2 3 2 2 3" xfId="19133" xr:uid="{00000000-0005-0000-0000-00004E5B0000}"/>
    <cellStyle name="Input 2 3 2 2 3 2" xfId="44670" xr:uid="{00000000-0005-0000-0000-00004F5B0000}"/>
    <cellStyle name="Input 2 3 2 2 3 3" xfId="48576" xr:uid="{00000000-0005-0000-0000-0000505B0000}"/>
    <cellStyle name="Input 2 3 2 2 3 4" xfId="36728" xr:uid="{00000000-0005-0000-0000-0000515B0000}"/>
    <cellStyle name="Input 2 3 2 2 4" xfId="19560" xr:uid="{00000000-0005-0000-0000-0000525B0000}"/>
    <cellStyle name="Input 2 3 2 2 4 2" xfId="45097" xr:uid="{00000000-0005-0000-0000-0000535B0000}"/>
    <cellStyle name="Input 2 3 2 2 4 3" xfId="49003" xr:uid="{00000000-0005-0000-0000-0000545B0000}"/>
    <cellStyle name="Input 2 3 2 2 4 4" xfId="37101" xr:uid="{00000000-0005-0000-0000-0000555B0000}"/>
    <cellStyle name="Input 2 3 2 2 5" xfId="20794" xr:uid="{00000000-0005-0000-0000-0000565B0000}"/>
    <cellStyle name="Input 2 3 2 2 5 2" xfId="46331" xr:uid="{00000000-0005-0000-0000-0000575B0000}"/>
    <cellStyle name="Input 2 3 2 2 5 3" xfId="50237" xr:uid="{00000000-0005-0000-0000-0000585B0000}"/>
    <cellStyle name="Input 2 3 2 2 5 4" xfId="38200" xr:uid="{00000000-0005-0000-0000-0000595B0000}"/>
    <cellStyle name="Input 2 3 2 2 6" xfId="21447" xr:uid="{00000000-0005-0000-0000-00005A5B0000}"/>
    <cellStyle name="Input 2 3 2 2 6 2" xfId="46984" xr:uid="{00000000-0005-0000-0000-00005B5B0000}"/>
    <cellStyle name="Input 2 3 2 2 6 3" xfId="50890" xr:uid="{00000000-0005-0000-0000-00005C5B0000}"/>
    <cellStyle name="Input 2 3 2 2 7" xfId="40787" xr:uid="{00000000-0005-0000-0000-00005D5B0000}"/>
    <cellStyle name="Input 2 3 2 2 8" xfId="43527" xr:uid="{00000000-0005-0000-0000-00005E5B0000}"/>
    <cellStyle name="Input 2 3 2 3" xfId="10883" xr:uid="{00000000-0005-0000-0000-00005F5B0000}"/>
    <cellStyle name="Input 2 3 2 3 2" xfId="18676" xr:uid="{00000000-0005-0000-0000-0000605B0000}"/>
    <cellStyle name="Input 2 3 2 3 2 2" xfId="44223" xr:uid="{00000000-0005-0000-0000-0000615B0000}"/>
    <cellStyle name="Input 2 3 2 3 2 3" xfId="48132" xr:uid="{00000000-0005-0000-0000-0000625B0000}"/>
    <cellStyle name="Input 2 3 2 3 2 4" xfId="36313" xr:uid="{00000000-0005-0000-0000-0000635B0000}"/>
    <cellStyle name="Input 2 3 2 3 3" xfId="13345" xr:uid="{00000000-0005-0000-0000-0000645B0000}"/>
    <cellStyle name="Input 2 3 2 3 3 2" xfId="42515" xr:uid="{00000000-0005-0000-0000-0000655B0000}"/>
    <cellStyle name="Input 2 3 2 3 3 3" xfId="40322" xr:uid="{00000000-0005-0000-0000-0000665B0000}"/>
    <cellStyle name="Input 2 3 2 3 3 4" xfId="30985" xr:uid="{00000000-0005-0000-0000-0000675B0000}"/>
    <cellStyle name="Input 2 3 2 3 4" xfId="11799" xr:uid="{00000000-0005-0000-0000-0000685B0000}"/>
    <cellStyle name="Input 2 3 2 3 4 2" xfId="41749" xr:uid="{00000000-0005-0000-0000-0000695B0000}"/>
    <cellStyle name="Input 2 3 2 3 4 3" xfId="39150" xr:uid="{00000000-0005-0000-0000-00006A5B0000}"/>
    <cellStyle name="Input 2 3 2 3 4 4" xfId="29485" xr:uid="{00000000-0005-0000-0000-00006B5B0000}"/>
    <cellStyle name="Input 2 3 2 3 5" xfId="21089" xr:uid="{00000000-0005-0000-0000-00006C5B0000}"/>
    <cellStyle name="Input 2 3 2 3 5 2" xfId="46626" xr:uid="{00000000-0005-0000-0000-00006D5B0000}"/>
    <cellStyle name="Input 2 3 2 3 5 3" xfId="50532" xr:uid="{00000000-0005-0000-0000-00006E5B0000}"/>
    <cellStyle name="Input 2 3 2 3 5 4" xfId="38495" xr:uid="{00000000-0005-0000-0000-00006F5B0000}"/>
    <cellStyle name="Input 2 3 2 3 6" xfId="21742" xr:uid="{00000000-0005-0000-0000-0000705B0000}"/>
    <cellStyle name="Input 2 3 2 3 6 2" xfId="47279" xr:uid="{00000000-0005-0000-0000-0000715B0000}"/>
    <cellStyle name="Input 2 3 2 3 6 3" xfId="51185" xr:uid="{00000000-0005-0000-0000-0000725B0000}"/>
    <cellStyle name="Input 2 3 2 3 7" xfId="41082" xr:uid="{00000000-0005-0000-0000-0000735B0000}"/>
    <cellStyle name="Input 2 3 2 3 8" xfId="41428" xr:uid="{00000000-0005-0000-0000-0000745B0000}"/>
    <cellStyle name="Input 2 3 2 4" xfId="14846" xr:uid="{00000000-0005-0000-0000-0000755B0000}"/>
    <cellStyle name="Input 2 3 2 4 2" xfId="42962" xr:uid="{00000000-0005-0000-0000-0000765B0000}"/>
    <cellStyle name="Input 2 3 2 4 3" xfId="39636" xr:uid="{00000000-0005-0000-0000-0000775B0000}"/>
    <cellStyle name="Input 2 3 2 4 4" xfId="32481" xr:uid="{00000000-0005-0000-0000-0000785B0000}"/>
    <cellStyle name="Input 2 3 2 5" xfId="13112" xr:uid="{00000000-0005-0000-0000-0000795B0000}"/>
    <cellStyle name="Input 2 3 2 5 2" xfId="42333" xr:uid="{00000000-0005-0000-0000-00007A5B0000}"/>
    <cellStyle name="Input 2 3 2 5 3" xfId="42555" xr:uid="{00000000-0005-0000-0000-00007B5B0000}"/>
    <cellStyle name="Input 2 3 2 5 4" xfId="30761" xr:uid="{00000000-0005-0000-0000-00007C5B0000}"/>
    <cellStyle name="Input 2 3 2 6" xfId="19157" xr:uid="{00000000-0005-0000-0000-00007D5B0000}"/>
    <cellStyle name="Input 2 3 2 6 2" xfId="44694" xr:uid="{00000000-0005-0000-0000-00007E5B0000}"/>
    <cellStyle name="Input 2 3 2 6 3" xfId="48600" xr:uid="{00000000-0005-0000-0000-00007F5B0000}"/>
    <cellStyle name="Input 2 3 2 6 4" xfId="36749" xr:uid="{00000000-0005-0000-0000-0000805B0000}"/>
    <cellStyle name="Input 2 3 2 7" xfId="20517" xr:uid="{00000000-0005-0000-0000-0000815B0000}"/>
    <cellStyle name="Input 2 3 2 7 2" xfId="46054" xr:uid="{00000000-0005-0000-0000-0000825B0000}"/>
    <cellStyle name="Input 2 3 2 7 3" xfId="49960" xr:uid="{00000000-0005-0000-0000-0000835B0000}"/>
    <cellStyle name="Input 2 3 2 7 4" xfId="37951" xr:uid="{00000000-0005-0000-0000-0000845B0000}"/>
    <cellStyle name="Input 2 3 2 8" xfId="11377" xr:uid="{00000000-0005-0000-0000-0000855B0000}"/>
    <cellStyle name="Input 2 3 2 8 2" xfId="41413" xr:uid="{00000000-0005-0000-0000-0000865B0000}"/>
    <cellStyle name="Input 2 3 2 8 3" xfId="40220" xr:uid="{00000000-0005-0000-0000-0000875B0000}"/>
    <cellStyle name="Input 2 3 2 9" xfId="22447" xr:uid="{00000000-0005-0000-0000-0000885B0000}"/>
    <cellStyle name="Input 2 3 3" xfId="22924" xr:uid="{00000000-0005-0000-0000-0000895B0000}"/>
    <cellStyle name="Input 2 3 3 2" xfId="23064" xr:uid="{00000000-0005-0000-0000-00008A5B0000}"/>
    <cellStyle name="Input 2 3 3 2 2" xfId="47664" xr:uid="{00000000-0005-0000-0000-00008B5B0000}"/>
    <cellStyle name="Input 2 3 3 2 3" xfId="51475" xr:uid="{00000000-0005-0000-0000-00008C5B0000}"/>
    <cellStyle name="Input 2 3 3 3" xfId="47620" xr:uid="{00000000-0005-0000-0000-00008D5B0000}"/>
    <cellStyle name="Input 2 3 3 4" xfId="51435" xr:uid="{00000000-0005-0000-0000-00008E5B0000}"/>
    <cellStyle name="Input 2 3 3 5" xfId="53053" xr:uid="{00000000-0005-0000-0000-00008F5B0000}"/>
    <cellStyle name="Input 2 3 4" xfId="22446" xr:uid="{00000000-0005-0000-0000-0000905B0000}"/>
    <cellStyle name="Input 2 3 5" xfId="53052" xr:uid="{00000000-0005-0000-0000-0000915B0000}"/>
    <cellStyle name="Input 2 30" xfId="52822" xr:uid="{00000000-0005-0000-0000-0000925B0000}"/>
    <cellStyle name="Input 2 31" xfId="52837" xr:uid="{00000000-0005-0000-0000-0000935B0000}"/>
    <cellStyle name="Input 2 32" xfId="52782" xr:uid="{00000000-0005-0000-0000-0000945B0000}"/>
    <cellStyle name="Input 2 33" xfId="52793" xr:uid="{00000000-0005-0000-0000-0000955B0000}"/>
    <cellStyle name="Input 2 34" xfId="52817" xr:uid="{00000000-0005-0000-0000-0000965B0000}"/>
    <cellStyle name="Input 2 35" xfId="52834" xr:uid="{00000000-0005-0000-0000-0000975B0000}"/>
    <cellStyle name="Input 2 36" xfId="52784" xr:uid="{00000000-0005-0000-0000-0000985B0000}"/>
    <cellStyle name="Input 2 37" xfId="52836" xr:uid="{00000000-0005-0000-0000-0000995B0000}"/>
    <cellStyle name="Input 2 38" xfId="52825" xr:uid="{00000000-0005-0000-0000-00009A5B0000}"/>
    <cellStyle name="Input 2 39" xfId="52799" xr:uid="{00000000-0005-0000-0000-00009B5B0000}"/>
    <cellStyle name="Input 2 4" xfId="1868" xr:uid="{00000000-0005-0000-0000-00009C5B0000}"/>
    <cellStyle name="Input 2 4 2" xfId="7059" xr:uid="{00000000-0005-0000-0000-00009D5B0000}"/>
    <cellStyle name="Input 2 4 2 10" xfId="39251" xr:uid="{00000000-0005-0000-0000-00009E5B0000}"/>
    <cellStyle name="Input 2 4 2 11" xfId="53055" xr:uid="{00000000-0005-0000-0000-00009F5B0000}"/>
    <cellStyle name="Input 2 4 2 2" xfId="10589" xr:uid="{00000000-0005-0000-0000-0000A05B0000}"/>
    <cellStyle name="Input 2 4 2 2 2" xfId="18382" xr:uid="{00000000-0005-0000-0000-0000A15B0000}"/>
    <cellStyle name="Input 2 4 2 2 2 2" xfId="43929" xr:uid="{00000000-0005-0000-0000-0000A25B0000}"/>
    <cellStyle name="Input 2 4 2 2 2 3" xfId="47838" xr:uid="{00000000-0005-0000-0000-0000A35B0000}"/>
    <cellStyle name="Input 2 4 2 2 2 4" xfId="36019" xr:uid="{00000000-0005-0000-0000-0000A45B0000}"/>
    <cellStyle name="Input 2 4 2 2 3" xfId="19752" xr:uid="{00000000-0005-0000-0000-0000A55B0000}"/>
    <cellStyle name="Input 2 4 2 2 3 2" xfId="45289" xr:uid="{00000000-0005-0000-0000-0000A65B0000}"/>
    <cellStyle name="Input 2 4 2 2 3 3" xfId="49195" xr:uid="{00000000-0005-0000-0000-0000A75B0000}"/>
    <cellStyle name="Input 2 4 2 2 3 4" xfId="37279" xr:uid="{00000000-0005-0000-0000-0000A85B0000}"/>
    <cellStyle name="Input 2 4 2 2 4" xfId="19259" xr:uid="{00000000-0005-0000-0000-0000A95B0000}"/>
    <cellStyle name="Input 2 4 2 2 4 2" xfId="44796" xr:uid="{00000000-0005-0000-0000-0000AA5B0000}"/>
    <cellStyle name="Input 2 4 2 2 4 3" xfId="48702" xr:uid="{00000000-0005-0000-0000-0000AB5B0000}"/>
    <cellStyle name="Input 2 4 2 2 4 4" xfId="36837" xr:uid="{00000000-0005-0000-0000-0000AC5B0000}"/>
    <cellStyle name="Input 2 4 2 2 5" xfId="20795" xr:uid="{00000000-0005-0000-0000-0000AD5B0000}"/>
    <cellStyle name="Input 2 4 2 2 5 2" xfId="46332" xr:uid="{00000000-0005-0000-0000-0000AE5B0000}"/>
    <cellStyle name="Input 2 4 2 2 5 3" xfId="50238" xr:uid="{00000000-0005-0000-0000-0000AF5B0000}"/>
    <cellStyle name="Input 2 4 2 2 5 4" xfId="38201" xr:uid="{00000000-0005-0000-0000-0000B05B0000}"/>
    <cellStyle name="Input 2 4 2 2 6" xfId="21448" xr:uid="{00000000-0005-0000-0000-0000B15B0000}"/>
    <cellStyle name="Input 2 4 2 2 6 2" xfId="46985" xr:uid="{00000000-0005-0000-0000-0000B25B0000}"/>
    <cellStyle name="Input 2 4 2 2 6 3" xfId="50891" xr:uid="{00000000-0005-0000-0000-0000B35B0000}"/>
    <cellStyle name="Input 2 4 2 2 7" xfId="40788" xr:uid="{00000000-0005-0000-0000-0000B45B0000}"/>
    <cellStyle name="Input 2 4 2 2 8" xfId="40390" xr:uid="{00000000-0005-0000-0000-0000B55B0000}"/>
    <cellStyle name="Input 2 4 2 3" xfId="10884" xr:uid="{00000000-0005-0000-0000-0000B65B0000}"/>
    <cellStyle name="Input 2 4 2 3 2" xfId="18677" xr:uid="{00000000-0005-0000-0000-0000B75B0000}"/>
    <cellStyle name="Input 2 4 2 3 2 2" xfId="44224" xr:uid="{00000000-0005-0000-0000-0000B85B0000}"/>
    <cellStyle name="Input 2 4 2 3 2 3" xfId="48133" xr:uid="{00000000-0005-0000-0000-0000B95B0000}"/>
    <cellStyle name="Input 2 4 2 3 2 4" xfId="36314" xr:uid="{00000000-0005-0000-0000-0000BA5B0000}"/>
    <cellStyle name="Input 2 4 2 3 3" xfId="13924" xr:uid="{00000000-0005-0000-0000-0000BB5B0000}"/>
    <cellStyle name="Input 2 4 2 3 3 2" xfId="42659" xr:uid="{00000000-0005-0000-0000-0000BC5B0000}"/>
    <cellStyle name="Input 2 4 2 3 3 3" xfId="43567" xr:uid="{00000000-0005-0000-0000-0000BD5B0000}"/>
    <cellStyle name="Input 2 4 2 3 3 4" xfId="31560" xr:uid="{00000000-0005-0000-0000-0000BE5B0000}"/>
    <cellStyle name="Input 2 4 2 3 4" xfId="20297" xr:uid="{00000000-0005-0000-0000-0000BF5B0000}"/>
    <cellStyle name="Input 2 4 2 3 4 2" xfId="45834" xr:uid="{00000000-0005-0000-0000-0000C05B0000}"/>
    <cellStyle name="Input 2 4 2 3 4 3" xfId="49740" xr:uid="{00000000-0005-0000-0000-0000C15B0000}"/>
    <cellStyle name="Input 2 4 2 3 4 4" xfId="37763" xr:uid="{00000000-0005-0000-0000-0000C25B0000}"/>
    <cellStyle name="Input 2 4 2 3 5" xfId="21090" xr:uid="{00000000-0005-0000-0000-0000C35B0000}"/>
    <cellStyle name="Input 2 4 2 3 5 2" xfId="46627" xr:uid="{00000000-0005-0000-0000-0000C45B0000}"/>
    <cellStyle name="Input 2 4 2 3 5 3" xfId="50533" xr:uid="{00000000-0005-0000-0000-0000C55B0000}"/>
    <cellStyle name="Input 2 4 2 3 5 4" xfId="38496" xr:uid="{00000000-0005-0000-0000-0000C65B0000}"/>
    <cellStyle name="Input 2 4 2 3 6" xfId="21743" xr:uid="{00000000-0005-0000-0000-0000C75B0000}"/>
    <cellStyle name="Input 2 4 2 3 6 2" xfId="47280" xr:uid="{00000000-0005-0000-0000-0000C85B0000}"/>
    <cellStyle name="Input 2 4 2 3 6 3" xfId="51186" xr:uid="{00000000-0005-0000-0000-0000C95B0000}"/>
    <cellStyle name="Input 2 4 2 3 7" xfId="41083" xr:uid="{00000000-0005-0000-0000-0000CA5B0000}"/>
    <cellStyle name="Input 2 4 2 3 8" xfId="43231" xr:uid="{00000000-0005-0000-0000-0000CB5B0000}"/>
    <cellStyle name="Input 2 4 2 4" xfId="14847" xr:uid="{00000000-0005-0000-0000-0000CC5B0000}"/>
    <cellStyle name="Input 2 4 2 4 2" xfId="42963" xr:uid="{00000000-0005-0000-0000-0000CD5B0000}"/>
    <cellStyle name="Input 2 4 2 4 3" xfId="42672" xr:uid="{00000000-0005-0000-0000-0000CE5B0000}"/>
    <cellStyle name="Input 2 4 2 4 4" xfId="32482" xr:uid="{00000000-0005-0000-0000-0000CF5B0000}"/>
    <cellStyle name="Input 2 4 2 5" xfId="13113" xr:uid="{00000000-0005-0000-0000-0000D05B0000}"/>
    <cellStyle name="Input 2 4 2 5 2" xfId="42334" xr:uid="{00000000-0005-0000-0000-0000D15B0000}"/>
    <cellStyle name="Input 2 4 2 5 3" xfId="43466" xr:uid="{00000000-0005-0000-0000-0000D25B0000}"/>
    <cellStyle name="Input 2 4 2 5 4" xfId="30762" xr:uid="{00000000-0005-0000-0000-0000D35B0000}"/>
    <cellStyle name="Input 2 4 2 6" xfId="12040" xr:uid="{00000000-0005-0000-0000-0000D45B0000}"/>
    <cellStyle name="Input 2 4 2 6 2" xfId="41796" xr:uid="{00000000-0005-0000-0000-0000D55B0000}"/>
    <cellStyle name="Input 2 4 2 6 3" xfId="40559" xr:uid="{00000000-0005-0000-0000-0000D65B0000}"/>
    <cellStyle name="Input 2 4 2 6 4" xfId="29719" xr:uid="{00000000-0005-0000-0000-0000D75B0000}"/>
    <cellStyle name="Input 2 4 2 7" xfId="20076" xr:uid="{00000000-0005-0000-0000-0000D85B0000}"/>
    <cellStyle name="Input 2 4 2 7 2" xfId="45613" xr:uid="{00000000-0005-0000-0000-0000D95B0000}"/>
    <cellStyle name="Input 2 4 2 7 3" xfId="49519" xr:uid="{00000000-0005-0000-0000-0000DA5B0000}"/>
    <cellStyle name="Input 2 4 2 7 4" xfId="37570" xr:uid="{00000000-0005-0000-0000-0000DB5B0000}"/>
    <cellStyle name="Input 2 4 2 8" xfId="19016" xr:uid="{00000000-0005-0000-0000-0000DC5B0000}"/>
    <cellStyle name="Input 2 4 2 8 2" xfId="44553" xr:uid="{00000000-0005-0000-0000-0000DD5B0000}"/>
    <cellStyle name="Input 2 4 2 8 3" xfId="48459" xr:uid="{00000000-0005-0000-0000-0000DE5B0000}"/>
    <cellStyle name="Input 2 4 2 9" xfId="39823" xr:uid="{00000000-0005-0000-0000-0000DF5B0000}"/>
    <cellStyle name="Input 2 4 3" xfId="22448" xr:uid="{00000000-0005-0000-0000-0000E05B0000}"/>
    <cellStyle name="Input 2 4 4" xfId="53054" xr:uid="{00000000-0005-0000-0000-0000E15B0000}"/>
    <cellStyle name="Input 2 40" xfId="52839" xr:uid="{00000000-0005-0000-0000-0000E25B0000}"/>
    <cellStyle name="Input 2 41" xfId="52801" xr:uid="{00000000-0005-0000-0000-0000E35B0000}"/>
    <cellStyle name="Input 2 42" xfId="52843" xr:uid="{00000000-0005-0000-0000-0000E45B0000}"/>
    <cellStyle name="Input 2 43" xfId="52803" xr:uid="{00000000-0005-0000-0000-0000E55B0000}"/>
    <cellStyle name="Input 2 44" xfId="52789" xr:uid="{00000000-0005-0000-0000-0000E65B0000}"/>
    <cellStyle name="Input 2 45" xfId="52881" xr:uid="{00000000-0005-0000-0000-0000E75B0000}"/>
    <cellStyle name="Input 2 46" xfId="52860" xr:uid="{00000000-0005-0000-0000-0000E85B0000}"/>
    <cellStyle name="Input 2 47" xfId="52879" xr:uid="{00000000-0005-0000-0000-0000E95B0000}"/>
    <cellStyle name="Input 2 48" xfId="52858" xr:uid="{00000000-0005-0000-0000-0000EA5B0000}"/>
    <cellStyle name="Input 2 49" xfId="52877" xr:uid="{00000000-0005-0000-0000-0000EB5B0000}"/>
    <cellStyle name="Input 2 5" xfId="1869" xr:uid="{00000000-0005-0000-0000-0000EC5B0000}"/>
    <cellStyle name="Input 2 5 2" xfId="7060" xr:uid="{00000000-0005-0000-0000-0000ED5B0000}"/>
    <cellStyle name="Input 2 5 2 10" xfId="47603" xr:uid="{00000000-0005-0000-0000-0000EE5B0000}"/>
    <cellStyle name="Input 2 5 2 2" xfId="10590" xr:uid="{00000000-0005-0000-0000-0000EF5B0000}"/>
    <cellStyle name="Input 2 5 2 2 2" xfId="18383" xr:uid="{00000000-0005-0000-0000-0000F05B0000}"/>
    <cellStyle name="Input 2 5 2 2 2 2" xfId="43930" xr:uid="{00000000-0005-0000-0000-0000F15B0000}"/>
    <cellStyle name="Input 2 5 2 2 2 3" xfId="47839" xr:uid="{00000000-0005-0000-0000-0000F25B0000}"/>
    <cellStyle name="Input 2 5 2 2 2 4" xfId="36020" xr:uid="{00000000-0005-0000-0000-0000F35B0000}"/>
    <cellStyle name="Input 2 5 2 2 3" xfId="11497" xr:uid="{00000000-0005-0000-0000-0000F45B0000}"/>
    <cellStyle name="Input 2 5 2 2 3 2" xfId="41508" xr:uid="{00000000-0005-0000-0000-0000F55B0000}"/>
    <cellStyle name="Input 2 5 2 2 3 3" xfId="40076" xr:uid="{00000000-0005-0000-0000-0000F65B0000}"/>
    <cellStyle name="Input 2 5 2 2 3 4" xfId="29212" xr:uid="{00000000-0005-0000-0000-0000F75B0000}"/>
    <cellStyle name="Input 2 5 2 2 4" xfId="19690" xr:uid="{00000000-0005-0000-0000-0000F85B0000}"/>
    <cellStyle name="Input 2 5 2 2 4 2" xfId="45227" xr:uid="{00000000-0005-0000-0000-0000F95B0000}"/>
    <cellStyle name="Input 2 5 2 2 4 3" xfId="49133" xr:uid="{00000000-0005-0000-0000-0000FA5B0000}"/>
    <cellStyle name="Input 2 5 2 2 4 4" xfId="37221" xr:uid="{00000000-0005-0000-0000-0000FB5B0000}"/>
    <cellStyle name="Input 2 5 2 2 5" xfId="20796" xr:uid="{00000000-0005-0000-0000-0000FC5B0000}"/>
    <cellStyle name="Input 2 5 2 2 5 2" xfId="46333" xr:uid="{00000000-0005-0000-0000-0000FD5B0000}"/>
    <cellStyle name="Input 2 5 2 2 5 3" xfId="50239" xr:uid="{00000000-0005-0000-0000-0000FE5B0000}"/>
    <cellStyle name="Input 2 5 2 2 5 4" xfId="38202" xr:uid="{00000000-0005-0000-0000-0000FF5B0000}"/>
    <cellStyle name="Input 2 5 2 2 6" xfId="21449" xr:uid="{00000000-0005-0000-0000-0000005C0000}"/>
    <cellStyle name="Input 2 5 2 2 6 2" xfId="46986" xr:uid="{00000000-0005-0000-0000-0000015C0000}"/>
    <cellStyle name="Input 2 5 2 2 6 3" xfId="50892" xr:uid="{00000000-0005-0000-0000-0000025C0000}"/>
    <cellStyle name="Input 2 5 2 2 7" xfId="40789" xr:uid="{00000000-0005-0000-0000-0000035C0000}"/>
    <cellStyle name="Input 2 5 2 2 8" xfId="39502" xr:uid="{00000000-0005-0000-0000-0000045C0000}"/>
    <cellStyle name="Input 2 5 2 3" xfId="10885" xr:uid="{00000000-0005-0000-0000-0000055C0000}"/>
    <cellStyle name="Input 2 5 2 3 2" xfId="18678" xr:uid="{00000000-0005-0000-0000-0000065C0000}"/>
    <cellStyle name="Input 2 5 2 3 2 2" xfId="44225" xr:uid="{00000000-0005-0000-0000-0000075C0000}"/>
    <cellStyle name="Input 2 5 2 3 2 3" xfId="48134" xr:uid="{00000000-0005-0000-0000-0000085C0000}"/>
    <cellStyle name="Input 2 5 2 3 2 4" xfId="36315" xr:uid="{00000000-0005-0000-0000-0000095C0000}"/>
    <cellStyle name="Input 2 5 2 3 3" xfId="13342" xr:uid="{00000000-0005-0000-0000-00000A5C0000}"/>
    <cellStyle name="Input 2 5 2 3 3 2" xfId="42512" xr:uid="{00000000-0005-0000-0000-00000B5C0000}"/>
    <cellStyle name="Input 2 5 2 3 3 3" xfId="39540" xr:uid="{00000000-0005-0000-0000-00000C5C0000}"/>
    <cellStyle name="Input 2 5 2 3 3 4" xfId="30982" xr:uid="{00000000-0005-0000-0000-00000D5C0000}"/>
    <cellStyle name="Input 2 5 2 3 4" xfId="11617" xr:uid="{00000000-0005-0000-0000-00000E5C0000}"/>
    <cellStyle name="Input 2 5 2 3 4 2" xfId="41628" xr:uid="{00000000-0005-0000-0000-00000F5C0000}"/>
    <cellStyle name="Input 2 5 2 3 4 3" xfId="40563" xr:uid="{00000000-0005-0000-0000-0000105C0000}"/>
    <cellStyle name="Input 2 5 2 3 4 4" xfId="29320" xr:uid="{00000000-0005-0000-0000-0000115C0000}"/>
    <cellStyle name="Input 2 5 2 3 5" xfId="21091" xr:uid="{00000000-0005-0000-0000-0000125C0000}"/>
    <cellStyle name="Input 2 5 2 3 5 2" xfId="46628" xr:uid="{00000000-0005-0000-0000-0000135C0000}"/>
    <cellStyle name="Input 2 5 2 3 5 3" xfId="50534" xr:uid="{00000000-0005-0000-0000-0000145C0000}"/>
    <cellStyle name="Input 2 5 2 3 5 4" xfId="38497" xr:uid="{00000000-0005-0000-0000-0000155C0000}"/>
    <cellStyle name="Input 2 5 2 3 6" xfId="21744" xr:uid="{00000000-0005-0000-0000-0000165C0000}"/>
    <cellStyle name="Input 2 5 2 3 6 2" xfId="47281" xr:uid="{00000000-0005-0000-0000-0000175C0000}"/>
    <cellStyle name="Input 2 5 2 3 6 3" xfId="51187" xr:uid="{00000000-0005-0000-0000-0000185C0000}"/>
    <cellStyle name="Input 2 5 2 3 7" xfId="41084" xr:uid="{00000000-0005-0000-0000-0000195C0000}"/>
    <cellStyle name="Input 2 5 2 3 8" xfId="40090" xr:uid="{00000000-0005-0000-0000-00001A5C0000}"/>
    <cellStyle name="Input 2 5 2 4" xfId="14848" xr:uid="{00000000-0005-0000-0000-00001B5C0000}"/>
    <cellStyle name="Input 2 5 2 4 2" xfId="42964" xr:uid="{00000000-0005-0000-0000-00001C5C0000}"/>
    <cellStyle name="Input 2 5 2 4 3" xfId="43560" xr:uid="{00000000-0005-0000-0000-00001D5C0000}"/>
    <cellStyle name="Input 2 5 2 4 4" xfId="32483" xr:uid="{00000000-0005-0000-0000-00001E5C0000}"/>
    <cellStyle name="Input 2 5 2 5" xfId="13114" xr:uid="{00000000-0005-0000-0000-00001F5C0000}"/>
    <cellStyle name="Input 2 5 2 5 2" xfId="42335" xr:uid="{00000000-0005-0000-0000-0000205C0000}"/>
    <cellStyle name="Input 2 5 2 5 3" xfId="40328" xr:uid="{00000000-0005-0000-0000-0000215C0000}"/>
    <cellStyle name="Input 2 5 2 5 4" xfId="30763" xr:uid="{00000000-0005-0000-0000-0000225C0000}"/>
    <cellStyle name="Input 2 5 2 6" xfId="13317" xr:uid="{00000000-0005-0000-0000-0000235C0000}"/>
    <cellStyle name="Input 2 5 2 6 2" xfId="42487" xr:uid="{00000000-0005-0000-0000-0000245C0000}"/>
    <cellStyle name="Input 2 5 2 6 3" xfId="43313" xr:uid="{00000000-0005-0000-0000-0000255C0000}"/>
    <cellStyle name="Input 2 5 2 6 4" xfId="30957" xr:uid="{00000000-0005-0000-0000-0000265C0000}"/>
    <cellStyle name="Input 2 5 2 7" xfId="19673" xr:uid="{00000000-0005-0000-0000-0000275C0000}"/>
    <cellStyle name="Input 2 5 2 7 2" xfId="45210" xr:uid="{00000000-0005-0000-0000-0000285C0000}"/>
    <cellStyle name="Input 2 5 2 7 3" xfId="49116" xr:uid="{00000000-0005-0000-0000-0000295C0000}"/>
    <cellStyle name="Input 2 5 2 7 4" xfId="37206" xr:uid="{00000000-0005-0000-0000-00002A5C0000}"/>
    <cellStyle name="Input 2 5 2 8" xfId="20208" xr:uid="{00000000-0005-0000-0000-00002B5C0000}"/>
    <cellStyle name="Input 2 5 2 8 2" xfId="45745" xr:uid="{00000000-0005-0000-0000-00002C5C0000}"/>
    <cellStyle name="Input 2 5 2 8 3" xfId="49651" xr:uid="{00000000-0005-0000-0000-00002D5C0000}"/>
    <cellStyle name="Input 2 5 2 9" xfId="39824" xr:uid="{00000000-0005-0000-0000-00002E5C0000}"/>
    <cellStyle name="Input 2 5 3" xfId="53056" xr:uid="{00000000-0005-0000-0000-00002F5C0000}"/>
    <cellStyle name="Input 2 50" xfId="52892" xr:uid="{00000000-0005-0000-0000-0000305C0000}"/>
    <cellStyle name="Input 2 51" xfId="52897" xr:uid="{00000000-0005-0000-0000-0000315C0000}"/>
    <cellStyle name="Input 2 52" xfId="52891" xr:uid="{00000000-0005-0000-0000-0000325C0000}"/>
    <cellStyle name="Input 2 53" xfId="52884" xr:uid="{00000000-0005-0000-0000-0000335C0000}"/>
    <cellStyle name="Input 2 54" xfId="52865" xr:uid="{00000000-0005-0000-0000-0000345C0000}"/>
    <cellStyle name="Input 2 55" xfId="52855" xr:uid="{00000000-0005-0000-0000-0000355C0000}"/>
    <cellStyle name="Input 2 56" xfId="52863" xr:uid="{00000000-0005-0000-0000-0000365C0000}"/>
    <cellStyle name="Input 2 57" xfId="52850" xr:uid="{00000000-0005-0000-0000-0000375C0000}"/>
    <cellStyle name="Input 2 58" xfId="52903" xr:uid="{00000000-0005-0000-0000-0000385C0000}"/>
    <cellStyle name="Input 2 59" xfId="53043" xr:uid="{00000000-0005-0000-0000-0000395C0000}"/>
    <cellStyle name="Input 2 6" xfId="1870" xr:uid="{00000000-0005-0000-0000-00003A5C0000}"/>
    <cellStyle name="Input 2 6 2" xfId="7061" xr:uid="{00000000-0005-0000-0000-00003B5C0000}"/>
    <cellStyle name="Input 2 6 2 10" xfId="41727" xr:uid="{00000000-0005-0000-0000-00003C5C0000}"/>
    <cellStyle name="Input 2 6 2 2" xfId="10591" xr:uid="{00000000-0005-0000-0000-00003D5C0000}"/>
    <cellStyle name="Input 2 6 2 2 2" xfId="18384" xr:uid="{00000000-0005-0000-0000-00003E5C0000}"/>
    <cellStyle name="Input 2 6 2 2 2 2" xfId="43931" xr:uid="{00000000-0005-0000-0000-00003F5C0000}"/>
    <cellStyle name="Input 2 6 2 2 2 3" xfId="47840" xr:uid="{00000000-0005-0000-0000-0000405C0000}"/>
    <cellStyle name="Input 2 6 2 2 2 4" xfId="36021" xr:uid="{00000000-0005-0000-0000-0000415C0000}"/>
    <cellStyle name="Input 2 6 2 2 3" xfId="19753" xr:uid="{00000000-0005-0000-0000-0000425C0000}"/>
    <cellStyle name="Input 2 6 2 2 3 2" xfId="45290" xr:uid="{00000000-0005-0000-0000-0000435C0000}"/>
    <cellStyle name="Input 2 6 2 2 3 3" xfId="49196" xr:uid="{00000000-0005-0000-0000-0000445C0000}"/>
    <cellStyle name="Input 2 6 2 2 3 4" xfId="37280" xr:uid="{00000000-0005-0000-0000-0000455C0000}"/>
    <cellStyle name="Input 2 6 2 2 4" xfId="19064" xr:uid="{00000000-0005-0000-0000-0000465C0000}"/>
    <cellStyle name="Input 2 6 2 2 4 2" xfId="44601" xr:uid="{00000000-0005-0000-0000-0000475C0000}"/>
    <cellStyle name="Input 2 6 2 2 4 3" xfId="48507" xr:uid="{00000000-0005-0000-0000-0000485C0000}"/>
    <cellStyle name="Input 2 6 2 2 4 4" xfId="36663" xr:uid="{00000000-0005-0000-0000-0000495C0000}"/>
    <cellStyle name="Input 2 6 2 2 5" xfId="20797" xr:uid="{00000000-0005-0000-0000-00004A5C0000}"/>
    <cellStyle name="Input 2 6 2 2 5 2" xfId="46334" xr:uid="{00000000-0005-0000-0000-00004B5C0000}"/>
    <cellStyle name="Input 2 6 2 2 5 3" xfId="50240" xr:uid="{00000000-0005-0000-0000-00004C5C0000}"/>
    <cellStyle name="Input 2 6 2 2 5 4" xfId="38203" xr:uid="{00000000-0005-0000-0000-00004D5C0000}"/>
    <cellStyle name="Input 2 6 2 2 6" xfId="21450" xr:uid="{00000000-0005-0000-0000-00004E5C0000}"/>
    <cellStyle name="Input 2 6 2 2 6 2" xfId="46987" xr:uid="{00000000-0005-0000-0000-00004F5C0000}"/>
    <cellStyle name="Input 2 6 2 2 6 3" xfId="50893" xr:uid="{00000000-0005-0000-0000-0000505C0000}"/>
    <cellStyle name="Input 2 6 2 2 7" xfId="40790" xr:uid="{00000000-0005-0000-0000-0000515C0000}"/>
    <cellStyle name="Input 2 6 2 2 8" xfId="42076" xr:uid="{00000000-0005-0000-0000-0000525C0000}"/>
    <cellStyle name="Input 2 6 2 3" xfId="10886" xr:uid="{00000000-0005-0000-0000-0000535C0000}"/>
    <cellStyle name="Input 2 6 2 3 2" xfId="18679" xr:uid="{00000000-0005-0000-0000-0000545C0000}"/>
    <cellStyle name="Input 2 6 2 3 2 2" xfId="44226" xr:uid="{00000000-0005-0000-0000-0000555C0000}"/>
    <cellStyle name="Input 2 6 2 3 2 3" xfId="48135" xr:uid="{00000000-0005-0000-0000-0000565C0000}"/>
    <cellStyle name="Input 2 6 2 3 2 4" xfId="36316" xr:uid="{00000000-0005-0000-0000-0000575C0000}"/>
    <cellStyle name="Input 2 6 2 3 3" xfId="12178" xr:uid="{00000000-0005-0000-0000-0000585C0000}"/>
    <cellStyle name="Input 2 6 2 3 3 2" xfId="41923" xr:uid="{00000000-0005-0000-0000-0000595C0000}"/>
    <cellStyle name="Input 2 6 2 3 3 3" xfId="47490" xr:uid="{00000000-0005-0000-0000-00005A5C0000}"/>
    <cellStyle name="Input 2 6 2 3 3 4" xfId="29850" xr:uid="{00000000-0005-0000-0000-00005B5C0000}"/>
    <cellStyle name="Input 2 6 2 3 4" xfId="18955" xr:uid="{00000000-0005-0000-0000-00005C5C0000}"/>
    <cellStyle name="Input 2 6 2 3 4 2" xfId="44492" xr:uid="{00000000-0005-0000-0000-00005D5C0000}"/>
    <cellStyle name="Input 2 6 2 3 4 3" xfId="48398" xr:uid="{00000000-0005-0000-0000-00005E5C0000}"/>
    <cellStyle name="Input 2 6 2 3 4 4" xfId="36581" xr:uid="{00000000-0005-0000-0000-00005F5C0000}"/>
    <cellStyle name="Input 2 6 2 3 5" xfId="21092" xr:uid="{00000000-0005-0000-0000-0000605C0000}"/>
    <cellStyle name="Input 2 6 2 3 5 2" xfId="46629" xr:uid="{00000000-0005-0000-0000-0000615C0000}"/>
    <cellStyle name="Input 2 6 2 3 5 3" xfId="50535" xr:uid="{00000000-0005-0000-0000-0000625C0000}"/>
    <cellStyle name="Input 2 6 2 3 5 4" xfId="38498" xr:uid="{00000000-0005-0000-0000-0000635C0000}"/>
    <cellStyle name="Input 2 6 2 3 6" xfId="21745" xr:uid="{00000000-0005-0000-0000-0000645C0000}"/>
    <cellStyle name="Input 2 6 2 3 6 2" xfId="47282" xr:uid="{00000000-0005-0000-0000-0000655C0000}"/>
    <cellStyle name="Input 2 6 2 3 6 3" xfId="51188" xr:uid="{00000000-0005-0000-0000-0000665C0000}"/>
    <cellStyle name="Input 2 6 2 3 7" xfId="41085" xr:uid="{00000000-0005-0000-0000-0000675C0000}"/>
    <cellStyle name="Input 2 6 2 3 8" xfId="42838" xr:uid="{00000000-0005-0000-0000-0000685C0000}"/>
    <cellStyle name="Input 2 6 2 4" xfId="14849" xr:uid="{00000000-0005-0000-0000-0000695C0000}"/>
    <cellStyle name="Input 2 6 2 4 2" xfId="42965" xr:uid="{00000000-0005-0000-0000-00006A5C0000}"/>
    <cellStyle name="Input 2 6 2 4 3" xfId="40421" xr:uid="{00000000-0005-0000-0000-00006B5C0000}"/>
    <cellStyle name="Input 2 6 2 4 4" xfId="32484" xr:uid="{00000000-0005-0000-0000-00006C5C0000}"/>
    <cellStyle name="Input 2 6 2 5" xfId="13115" xr:uid="{00000000-0005-0000-0000-00006D5C0000}"/>
    <cellStyle name="Input 2 6 2 5 2" xfId="42336" xr:uid="{00000000-0005-0000-0000-00006E5C0000}"/>
    <cellStyle name="Input 2 6 2 5 3" xfId="39445" xr:uid="{00000000-0005-0000-0000-00006F5C0000}"/>
    <cellStyle name="Input 2 6 2 5 4" xfId="30764" xr:uid="{00000000-0005-0000-0000-0000705C0000}"/>
    <cellStyle name="Input 2 6 2 6" xfId="20210" xr:uid="{00000000-0005-0000-0000-0000715C0000}"/>
    <cellStyle name="Input 2 6 2 6 2" xfId="45747" xr:uid="{00000000-0005-0000-0000-0000725C0000}"/>
    <cellStyle name="Input 2 6 2 6 3" xfId="49653" xr:uid="{00000000-0005-0000-0000-0000735C0000}"/>
    <cellStyle name="Input 2 6 2 6 4" xfId="37689" xr:uid="{00000000-0005-0000-0000-0000745C0000}"/>
    <cellStyle name="Input 2 6 2 7" xfId="20108" xr:uid="{00000000-0005-0000-0000-0000755C0000}"/>
    <cellStyle name="Input 2 6 2 7 2" xfId="45645" xr:uid="{00000000-0005-0000-0000-0000765C0000}"/>
    <cellStyle name="Input 2 6 2 7 3" xfId="49551" xr:uid="{00000000-0005-0000-0000-0000775C0000}"/>
    <cellStyle name="Input 2 6 2 7 4" xfId="37596" xr:uid="{00000000-0005-0000-0000-0000785C0000}"/>
    <cellStyle name="Input 2 6 2 8" xfId="20490" xr:uid="{00000000-0005-0000-0000-0000795C0000}"/>
    <cellStyle name="Input 2 6 2 8 2" xfId="46027" xr:uid="{00000000-0005-0000-0000-00007A5C0000}"/>
    <cellStyle name="Input 2 6 2 8 3" xfId="49933" xr:uid="{00000000-0005-0000-0000-00007B5C0000}"/>
    <cellStyle name="Input 2 6 2 9" xfId="39825" xr:uid="{00000000-0005-0000-0000-00007C5C0000}"/>
    <cellStyle name="Input 2 6 3" xfId="53057" xr:uid="{00000000-0005-0000-0000-00007D5C0000}"/>
    <cellStyle name="Input 2 7" xfId="1871" xr:uid="{00000000-0005-0000-0000-00007E5C0000}"/>
    <cellStyle name="Input 2 7 2" xfId="7062" xr:uid="{00000000-0005-0000-0000-00007F5C0000}"/>
    <cellStyle name="Input 2 7 2 10" xfId="43277" xr:uid="{00000000-0005-0000-0000-0000805C0000}"/>
    <cellStyle name="Input 2 7 2 2" xfId="10592" xr:uid="{00000000-0005-0000-0000-0000815C0000}"/>
    <cellStyle name="Input 2 7 2 2 2" xfId="18385" xr:uid="{00000000-0005-0000-0000-0000825C0000}"/>
    <cellStyle name="Input 2 7 2 2 2 2" xfId="43932" xr:uid="{00000000-0005-0000-0000-0000835C0000}"/>
    <cellStyle name="Input 2 7 2 2 2 3" xfId="47841" xr:uid="{00000000-0005-0000-0000-0000845C0000}"/>
    <cellStyle name="Input 2 7 2 2 2 4" xfId="36022" xr:uid="{00000000-0005-0000-0000-0000855C0000}"/>
    <cellStyle name="Input 2 7 2 2 3" xfId="11496" xr:uid="{00000000-0005-0000-0000-0000865C0000}"/>
    <cellStyle name="Input 2 7 2 2 3 2" xfId="41507" xr:uid="{00000000-0005-0000-0000-0000875C0000}"/>
    <cellStyle name="Input 2 7 2 2 3 3" xfId="43217" xr:uid="{00000000-0005-0000-0000-0000885C0000}"/>
    <cellStyle name="Input 2 7 2 2 3 4" xfId="29211" xr:uid="{00000000-0005-0000-0000-0000895C0000}"/>
    <cellStyle name="Input 2 7 2 2 4" xfId="11599" xr:uid="{00000000-0005-0000-0000-00008A5C0000}"/>
    <cellStyle name="Input 2 7 2 2 4 2" xfId="41610" xr:uid="{00000000-0005-0000-0000-00008B5C0000}"/>
    <cellStyle name="Input 2 7 2 2 4 3" xfId="43600" xr:uid="{00000000-0005-0000-0000-00008C5C0000}"/>
    <cellStyle name="Input 2 7 2 2 4 4" xfId="29306" xr:uid="{00000000-0005-0000-0000-00008D5C0000}"/>
    <cellStyle name="Input 2 7 2 2 5" xfId="20798" xr:uid="{00000000-0005-0000-0000-00008E5C0000}"/>
    <cellStyle name="Input 2 7 2 2 5 2" xfId="46335" xr:uid="{00000000-0005-0000-0000-00008F5C0000}"/>
    <cellStyle name="Input 2 7 2 2 5 3" xfId="50241" xr:uid="{00000000-0005-0000-0000-0000905C0000}"/>
    <cellStyle name="Input 2 7 2 2 5 4" xfId="38204" xr:uid="{00000000-0005-0000-0000-0000915C0000}"/>
    <cellStyle name="Input 2 7 2 2 6" xfId="21451" xr:uid="{00000000-0005-0000-0000-0000925C0000}"/>
    <cellStyle name="Input 2 7 2 2 6 2" xfId="46988" xr:uid="{00000000-0005-0000-0000-0000935C0000}"/>
    <cellStyle name="Input 2 7 2 2 6 3" xfId="50894" xr:uid="{00000000-0005-0000-0000-0000945C0000}"/>
    <cellStyle name="Input 2 7 2 2 7" xfId="40791" xr:uid="{00000000-0005-0000-0000-0000955C0000}"/>
    <cellStyle name="Input 2 7 2 2 8" xfId="43395" xr:uid="{00000000-0005-0000-0000-0000965C0000}"/>
    <cellStyle name="Input 2 7 2 3" xfId="10887" xr:uid="{00000000-0005-0000-0000-0000975C0000}"/>
    <cellStyle name="Input 2 7 2 3 2" xfId="18680" xr:uid="{00000000-0005-0000-0000-0000985C0000}"/>
    <cellStyle name="Input 2 7 2 3 2 2" xfId="44227" xr:uid="{00000000-0005-0000-0000-0000995C0000}"/>
    <cellStyle name="Input 2 7 2 3 2 3" xfId="48136" xr:uid="{00000000-0005-0000-0000-00009A5C0000}"/>
    <cellStyle name="Input 2 7 2 3 2 4" xfId="36317" xr:uid="{00000000-0005-0000-0000-00009B5C0000}"/>
    <cellStyle name="Input 2 7 2 3 3" xfId="12179" xr:uid="{00000000-0005-0000-0000-00009C5C0000}"/>
    <cellStyle name="Input 2 7 2 3 3 2" xfId="41924" xr:uid="{00000000-0005-0000-0000-00009D5C0000}"/>
    <cellStyle name="Input 2 7 2 3 3 3" xfId="39117" xr:uid="{00000000-0005-0000-0000-00009E5C0000}"/>
    <cellStyle name="Input 2 7 2 3 3 4" xfId="29851" xr:uid="{00000000-0005-0000-0000-00009F5C0000}"/>
    <cellStyle name="Input 2 7 2 3 4" xfId="20359" xr:uid="{00000000-0005-0000-0000-0000A05C0000}"/>
    <cellStyle name="Input 2 7 2 3 4 2" xfId="45896" xr:uid="{00000000-0005-0000-0000-0000A15C0000}"/>
    <cellStyle name="Input 2 7 2 3 4 3" xfId="49802" xr:uid="{00000000-0005-0000-0000-0000A25C0000}"/>
    <cellStyle name="Input 2 7 2 3 4 4" xfId="37815" xr:uid="{00000000-0005-0000-0000-0000A35C0000}"/>
    <cellStyle name="Input 2 7 2 3 5" xfId="21093" xr:uid="{00000000-0005-0000-0000-0000A45C0000}"/>
    <cellStyle name="Input 2 7 2 3 5 2" xfId="46630" xr:uid="{00000000-0005-0000-0000-0000A55C0000}"/>
    <cellStyle name="Input 2 7 2 3 5 3" xfId="50536" xr:uid="{00000000-0005-0000-0000-0000A65C0000}"/>
    <cellStyle name="Input 2 7 2 3 5 4" xfId="38499" xr:uid="{00000000-0005-0000-0000-0000A75C0000}"/>
    <cellStyle name="Input 2 7 2 3 6" xfId="21746" xr:uid="{00000000-0005-0000-0000-0000A85C0000}"/>
    <cellStyle name="Input 2 7 2 3 6 2" xfId="47283" xr:uid="{00000000-0005-0000-0000-0000A95C0000}"/>
    <cellStyle name="Input 2 7 2 3 6 3" xfId="51189" xr:uid="{00000000-0005-0000-0000-0000AA5C0000}"/>
    <cellStyle name="Input 2 7 2 3 7" xfId="41086" xr:uid="{00000000-0005-0000-0000-0000AB5C0000}"/>
    <cellStyle name="Input 2 7 2 3 8" xfId="43727" xr:uid="{00000000-0005-0000-0000-0000AC5C0000}"/>
    <cellStyle name="Input 2 7 2 4" xfId="14850" xr:uid="{00000000-0005-0000-0000-0000AD5C0000}"/>
    <cellStyle name="Input 2 7 2 4 2" xfId="42966" xr:uid="{00000000-0005-0000-0000-0000AE5C0000}"/>
    <cellStyle name="Input 2 7 2 4 3" xfId="39530" xr:uid="{00000000-0005-0000-0000-0000AF5C0000}"/>
    <cellStyle name="Input 2 7 2 4 4" xfId="32485" xr:uid="{00000000-0005-0000-0000-0000B05C0000}"/>
    <cellStyle name="Input 2 7 2 5" xfId="13116" xr:uid="{00000000-0005-0000-0000-0000B15C0000}"/>
    <cellStyle name="Input 2 7 2 5 2" xfId="42337" xr:uid="{00000000-0005-0000-0000-0000B25C0000}"/>
    <cellStyle name="Input 2 7 2 5 3" xfId="41971" xr:uid="{00000000-0005-0000-0000-0000B35C0000}"/>
    <cellStyle name="Input 2 7 2 5 4" xfId="30765" xr:uid="{00000000-0005-0000-0000-0000B45C0000}"/>
    <cellStyle name="Input 2 7 2 6" xfId="19532" xr:uid="{00000000-0005-0000-0000-0000B55C0000}"/>
    <cellStyle name="Input 2 7 2 6 2" xfId="45069" xr:uid="{00000000-0005-0000-0000-0000B65C0000}"/>
    <cellStyle name="Input 2 7 2 6 3" xfId="48975" xr:uid="{00000000-0005-0000-0000-0000B75C0000}"/>
    <cellStyle name="Input 2 7 2 6 4" xfId="37079" xr:uid="{00000000-0005-0000-0000-0000B85C0000}"/>
    <cellStyle name="Input 2 7 2 7" xfId="12794" xr:uid="{00000000-0005-0000-0000-0000B95C0000}"/>
    <cellStyle name="Input 2 7 2 7 2" xfId="42215" xr:uid="{00000000-0005-0000-0000-0000BA5C0000}"/>
    <cellStyle name="Input 2 7 2 7 3" xfId="39108" xr:uid="{00000000-0005-0000-0000-0000BB5C0000}"/>
    <cellStyle name="Input 2 7 2 7 4" xfId="30451" xr:uid="{00000000-0005-0000-0000-0000BC5C0000}"/>
    <cellStyle name="Input 2 7 2 8" xfId="12939" xr:uid="{00000000-0005-0000-0000-0000BD5C0000}"/>
    <cellStyle name="Input 2 7 2 8 2" xfId="42259" xr:uid="{00000000-0005-0000-0000-0000BE5C0000}"/>
    <cellStyle name="Input 2 7 2 8 3" xfId="40546" xr:uid="{00000000-0005-0000-0000-0000BF5C0000}"/>
    <cellStyle name="Input 2 7 2 9" xfId="39826" xr:uid="{00000000-0005-0000-0000-0000C05C0000}"/>
    <cellStyle name="Input 2 7 3" xfId="53058" xr:uid="{00000000-0005-0000-0000-0000C15C0000}"/>
    <cellStyle name="Input 2 8" xfId="1872" xr:uid="{00000000-0005-0000-0000-0000C25C0000}"/>
    <cellStyle name="Input 2 8 2" xfId="7063" xr:uid="{00000000-0005-0000-0000-0000C35C0000}"/>
    <cellStyle name="Input 2 8 2 10" xfId="40136" xr:uid="{00000000-0005-0000-0000-0000C45C0000}"/>
    <cellStyle name="Input 2 8 2 2" xfId="10593" xr:uid="{00000000-0005-0000-0000-0000C55C0000}"/>
    <cellStyle name="Input 2 8 2 2 2" xfId="18386" xr:uid="{00000000-0005-0000-0000-0000C65C0000}"/>
    <cellStyle name="Input 2 8 2 2 2 2" xfId="43933" xr:uid="{00000000-0005-0000-0000-0000C75C0000}"/>
    <cellStyle name="Input 2 8 2 2 2 3" xfId="47842" xr:uid="{00000000-0005-0000-0000-0000C85C0000}"/>
    <cellStyle name="Input 2 8 2 2 2 4" xfId="36023" xr:uid="{00000000-0005-0000-0000-0000C95C0000}"/>
    <cellStyle name="Input 2 8 2 2 3" xfId="12161" xr:uid="{00000000-0005-0000-0000-0000CA5C0000}"/>
    <cellStyle name="Input 2 8 2 2 3 2" xfId="41906" xr:uid="{00000000-0005-0000-0000-0000CB5C0000}"/>
    <cellStyle name="Input 2 8 2 2 3 3" xfId="42704" xr:uid="{00000000-0005-0000-0000-0000CC5C0000}"/>
    <cellStyle name="Input 2 8 2 2 3 4" xfId="29833" xr:uid="{00000000-0005-0000-0000-0000CD5C0000}"/>
    <cellStyle name="Input 2 8 2 2 4" xfId="20362" xr:uid="{00000000-0005-0000-0000-0000CE5C0000}"/>
    <cellStyle name="Input 2 8 2 2 4 2" xfId="45899" xr:uid="{00000000-0005-0000-0000-0000CF5C0000}"/>
    <cellStyle name="Input 2 8 2 2 4 3" xfId="49805" xr:uid="{00000000-0005-0000-0000-0000D05C0000}"/>
    <cellStyle name="Input 2 8 2 2 4 4" xfId="37818" xr:uid="{00000000-0005-0000-0000-0000D15C0000}"/>
    <cellStyle name="Input 2 8 2 2 5" xfId="20799" xr:uid="{00000000-0005-0000-0000-0000D25C0000}"/>
    <cellStyle name="Input 2 8 2 2 5 2" xfId="46336" xr:uid="{00000000-0005-0000-0000-0000D35C0000}"/>
    <cellStyle name="Input 2 8 2 2 5 3" xfId="50242" xr:uid="{00000000-0005-0000-0000-0000D45C0000}"/>
    <cellStyle name="Input 2 8 2 2 5 4" xfId="38205" xr:uid="{00000000-0005-0000-0000-0000D55C0000}"/>
    <cellStyle name="Input 2 8 2 2 6" xfId="21452" xr:uid="{00000000-0005-0000-0000-0000D65C0000}"/>
    <cellStyle name="Input 2 8 2 2 6 2" xfId="46989" xr:uid="{00000000-0005-0000-0000-0000D75C0000}"/>
    <cellStyle name="Input 2 8 2 2 6 3" xfId="50895" xr:uid="{00000000-0005-0000-0000-0000D85C0000}"/>
    <cellStyle name="Input 2 8 2 2 7" xfId="40792" xr:uid="{00000000-0005-0000-0000-0000D95C0000}"/>
    <cellStyle name="Input 2 8 2 2 8" xfId="40257" xr:uid="{00000000-0005-0000-0000-0000DA5C0000}"/>
    <cellStyle name="Input 2 8 2 3" xfId="10888" xr:uid="{00000000-0005-0000-0000-0000DB5C0000}"/>
    <cellStyle name="Input 2 8 2 3 2" xfId="18681" xr:uid="{00000000-0005-0000-0000-0000DC5C0000}"/>
    <cellStyle name="Input 2 8 2 3 2 2" xfId="44228" xr:uid="{00000000-0005-0000-0000-0000DD5C0000}"/>
    <cellStyle name="Input 2 8 2 3 2 3" xfId="48137" xr:uid="{00000000-0005-0000-0000-0000DE5C0000}"/>
    <cellStyle name="Input 2 8 2 3 2 4" xfId="36318" xr:uid="{00000000-0005-0000-0000-0000DF5C0000}"/>
    <cellStyle name="Input 2 8 2 3 3" xfId="11521" xr:uid="{00000000-0005-0000-0000-0000E05C0000}"/>
    <cellStyle name="Input 2 8 2 3 3 2" xfId="41532" xr:uid="{00000000-0005-0000-0000-0000E15C0000}"/>
    <cellStyle name="Input 2 8 2 3 3 3" xfId="39679" xr:uid="{00000000-0005-0000-0000-0000E25C0000}"/>
    <cellStyle name="Input 2 8 2 3 3 4" xfId="29236" xr:uid="{00000000-0005-0000-0000-0000E35C0000}"/>
    <cellStyle name="Input 2 8 2 3 4" xfId="20228" xr:uid="{00000000-0005-0000-0000-0000E45C0000}"/>
    <cellStyle name="Input 2 8 2 3 4 2" xfId="45765" xr:uid="{00000000-0005-0000-0000-0000E55C0000}"/>
    <cellStyle name="Input 2 8 2 3 4 3" xfId="49671" xr:uid="{00000000-0005-0000-0000-0000E65C0000}"/>
    <cellStyle name="Input 2 8 2 3 4 4" xfId="37703" xr:uid="{00000000-0005-0000-0000-0000E75C0000}"/>
    <cellStyle name="Input 2 8 2 3 5" xfId="21094" xr:uid="{00000000-0005-0000-0000-0000E85C0000}"/>
    <cellStyle name="Input 2 8 2 3 5 2" xfId="46631" xr:uid="{00000000-0005-0000-0000-0000E95C0000}"/>
    <cellStyle name="Input 2 8 2 3 5 3" xfId="50537" xr:uid="{00000000-0005-0000-0000-0000EA5C0000}"/>
    <cellStyle name="Input 2 8 2 3 5 4" xfId="38500" xr:uid="{00000000-0005-0000-0000-0000EB5C0000}"/>
    <cellStyle name="Input 2 8 2 3 6" xfId="21747" xr:uid="{00000000-0005-0000-0000-0000EC5C0000}"/>
    <cellStyle name="Input 2 8 2 3 6 2" xfId="47284" xr:uid="{00000000-0005-0000-0000-0000ED5C0000}"/>
    <cellStyle name="Input 2 8 2 3 6 3" xfId="51190" xr:uid="{00000000-0005-0000-0000-0000EE5C0000}"/>
    <cellStyle name="Input 2 8 2 3 7" xfId="41087" xr:uid="{00000000-0005-0000-0000-0000EF5C0000}"/>
    <cellStyle name="Input 2 8 2 3 8" xfId="40586" xr:uid="{00000000-0005-0000-0000-0000F05C0000}"/>
    <cellStyle name="Input 2 8 2 4" xfId="14851" xr:uid="{00000000-0005-0000-0000-0000F15C0000}"/>
    <cellStyle name="Input 2 8 2 4 2" xfId="42967" xr:uid="{00000000-0005-0000-0000-0000F25C0000}"/>
    <cellStyle name="Input 2 8 2 4 3" xfId="42540" xr:uid="{00000000-0005-0000-0000-0000F35C0000}"/>
    <cellStyle name="Input 2 8 2 4 4" xfId="32486" xr:uid="{00000000-0005-0000-0000-0000F45C0000}"/>
    <cellStyle name="Input 2 8 2 5" xfId="13117" xr:uid="{00000000-0005-0000-0000-0000F55C0000}"/>
    <cellStyle name="Input 2 8 2 5 2" xfId="42338" xr:uid="{00000000-0005-0000-0000-0000F65C0000}"/>
    <cellStyle name="Input 2 8 2 5 3" xfId="43319" xr:uid="{00000000-0005-0000-0000-0000F75C0000}"/>
    <cellStyle name="Input 2 8 2 5 4" xfId="30766" xr:uid="{00000000-0005-0000-0000-0000F85C0000}"/>
    <cellStyle name="Input 2 8 2 6" xfId="19492" xr:uid="{00000000-0005-0000-0000-0000F95C0000}"/>
    <cellStyle name="Input 2 8 2 6 2" xfId="45029" xr:uid="{00000000-0005-0000-0000-0000FA5C0000}"/>
    <cellStyle name="Input 2 8 2 6 3" xfId="48935" xr:uid="{00000000-0005-0000-0000-0000FB5C0000}"/>
    <cellStyle name="Input 2 8 2 6 4" xfId="37048" xr:uid="{00000000-0005-0000-0000-0000FC5C0000}"/>
    <cellStyle name="Input 2 8 2 7" xfId="12139" xr:uid="{00000000-0005-0000-0000-0000FD5C0000}"/>
    <cellStyle name="Input 2 8 2 7 2" xfId="41884" xr:uid="{00000000-0005-0000-0000-0000FE5C0000}"/>
    <cellStyle name="Input 2 8 2 7 3" xfId="42703" xr:uid="{00000000-0005-0000-0000-0000FF5C0000}"/>
    <cellStyle name="Input 2 8 2 7 4" xfId="29811" xr:uid="{00000000-0005-0000-0000-0000005D0000}"/>
    <cellStyle name="Input 2 8 2 8" xfId="19037" xr:uid="{00000000-0005-0000-0000-0000015D0000}"/>
    <cellStyle name="Input 2 8 2 8 2" xfId="44574" xr:uid="{00000000-0005-0000-0000-0000025D0000}"/>
    <cellStyle name="Input 2 8 2 8 3" xfId="48480" xr:uid="{00000000-0005-0000-0000-0000035D0000}"/>
    <cellStyle name="Input 2 8 2 9" xfId="39827" xr:uid="{00000000-0005-0000-0000-0000045D0000}"/>
    <cellStyle name="Input 2 8 3" xfId="53059" xr:uid="{00000000-0005-0000-0000-0000055D0000}"/>
    <cellStyle name="Input 2 9" xfId="1873" xr:uid="{00000000-0005-0000-0000-0000065D0000}"/>
    <cellStyle name="Input 2 9 2" xfId="7064" xr:uid="{00000000-0005-0000-0000-0000075D0000}"/>
    <cellStyle name="Input 2 9 2 10" xfId="43105" xr:uid="{00000000-0005-0000-0000-0000085D0000}"/>
    <cellStyle name="Input 2 9 2 2" xfId="10594" xr:uid="{00000000-0005-0000-0000-0000095D0000}"/>
    <cellStyle name="Input 2 9 2 2 2" xfId="18387" xr:uid="{00000000-0005-0000-0000-00000A5D0000}"/>
    <cellStyle name="Input 2 9 2 2 2 2" xfId="43934" xr:uid="{00000000-0005-0000-0000-00000B5D0000}"/>
    <cellStyle name="Input 2 9 2 2 2 3" xfId="47843" xr:uid="{00000000-0005-0000-0000-00000C5D0000}"/>
    <cellStyle name="Input 2 9 2 2 2 4" xfId="36024" xr:uid="{00000000-0005-0000-0000-00000D5D0000}"/>
    <cellStyle name="Input 2 9 2 2 3" xfId="19613" xr:uid="{00000000-0005-0000-0000-00000E5D0000}"/>
    <cellStyle name="Input 2 9 2 2 3 2" xfId="45150" xr:uid="{00000000-0005-0000-0000-00000F5D0000}"/>
    <cellStyle name="Input 2 9 2 2 3 3" xfId="49056" xr:uid="{00000000-0005-0000-0000-0000105D0000}"/>
    <cellStyle name="Input 2 9 2 2 3 4" xfId="37153" xr:uid="{00000000-0005-0000-0000-0000115D0000}"/>
    <cellStyle name="Input 2 9 2 2 4" xfId="19056" xr:uid="{00000000-0005-0000-0000-0000125D0000}"/>
    <cellStyle name="Input 2 9 2 2 4 2" xfId="44593" xr:uid="{00000000-0005-0000-0000-0000135D0000}"/>
    <cellStyle name="Input 2 9 2 2 4 3" xfId="48499" xr:uid="{00000000-0005-0000-0000-0000145D0000}"/>
    <cellStyle name="Input 2 9 2 2 4 4" xfId="36656" xr:uid="{00000000-0005-0000-0000-0000155D0000}"/>
    <cellStyle name="Input 2 9 2 2 5" xfId="20800" xr:uid="{00000000-0005-0000-0000-0000165D0000}"/>
    <cellStyle name="Input 2 9 2 2 5 2" xfId="46337" xr:uid="{00000000-0005-0000-0000-0000175D0000}"/>
    <cellStyle name="Input 2 9 2 2 5 3" xfId="50243" xr:uid="{00000000-0005-0000-0000-0000185D0000}"/>
    <cellStyle name="Input 2 9 2 2 5 4" xfId="38206" xr:uid="{00000000-0005-0000-0000-0000195D0000}"/>
    <cellStyle name="Input 2 9 2 2 6" xfId="21453" xr:uid="{00000000-0005-0000-0000-00001A5D0000}"/>
    <cellStyle name="Input 2 9 2 2 6 2" xfId="46990" xr:uid="{00000000-0005-0000-0000-00001B5D0000}"/>
    <cellStyle name="Input 2 9 2 2 6 3" xfId="50896" xr:uid="{00000000-0005-0000-0000-00001C5D0000}"/>
    <cellStyle name="Input 2 9 2 2 7" xfId="40793" xr:uid="{00000000-0005-0000-0000-00001D5D0000}"/>
    <cellStyle name="Input 2 9 2 2 8" xfId="39397" xr:uid="{00000000-0005-0000-0000-00001E5D0000}"/>
    <cellStyle name="Input 2 9 2 3" xfId="10889" xr:uid="{00000000-0005-0000-0000-00001F5D0000}"/>
    <cellStyle name="Input 2 9 2 3 2" xfId="18682" xr:uid="{00000000-0005-0000-0000-0000205D0000}"/>
    <cellStyle name="Input 2 9 2 3 2 2" xfId="44229" xr:uid="{00000000-0005-0000-0000-0000215D0000}"/>
    <cellStyle name="Input 2 9 2 3 2 3" xfId="48138" xr:uid="{00000000-0005-0000-0000-0000225D0000}"/>
    <cellStyle name="Input 2 9 2 3 2 4" xfId="36319" xr:uid="{00000000-0005-0000-0000-0000235D0000}"/>
    <cellStyle name="Input 2 9 2 3 3" xfId="11522" xr:uid="{00000000-0005-0000-0000-0000245D0000}"/>
    <cellStyle name="Input 2 9 2 3 3 2" xfId="41533" xr:uid="{00000000-0005-0000-0000-0000255D0000}"/>
    <cellStyle name="Input 2 9 2 3 3 3" xfId="42716" xr:uid="{00000000-0005-0000-0000-0000265D0000}"/>
    <cellStyle name="Input 2 9 2 3 3 4" xfId="29237" xr:uid="{00000000-0005-0000-0000-0000275D0000}"/>
    <cellStyle name="Input 2 9 2 3 4" xfId="12684" xr:uid="{00000000-0005-0000-0000-0000285D0000}"/>
    <cellStyle name="Input 2 9 2 3 4 2" xfId="42163" xr:uid="{00000000-0005-0000-0000-0000295D0000}"/>
    <cellStyle name="Input 2 9 2 3 4 3" xfId="41979" xr:uid="{00000000-0005-0000-0000-00002A5D0000}"/>
    <cellStyle name="Input 2 9 2 3 4 4" xfId="30346" xr:uid="{00000000-0005-0000-0000-00002B5D0000}"/>
    <cellStyle name="Input 2 9 2 3 5" xfId="21095" xr:uid="{00000000-0005-0000-0000-00002C5D0000}"/>
    <cellStyle name="Input 2 9 2 3 5 2" xfId="46632" xr:uid="{00000000-0005-0000-0000-00002D5D0000}"/>
    <cellStyle name="Input 2 9 2 3 5 3" xfId="50538" xr:uid="{00000000-0005-0000-0000-00002E5D0000}"/>
    <cellStyle name="Input 2 9 2 3 5 4" xfId="38501" xr:uid="{00000000-0005-0000-0000-00002F5D0000}"/>
    <cellStyle name="Input 2 9 2 3 6" xfId="21748" xr:uid="{00000000-0005-0000-0000-0000305D0000}"/>
    <cellStyle name="Input 2 9 2 3 6 2" xfId="47285" xr:uid="{00000000-0005-0000-0000-0000315D0000}"/>
    <cellStyle name="Input 2 9 2 3 6 3" xfId="51191" xr:uid="{00000000-0005-0000-0000-0000325D0000}"/>
    <cellStyle name="Input 2 9 2 3 7" xfId="41088" xr:uid="{00000000-0005-0000-0000-0000335D0000}"/>
    <cellStyle name="Input 2 9 2 3 8" xfId="39697" xr:uid="{00000000-0005-0000-0000-0000345D0000}"/>
    <cellStyle name="Input 2 9 2 4" xfId="14852" xr:uid="{00000000-0005-0000-0000-0000355D0000}"/>
    <cellStyle name="Input 2 9 2 4 2" xfId="42968" xr:uid="{00000000-0005-0000-0000-0000365D0000}"/>
    <cellStyle name="Input 2 9 2 4 3" xfId="43451" xr:uid="{00000000-0005-0000-0000-0000375D0000}"/>
    <cellStyle name="Input 2 9 2 4 4" xfId="32487" xr:uid="{00000000-0005-0000-0000-0000385D0000}"/>
    <cellStyle name="Input 2 9 2 5" xfId="13118" xr:uid="{00000000-0005-0000-0000-0000395D0000}"/>
    <cellStyle name="Input 2 9 2 5 2" xfId="42339" xr:uid="{00000000-0005-0000-0000-00003A5D0000}"/>
    <cellStyle name="Input 2 9 2 5 3" xfId="40179" xr:uid="{00000000-0005-0000-0000-00003B5D0000}"/>
    <cellStyle name="Input 2 9 2 5 4" xfId="30767" xr:uid="{00000000-0005-0000-0000-00003C5D0000}"/>
    <cellStyle name="Input 2 9 2 6" xfId="19790" xr:uid="{00000000-0005-0000-0000-00003D5D0000}"/>
    <cellStyle name="Input 2 9 2 6 2" xfId="45327" xr:uid="{00000000-0005-0000-0000-00003E5D0000}"/>
    <cellStyle name="Input 2 9 2 6 3" xfId="49233" xr:uid="{00000000-0005-0000-0000-00003F5D0000}"/>
    <cellStyle name="Input 2 9 2 6 4" xfId="37314" xr:uid="{00000000-0005-0000-0000-0000405D0000}"/>
    <cellStyle name="Input 2 9 2 7" xfId="18892" xr:uid="{00000000-0005-0000-0000-0000415D0000}"/>
    <cellStyle name="Input 2 9 2 7 2" xfId="44429" xr:uid="{00000000-0005-0000-0000-0000425D0000}"/>
    <cellStyle name="Input 2 9 2 7 3" xfId="48335" xr:uid="{00000000-0005-0000-0000-0000435D0000}"/>
    <cellStyle name="Input 2 9 2 7 4" xfId="36528" xr:uid="{00000000-0005-0000-0000-0000445D0000}"/>
    <cellStyle name="Input 2 9 2 8" xfId="12591" xr:uid="{00000000-0005-0000-0000-0000455D0000}"/>
    <cellStyle name="Input 2 9 2 8 2" xfId="42086" xr:uid="{00000000-0005-0000-0000-0000465D0000}"/>
    <cellStyle name="Input 2 9 2 8 3" xfId="39560" xr:uid="{00000000-0005-0000-0000-0000475D0000}"/>
    <cellStyle name="Input 2 9 2 9" xfId="39828" xr:uid="{00000000-0005-0000-0000-0000485D0000}"/>
    <cellStyle name="Input 2 9 3" xfId="53060" xr:uid="{00000000-0005-0000-0000-0000495D0000}"/>
    <cellStyle name="Input 2_BallGrid" xfId="1874" xr:uid="{00000000-0005-0000-0000-00004A5D0000}"/>
    <cellStyle name="Input 20" xfId="1875" xr:uid="{00000000-0005-0000-0000-00004B5D0000}"/>
    <cellStyle name="Input 20 2" xfId="1876" xr:uid="{00000000-0005-0000-0000-00004C5D0000}"/>
    <cellStyle name="Input 20 2 2" xfId="1877" xr:uid="{00000000-0005-0000-0000-00004D5D0000}"/>
    <cellStyle name="Input 20 2 2 2" xfId="7067" xr:uid="{00000000-0005-0000-0000-00004E5D0000}"/>
    <cellStyle name="Input 20 2 2 2 10" xfId="39965" xr:uid="{00000000-0005-0000-0000-00004F5D0000}"/>
    <cellStyle name="Input 20 2 2 2 2" xfId="10597" xr:uid="{00000000-0005-0000-0000-0000505D0000}"/>
    <cellStyle name="Input 20 2 2 2 2 2" xfId="18390" xr:uid="{00000000-0005-0000-0000-0000515D0000}"/>
    <cellStyle name="Input 20 2 2 2 2 2 2" xfId="43937" xr:uid="{00000000-0005-0000-0000-0000525D0000}"/>
    <cellStyle name="Input 20 2 2 2 2 2 3" xfId="47846" xr:uid="{00000000-0005-0000-0000-0000535D0000}"/>
    <cellStyle name="Input 20 2 2 2 2 2 4" xfId="36027" xr:uid="{00000000-0005-0000-0000-0000545D0000}"/>
    <cellStyle name="Input 20 2 2 2 2 3" xfId="20034" xr:uid="{00000000-0005-0000-0000-0000555D0000}"/>
    <cellStyle name="Input 20 2 2 2 2 3 2" xfId="45571" xr:uid="{00000000-0005-0000-0000-0000565D0000}"/>
    <cellStyle name="Input 20 2 2 2 2 3 3" xfId="49477" xr:uid="{00000000-0005-0000-0000-0000575D0000}"/>
    <cellStyle name="Input 20 2 2 2 2 3 4" xfId="37532" xr:uid="{00000000-0005-0000-0000-0000585D0000}"/>
    <cellStyle name="Input 20 2 2 2 2 4" xfId="19173" xr:uid="{00000000-0005-0000-0000-0000595D0000}"/>
    <cellStyle name="Input 20 2 2 2 2 4 2" xfId="44710" xr:uid="{00000000-0005-0000-0000-00005A5D0000}"/>
    <cellStyle name="Input 20 2 2 2 2 4 3" xfId="48616" xr:uid="{00000000-0005-0000-0000-00005B5D0000}"/>
    <cellStyle name="Input 20 2 2 2 2 4 4" xfId="36764" xr:uid="{00000000-0005-0000-0000-00005C5D0000}"/>
    <cellStyle name="Input 20 2 2 2 2 5" xfId="20803" xr:uid="{00000000-0005-0000-0000-00005D5D0000}"/>
    <cellStyle name="Input 20 2 2 2 2 5 2" xfId="46340" xr:uid="{00000000-0005-0000-0000-00005E5D0000}"/>
    <cellStyle name="Input 20 2 2 2 2 5 3" xfId="50246" xr:uid="{00000000-0005-0000-0000-00005F5D0000}"/>
    <cellStyle name="Input 20 2 2 2 2 5 4" xfId="38209" xr:uid="{00000000-0005-0000-0000-0000605D0000}"/>
    <cellStyle name="Input 20 2 2 2 2 6" xfId="21456" xr:uid="{00000000-0005-0000-0000-0000615D0000}"/>
    <cellStyle name="Input 20 2 2 2 2 6 2" xfId="46993" xr:uid="{00000000-0005-0000-0000-0000625D0000}"/>
    <cellStyle name="Input 20 2 2 2 2 6 3" xfId="50899" xr:uid="{00000000-0005-0000-0000-0000635D0000}"/>
    <cellStyle name="Input 20 2 2 2 2 7" xfId="40796" xr:uid="{00000000-0005-0000-0000-0000645D0000}"/>
    <cellStyle name="Input 20 2 2 2 2 8" xfId="47594" xr:uid="{00000000-0005-0000-0000-0000655D0000}"/>
    <cellStyle name="Input 20 2 2 2 3" xfId="10892" xr:uid="{00000000-0005-0000-0000-0000665D0000}"/>
    <cellStyle name="Input 20 2 2 2 3 2" xfId="18685" xr:uid="{00000000-0005-0000-0000-0000675D0000}"/>
    <cellStyle name="Input 20 2 2 2 3 2 2" xfId="44232" xr:uid="{00000000-0005-0000-0000-0000685D0000}"/>
    <cellStyle name="Input 20 2 2 2 3 2 3" xfId="48141" xr:uid="{00000000-0005-0000-0000-0000695D0000}"/>
    <cellStyle name="Input 20 2 2 2 3 2 4" xfId="36322" xr:uid="{00000000-0005-0000-0000-00006A5D0000}"/>
    <cellStyle name="Input 20 2 2 2 3 3" xfId="13347" xr:uid="{00000000-0005-0000-0000-00006B5D0000}"/>
    <cellStyle name="Input 20 2 2 2 3 3 2" xfId="42517" xr:uid="{00000000-0005-0000-0000-00006C5D0000}"/>
    <cellStyle name="Input 20 2 2 2 3 3 3" xfId="41962" xr:uid="{00000000-0005-0000-0000-00006D5D0000}"/>
    <cellStyle name="Input 20 2 2 2 3 3 4" xfId="30987" xr:uid="{00000000-0005-0000-0000-00006E5D0000}"/>
    <cellStyle name="Input 20 2 2 2 3 4" xfId="18956" xr:uid="{00000000-0005-0000-0000-00006F5D0000}"/>
    <cellStyle name="Input 20 2 2 2 3 4 2" xfId="44493" xr:uid="{00000000-0005-0000-0000-0000705D0000}"/>
    <cellStyle name="Input 20 2 2 2 3 4 3" xfId="48399" xr:uid="{00000000-0005-0000-0000-0000715D0000}"/>
    <cellStyle name="Input 20 2 2 2 3 4 4" xfId="36582" xr:uid="{00000000-0005-0000-0000-0000725D0000}"/>
    <cellStyle name="Input 20 2 2 2 3 5" xfId="21098" xr:uid="{00000000-0005-0000-0000-0000735D0000}"/>
    <cellStyle name="Input 20 2 2 2 3 5 2" xfId="46635" xr:uid="{00000000-0005-0000-0000-0000745D0000}"/>
    <cellStyle name="Input 20 2 2 2 3 5 3" xfId="50541" xr:uid="{00000000-0005-0000-0000-0000755D0000}"/>
    <cellStyle name="Input 20 2 2 2 3 5 4" xfId="38504" xr:uid="{00000000-0005-0000-0000-0000765D0000}"/>
    <cellStyle name="Input 20 2 2 2 3 6" xfId="21751" xr:uid="{00000000-0005-0000-0000-0000775D0000}"/>
    <cellStyle name="Input 20 2 2 2 3 6 2" xfId="47288" xr:uid="{00000000-0005-0000-0000-0000785D0000}"/>
    <cellStyle name="Input 20 2 2 2 3 6 3" xfId="51194" xr:uid="{00000000-0005-0000-0000-0000795D0000}"/>
    <cellStyle name="Input 20 2 2 2 3 7" xfId="41091" xr:uid="{00000000-0005-0000-0000-00007A5D0000}"/>
    <cellStyle name="Input 20 2 2 2 3 8" xfId="40481" xr:uid="{00000000-0005-0000-0000-00007B5D0000}"/>
    <cellStyle name="Input 20 2 2 2 4" xfId="14855" xr:uid="{00000000-0005-0000-0000-00007C5D0000}"/>
    <cellStyle name="Input 20 2 2 2 4 2" xfId="42971" xr:uid="{00000000-0005-0000-0000-00007D5D0000}"/>
    <cellStyle name="Input 20 2 2 2 4 3" xfId="41945" xr:uid="{00000000-0005-0000-0000-00007E5D0000}"/>
    <cellStyle name="Input 20 2 2 2 4 4" xfId="32490" xr:uid="{00000000-0005-0000-0000-00007F5D0000}"/>
    <cellStyle name="Input 20 2 2 2 5" xfId="12024" xr:uid="{00000000-0005-0000-0000-0000805D0000}"/>
    <cellStyle name="Input 20 2 2 2 5 2" xfId="41781" xr:uid="{00000000-0005-0000-0000-0000815D0000}"/>
    <cellStyle name="Input 20 2 2 2 5 3" xfId="39145" xr:uid="{00000000-0005-0000-0000-0000825D0000}"/>
    <cellStyle name="Input 20 2 2 2 5 4" xfId="29706" xr:uid="{00000000-0005-0000-0000-0000835D0000}"/>
    <cellStyle name="Input 20 2 2 2 6" xfId="12041" xr:uid="{00000000-0005-0000-0000-0000845D0000}"/>
    <cellStyle name="Input 20 2 2 2 6 2" xfId="41797" xr:uid="{00000000-0005-0000-0000-0000855D0000}"/>
    <cellStyle name="Input 20 2 2 2 6 3" xfId="39668" xr:uid="{00000000-0005-0000-0000-0000865D0000}"/>
    <cellStyle name="Input 20 2 2 2 6 4" xfId="29720" xr:uid="{00000000-0005-0000-0000-0000875D0000}"/>
    <cellStyle name="Input 20 2 2 2 7" xfId="12247" xr:uid="{00000000-0005-0000-0000-0000885D0000}"/>
    <cellStyle name="Input 20 2 2 2 7 2" xfId="41935" xr:uid="{00000000-0005-0000-0000-0000895D0000}"/>
    <cellStyle name="Input 20 2 2 2 7 3" xfId="43696" xr:uid="{00000000-0005-0000-0000-00008A5D0000}"/>
    <cellStyle name="Input 20 2 2 2 7 4" xfId="29918" xr:uid="{00000000-0005-0000-0000-00008B5D0000}"/>
    <cellStyle name="Input 20 2 2 2 8" xfId="20211" xr:uid="{00000000-0005-0000-0000-00008C5D0000}"/>
    <cellStyle name="Input 20 2 2 2 8 2" xfId="45748" xr:uid="{00000000-0005-0000-0000-00008D5D0000}"/>
    <cellStyle name="Input 20 2 2 2 8 3" xfId="49654" xr:uid="{00000000-0005-0000-0000-00008E5D0000}"/>
    <cellStyle name="Input 20 2 2 2 9" xfId="39831" xr:uid="{00000000-0005-0000-0000-00008F5D0000}"/>
    <cellStyle name="Input 20 2 2 3" xfId="53063" xr:uid="{00000000-0005-0000-0000-0000905D0000}"/>
    <cellStyle name="Input 20 2 3" xfId="7066" xr:uid="{00000000-0005-0000-0000-0000915D0000}"/>
    <cellStyle name="Input 20 2 3 10" xfId="40631" xr:uid="{00000000-0005-0000-0000-0000925D0000}"/>
    <cellStyle name="Input 20 2 3 11" xfId="53064" xr:uid="{00000000-0005-0000-0000-0000935D0000}"/>
    <cellStyle name="Input 20 2 3 2" xfId="10596" xr:uid="{00000000-0005-0000-0000-0000945D0000}"/>
    <cellStyle name="Input 20 2 3 2 2" xfId="18389" xr:uid="{00000000-0005-0000-0000-0000955D0000}"/>
    <cellStyle name="Input 20 2 3 2 2 2" xfId="43936" xr:uid="{00000000-0005-0000-0000-0000965D0000}"/>
    <cellStyle name="Input 20 2 3 2 2 3" xfId="47845" xr:uid="{00000000-0005-0000-0000-0000975D0000}"/>
    <cellStyle name="Input 20 2 3 2 2 4" xfId="36026" xr:uid="{00000000-0005-0000-0000-0000985D0000}"/>
    <cellStyle name="Input 20 2 3 2 3" xfId="19427" xr:uid="{00000000-0005-0000-0000-0000995D0000}"/>
    <cellStyle name="Input 20 2 3 2 3 2" xfId="44964" xr:uid="{00000000-0005-0000-0000-00009A5D0000}"/>
    <cellStyle name="Input 20 2 3 2 3 3" xfId="48870" xr:uid="{00000000-0005-0000-0000-00009B5D0000}"/>
    <cellStyle name="Input 20 2 3 2 3 4" xfId="36992" xr:uid="{00000000-0005-0000-0000-00009C5D0000}"/>
    <cellStyle name="Input 20 2 3 2 4" xfId="20325" xr:uid="{00000000-0005-0000-0000-00009D5D0000}"/>
    <cellStyle name="Input 20 2 3 2 4 2" xfId="45862" xr:uid="{00000000-0005-0000-0000-00009E5D0000}"/>
    <cellStyle name="Input 20 2 3 2 4 3" xfId="49768" xr:uid="{00000000-0005-0000-0000-00009F5D0000}"/>
    <cellStyle name="Input 20 2 3 2 4 4" xfId="37789" xr:uid="{00000000-0005-0000-0000-0000A05D0000}"/>
    <cellStyle name="Input 20 2 3 2 5" xfId="20802" xr:uid="{00000000-0005-0000-0000-0000A15D0000}"/>
    <cellStyle name="Input 20 2 3 2 5 2" xfId="46339" xr:uid="{00000000-0005-0000-0000-0000A25D0000}"/>
    <cellStyle name="Input 20 2 3 2 5 3" xfId="50245" xr:uid="{00000000-0005-0000-0000-0000A35D0000}"/>
    <cellStyle name="Input 20 2 3 2 5 4" xfId="38208" xr:uid="{00000000-0005-0000-0000-0000A45D0000}"/>
    <cellStyle name="Input 20 2 3 2 6" xfId="21455" xr:uid="{00000000-0005-0000-0000-0000A55D0000}"/>
    <cellStyle name="Input 20 2 3 2 6 2" xfId="46992" xr:uid="{00000000-0005-0000-0000-0000A65D0000}"/>
    <cellStyle name="Input 20 2 3 2 6 3" xfId="50898" xr:uid="{00000000-0005-0000-0000-0000A75D0000}"/>
    <cellStyle name="Input 20 2 3 2 7" xfId="40795" xr:uid="{00000000-0005-0000-0000-0000A85D0000}"/>
    <cellStyle name="Input 20 2 3 2 8" xfId="39199" xr:uid="{00000000-0005-0000-0000-0000A95D0000}"/>
    <cellStyle name="Input 20 2 3 3" xfId="10891" xr:uid="{00000000-0005-0000-0000-0000AA5D0000}"/>
    <cellStyle name="Input 20 2 3 3 2" xfId="18684" xr:uid="{00000000-0005-0000-0000-0000AB5D0000}"/>
    <cellStyle name="Input 20 2 3 3 2 2" xfId="44231" xr:uid="{00000000-0005-0000-0000-0000AC5D0000}"/>
    <cellStyle name="Input 20 2 3 3 2 3" xfId="48140" xr:uid="{00000000-0005-0000-0000-0000AD5D0000}"/>
    <cellStyle name="Input 20 2 3 3 2 4" xfId="36321" xr:uid="{00000000-0005-0000-0000-0000AE5D0000}"/>
    <cellStyle name="Input 20 2 3 3 3" xfId="13349" xr:uid="{00000000-0005-0000-0000-0000AF5D0000}"/>
    <cellStyle name="Input 20 2 3 3 3 2" xfId="42519" xr:uid="{00000000-0005-0000-0000-0000B05D0000}"/>
    <cellStyle name="Input 20 2 3 3 3 3" xfId="40171" xr:uid="{00000000-0005-0000-0000-0000B15D0000}"/>
    <cellStyle name="Input 20 2 3 3 3 4" xfId="30989" xr:uid="{00000000-0005-0000-0000-0000B25D0000}"/>
    <cellStyle name="Input 20 2 3 3 4" xfId="11758" xr:uid="{00000000-0005-0000-0000-0000B35D0000}"/>
    <cellStyle name="Input 20 2 3 3 4 2" xfId="41734" xr:uid="{00000000-0005-0000-0000-0000B45D0000}"/>
    <cellStyle name="Input 20 2 3 3 4 3" xfId="39343" xr:uid="{00000000-0005-0000-0000-0000B55D0000}"/>
    <cellStyle name="Input 20 2 3 3 4 4" xfId="29445" xr:uid="{00000000-0005-0000-0000-0000B65D0000}"/>
    <cellStyle name="Input 20 2 3 3 5" xfId="21097" xr:uid="{00000000-0005-0000-0000-0000B75D0000}"/>
    <cellStyle name="Input 20 2 3 3 5 2" xfId="46634" xr:uid="{00000000-0005-0000-0000-0000B85D0000}"/>
    <cellStyle name="Input 20 2 3 3 5 3" xfId="50540" xr:uid="{00000000-0005-0000-0000-0000B95D0000}"/>
    <cellStyle name="Input 20 2 3 3 5 4" xfId="38503" xr:uid="{00000000-0005-0000-0000-0000BA5D0000}"/>
    <cellStyle name="Input 20 2 3 3 6" xfId="21750" xr:uid="{00000000-0005-0000-0000-0000BB5D0000}"/>
    <cellStyle name="Input 20 2 3 3 6 2" xfId="47287" xr:uid="{00000000-0005-0000-0000-0000BC5D0000}"/>
    <cellStyle name="Input 20 2 3 3 6 3" xfId="51193" xr:uid="{00000000-0005-0000-0000-0000BD5D0000}"/>
    <cellStyle name="Input 20 2 3 3 7" xfId="41090" xr:uid="{00000000-0005-0000-0000-0000BE5D0000}"/>
    <cellStyle name="Input 20 2 3 3 8" xfId="43623" xr:uid="{00000000-0005-0000-0000-0000BF5D0000}"/>
    <cellStyle name="Input 20 2 3 4" xfId="14854" xr:uid="{00000000-0005-0000-0000-0000C05D0000}"/>
    <cellStyle name="Input 20 2 3 4 2" xfId="42970" xr:uid="{00000000-0005-0000-0000-0000C15D0000}"/>
    <cellStyle name="Input 20 2 3 4 3" xfId="39430" xr:uid="{00000000-0005-0000-0000-0000C25D0000}"/>
    <cellStyle name="Input 20 2 3 4 4" xfId="32489" xr:uid="{00000000-0005-0000-0000-0000C35D0000}"/>
    <cellStyle name="Input 20 2 3 5" xfId="13120" xr:uid="{00000000-0005-0000-0000-0000C45D0000}"/>
    <cellStyle name="Input 20 2 3 5 2" xfId="42341" xr:uid="{00000000-0005-0000-0000-0000C55D0000}"/>
    <cellStyle name="Input 20 2 3 5 3" xfId="39104" xr:uid="{00000000-0005-0000-0000-0000C65D0000}"/>
    <cellStyle name="Input 20 2 3 5 4" xfId="30769" xr:uid="{00000000-0005-0000-0000-0000C75D0000}"/>
    <cellStyle name="Input 20 2 3 6" xfId="19783" xr:uid="{00000000-0005-0000-0000-0000C85D0000}"/>
    <cellStyle name="Input 20 2 3 6 2" xfId="45320" xr:uid="{00000000-0005-0000-0000-0000C95D0000}"/>
    <cellStyle name="Input 20 2 3 6 3" xfId="49226" xr:uid="{00000000-0005-0000-0000-0000CA5D0000}"/>
    <cellStyle name="Input 20 2 3 6 4" xfId="37309" xr:uid="{00000000-0005-0000-0000-0000CB5D0000}"/>
    <cellStyle name="Input 20 2 3 7" xfId="12504" xr:uid="{00000000-0005-0000-0000-0000CC5D0000}"/>
    <cellStyle name="Input 20 2 3 7 2" xfId="42017" xr:uid="{00000000-0005-0000-0000-0000CD5D0000}"/>
    <cellStyle name="Input 20 2 3 7 3" xfId="43481" xr:uid="{00000000-0005-0000-0000-0000CE5D0000}"/>
    <cellStyle name="Input 20 2 3 7 4" xfId="30172" xr:uid="{00000000-0005-0000-0000-0000CF5D0000}"/>
    <cellStyle name="Input 20 2 3 8" xfId="11592" xr:uid="{00000000-0005-0000-0000-0000D05D0000}"/>
    <cellStyle name="Input 20 2 3 8 2" xfId="41603" xr:uid="{00000000-0005-0000-0000-0000D15D0000}"/>
    <cellStyle name="Input 20 2 3 8 3" xfId="43213" xr:uid="{00000000-0005-0000-0000-0000D25D0000}"/>
    <cellStyle name="Input 20 2 3 9" xfId="39830" xr:uid="{00000000-0005-0000-0000-0000D35D0000}"/>
    <cellStyle name="Input 20 2 4" xfId="22450" xr:uid="{00000000-0005-0000-0000-0000D45D0000}"/>
    <cellStyle name="Input 20 2 5" xfId="53062" xr:uid="{00000000-0005-0000-0000-0000D55D0000}"/>
    <cellStyle name="Input 20 2_Sheet1" xfId="1878" xr:uid="{00000000-0005-0000-0000-0000D65D0000}"/>
    <cellStyle name="Input 20 3" xfId="1879" xr:uid="{00000000-0005-0000-0000-0000D75D0000}"/>
    <cellStyle name="Input 20 3 2" xfId="7068" xr:uid="{00000000-0005-0000-0000-0000D85D0000}"/>
    <cellStyle name="Input 20 3 2 10" xfId="42765" xr:uid="{00000000-0005-0000-0000-0000D95D0000}"/>
    <cellStyle name="Input 20 3 2 2" xfId="10598" xr:uid="{00000000-0005-0000-0000-0000DA5D0000}"/>
    <cellStyle name="Input 20 3 2 2 2" xfId="18391" xr:uid="{00000000-0005-0000-0000-0000DB5D0000}"/>
    <cellStyle name="Input 20 3 2 2 2 2" xfId="43938" xr:uid="{00000000-0005-0000-0000-0000DC5D0000}"/>
    <cellStyle name="Input 20 3 2 2 2 3" xfId="47847" xr:uid="{00000000-0005-0000-0000-0000DD5D0000}"/>
    <cellStyle name="Input 20 3 2 2 2 4" xfId="36028" xr:uid="{00000000-0005-0000-0000-0000DE5D0000}"/>
    <cellStyle name="Input 20 3 2 2 3" xfId="19300" xr:uid="{00000000-0005-0000-0000-0000DF5D0000}"/>
    <cellStyle name="Input 20 3 2 2 3 2" xfId="44837" xr:uid="{00000000-0005-0000-0000-0000E05D0000}"/>
    <cellStyle name="Input 20 3 2 2 3 3" xfId="48743" xr:uid="{00000000-0005-0000-0000-0000E15D0000}"/>
    <cellStyle name="Input 20 3 2 2 3 4" xfId="36878" xr:uid="{00000000-0005-0000-0000-0000E25D0000}"/>
    <cellStyle name="Input 20 3 2 2 4" xfId="19873" xr:uid="{00000000-0005-0000-0000-0000E35D0000}"/>
    <cellStyle name="Input 20 3 2 2 4 2" xfId="45410" xr:uid="{00000000-0005-0000-0000-0000E45D0000}"/>
    <cellStyle name="Input 20 3 2 2 4 3" xfId="49316" xr:uid="{00000000-0005-0000-0000-0000E55D0000}"/>
    <cellStyle name="Input 20 3 2 2 4 4" xfId="37387" xr:uid="{00000000-0005-0000-0000-0000E65D0000}"/>
    <cellStyle name="Input 20 3 2 2 5" xfId="20804" xr:uid="{00000000-0005-0000-0000-0000E75D0000}"/>
    <cellStyle name="Input 20 3 2 2 5 2" xfId="46341" xr:uid="{00000000-0005-0000-0000-0000E85D0000}"/>
    <cellStyle name="Input 20 3 2 2 5 3" xfId="50247" xr:uid="{00000000-0005-0000-0000-0000E95D0000}"/>
    <cellStyle name="Input 20 3 2 2 5 4" xfId="38210" xr:uid="{00000000-0005-0000-0000-0000EA5D0000}"/>
    <cellStyle name="Input 20 3 2 2 6" xfId="21457" xr:uid="{00000000-0005-0000-0000-0000EB5D0000}"/>
    <cellStyle name="Input 20 3 2 2 6 2" xfId="46994" xr:uid="{00000000-0005-0000-0000-0000EC5D0000}"/>
    <cellStyle name="Input 20 3 2 2 6 3" xfId="50900" xr:uid="{00000000-0005-0000-0000-0000ED5D0000}"/>
    <cellStyle name="Input 20 3 2 2 7" xfId="40797" xr:uid="{00000000-0005-0000-0000-0000EE5D0000}"/>
    <cellStyle name="Input 20 3 2 2 8" xfId="41440" xr:uid="{00000000-0005-0000-0000-0000EF5D0000}"/>
    <cellStyle name="Input 20 3 2 3" xfId="10893" xr:uid="{00000000-0005-0000-0000-0000F05D0000}"/>
    <cellStyle name="Input 20 3 2 3 2" xfId="18686" xr:uid="{00000000-0005-0000-0000-0000F15D0000}"/>
    <cellStyle name="Input 20 3 2 3 2 2" xfId="44233" xr:uid="{00000000-0005-0000-0000-0000F25D0000}"/>
    <cellStyle name="Input 20 3 2 3 2 3" xfId="48142" xr:uid="{00000000-0005-0000-0000-0000F35D0000}"/>
    <cellStyle name="Input 20 3 2 3 2 4" xfId="36323" xr:uid="{00000000-0005-0000-0000-0000F45D0000}"/>
    <cellStyle name="Input 20 3 2 3 3" xfId="11523" xr:uid="{00000000-0005-0000-0000-0000F55D0000}"/>
    <cellStyle name="Input 20 3 2 3 3 2" xfId="41534" xr:uid="{00000000-0005-0000-0000-0000F65D0000}"/>
    <cellStyle name="Input 20 3 2 3 3 3" xfId="43604" xr:uid="{00000000-0005-0000-0000-0000F75D0000}"/>
    <cellStyle name="Input 20 3 2 3 3 4" xfId="29238" xr:uid="{00000000-0005-0000-0000-0000F85D0000}"/>
    <cellStyle name="Input 20 3 2 3 4" xfId="20093" xr:uid="{00000000-0005-0000-0000-0000F95D0000}"/>
    <cellStyle name="Input 20 3 2 3 4 2" xfId="45630" xr:uid="{00000000-0005-0000-0000-0000FA5D0000}"/>
    <cellStyle name="Input 20 3 2 3 4 3" xfId="49536" xr:uid="{00000000-0005-0000-0000-0000FB5D0000}"/>
    <cellStyle name="Input 20 3 2 3 4 4" xfId="37583" xr:uid="{00000000-0005-0000-0000-0000FC5D0000}"/>
    <cellStyle name="Input 20 3 2 3 5" xfId="21099" xr:uid="{00000000-0005-0000-0000-0000FD5D0000}"/>
    <cellStyle name="Input 20 3 2 3 5 2" xfId="46636" xr:uid="{00000000-0005-0000-0000-0000FE5D0000}"/>
    <cellStyle name="Input 20 3 2 3 5 3" xfId="50542" xr:uid="{00000000-0005-0000-0000-0000FF5D0000}"/>
    <cellStyle name="Input 20 3 2 3 5 4" xfId="38505" xr:uid="{00000000-0005-0000-0000-0000005E0000}"/>
    <cellStyle name="Input 20 3 2 3 6" xfId="21752" xr:uid="{00000000-0005-0000-0000-0000015E0000}"/>
    <cellStyle name="Input 20 3 2 3 6 2" xfId="47289" xr:uid="{00000000-0005-0000-0000-0000025E0000}"/>
    <cellStyle name="Input 20 3 2 3 6 3" xfId="51195" xr:uid="{00000000-0005-0000-0000-0000035E0000}"/>
    <cellStyle name="Input 20 3 2 3 7" xfId="41092" xr:uid="{00000000-0005-0000-0000-0000045E0000}"/>
    <cellStyle name="Input 20 3 2 3 8" xfId="39591" xr:uid="{00000000-0005-0000-0000-0000055E0000}"/>
    <cellStyle name="Input 20 3 2 4" xfId="14856" xr:uid="{00000000-0005-0000-0000-0000065E0000}"/>
    <cellStyle name="Input 20 3 2 4 2" xfId="42972" xr:uid="{00000000-0005-0000-0000-0000075E0000}"/>
    <cellStyle name="Input 20 3 2 4 3" xfId="43299" xr:uid="{00000000-0005-0000-0000-0000085E0000}"/>
    <cellStyle name="Input 20 3 2 4 4" xfId="32491" xr:uid="{00000000-0005-0000-0000-0000095E0000}"/>
    <cellStyle name="Input 20 3 2 5" xfId="13121" xr:uid="{00000000-0005-0000-0000-00000A5E0000}"/>
    <cellStyle name="Input 20 3 2 5 2" xfId="42342" xr:uid="{00000000-0005-0000-0000-00000B5E0000}"/>
    <cellStyle name="Input 20 3 2 5 3" xfId="47472" xr:uid="{00000000-0005-0000-0000-00000C5E0000}"/>
    <cellStyle name="Input 20 3 2 5 4" xfId="30770" xr:uid="{00000000-0005-0000-0000-00000D5E0000}"/>
    <cellStyle name="Input 20 3 2 6" xfId="19626" xr:uid="{00000000-0005-0000-0000-00000E5E0000}"/>
    <cellStyle name="Input 20 3 2 6 2" xfId="45163" xr:uid="{00000000-0005-0000-0000-00000F5E0000}"/>
    <cellStyle name="Input 20 3 2 6 3" xfId="49069" xr:uid="{00000000-0005-0000-0000-0000105E0000}"/>
    <cellStyle name="Input 20 3 2 6 4" xfId="37166" xr:uid="{00000000-0005-0000-0000-0000115E0000}"/>
    <cellStyle name="Input 20 3 2 7" xfId="12850" xr:uid="{00000000-0005-0000-0000-0000125E0000}"/>
    <cellStyle name="Input 20 3 2 7 2" xfId="42233" xr:uid="{00000000-0005-0000-0000-0000135E0000}"/>
    <cellStyle name="Input 20 3 2 7 3" xfId="41975" xr:uid="{00000000-0005-0000-0000-0000145E0000}"/>
    <cellStyle name="Input 20 3 2 7 4" xfId="30505" xr:uid="{00000000-0005-0000-0000-0000155E0000}"/>
    <cellStyle name="Input 20 3 2 8" xfId="20533" xr:uid="{00000000-0005-0000-0000-0000165E0000}"/>
    <cellStyle name="Input 20 3 2 8 2" xfId="46070" xr:uid="{00000000-0005-0000-0000-0000175E0000}"/>
    <cellStyle name="Input 20 3 2 8 3" xfId="49976" xr:uid="{00000000-0005-0000-0000-0000185E0000}"/>
    <cellStyle name="Input 20 3 2 9" xfId="39832" xr:uid="{00000000-0005-0000-0000-0000195E0000}"/>
    <cellStyle name="Input 20 3 3" xfId="53065" xr:uid="{00000000-0005-0000-0000-00001A5E0000}"/>
    <cellStyle name="Input 20 4" xfId="7065" xr:uid="{00000000-0005-0000-0000-00001B5E0000}"/>
    <cellStyle name="Input 20 4 10" xfId="43772" xr:uid="{00000000-0005-0000-0000-00001C5E0000}"/>
    <cellStyle name="Input 20 4 11" xfId="53066" xr:uid="{00000000-0005-0000-0000-00001D5E0000}"/>
    <cellStyle name="Input 20 4 2" xfId="10595" xr:uid="{00000000-0005-0000-0000-00001E5E0000}"/>
    <cellStyle name="Input 20 4 2 2" xfId="18388" xr:uid="{00000000-0005-0000-0000-00001F5E0000}"/>
    <cellStyle name="Input 20 4 2 2 2" xfId="43935" xr:uid="{00000000-0005-0000-0000-0000205E0000}"/>
    <cellStyle name="Input 20 4 2 2 3" xfId="47844" xr:uid="{00000000-0005-0000-0000-0000215E0000}"/>
    <cellStyle name="Input 20 4 2 2 4" xfId="36025" xr:uid="{00000000-0005-0000-0000-0000225E0000}"/>
    <cellStyle name="Input 20 4 2 3" xfId="20168" xr:uid="{00000000-0005-0000-0000-0000235E0000}"/>
    <cellStyle name="Input 20 4 2 3 2" xfId="45705" xr:uid="{00000000-0005-0000-0000-0000245E0000}"/>
    <cellStyle name="Input 20 4 2 3 3" xfId="49611" xr:uid="{00000000-0005-0000-0000-0000255E0000}"/>
    <cellStyle name="Input 20 4 2 3 4" xfId="37654" xr:uid="{00000000-0005-0000-0000-0000265E0000}"/>
    <cellStyle name="Input 20 4 2 4" xfId="18952" xr:uid="{00000000-0005-0000-0000-0000275E0000}"/>
    <cellStyle name="Input 20 4 2 4 2" xfId="44489" xr:uid="{00000000-0005-0000-0000-0000285E0000}"/>
    <cellStyle name="Input 20 4 2 4 3" xfId="48395" xr:uid="{00000000-0005-0000-0000-0000295E0000}"/>
    <cellStyle name="Input 20 4 2 4 4" xfId="36578" xr:uid="{00000000-0005-0000-0000-00002A5E0000}"/>
    <cellStyle name="Input 20 4 2 5" xfId="20801" xr:uid="{00000000-0005-0000-0000-00002B5E0000}"/>
    <cellStyle name="Input 20 4 2 5 2" xfId="46338" xr:uid="{00000000-0005-0000-0000-00002C5E0000}"/>
    <cellStyle name="Input 20 4 2 5 3" xfId="50244" xr:uid="{00000000-0005-0000-0000-00002D5E0000}"/>
    <cellStyle name="Input 20 4 2 5 4" xfId="38207" xr:uid="{00000000-0005-0000-0000-00002E5E0000}"/>
    <cellStyle name="Input 20 4 2 6" xfId="21454" xr:uid="{00000000-0005-0000-0000-00002F5E0000}"/>
    <cellStyle name="Input 20 4 2 6 2" xfId="46991" xr:uid="{00000000-0005-0000-0000-0000305E0000}"/>
    <cellStyle name="Input 20 4 2 6 3" xfId="50897" xr:uid="{00000000-0005-0000-0000-0000315E0000}"/>
    <cellStyle name="Input 20 4 2 7" xfId="40794" xr:uid="{00000000-0005-0000-0000-0000325E0000}"/>
    <cellStyle name="Input 20 4 2 8" xfId="39200" xr:uid="{00000000-0005-0000-0000-0000335E0000}"/>
    <cellStyle name="Input 20 4 3" xfId="10890" xr:uid="{00000000-0005-0000-0000-0000345E0000}"/>
    <cellStyle name="Input 20 4 3 2" xfId="18683" xr:uid="{00000000-0005-0000-0000-0000355E0000}"/>
    <cellStyle name="Input 20 4 3 2 2" xfId="44230" xr:uid="{00000000-0005-0000-0000-0000365E0000}"/>
    <cellStyle name="Input 20 4 3 2 3" xfId="48139" xr:uid="{00000000-0005-0000-0000-0000375E0000}"/>
    <cellStyle name="Input 20 4 3 2 4" xfId="36320" xr:uid="{00000000-0005-0000-0000-0000385E0000}"/>
    <cellStyle name="Input 20 4 3 3" xfId="13348" xr:uid="{00000000-0005-0000-0000-0000395E0000}"/>
    <cellStyle name="Input 20 4 3 3 2" xfId="42518" xr:uid="{00000000-0005-0000-0000-00003A5E0000}"/>
    <cellStyle name="Input 20 4 3 3 3" xfId="43312" xr:uid="{00000000-0005-0000-0000-00003B5E0000}"/>
    <cellStyle name="Input 20 4 3 3 4" xfId="30988" xr:uid="{00000000-0005-0000-0000-00003C5E0000}"/>
    <cellStyle name="Input 20 4 3 4" xfId="20298" xr:uid="{00000000-0005-0000-0000-00003D5E0000}"/>
    <cellStyle name="Input 20 4 3 4 2" xfId="45835" xr:uid="{00000000-0005-0000-0000-00003E5E0000}"/>
    <cellStyle name="Input 20 4 3 4 3" xfId="49741" xr:uid="{00000000-0005-0000-0000-00003F5E0000}"/>
    <cellStyle name="Input 20 4 3 4 4" xfId="37764" xr:uid="{00000000-0005-0000-0000-0000405E0000}"/>
    <cellStyle name="Input 20 4 3 5" xfId="21096" xr:uid="{00000000-0005-0000-0000-0000415E0000}"/>
    <cellStyle name="Input 20 4 3 5 2" xfId="46633" xr:uid="{00000000-0005-0000-0000-0000425E0000}"/>
    <cellStyle name="Input 20 4 3 5 3" xfId="50539" xr:uid="{00000000-0005-0000-0000-0000435E0000}"/>
    <cellStyle name="Input 20 4 3 5 4" xfId="38502" xr:uid="{00000000-0005-0000-0000-0000445E0000}"/>
    <cellStyle name="Input 20 4 3 6" xfId="21749" xr:uid="{00000000-0005-0000-0000-0000455E0000}"/>
    <cellStyle name="Input 20 4 3 6 2" xfId="47286" xr:uid="{00000000-0005-0000-0000-0000465E0000}"/>
    <cellStyle name="Input 20 4 3 6 3" xfId="51192" xr:uid="{00000000-0005-0000-0000-0000475E0000}"/>
    <cellStyle name="Input 20 4 3 7" xfId="41089" xr:uid="{00000000-0005-0000-0000-0000485E0000}"/>
    <cellStyle name="Input 20 4 3 8" xfId="42734" xr:uid="{00000000-0005-0000-0000-0000495E0000}"/>
    <cellStyle name="Input 20 4 4" xfId="14853" xr:uid="{00000000-0005-0000-0000-00004A5E0000}"/>
    <cellStyle name="Input 20 4 4 2" xfId="42969" xr:uid="{00000000-0005-0000-0000-00004B5E0000}"/>
    <cellStyle name="Input 20 4 4 3" xfId="40313" xr:uid="{00000000-0005-0000-0000-00004C5E0000}"/>
    <cellStyle name="Input 20 4 4 4" xfId="32488" xr:uid="{00000000-0005-0000-0000-00004D5E0000}"/>
    <cellStyle name="Input 20 4 5" xfId="13119" xr:uid="{00000000-0005-0000-0000-00004E5E0000}"/>
    <cellStyle name="Input 20 4 5 2" xfId="42340" xr:uid="{00000000-0005-0000-0000-00004F5E0000}"/>
    <cellStyle name="Input 20 4 5 3" xfId="39302" xr:uid="{00000000-0005-0000-0000-0000505E0000}"/>
    <cellStyle name="Input 20 4 5 4" xfId="30768" xr:uid="{00000000-0005-0000-0000-0000515E0000}"/>
    <cellStyle name="Input 20 4 6" xfId="12323" xr:uid="{00000000-0005-0000-0000-0000525E0000}"/>
    <cellStyle name="Input 20 4 6 2" xfId="41956" xr:uid="{00000000-0005-0000-0000-0000535E0000}"/>
    <cellStyle name="Input 20 4 6 3" xfId="40555" xr:uid="{00000000-0005-0000-0000-0000545E0000}"/>
    <cellStyle name="Input 20 4 6 4" xfId="29994" xr:uid="{00000000-0005-0000-0000-0000555E0000}"/>
    <cellStyle name="Input 20 4 7" xfId="19199" xr:uid="{00000000-0005-0000-0000-0000565E0000}"/>
    <cellStyle name="Input 20 4 7 2" xfId="44736" xr:uid="{00000000-0005-0000-0000-0000575E0000}"/>
    <cellStyle name="Input 20 4 7 3" xfId="48642" xr:uid="{00000000-0005-0000-0000-0000585E0000}"/>
    <cellStyle name="Input 20 4 7 4" xfId="36785" xr:uid="{00000000-0005-0000-0000-0000595E0000}"/>
    <cellStyle name="Input 20 4 8" xfId="20618" xr:uid="{00000000-0005-0000-0000-00005A5E0000}"/>
    <cellStyle name="Input 20 4 8 2" xfId="46155" xr:uid="{00000000-0005-0000-0000-00005B5E0000}"/>
    <cellStyle name="Input 20 4 8 3" xfId="50061" xr:uid="{00000000-0005-0000-0000-00005C5E0000}"/>
    <cellStyle name="Input 20 4 9" xfId="39829" xr:uid="{00000000-0005-0000-0000-00005D5E0000}"/>
    <cellStyle name="Input 20 5" xfId="22449" xr:uid="{00000000-0005-0000-0000-00005E5E0000}"/>
    <cellStyle name="Input 20 6" xfId="53061" xr:uid="{00000000-0005-0000-0000-00005F5E0000}"/>
    <cellStyle name="Input 20_Sheet1" xfId="1880" xr:uid="{00000000-0005-0000-0000-0000605E0000}"/>
    <cellStyle name="Input 21" xfId="1881" xr:uid="{00000000-0005-0000-0000-0000615E0000}"/>
    <cellStyle name="Input 21 2" xfId="1882" xr:uid="{00000000-0005-0000-0000-0000625E0000}"/>
    <cellStyle name="Input 21 2 2" xfId="1883" xr:uid="{00000000-0005-0000-0000-0000635E0000}"/>
    <cellStyle name="Input 21 2 2 2" xfId="7071" xr:uid="{00000000-0005-0000-0000-0000645E0000}"/>
    <cellStyle name="Input 21 2 2 2 10" xfId="39621" xr:uid="{00000000-0005-0000-0000-0000655E0000}"/>
    <cellStyle name="Input 21 2 2 2 2" xfId="10601" xr:uid="{00000000-0005-0000-0000-0000665E0000}"/>
    <cellStyle name="Input 21 2 2 2 2 2" xfId="18394" xr:uid="{00000000-0005-0000-0000-0000675E0000}"/>
    <cellStyle name="Input 21 2 2 2 2 2 2" xfId="43941" xr:uid="{00000000-0005-0000-0000-0000685E0000}"/>
    <cellStyle name="Input 21 2 2 2 2 2 3" xfId="47850" xr:uid="{00000000-0005-0000-0000-0000695E0000}"/>
    <cellStyle name="Input 21 2 2 2 2 2 4" xfId="36031" xr:uid="{00000000-0005-0000-0000-00006A5E0000}"/>
    <cellStyle name="Input 21 2 2 2 2 3" xfId="19751" xr:uid="{00000000-0005-0000-0000-00006B5E0000}"/>
    <cellStyle name="Input 21 2 2 2 2 3 2" xfId="45288" xr:uid="{00000000-0005-0000-0000-00006C5E0000}"/>
    <cellStyle name="Input 21 2 2 2 2 3 3" xfId="49194" xr:uid="{00000000-0005-0000-0000-00006D5E0000}"/>
    <cellStyle name="Input 21 2 2 2 2 3 4" xfId="37278" xr:uid="{00000000-0005-0000-0000-00006E5E0000}"/>
    <cellStyle name="Input 21 2 2 2 2 4" xfId="19065" xr:uid="{00000000-0005-0000-0000-00006F5E0000}"/>
    <cellStyle name="Input 21 2 2 2 2 4 2" xfId="44602" xr:uid="{00000000-0005-0000-0000-0000705E0000}"/>
    <cellStyle name="Input 21 2 2 2 2 4 3" xfId="48508" xr:uid="{00000000-0005-0000-0000-0000715E0000}"/>
    <cellStyle name="Input 21 2 2 2 2 4 4" xfId="36664" xr:uid="{00000000-0005-0000-0000-0000725E0000}"/>
    <cellStyle name="Input 21 2 2 2 2 5" xfId="20807" xr:uid="{00000000-0005-0000-0000-0000735E0000}"/>
    <cellStyle name="Input 21 2 2 2 2 5 2" xfId="46344" xr:uid="{00000000-0005-0000-0000-0000745E0000}"/>
    <cellStyle name="Input 21 2 2 2 2 5 3" xfId="50250" xr:uid="{00000000-0005-0000-0000-0000755E0000}"/>
    <cellStyle name="Input 21 2 2 2 2 5 4" xfId="38213" xr:uid="{00000000-0005-0000-0000-0000765E0000}"/>
    <cellStyle name="Input 21 2 2 2 2 6" xfId="21460" xr:uid="{00000000-0005-0000-0000-0000775E0000}"/>
    <cellStyle name="Input 21 2 2 2 2 6 2" xfId="46997" xr:uid="{00000000-0005-0000-0000-0000785E0000}"/>
    <cellStyle name="Input 21 2 2 2 2 6 3" xfId="50903" xr:uid="{00000000-0005-0000-0000-0000795E0000}"/>
    <cellStyle name="Input 21 2 2 2 2 7" xfId="40800" xr:uid="{00000000-0005-0000-0000-00007A5E0000}"/>
    <cellStyle name="Input 21 2 2 2 2 8" xfId="42851" xr:uid="{00000000-0005-0000-0000-00007B5E0000}"/>
    <cellStyle name="Input 21 2 2 2 3" xfId="10896" xr:uid="{00000000-0005-0000-0000-00007C5E0000}"/>
    <cellStyle name="Input 21 2 2 2 3 2" xfId="18689" xr:uid="{00000000-0005-0000-0000-00007D5E0000}"/>
    <cellStyle name="Input 21 2 2 2 3 2 2" xfId="44236" xr:uid="{00000000-0005-0000-0000-00007E5E0000}"/>
    <cellStyle name="Input 21 2 2 2 3 2 3" xfId="48145" xr:uid="{00000000-0005-0000-0000-00007F5E0000}"/>
    <cellStyle name="Input 21 2 2 2 3 2 4" xfId="36326" xr:uid="{00000000-0005-0000-0000-0000805E0000}"/>
    <cellStyle name="Input 21 2 2 2 3 3" xfId="12180" xr:uid="{00000000-0005-0000-0000-0000815E0000}"/>
    <cellStyle name="Input 21 2 2 2 3 3 2" xfId="41925" xr:uid="{00000000-0005-0000-0000-0000825E0000}"/>
    <cellStyle name="Input 21 2 2 2 3 3 3" xfId="39320" xr:uid="{00000000-0005-0000-0000-0000835E0000}"/>
    <cellStyle name="Input 21 2 2 2 3 3 4" xfId="29852" xr:uid="{00000000-0005-0000-0000-0000845E0000}"/>
    <cellStyle name="Input 21 2 2 2 3 4" xfId="20360" xr:uid="{00000000-0005-0000-0000-0000855E0000}"/>
    <cellStyle name="Input 21 2 2 2 3 4 2" xfId="45897" xr:uid="{00000000-0005-0000-0000-0000865E0000}"/>
    <cellStyle name="Input 21 2 2 2 3 4 3" xfId="49803" xr:uid="{00000000-0005-0000-0000-0000875E0000}"/>
    <cellStyle name="Input 21 2 2 2 3 4 4" xfId="37816" xr:uid="{00000000-0005-0000-0000-0000885E0000}"/>
    <cellStyle name="Input 21 2 2 2 3 5" xfId="21102" xr:uid="{00000000-0005-0000-0000-0000895E0000}"/>
    <cellStyle name="Input 21 2 2 2 3 5 2" xfId="46639" xr:uid="{00000000-0005-0000-0000-00008A5E0000}"/>
    <cellStyle name="Input 21 2 2 2 3 5 3" xfId="50545" xr:uid="{00000000-0005-0000-0000-00008B5E0000}"/>
    <cellStyle name="Input 21 2 2 2 3 5 4" xfId="38508" xr:uid="{00000000-0005-0000-0000-00008C5E0000}"/>
    <cellStyle name="Input 21 2 2 2 3 6" xfId="21755" xr:uid="{00000000-0005-0000-0000-00008D5E0000}"/>
    <cellStyle name="Input 21 2 2 2 3 6 2" xfId="47292" xr:uid="{00000000-0005-0000-0000-00008E5E0000}"/>
    <cellStyle name="Input 21 2 2 2 3 6 3" xfId="51198" xr:uid="{00000000-0005-0000-0000-00008F5E0000}"/>
    <cellStyle name="Input 21 2 2 2 3 7" xfId="41095" xr:uid="{00000000-0005-0000-0000-0000905E0000}"/>
    <cellStyle name="Input 21 2 2 2 3 8" xfId="40375" xr:uid="{00000000-0005-0000-0000-0000915E0000}"/>
    <cellStyle name="Input 21 2 2 2 4" xfId="14859" xr:uid="{00000000-0005-0000-0000-0000925E0000}"/>
    <cellStyle name="Input 21 2 2 2 4 2" xfId="42975" xr:uid="{00000000-0005-0000-0000-0000935E0000}"/>
    <cellStyle name="Input 21 2 2 2 4 3" xfId="41947" xr:uid="{00000000-0005-0000-0000-0000945E0000}"/>
    <cellStyle name="Input 21 2 2 2 4 4" xfId="32494" xr:uid="{00000000-0005-0000-0000-0000955E0000}"/>
    <cellStyle name="Input 21 2 2 2 5" xfId="13122" xr:uid="{00000000-0005-0000-0000-0000965E0000}"/>
    <cellStyle name="Input 21 2 2 2 5 2" xfId="42343" xr:uid="{00000000-0005-0000-0000-0000975E0000}"/>
    <cellStyle name="Input 21 2 2 2 5 3" xfId="41307" xr:uid="{00000000-0005-0000-0000-0000985E0000}"/>
    <cellStyle name="Input 21 2 2 2 5 4" xfId="30771" xr:uid="{00000000-0005-0000-0000-0000995E0000}"/>
    <cellStyle name="Input 21 2 2 2 6" xfId="19473" xr:uid="{00000000-0005-0000-0000-00009A5E0000}"/>
    <cellStyle name="Input 21 2 2 2 6 2" xfId="45010" xr:uid="{00000000-0005-0000-0000-00009B5E0000}"/>
    <cellStyle name="Input 21 2 2 2 6 3" xfId="48916" xr:uid="{00000000-0005-0000-0000-00009C5E0000}"/>
    <cellStyle name="Input 21 2 2 2 6 4" xfId="37031" xr:uid="{00000000-0005-0000-0000-00009D5E0000}"/>
    <cellStyle name="Input 21 2 2 2 7" xfId="11568" xr:uid="{00000000-0005-0000-0000-00009E5E0000}"/>
    <cellStyle name="Input 21 2 2 2 7 2" xfId="41579" xr:uid="{00000000-0005-0000-0000-00009F5E0000}"/>
    <cellStyle name="Input 21 2 2 2 7 3" xfId="39468" xr:uid="{00000000-0005-0000-0000-0000A05E0000}"/>
    <cellStyle name="Input 21 2 2 2 7 4" xfId="29279" xr:uid="{00000000-0005-0000-0000-0000A15E0000}"/>
    <cellStyle name="Input 21 2 2 2 8" xfId="19453" xr:uid="{00000000-0005-0000-0000-0000A25E0000}"/>
    <cellStyle name="Input 21 2 2 2 8 2" xfId="44990" xr:uid="{00000000-0005-0000-0000-0000A35E0000}"/>
    <cellStyle name="Input 21 2 2 2 8 3" xfId="48896" xr:uid="{00000000-0005-0000-0000-0000A45E0000}"/>
    <cellStyle name="Input 21 2 2 2 9" xfId="39835" xr:uid="{00000000-0005-0000-0000-0000A55E0000}"/>
    <cellStyle name="Input 21 2 2 3" xfId="53069" xr:uid="{00000000-0005-0000-0000-0000A65E0000}"/>
    <cellStyle name="Input 21 2 3" xfId="7070" xr:uid="{00000000-0005-0000-0000-0000A75E0000}"/>
    <cellStyle name="Input 21 2 3 10" xfId="40511" xr:uid="{00000000-0005-0000-0000-0000A85E0000}"/>
    <cellStyle name="Input 21 2 3 11" xfId="53070" xr:uid="{00000000-0005-0000-0000-0000A95E0000}"/>
    <cellStyle name="Input 21 2 3 2" xfId="10600" xr:uid="{00000000-0005-0000-0000-0000AA5E0000}"/>
    <cellStyle name="Input 21 2 3 2 2" xfId="18393" xr:uid="{00000000-0005-0000-0000-0000AB5E0000}"/>
    <cellStyle name="Input 21 2 3 2 2 2" xfId="43940" xr:uid="{00000000-0005-0000-0000-0000AC5E0000}"/>
    <cellStyle name="Input 21 2 3 2 2 3" xfId="47849" xr:uid="{00000000-0005-0000-0000-0000AD5E0000}"/>
    <cellStyle name="Input 21 2 3 2 2 4" xfId="36030" xr:uid="{00000000-0005-0000-0000-0000AE5E0000}"/>
    <cellStyle name="Input 21 2 3 2 3" xfId="19132" xr:uid="{00000000-0005-0000-0000-0000AF5E0000}"/>
    <cellStyle name="Input 21 2 3 2 3 2" xfId="44669" xr:uid="{00000000-0005-0000-0000-0000B05E0000}"/>
    <cellStyle name="Input 21 2 3 2 3 3" xfId="48575" xr:uid="{00000000-0005-0000-0000-0000B15E0000}"/>
    <cellStyle name="Input 21 2 3 2 3 4" xfId="36727" xr:uid="{00000000-0005-0000-0000-0000B25E0000}"/>
    <cellStyle name="Input 21 2 3 2 4" xfId="19204" xr:uid="{00000000-0005-0000-0000-0000B35E0000}"/>
    <cellStyle name="Input 21 2 3 2 4 2" xfId="44741" xr:uid="{00000000-0005-0000-0000-0000B45E0000}"/>
    <cellStyle name="Input 21 2 3 2 4 3" xfId="48647" xr:uid="{00000000-0005-0000-0000-0000B55E0000}"/>
    <cellStyle name="Input 21 2 3 2 4 4" xfId="36789" xr:uid="{00000000-0005-0000-0000-0000B65E0000}"/>
    <cellStyle name="Input 21 2 3 2 5" xfId="20806" xr:uid="{00000000-0005-0000-0000-0000B75E0000}"/>
    <cellStyle name="Input 21 2 3 2 5 2" xfId="46343" xr:uid="{00000000-0005-0000-0000-0000B85E0000}"/>
    <cellStyle name="Input 21 2 3 2 5 3" xfId="50249" xr:uid="{00000000-0005-0000-0000-0000B95E0000}"/>
    <cellStyle name="Input 21 2 3 2 5 4" xfId="38212" xr:uid="{00000000-0005-0000-0000-0000BA5E0000}"/>
    <cellStyle name="Input 21 2 3 2 6" xfId="21459" xr:uid="{00000000-0005-0000-0000-0000BB5E0000}"/>
    <cellStyle name="Input 21 2 3 2 6 2" xfId="46996" xr:uid="{00000000-0005-0000-0000-0000BC5E0000}"/>
    <cellStyle name="Input 21 2 3 2 6 3" xfId="50902" xr:uid="{00000000-0005-0000-0000-0000BD5E0000}"/>
    <cellStyle name="Input 21 2 3 2 7" xfId="40799" xr:uid="{00000000-0005-0000-0000-0000BE5E0000}"/>
    <cellStyle name="Input 21 2 3 2 8" xfId="40102" xr:uid="{00000000-0005-0000-0000-0000BF5E0000}"/>
    <cellStyle name="Input 21 2 3 3" xfId="10895" xr:uid="{00000000-0005-0000-0000-0000C05E0000}"/>
    <cellStyle name="Input 21 2 3 3 2" xfId="18688" xr:uid="{00000000-0005-0000-0000-0000C15E0000}"/>
    <cellStyle name="Input 21 2 3 3 2 2" xfId="44235" xr:uid="{00000000-0005-0000-0000-0000C25E0000}"/>
    <cellStyle name="Input 21 2 3 3 2 3" xfId="48144" xr:uid="{00000000-0005-0000-0000-0000C35E0000}"/>
    <cellStyle name="Input 21 2 3 3 2 4" xfId="36325" xr:uid="{00000000-0005-0000-0000-0000C45E0000}"/>
    <cellStyle name="Input 21 2 3 3 3" xfId="11525" xr:uid="{00000000-0005-0000-0000-0000C55E0000}"/>
    <cellStyle name="Input 21 2 3 3 3 2" xfId="41536" xr:uid="{00000000-0005-0000-0000-0000C65E0000}"/>
    <cellStyle name="Input 21 2 3 3 3 3" xfId="39575" xr:uid="{00000000-0005-0000-0000-0000C75E0000}"/>
    <cellStyle name="Input 21 2 3 3 3 4" xfId="29240" xr:uid="{00000000-0005-0000-0000-0000C85E0000}"/>
    <cellStyle name="Input 21 2 3 3 4" xfId="19688" xr:uid="{00000000-0005-0000-0000-0000C95E0000}"/>
    <cellStyle name="Input 21 2 3 3 4 2" xfId="45225" xr:uid="{00000000-0005-0000-0000-0000CA5E0000}"/>
    <cellStyle name="Input 21 2 3 3 4 3" xfId="49131" xr:uid="{00000000-0005-0000-0000-0000CB5E0000}"/>
    <cellStyle name="Input 21 2 3 3 4 4" xfId="37219" xr:uid="{00000000-0005-0000-0000-0000CC5E0000}"/>
    <cellStyle name="Input 21 2 3 3 5" xfId="21101" xr:uid="{00000000-0005-0000-0000-0000CD5E0000}"/>
    <cellStyle name="Input 21 2 3 3 5 2" xfId="46638" xr:uid="{00000000-0005-0000-0000-0000CE5E0000}"/>
    <cellStyle name="Input 21 2 3 3 5 3" xfId="50544" xr:uid="{00000000-0005-0000-0000-0000CF5E0000}"/>
    <cellStyle name="Input 21 2 3 3 5 4" xfId="38507" xr:uid="{00000000-0005-0000-0000-0000D05E0000}"/>
    <cellStyle name="Input 21 2 3 3 6" xfId="21754" xr:uid="{00000000-0005-0000-0000-0000D15E0000}"/>
    <cellStyle name="Input 21 2 3 3 6 2" xfId="47291" xr:uid="{00000000-0005-0000-0000-0000D25E0000}"/>
    <cellStyle name="Input 21 2 3 3 6 3" xfId="51197" xr:uid="{00000000-0005-0000-0000-0000D35E0000}"/>
    <cellStyle name="Input 21 2 3 3 7" xfId="41094" xr:uid="{00000000-0005-0000-0000-0000D45E0000}"/>
    <cellStyle name="Input 21 2 3 3 8" xfId="43512" xr:uid="{00000000-0005-0000-0000-0000D55E0000}"/>
    <cellStyle name="Input 21 2 3 4" xfId="14858" xr:uid="{00000000-0005-0000-0000-0000D65E0000}"/>
    <cellStyle name="Input 21 2 3 4 2" xfId="42974" xr:uid="{00000000-0005-0000-0000-0000D75E0000}"/>
    <cellStyle name="Input 21 2 3 4 3" xfId="39272" xr:uid="{00000000-0005-0000-0000-0000D85E0000}"/>
    <cellStyle name="Input 21 2 3 4 4" xfId="32493" xr:uid="{00000000-0005-0000-0000-0000D95E0000}"/>
    <cellStyle name="Input 21 2 3 5" xfId="11295" xr:uid="{00000000-0005-0000-0000-0000DA5E0000}"/>
    <cellStyle name="Input 21 2 3 5 2" xfId="41342" xr:uid="{00000000-0005-0000-0000-0000DB5E0000}"/>
    <cellStyle name="Input 21 2 3 5 3" xfId="39474" xr:uid="{00000000-0005-0000-0000-0000DC5E0000}"/>
    <cellStyle name="Input 21 2 3 5 4" xfId="29023" xr:uid="{00000000-0005-0000-0000-0000DD5E0000}"/>
    <cellStyle name="Input 21 2 3 6" xfId="19537" xr:uid="{00000000-0005-0000-0000-0000DE5E0000}"/>
    <cellStyle name="Input 21 2 3 6 2" xfId="45074" xr:uid="{00000000-0005-0000-0000-0000DF5E0000}"/>
    <cellStyle name="Input 21 2 3 6 3" xfId="48980" xr:uid="{00000000-0005-0000-0000-0000E05E0000}"/>
    <cellStyle name="Input 21 2 3 6 4" xfId="37084" xr:uid="{00000000-0005-0000-0000-0000E15E0000}"/>
    <cellStyle name="Input 21 2 3 7" xfId="19019" xr:uid="{00000000-0005-0000-0000-0000E25E0000}"/>
    <cellStyle name="Input 21 2 3 7 2" xfId="44556" xr:uid="{00000000-0005-0000-0000-0000E35E0000}"/>
    <cellStyle name="Input 21 2 3 7 3" xfId="48462" xr:uid="{00000000-0005-0000-0000-0000E45E0000}"/>
    <cellStyle name="Input 21 2 3 7 4" xfId="36627" xr:uid="{00000000-0005-0000-0000-0000E55E0000}"/>
    <cellStyle name="Input 21 2 3 8" xfId="19009" xr:uid="{00000000-0005-0000-0000-0000E65E0000}"/>
    <cellStyle name="Input 21 2 3 8 2" xfId="44546" xr:uid="{00000000-0005-0000-0000-0000E75E0000}"/>
    <cellStyle name="Input 21 2 3 8 3" xfId="48452" xr:uid="{00000000-0005-0000-0000-0000E85E0000}"/>
    <cellStyle name="Input 21 2 3 9" xfId="39834" xr:uid="{00000000-0005-0000-0000-0000E95E0000}"/>
    <cellStyle name="Input 21 2 4" xfId="22452" xr:uid="{00000000-0005-0000-0000-0000EA5E0000}"/>
    <cellStyle name="Input 21 2 5" xfId="53068" xr:uid="{00000000-0005-0000-0000-0000EB5E0000}"/>
    <cellStyle name="Input 21 2_Sheet1" xfId="1884" xr:uid="{00000000-0005-0000-0000-0000EC5E0000}"/>
    <cellStyle name="Input 21 3" xfId="1885" xr:uid="{00000000-0005-0000-0000-0000ED5E0000}"/>
    <cellStyle name="Input 21 3 2" xfId="7072" xr:uid="{00000000-0005-0000-0000-0000EE5E0000}"/>
    <cellStyle name="Input 21 3 2 10" xfId="42629" xr:uid="{00000000-0005-0000-0000-0000EF5E0000}"/>
    <cellStyle name="Input 21 3 2 2" xfId="10602" xr:uid="{00000000-0005-0000-0000-0000F05E0000}"/>
    <cellStyle name="Input 21 3 2 2 2" xfId="18395" xr:uid="{00000000-0005-0000-0000-0000F15E0000}"/>
    <cellStyle name="Input 21 3 2 2 2 2" xfId="43942" xr:uid="{00000000-0005-0000-0000-0000F25E0000}"/>
    <cellStyle name="Input 21 3 2 2 2 3" xfId="47851" xr:uid="{00000000-0005-0000-0000-0000F35E0000}"/>
    <cellStyle name="Input 21 3 2 2 2 4" xfId="36032" xr:uid="{00000000-0005-0000-0000-0000F45E0000}"/>
    <cellStyle name="Input 21 3 2 2 3" xfId="11498" xr:uid="{00000000-0005-0000-0000-0000F55E0000}"/>
    <cellStyle name="Input 21 3 2 2 3 2" xfId="41509" xr:uid="{00000000-0005-0000-0000-0000F65E0000}"/>
    <cellStyle name="Input 21 3 2 2 3 3" xfId="42822" xr:uid="{00000000-0005-0000-0000-0000F75E0000}"/>
    <cellStyle name="Input 21 3 2 2 3 4" xfId="29213" xr:uid="{00000000-0005-0000-0000-0000F85E0000}"/>
    <cellStyle name="Input 21 3 2 2 4" xfId="19197" xr:uid="{00000000-0005-0000-0000-0000F95E0000}"/>
    <cellStyle name="Input 21 3 2 2 4 2" xfId="44734" xr:uid="{00000000-0005-0000-0000-0000FA5E0000}"/>
    <cellStyle name="Input 21 3 2 2 4 3" xfId="48640" xr:uid="{00000000-0005-0000-0000-0000FB5E0000}"/>
    <cellStyle name="Input 21 3 2 2 4 4" xfId="36784" xr:uid="{00000000-0005-0000-0000-0000FC5E0000}"/>
    <cellStyle name="Input 21 3 2 2 5" xfId="20808" xr:uid="{00000000-0005-0000-0000-0000FD5E0000}"/>
    <cellStyle name="Input 21 3 2 2 5 2" xfId="46345" xr:uid="{00000000-0005-0000-0000-0000FE5E0000}"/>
    <cellStyle name="Input 21 3 2 2 5 3" xfId="50251" xr:uid="{00000000-0005-0000-0000-0000FF5E0000}"/>
    <cellStyle name="Input 21 3 2 2 5 4" xfId="38214" xr:uid="{00000000-0005-0000-0000-0000005F0000}"/>
    <cellStyle name="Input 21 3 2 2 6" xfId="21461" xr:uid="{00000000-0005-0000-0000-0000015F0000}"/>
    <cellStyle name="Input 21 3 2 2 6 2" xfId="46998" xr:uid="{00000000-0005-0000-0000-0000025F0000}"/>
    <cellStyle name="Input 21 3 2 2 6 3" xfId="50904" xr:uid="{00000000-0005-0000-0000-0000035F0000}"/>
    <cellStyle name="Input 21 3 2 2 7" xfId="40801" xr:uid="{00000000-0005-0000-0000-0000045F0000}"/>
    <cellStyle name="Input 21 3 2 2 8" xfId="43740" xr:uid="{00000000-0005-0000-0000-0000055F0000}"/>
    <cellStyle name="Input 21 3 2 3" xfId="10897" xr:uid="{00000000-0005-0000-0000-0000065F0000}"/>
    <cellStyle name="Input 21 3 2 3 2" xfId="18690" xr:uid="{00000000-0005-0000-0000-0000075F0000}"/>
    <cellStyle name="Input 21 3 2 3 2 2" xfId="44237" xr:uid="{00000000-0005-0000-0000-0000085F0000}"/>
    <cellStyle name="Input 21 3 2 3 2 3" xfId="48146" xr:uid="{00000000-0005-0000-0000-0000095F0000}"/>
    <cellStyle name="Input 21 3 2 3 2 4" xfId="36327" xr:uid="{00000000-0005-0000-0000-00000A5F0000}"/>
    <cellStyle name="Input 21 3 2 3 3" xfId="13351" xr:uid="{00000000-0005-0000-0000-00000B5F0000}"/>
    <cellStyle name="Input 21 3 2 3 3 2" xfId="42521" xr:uid="{00000000-0005-0000-0000-00000C5F0000}"/>
    <cellStyle name="Input 21 3 2 3 3 3" xfId="39070" xr:uid="{00000000-0005-0000-0000-00000D5F0000}"/>
    <cellStyle name="Input 21 3 2 3 3 4" xfId="30991" xr:uid="{00000000-0005-0000-0000-00000E5F0000}"/>
    <cellStyle name="Input 21 3 2 3 4" xfId="20299" xr:uid="{00000000-0005-0000-0000-00000F5F0000}"/>
    <cellStyle name="Input 21 3 2 3 4 2" xfId="45836" xr:uid="{00000000-0005-0000-0000-0000105F0000}"/>
    <cellStyle name="Input 21 3 2 3 4 3" xfId="49742" xr:uid="{00000000-0005-0000-0000-0000115F0000}"/>
    <cellStyle name="Input 21 3 2 3 4 4" xfId="37765" xr:uid="{00000000-0005-0000-0000-0000125F0000}"/>
    <cellStyle name="Input 21 3 2 3 5" xfId="21103" xr:uid="{00000000-0005-0000-0000-0000135F0000}"/>
    <cellStyle name="Input 21 3 2 3 5 2" xfId="46640" xr:uid="{00000000-0005-0000-0000-0000145F0000}"/>
    <cellStyle name="Input 21 3 2 3 5 3" xfId="50546" xr:uid="{00000000-0005-0000-0000-0000155F0000}"/>
    <cellStyle name="Input 21 3 2 3 5 4" xfId="38509" xr:uid="{00000000-0005-0000-0000-0000165F0000}"/>
    <cellStyle name="Input 21 3 2 3 6" xfId="21756" xr:uid="{00000000-0005-0000-0000-0000175F0000}"/>
    <cellStyle name="Input 21 3 2 3 6 2" xfId="47293" xr:uid="{00000000-0005-0000-0000-0000185F0000}"/>
    <cellStyle name="Input 21 3 2 3 6 3" xfId="51199" xr:uid="{00000000-0005-0000-0000-0000195F0000}"/>
    <cellStyle name="Input 21 3 2 3 7" xfId="41096" xr:uid="{00000000-0005-0000-0000-00001A5F0000}"/>
    <cellStyle name="Input 21 3 2 3 8" xfId="39487" xr:uid="{00000000-0005-0000-0000-00001B5F0000}"/>
    <cellStyle name="Input 21 3 2 4" xfId="14860" xr:uid="{00000000-0005-0000-0000-00001C5F0000}"/>
    <cellStyle name="Input 21 3 2 4 2" xfId="42976" xr:uid="{00000000-0005-0000-0000-00001D5F0000}"/>
    <cellStyle name="Input 21 3 2 4 3" xfId="43301" xr:uid="{00000000-0005-0000-0000-00001E5F0000}"/>
    <cellStyle name="Input 21 3 2 4 4" xfId="32495" xr:uid="{00000000-0005-0000-0000-00001F5F0000}"/>
    <cellStyle name="Input 21 3 2 5" xfId="13123" xr:uid="{00000000-0005-0000-0000-0000205F0000}"/>
    <cellStyle name="Input 21 3 2 5 2" xfId="42344" xr:uid="{00000000-0005-0000-0000-0000215F0000}"/>
    <cellStyle name="Input 21 3 2 5 3" xfId="43194" xr:uid="{00000000-0005-0000-0000-0000225F0000}"/>
    <cellStyle name="Input 21 3 2 5 4" xfId="30772" xr:uid="{00000000-0005-0000-0000-0000235F0000}"/>
    <cellStyle name="Input 21 3 2 6" xfId="12735" xr:uid="{00000000-0005-0000-0000-0000245F0000}"/>
    <cellStyle name="Input 21 3 2 6 2" xfId="42189" xr:uid="{00000000-0005-0000-0000-0000255F0000}"/>
    <cellStyle name="Input 21 3 2 6 3" xfId="40335" xr:uid="{00000000-0005-0000-0000-0000265F0000}"/>
    <cellStyle name="Input 21 3 2 6 4" xfId="30393" xr:uid="{00000000-0005-0000-0000-0000275F0000}"/>
    <cellStyle name="Input 21 3 2 7" xfId="13310" xr:uid="{00000000-0005-0000-0000-0000285F0000}"/>
    <cellStyle name="Input 21 3 2 7 2" xfId="42480" xr:uid="{00000000-0005-0000-0000-0000295F0000}"/>
    <cellStyle name="Input 21 3 2 7 3" xfId="40321" xr:uid="{00000000-0005-0000-0000-00002A5F0000}"/>
    <cellStyle name="Input 21 3 2 7 4" xfId="30951" xr:uid="{00000000-0005-0000-0000-00002B5F0000}"/>
    <cellStyle name="Input 21 3 2 8" xfId="11587" xr:uid="{00000000-0005-0000-0000-00002C5F0000}"/>
    <cellStyle name="Input 21 3 2 8 2" xfId="41598" xr:uid="{00000000-0005-0000-0000-00002D5F0000}"/>
    <cellStyle name="Input 21 3 2 8 3" xfId="40211" xr:uid="{00000000-0005-0000-0000-00002E5F0000}"/>
    <cellStyle name="Input 21 3 2 9" xfId="39836" xr:uid="{00000000-0005-0000-0000-00002F5F0000}"/>
    <cellStyle name="Input 21 3 3" xfId="53071" xr:uid="{00000000-0005-0000-0000-0000305F0000}"/>
    <cellStyle name="Input 21 4" xfId="7069" xr:uid="{00000000-0005-0000-0000-0000315F0000}"/>
    <cellStyle name="Input 21 4 10" xfId="43653" xr:uid="{00000000-0005-0000-0000-0000325F0000}"/>
    <cellStyle name="Input 21 4 11" xfId="53072" xr:uid="{00000000-0005-0000-0000-0000335F0000}"/>
    <cellStyle name="Input 21 4 2" xfId="10599" xr:uid="{00000000-0005-0000-0000-0000345F0000}"/>
    <cellStyle name="Input 21 4 2 2" xfId="18392" xr:uid="{00000000-0005-0000-0000-0000355F0000}"/>
    <cellStyle name="Input 21 4 2 2 2" xfId="43939" xr:uid="{00000000-0005-0000-0000-0000365F0000}"/>
    <cellStyle name="Input 21 4 2 2 3" xfId="47848" xr:uid="{00000000-0005-0000-0000-0000375F0000}"/>
    <cellStyle name="Input 21 4 2 2 4" xfId="36029" xr:uid="{00000000-0005-0000-0000-0000385F0000}"/>
    <cellStyle name="Input 21 4 2 3" xfId="19909" xr:uid="{00000000-0005-0000-0000-0000395F0000}"/>
    <cellStyle name="Input 21 4 2 3 2" xfId="45446" xr:uid="{00000000-0005-0000-0000-00003A5F0000}"/>
    <cellStyle name="Input 21 4 2 3 3" xfId="49352" xr:uid="{00000000-0005-0000-0000-00003B5F0000}"/>
    <cellStyle name="Input 21 4 2 3 4" xfId="37423" xr:uid="{00000000-0005-0000-0000-00003C5F0000}"/>
    <cellStyle name="Input 21 4 2 4" xfId="19074" xr:uid="{00000000-0005-0000-0000-00003D5F0000}"/>
    <cellStyle name="Input 21 4 2 4 2" xfId="44611" xr:uid="{00000000-0005-0000-0000-00003E5F0000}"/>
    <cellStyle name="Input 21 4 2 4 3" xfId="48517" xr:uid="{00000000-0005-0000-0000-00003F5F0000}"/>
    <cellStyle name="Input 21 4 2 4 4" xfId="36671" xr:uid="{00000000-0005-0000-0000-0000405F0000}"/>
    <cellStyle name="Input 21 4 2 5" xfId="20805" xr:uid="{00000000-0005-0000-0000-0000415F0000}"/>
    <cellStyle name="Input 21 4 2 5 2" xfId="46342" xr:uid="{00000000-0005-0000-0000-0000425F0000}"/>
    <cellStyle name="Input 21 4 2 5 3" xfId="50248" xr:uid="{00000000-0005-0000-0000-0000435F0000}"/>
    <cellStyle name="Input 21 4 2 5 4" xfId="38211" xr:uid="{00000000-0005-0000-0000-0000445F0000}"/>
    <cellStyle name="Input 21 4 2 6" xfId="21458" xr:uid="{00000000-0005-0000-0000-0000455F0000}"/>
    <cellStyle name="Input 21 4 2 6 2" xfId="46995" xr:uid="{00000000-0005-0000-0000-0000465F0000}"/>
    <cellStyle name="Input 21 4 2 6 3" xfId="50901" xr:uid="{00000000-0005-0000-0000-0000475F0000}"/>
    <cellStyle name="Input 21 4 2 7" xfId="40798" xr:uid="{00000000-0005-0000-0000-0000485F0000}"/>
    <cellStyle name="Input 21 4 2 8" xfId="43243" xr:uid="{00000000-0005-0000-0000-0000495F0000}"/>
    <cellStyle name="Input 21 4 3" xfId="10894" xr:uid="{00000000-0005-0000-0000-00004A5F0000}"/>
    <cellStyle name="Input 21 4 3 2" xfId="18687" xr:uid="{00000000-0005-0000-0000-00004B5F0000}"/>
    <cellStyle name="Input 21 4 3 2 2" xfId="44234" xr:uid="{00000000-0005-0000-0000-00004C5F0000}"/>
    <cellStyle name="Input 21 4 3 2 3" xfId="48143" xr:uid="{00000000-0005-0000-0000-00004D5F0000}"/>
    <cellStyle name="Input 21 4 3 2 4" xfId="36324" xr:uid="{00000000-0005-0000-0000-00004E5F0000}"/>
    <cellStyle name="Input 21 4 3 3" xfId="11524" xr:uid="{00000000-0005-0000-0000-00004F5F0000}"/>
    <cellStyle name="Input 21 4 3 3 2" xfId="41535" xr:uid="{00000000-0005-0000-0000-0000505F0000}"/>
    <cellStyle name="Input 21 4 3 3 3" xfId="40464" xr:uid="{00000000-0005-0000-0000-0000515F0000}"/>
    <cellStyle name="Input 21 4 3 3 4" xfId="29239" xr:uid="{00000000-0005-0000-0000-0000525F0000}"/>
    <cellStyle name="Input 21 4 3 4" xfId="11685" xr:uid="{00000000-0005-0000-0000-0000535F0000}"/>
    <cellStyle name="Input 21 4 3 4 2" xfId="41696" xr:uid="{00000000-0005-0000-0000-0000545F0000}"/>
    <cellStyle name="Input 21 4 3 4 3" xfId="47508" xr:uid="{00000000-0005-0000-0000-0000555F0000}"/>
    <cellStyle name="Input 21 4 3 4 4" xfId="29378" xr:uid="{00000000-0005-0000-0000-0000565F0000}"/>
    <cellStyle name="Input 21 4 3 5" xfId="21100" xr:uid="{00000000-0005-0000-0000-0000575F0000}"/>
    <cellStyle name="Input 21 4 3 5 2" xfId="46637" xr:uid="{00000000-0005-0000-0000-0000585F0000}"/>
    <cellStyle name="Input 21 4 3 5 3" xfId="50543" xr:uid="{00000000-0005-0000-0000-0000595F0000}"/>
    <cellStyle name="Input 21 4 3 5 4" xfId="38506" xr:uid="{00000000-0005-0000-0000-00005A5F0000}"/>
    <cellStyle name="Input 21 4 3 6" xfId="21753" xr:uid="{00000000-0005-0000-0000-00005B5F0000}"/>
    <cellStyle name="Input 21 4 3 6 2" xfId="47290" xr:uid="{00000000-0005-0000-0000-00005C5F0000}"/>
    <cellStyle name="Input 21 4 3 6 3" xfId="51196" xr:uid="{00000000-0005-0000-0000-00005D5F0000}"/>
    <cellStyle name="Input 21 4 3 7" xfId="41093" xr:uid="{00000000-0005-0000-0000-00005E5F0000}"/>
    <cellStyle name="Input 21 4 3 8" xfId="42599" xr:uid="{00000000-0005-0000-0000-00005F5F0000}"/>
    <cellStyle name="Input 21 4 4" xfId="14857" xr:uid="{00000000-0005-0000-0000-0000605F0000}"/>
    <cellStyle name="Input 21 4 4 2" xfId="42973" xr:uid="{00000000-0005-0000-0000-0000615F0000}"/>
    <cellStyle name="Input 21 4 4 3" xfId="40158" xr:uid="{00000000-0005-0000-0000-0000625F0000}"/>
    <cellStyle name="Input 21 4 4 4" xfId="32492" xr:uid="{00000000-0005-0000-0000-0000635F0000}"/>
    <cellStyle name="Input 21 4 5" xfId="11294" xr:uid="{00000000-0005-0000-0000-0000645F0000}"/>
    <cellStyle name="Input 21 4 5 2" xfId="41341" xr:uid="{00000000-0005-0000-0000-0000655F0000}"/>
    <cellStyle name="Input 21 4 5 3" xfId="40362" xr:uid="{00000000-0005-0000-0000-0000665F0000}"/>
    <cellStyle name="Input 21 4 5 4" xfId="29022" xr:uid="{00000000-0005-0000-0000-0000675F0000}"/>
    <cellStyle name="Input 21 4 6" xfId="19654" xr:uid="{00000000-0005-0000-0000-0000685F0000}"/>
    <cellStyle name="Input 21 4 6 2" xfId="45191" xr:uid="{00000000-0005-0000-0000-0000695F0000}"/>
    <cellStyle name="Input 21 4 6 3" xfId="49097" xr:uid="{00000000-0005-0000-0000-00006A5F0000}"/>
    <cellStyle name="Input 21 4 6 4" xfId="37188" xr:uid="{00000000-0005-0000-0000-00006B5F0000}"/>
    <cellStyle name="Input 21 4 7" xfId="20531" xr:uid="{00000000-0005-0000-0000-00006C5F0000}"/>
    <cellStyle name="Input 21 4 7 2" xfId="46068" xr:uid="{00000000-0005-0000-0000-00006D5F0000}"/>
    <cellStyle name="Input 21 4 7 3" xfId="49974" xr:uid="{00000000-0005-0000-0000-00006E5F0000}"/>
    <cellStyle name="Input 21 4 7 4" xfId="37960" xr:uid="{00000000-0005-0000-0000-00006F5F0000}"/>
    <cellStyle name="Input 21 4 8" xfId="11715" xr:uid="{00000000-0005-0000-0000-0000705F0000}"/>
    <cellStyle name="Input 21 4 8 2" xfId="41709" xr:uid="{00000000-0005-0000-0000-0000715F0000}"/>
    <cellStyle name="Input 21 4 8 3" xfId="42707" xr:uid="{00000000-0005-0000-0000-0000725F0000}"/>
    <cellStyle name="Input 21 4 9" xfId="39833" xr:uid="{00000000-0005-0000-0000-0000735F0000}"/>
    <cellStyle name="Input 21 5" xfId="22451" xr:uid="{00000000-0005-0000-0000-0000745F0000}"/>
    <cellStyle name="Input 21 6" xfId="53067" xr:uid="{00000000-0005-0000-0000-0000755F0000}"/>
    <cellStyle name="Input 21_Sheet1" xfId="1886" xr:uid="{00000000-0005-0000-0000-0000765F0000}"/>
    <cellStyle name="Input 22" xfId="1887" xr:uid="{00000000-0005-0000-0000-0000775F0000}"/>
    <cellStyle name="Input 22 2" xfId="1888" xr:uid="{00000000-0005-0000-0000-0000785F0000}"/>
    <cellStyle name="Input 22 2 2" xfId="1889" xr:uid="{00000000-0005-0000-0000-0000795F0000}"/>
    <cellStyle name="Input 22 2 2 2" xfId="7075" xr:uid="{00000000-0005-0000-0000-00007A5F0000}"/>
    <cellStyle name="Input 22 2 2 2 10" xfId="39517" xr:uid="{00000000-0005-0000-0000-00007B5F0000}"/>
    <cellStyle name="Input 22 2 2 2 2" xfId="10605" xr:uid="{00000000-0005-0000-0000-00007C5F0000}"/>
    <cellStyle name="Input 22 2 2 2 2 2" xfId="18398" xr:uid="{00000000-0005-0000-0000-00007D5F0000}"/>
    <cellStyle name="Input 22 2 2 2 2 2 2" xfId="43945" xr:uid="{00000000-0005-0000-0000-00007E5F0000}"/>
    <cellStyle name="Input 22 2 2 2 2 2 3" xfId="47854" xr:uid="{00000000-0005-0000-0000-00007F5F0000}"/>
    <cellStyle name="Input 22 2 2 2 2 2 4" xfId="36035" xr:uid="{00000000-0005-0000-0000-0000805F0000}"/>
    <cellStyle name="Input 22 2 2 2 2 3" xfId="20167" xr:uid="{00000000-0005-0000-0000-0000815F0000}"/>
    <cellStyle name="Input 22 2 2 2 2 3 2" xfId="45704" xr:uid="{00000000-0005-0000-0000-0000825F0000}"/>
    <cellStyle name="Input 22 2 2 2 2 3 3" xfId="49610" xr:uid="{00000000-0005-0000-0000-0000835F0000}"/>
    <cellStyle name="Input 22 2 2 2 2 3 4" xfId="37653" xr:uid="{00000000-0005-0000-0000-0000845F0000}"/>
    <cellStyle name="Input 22 2 2 2 2 4" xfId="19089" xr:uid="{00000000-0005-0000-0000-0000855F0000}"/>
    <cellStyle name="Input 22 2 2 2 2 4 2" xfId="44626" xr:uid="{00000000-0005-0000-0000-0000865F0000}"/>
    <cellStyle name="Input 22 2 2 2 2 4 3" xfId="48532" xr:uid="{00000000-0005-0000-0000-0000875F0000}"/>
    <cellStyle name="Input 22 2 2 2 2 4 4" xfId="36685" xr:uid="{00000000-0005-0000-0000-0000885F0000}"/>
    <cellStyle name="Input 22 2 2 2 2 5" xfId="20811" xr:uid="{00000000-0005-0000-0000-0000895F0000}"/>
    <cellStyle name="Input 22 2 2 2 2 5 2" xfId="46348" xr:uid="{00000000-0005-0000-0000-00008A5F0000}"/>
    <cellStyle name="Input 22 2 2 2 2 5 3" xfId="50254" xr:uid="{00000000-0005-0000-0000-00008B5F0000}"/>
    <cellStyle name="Input 22 2 2 2 2 5 4" xfId="38217" xr:uid="{00000000-0005-0000-0000-00008C5F0000}"/>
    <cellStyle name="Input 22 2 2 2 2 6" xfId="21464" xr:uid="{00000000-0005-0000-0000-00008D5F0000}"/>
    <cellStyle name="Input 22 2 2 2 2 6 2" xfId="47001" xr:uid="{00000000-0005-0000-0000-00008E5F0000}"/>
    <cellStyle name="Input 22 2 2 2 2 6 3" xfId="50907" xr:uid="{00000000-0005-0000-0000-00008F5F0000}"/>
    <cellStyle name="Input 22 2 2 2 2 7" xfId="40804" xr:uid="{00000000-0005-0000-0000-0000905F0000}"/>
    <cellStyle name="Input 22 2 2 2 2 8" xfId="42747" xr:uid="{00000000-0005-0000-0000-0000915F0000}"/>
    <cellStyle name="Input 22 2 2 2 3" xfId="10900" xr:uid="{00000000-0005-0000-0000-0000925F0000}"/>
    <cellStyle name="Input 22 2 2 2 3 2" xfId="18693" xr:uid="{00000000-0005-0000-0000-0000935F0000}"/>
    <cellStyle name="Input 22 2 2 2 3 2 2" xfId="44240" xr:uid="{00000000-0005-0000-0000-0000945F0000}"/>
    <cellStyle name="Input 22 2 2 2 3 2 3" xfId="48149" xr:uid="{00000000-0005-0000-0000-0000955F0000}"/>
    <cellStyle name="Input 22 2 2 2 3 2 4" xfId="36330" xr:uid="{00000000-0005-0000-0000-0000965F0000}"/>
    <cellStyle name="Input 22 2 2 2 3 3" xfId="13353" xr:uid="{00000000-0005-0000-0000-0000975F0000}"/>
    <cellStyle name="Input 22 2 2 2 3 3 2" xfId="42523" xr:uid="{00000000-0005-0000-0000-0000985F0000}"/>
    <cellStyle name="Input 22 2 2 2 3 3 3" xfId="41300" xr:uid="{00000000-0005-0000-0000-0000995F0000}"/>
    <cellStyle name="Input 22 2 2 2 3 3 4" xfId="30993" xr:uid="{00000000-0005-0000-0000-00009A5F0000}"/>
    <cellStyle name="Input 22 2 2 2 3 4" xfId="12764" xr:uid="{00000000-0005-0000-0000-00009B5F0000}"/>
    <cellStyle name="Input 22 2 2 2 3 4 2" xfId="42209" xr:uid="{00000000-0005-0000-0000-00009C5F0000}"/>
    <cellStyle name="Input 22 2 2 2 3 4 3" xfId="43328" xr:uid="{00000000-0005-0000-0000-00009D5F0000}"/>
    <cellStyle name="Input 22 2 2 2 3 4 4" xfId="30422" xr:uid="{00000000-0005-0000-0000-00009E5F0000}"/>
    <cellStyle name="Input 22 2 2 2 3 5" xfId="21106" xr:uid="{00000000-0005-0000-0000-00009F5F0000}"/>
    <cellStyle name="Input 22 2 2 2 3 5 2" xfId="46643" xr:uid="{00000000-0005-0000-0000-0000A05F0000}"/>
    <cellStyle name="Input 22 2 2 2 3 5 3" xfId="50549" xr:uid="{00000000-0005-0000-0000-0000A15F0000}"/>
    <cellStyle name="Input 22 2 2 2 3 5 4" xfId="38512" xr:uid="{00000000-0005-0000-0000-0000A25F0000}"/>
    <cellStyle name="Input 22 2 2 2 3 6" xfId="21759" xr:uid="{00000000-0005-0000-0000-0000A35F0000}"/>
    <cellStyle name="Input 22 2 2 2 3 6 2" xfId="47296" xr:uid="{00000000-0005-0000-0000-0000A45F0000}"/>
    <cellStyle name="Input 22 2 2 2 3 6 3" xfId="51202" xr:uid="{00000000-0005-0000-0000-0000A55F0000}"/>
    <cellStyle name="Input 22 2 2 2 3 7" xfId="41099" xr:uid="{00000000-0005-0000-0000-0000A65F0000}"/>
    <cellStyle name="Input 22 2 2 2 3 8" xfId="40236" xr:uid="{00000000-0005-0000-0000-0000A75F0000}"/>
    <cellStyle name="Input 22 2 2 2 4" xfId="14863" xr:uid="{00000000-0005-0000-0000-0000A85F0000}"/>
    <cellStyle name="Input 22 2 2 2 4 2" xfId="42979" xr:uid="{00000000-0005-0000-0000-0000A95F0000}"/>
    <cellStyle name="Input 22 2 2 2 4 3" xfId="43671" xr:uid="{00000000-0005-0000-0000-0000AA5F0000}"/>
    <cellStyle name="Input 22 2 2 2 4 4" xfId="32498" xr:uid="{00000000-0005-0000-0000-0000AB5F0000}"/>
    <cellStyle name="Input 22 2 2 2 5" xfId="11297" xr:uid="{00000000-0005-0000-0000-0000AC5F0000}"/>
    <cellStyle name="Input 22 2 2 2 5 2" xfId="41344" xr:uid="{00000000-0005-0000-0000-0000AD5F0000}"/>
    <cellStyle name="Input 22 2 2 2 5 3" xfId="43359" xr:uid="{00000000-0005-0000-0000-0000AE5F0000}"/>
    <cellStyle name="Input 22 2 2 2 5 4" xfId="29025" xr:uid="{00000000-0005-0000-0000-0000AF5F0000}"/>
    <cellStyle name="Input 22 2 2 2 6" xfId="18996" xr:uid="{00000000-0005-0000-0000-0000B05F0000}"/>
    <cellStyle name="Input 22 2 2 2 6 2" xfId="44533" xr:uid="{00000000-0005-0000-0000-0000B15F0000}"/>
    <cellStyle name="Input 22 2 2 2 6 3" xfId="48439" xr:uid="{00000000-0005-0000-0000-0000B25F0000}"/>
    <cellStyle name="Input 22 2 2 2 6 4" xfId="36618" xr:uid="{00000000-0005-0000-0000-0000B35F0000}"/>
    <cellStyle name="Input 22 2 2 2 7" xfId="18889" xr:uid="{00000000-0005-0000-0000-0000B45F0000}"/>
    <cellStyle name="Input 22 2 2 2 7 2" xfId="44426" xr:uid="{00000000-0005-0000-0000-0000B55F0000}"/>
    <cellStyle name="Input 22 2 2 2 7 3" xfId="48332" xr:uid="{00000000-0005-0000-0000-0000B65F0000}"/>
    <cellStyle name="Input 22 2 2 2 7 4" xfId="36525" xr:uid="{00000000-0005-0000-0000-0000B75F0000}"/>
    <cellStyle name="Input 22 2 2 2 8" xfId="11855" xr:uid="{00000000-0005-0000-0000-0000B85F0000}"/>
    <cellStyle name="Input 22 2 2 2 8 2" xfId="41773" xr:uid="{00000000-0005-0000-0000-0000B95F0000}"/>
    <cellStyle name="Input 22 2 2 2 8 3" xfId="39147" xr:uid="{00000000-0005-0000-0000-0000BA5F0000}"/>
    <cellStyle name="Input 22 2 2 2 9" xfId="39839" xr:uid="{00000000-0005-0000-0000-0000BB5F0000}"/>
    <cellStyle name="Input 22 2 2 3" xfId="53075" xr:uid="{00000000-0005-0000-0000-0000BC5F0000}"/>
    <cellStyle name="Input 22 2 3" xfId="7074" xr:uid="{00000000-0005-0000-0000-0000BD5F0000}"/>
    <cellStyle name="Input 22 2 3 10" xfId="40405" xr:uid="{00000000-0005-0000-0000-0000BE5F0000}"/>
    <cellStyle name="Input 22 2 3 11" xfId="53076" xr:uid="{00000000-0005-0000-0000-0000BF5F0000}"/>
    <cellStyle name="Input 22 2 3 2" xfId="10604" xr:uid="{00000000-0005-0000-0000-0000C05F0000}"/>
    <cellStyle name="Input 22 2 3 2 2" xfId="18397" xr:uid="{00000000-0005-0000-0000-0000C15F0000}"/>
    <cellStyle name="Input 22 2 3 2 2 2" xfId="43944" xr:uid="{00000000-0005-0000-0000-0000C25F0000}"/>
    <cellStyle name="Input 22 2 3 2 2 3" xfId="47853" xr:uid="{00000000-0005-0000-0000-0000C35F0000}"/>
    <cellStyle name="Input 22 2 3 2 2 4" xfId="36034" xr:uid="{00000000-0005-0000-0000-0000C45F0000}"/>
    <cellStyle name="Input 22 2 3 2 3" xfId="19612" xr:uid="{00000000-0005-0000-0000-0000C55F0000}"/>
    <cellStyle name="Input 22 2 3 2 3 2" xfId="45149" xr:uid="{00000000-0005-0000-0000-0000C65F0000}"/>
    <cellStyle name="Input 22 2 3 2 3 3" xfId="49055" xr:uid="{00000000-0005-0000-0000-0000C75F0000}"/>
    <cellStyle name="Input 22 2 3 2 3 4" xfId="37152" xr:uid="{00000000-0005-0000-0000-0000C85F0000}"/>
    <cellStyle name="Input 22 2 3 2 4" xfId="19055" xr:uid="{00000000-0005-0000-0000-0000C95F0000}"/>
    <cellStyle name="Input 22 2 3 2 4 2" xfId="44592" xr:uid="{00000000-0005-0000-0000-0000CA5F0000}"/>
    <cellStyle name="Input 22 2 3 2 4 3" xfId="48498" xr:uid="{00000000-0005-0000-0000-0000CB5F0000}"/>
    <cellStyle name="Input 22 2 3 2 4 4" xfId="36655" xr:uid="{00000000-0005-0000-0000-0000CC5F0000}"/>
    <cellStyle name="Input 22 2 3 2 5" xfId="20810" xr:uid="{00000000-0005-0000-0000-0000CD5F0000}"/>
    <cellStyle name="Input 22 2 3 2 5 2" xfId="46347" xr:uid="{00000000-0005-0000-0000-0000CE5F0000}"/>
    <cellStyle name="Input 22 2 3 2 5 3" xfId="50253" xr:uid="{00000000-0005-0000-0000-0000CF5F0000}"/>
    <cellStyle name="Input 22 2 3 2 5 4" xfId="38216" xr:uid="{00000000-0005-0000-0000-0000D05F0000}"/>
    <cellStyle name="Input 22 2 3 2 6" xfId="21463" xr:uid="{00000000-0005-0000-0000-0000D15F0000}"/>
    <cellStyle name="Input 22 2 3 2 6 2" xfId="47000" xr:uid="{00000000-0005-0000-0000-0000D25F0000}"/>
    <cellStyle name="Input 22 2 3 2 6 3" xfId="50906" xr:uid="{00000000-0005-0000-0000-0000D35F0000}"/>
    <cellStyle name="Input 22 2 3 2 7" xfId="40803" xr:uid="{00000000-0005-0000-0000-0000D45F0000}"/>
    <cellStyle name="Input 22 2 3 2 8" xfId="39710" xr:uid="{00000000-0005-0000-0000-0000D55F0000}"/>
    <cellStyle name="Input 22 2 3 3" xfId="10899" xr:uid="{00000000-0005-0000-0000-0000D65F0000}"/>
    <cellStyle name="Input 22 2 3 3 2" xfId="18692" xr:uid="{00000000-0005-0000-0000-0000D75F0000}"/>
    <cellStyle name="Input 22 2 3 3 2 2" xfId="44239" xr:uid="{00000000-0005-0000-0000-0000D85F0000}"/>
    <cellStyle name="Input 22 2 3 3 2 3" xfId="48148" xr:uid="{00000000-0005-0000-0000-0000D95F0000}"/>
    <cellStyle name="Input 22 2 3 3 2 4" xfId="36329" xr:uid="{00000000-0005-0000-0000-0000DA5F0000}"/>
    <cellStyle name="Input 22 2 3 3 3" xfId="13350" xr:uid="{00000000-0005-0000-0000-0000DB5F0000}"/>
    <cellStyle name="Input 22 2 3 3 3 2" xfId="42520" xr:uid="{00000000-0005-0000-0000-0000DC5F0000}"/>
    <cellStyle name="Input 22 2 3 3 3 3" xfId="39285" xr:uid="{00000000-0005-0000-0000-0000DD5F0000}"/>
    <cellStyle name="Input 22 2 3 3 3 4" xfId="30990" xr:uid="{00000000-0005-0000-0000-0000DE5F0000}"/>
    <cellStyle name="Input 22 2 3 3 4" xfId="19514" xr:uid="{00000000-0005-0000-0000-0000DF5F0000}"/>
    <cellStyle name="Input 22 2 3 3 4 2" xfId="45051" xr:uid="{00000000-0005-0000-0000-0000E05F0000}"/>
    <cellStyle name="Input 22 2 3 3 4 3" xfId="48957" xr:uid="{00000000-0005-0000-0000-0000E15F0000}"/>
    <cellStyle name="Input 22 2 3 3 4 4" xfId="37062" xr:uid="{00000000-0005-0000-0000-0000E25F0000}"/>
    <cellStyle name="Input 22 2 3 3 5" xfId="21105" xr:uid="{00000000-0005-0000-0000-0000E35F0000}"/>
    <cellStyle name="Input 22 2 3 3 5 2" xfId="46642" xr:uid="{00000000-0005-0000-0000-0000E45F0000}"/>
    <cellStyle name="Input 22 2 3 3 5 3" xfId="50548" xr:uid="{00000000-0005-0000-0000-0000E55F0000}"/>
    <cellStyle name="Input 22 2 3 3 5 4" xfId="38511" xr:uid="{00000000-0005-0000-0000-0000E65F0000}"/>
    <cellStyle name="Input 22 2 3 3 6" xfId="21758" xr:uid="{00000000-0005-0000-0000-0000E75F0000}"/>
    <cellStyle name="Input 22 2 3 3 6 2" xfId="47295" xr:uid="{00000000-0005-0000-0000-0000E85F0000}"/>
    <cellStyle name="Input 22 2 3 3 6 3" xfId="51201" xr:uid="{00000000-0005-0000-0000-0000E95F0000}"/>
    <cellStyle name="Input 22 2 3 3 7" xfId="41098" xr:uid="{00000000-0005-0000-0000-0000EA5F0000}"/>
    <cellStyle name="Input 22 2 3 3 8" xfId="43374" xr:uid="{00000000-0005-0000-0000-0000EB5F0000}"/>
    <cellStyle name="Input 22 2 3 4" xfId="14862" xr:uid="{00000000-0005-0000-0000-0000EC5F0000}"/>
    <cellStyle name="Input 22 2 3 4 2" xfId="42978" xr:uid="{00000000-0005-0000-0000-0000ED5F0000}"/>
    <cellStyle name="Input 22 2 3 4 3" xfId="42784" xr:uid="{00000000-0005-0000-0000-0000EE5F0000}"/>
    <cellStyle name="Input 22 2 3 4 4" xfId="32497" xr:uid="{00000000-0005-0000-0000-0000EF5F0000}"/>
    <cellStyle name="Input 22 2 3 5" xfId="11296" xr:uid="{00000000-0005-0000-0000-0000F05F0000}"/>
    <cellStyle name="Input 22 2 3 5 2" xfId="41343" xr:uid="{00000000-0005-0000-0000-0000F15F0000}"/>
    <cellStyle name="Input 22 2 3 5 3" xfId="42038" xr:uid="{00000000-0005-0000-0000-0000F25F0000}"/>
    <cellStyle name="Input 22 2 3 5 4" xfId="29024" xr:uid="{00000000-0005-0000-0000-0000F35F0000}"/>
    <cellStyle name="Input 22 2 3 6" xfId="19861" xr:uid="{00000000-0005-0000-0000-0000F45F0000}"/>
    <cellStyle name="Input 22 2 3 6 2" xfId="45398" xr:uid="{00000000-0005-0000-0000-0000F55F0000}"/>
    <cellStyle name="Input 22 2 3 6 3" xfId="49304" xr:uid="{00000000-0005-0000-0000-0000F65F0000}"/>
    <cellStyle name="Input 22 2 3 6 4" xfId="37375" xr:uid="{00000000-0005-0000-0000-0000F75F0000}"/>
    <cellStyle name="Input 22 2 3 7" xfId="19510" xr:uid="{00000000-0005-0000-0000-0000F85F0000}"/>
    <cellStyle name="Input 22 2 3 7 2" xfId="45047" xr:uid="{00000000-0005-0000-0000-0000F95F0000}"/>
    <cellStyle name="Input 22 2 3 7 3" xfId="48953" xr:uid="{00000000-0005-0000-0000-0000FA5F0000}"/>
    <cellStyle name="Input 22 2 3 7 4" xfId="37058" xr:uid="{00000000-0005-0000-0000-0000FB5F0000}"/>
    <cellStyle name="Input 22 2 3 8" xfId="11426" xr:uid="{00000000-0005-0000-0000-0000FC5F0000}"/>
    <cellStyle name="Input 22 2 3 8 2" xfId="41451" xr:uid="{00000000-0005-0000-0000-0000FD5F0000}"/>
    <cellStyle name="Input 22 2 3 8 3" xfId="39174" xr:uid="{00000000-0005-0000-0000-0000FE5F0000}"/>
    <cellStyle name="Input 22 2 3 9" xfId="39838" xr:uid="{00000000-0005-0000-0000-0000FF5F0000}"/>
    <cellStyle name="Input 22 2 4" xfId="22454" xr:uid="{00000000-0005-0000-0000-000000600000}"/>
    <cellStyle name="Input 22 2 5" xfId="53074" xr:uid="{00000000-0005-0000-0000-000001600000}"/>
    <cellStyle name="Input 22 2_Sheet1" xfId="1890" xr:uid="{00000000-0005-0000-0000-000002600000}"/>
    <cellStyle name="Input 22 3" xfId="1891" xr:uid="{00000000-0005-0000-0000-000003600000}"/>
    <cellStyle name="Input 22 3 2" xfId="7076" xr:uid="{00000000-0005-0000-0000-000004600000}"/>
    <cellStyle name="Input 22 3 2 10" xfId="42198" xr:uid="{00000000-0005-0000-0000-000005600000}"/>
    <cellStyle name="Input 22 3 2 2" xfId="10606" xr:uid="{00000000-0005-0000-0000-000006600000}"/>
    <cellStyle name="Input 22 3 2 2 2" xfId="18399" xr:uid="{00000000-0005-0000-0000-000007600000}"/>
    <cellStyle name="Input 22 3 2 2 2 2" xfId="43946" xr:uid="{00000000-0005-0000-0000-000008600000}"/>
    <cellStyle name="Input 22 3 2 2 2 3" xfId="47855" xr:uid="{00000000-0005-0000-0000-000009600000}"/>
    <cellStyle name="Input 22 3 2 2 2 4" xfId="36036" xr:uid="{00000000-0005-0000-0000-00000A600000}"/>
    <cellStyle name="Input 22 3 2 2 3" xfId="19426" xr:uid="{00000000-0005-0000-0000-00000B600000}"/>
    <cellStyle name="Input 22 3 2 2 3 2" xfId="44963" xr:uid="{00000000-0005-0000-0000-00000C600000}"/>
    <cellStyle name="Input 22 3 2 2 3 3" xfId="48869" xr:uid="{00000000-0005-0000-0000-00000D600000}"/>
    <cellStyle name="Input 22 3 2 2 3 4" xfId="36991" xr:uid="{00000000-0005-0000-0000-00000E600000}"/>
    <cellStyle name="Input 22 3 2 2 4" xfId="19569" xr:uid="{00000000-0005-0000-0000-00000F600000}"/>
    <cellStyle name="Input 22 3 2 2 4 2" xfId="45106" xr:uid="{00000000-0005-0000-0000-000010600000}"/>
    <cellStyle name="Input 22 3 2 2 4 3" xfId="49012" xr:uid="{00000000-0005-0000-0000-000011600000}"/>
    <cellStyle name="Input 22 3 2 2 4 4" xfId="37110" xr:uid="{00000000-0005-0000-0000-000012600000}"/>
    <cellStyle name="Input 22 3 2 2 5" xfId="20812" xr:uid="{00000000-0005-0000-0000-000013600000}"/>
    <cellStyle name="Input 22 3 2 2 5 2" xfId="46349" xr:uid="{00000000-0005-0000-0000-000014600000}"/>
    <cellStyle name="Input 22 3 2 2 5 3" xfId="50255" xr:uid="{00000000-0005-0000-0000-000015600000}"/>
    <cellStyle name="Input 22 3 2 2 5 4" xfId="38218" xr:uid="{00000000-0005-0000-0000-000016600000}"/>
    <cellStyle name="Input 22 3 2 2 6" xfId="21465" xr:uid="{00000000-0005-0000-0000-000017600000}"/>
    <cellStyle name="Input 22 3 2 2 6 2" xfId="47002" xr:uid="{00000000-0005-0000-0000-000018600000}"/>
    <cellStyle name="Input 22 3 2 2 6 3" xfId="50908" xr:uid="{00000000-0005-0000-0000-000019600000}"/>
    <cellStyle name="Input 22 3 2 2 7" xfId="40805" xr:uid="{00000000-0005-0000-0000-00001A600000}"/>
    <cellStyle name="Input 22 3 2 2 8" xfId="43636" xr:uid="{00000000-0005-0000-0000-00001B600000}"/>
    <cellStyle name="Input 22 3 2 3" xfId="10901" xr:uid="{00000000-0005-0000-0000-00001C600000}"/>
    <cellStyle name="Input 22 3 2 3 2" xfId="18694" xr:uid="{00000000-0005-0000-0000-00001D600000}"/>
    <cellStyle name="Input 22 3 2 3 2 2" xfId="44241" xr:uid="{00000000-0005-0000-0000-00001E600000}"/>
    <cellStyle name="Input 22 3 2 3 2 3" xfId="48150" xr:uid="{00000000-0005-0000-0000-00001F600000}"/>
    <cellStyle name="Input 22 3 2 3 2 4" xfId="36331" xr:uid="{00000000-0005-0000-0000-000020600000}"/>
    <cellStyle name="Input 22 3 2 3 3" xfId="13354" xr:uid="{00000000-0005-0000-0000-000021600000}"/>
    <cellStyle name="Input 22 3 2 3 3 2" xfId="42524" xr:uid="{00000000-0005-0000-0000-000022600000}"/>
    <cellStyle name="Input 22 3 2 3 3 3" xfId="43189" xr:uid="{00000000-0005-0000-0000-000023600000}"/>
    <cellStyle name="Input 22 3 2 3 3 4" xfId="30994" xr:uid="{00000000-0005-0000-0000-000024600000}"/>
    <cellStyle name="Input 22 3 2 3 4" xfId="12806" xr:uid="{00000000-0005-0000-0000-000025600000}"/>
    <cellStyle name="Input 22 3 2 3 4 2" xfId="42221" xr:uid="{00000000-0005-0000-0000-000026600000}"/>
    <cellStyle name="Input 22 3 2 3 4 3" xfId="42561" xr:uid="{00000000-0005-0000-0000-000027600000}"/>
    <cellStyle name="Input 22 3 2 3 4 4" xfId="30463" xr:uid="{00000000-0005-0000-0000-000028600000}"/>
    <cellStyle name="Input 22 3 2 3 5" xfId="21107" xr:uid="{00000000-0005-0000-0000-000029600000}"/>
    <cellStyle name="Input 22 3 2 3 5 2" xfId="46644" xr:uid="{00000000-0005-0000-0000-00002A600000}"/>
    <cellStyle name="Input 22 3 2 3 5 3" xfId="50550" xr:uid="{00000000-0005-0000-0000-00002B600000}"/>
    <cellStyle name="Input 22 3 2 3 5 4" xfId="38513" xr:uid="{00000000-0005-0000-0000-00002C600000}"/>
    <cellStyle name="Input 22 3 2 3 6" xfId="21760" xr:uid="{00000000-0005-0000-0000-00002D600000}"/>
    <cellStyle name="Input 22 3 2 3 6 2" xfId="47297" xr:uid="{00000000-0005-0000-0000-00002E600000}"/>
    <cellStyle name="Input 22 3 2 3 6 3" xfId="51203" xr:uid="{00000000-0005-0000-0000-00002F600000}"/>
    <cellStyle name="Input 22 3 2 3 7" xfId="41100" xr:uid="{00000000-0005-0000-0000-000030600000}"/>
    <cellStyle name="Input 22 3 2 3 8" xfId="39376" xr:uid="{00000000-0005-0000-0000-000031600000}"/>
    <cellStyle name="Input 22 3 2 4" xfId="14864" xr:uid="{00000000-0005-0000-0000-000032600000}"/>
    <cellStyle name="Input 22 3 2 4 2" xfId="42980" xr:uid="{00000000-0005-0000-0000-000033600000}"/>
    <cellStyle name="Input 22 3 2 4 3" xfId="40530" xr:uid="{00000000-0005-0000-0000-000034600000}"/>
    <cellStyle name="Input 22 3 2 4 4" xfId="32499" xr:uid="{00000000-0005-0000-0000-000035600000}"/>
    <cellStyle name="Input 22 3 2 5" xfId="11298" xr:uid="{00000000-0005-0000-0000-000036600000}"/>
    <cellStyle name="Input 22 3 2 5 2" xfId="41345" xr:uid="{00000000-0005-0000-0000-000037600000}"/>
    <cellStyle name="Input 22 3 2 5 3" xfId="40221" xr:uid="{00000000-0005-0000-0000-000038600000}"/>
    <cellStyle name="Input 22 3 2 5 4" xfId="29026" xr:uid="{00000000-0005-0000-0000-000039600000}"/>
    <cellStyle name="Input 22 3 2 6" xfId="11594" xr:uid="{00000000-0005-0000-0000-00003A600000}"/>
    <cellStyle name="Input 22 3 2 6 2" xfId="41605" xr:uid="{00000000-0005-0000-0000-00003B600000}"/>
    <cellStyle name="Input 22 3 2 6 3" xfId="42817" xr:uid="{00000000-0005-0000-0000-00003C600000}"/>
    <cellStyle name="Input 22 3 2 6 4" xfId="29301" xr:uid="{00000000-0005-0000-0000-00003D600000}"/>
    <cellStyle name="Input 22 3 2 7" xfId="19965" xr:uid="{00000000-0005-0000-0000-00003E600000}"/>
    <cellStyle name="Input 22 3 2 7 2" xfId="45502" xr:uid="{00000000-0005-0000-0000-00003F600000}"/>
    <cellStyle name="Input 22 3 2 7 3" xfId="49408" xr:uid="{00000000-0005-0000-0000-000040600000}"/>
    <cellStyle name="Input 22 3 2 7 4" xfId="37470" xr:uid="{00000000-0005-0000-0000-000041600000}"/>
    <cellStyle name="Input 22 3 2 8" xfId="19241" xr:uid="{00000000-0005-0000-0000-000042600000}"/>
    <cellStyle name="Input 22 3 2 8 2" xfId="44778" xr:uid="{00000000-0005-0000-0000-000043600000}"/>
    <cellStyle name="Input 22 3 2 8 3" xfId="48684" xr:uid="{00000000-0005-0000-0000-000044600000}"/>
    <cellStyle name="Input 22 3 2 9" xfId="39840" xr:uid="{00000000-0005-0000-0000-000045600000}"/>
    <cellStyle name="Input 22 3 3" xfId="53077" xr:uid="{00000000-0005-0000-0000-000046600000}"/>
    <cellStyle name="Input 22 4" xfId="7073" xr:uid="{00000000-0005-0000-0000-000047600000}"/>
    <cellStyle name="Input 22 4 10" xfId="43542" xr:uid="{00000000-0005-0000-0000-000048600000}"/>
    <cellStyle name="Input 22 4 11" xfId="53078" xr:uid="{00000000-0005-0000-0000-000049600000}"/>
    <cellStyle name="Input 22 4 2" xfId="10603" xr:uid="{00000000-0005-0000-0000-00004A600000}"/>
    <cellStyle name="Input 22 4 2 2" xfId="18396" xr:uid="{00000000-0005-0000-0000-00004B600000}"/>
    <cellStyle name="Input 22 4 2 2 2" xfId="43943" xr:uid="{00000000-0005-0000-0000-00004C600000}"/>
    <cellStyle name="Input 22 4 2 2 3" xfId="47852" xr:uid="{00000000-0005-0000-0000-00004D600000}"/>
    <cellStyle name="Input 22 4 2 2 4" xfId="36033" xr:uid="{00000000-0005-0000-0000-00004E600000}"/>
    <cellStyle name="Input 22 4 2 3" xfId="13325" xr:uid="{00000000-0005-0000-0000-00004F600000}"/>
    <cellStyle name="Input 22 4 2 3 2" xfId="42495" xr:uid="{00000000-0005-0000-0000-000050600000}"/>
    <cellStyle name="Input 22 4 2 3 3" xfId="40433" xr:uid="{00000000-0005-0000-0000-000051600000}"/>
    <cellStyle name="Input 22 4 2 3 4" xfId="30965" xr:uid="{00000000-0005-0000-0000-000052600000}"/>
    <cellStyle name="Input 22 4 2 4" xfId="18964" xr:uid="{00000000-0005-0000-0000-000053600000}"/>
    <cellStyle name="Input 22 4 2 4 2" xfId="44501" xr:uid="{00000000-0005-0000-0000-000054600000}"/>
    <cellStyle name="Input 22 4 2 4 3" xfId="48407" xr:uid="{00000000-0005-0000-0000-000055600000}"/>
    <cellStyle name="Input 22 4 2 4 4" xfId="36590" xr:uid="{00000000-0005-0000-0000-000056600000}"/>
    <cellStyle name="Input 22 4 2 5" xfId="20809" xr:uid="{00000000-0005-0000-0000-000057600000}"/>
    <cellStyle name="Input 22 4 2 5 2" xfId="46346" xr:uid="{00000000-0005-0000-0000-000058600000}"/>
    <cellStyle name="Input 22 4 2 5 3" xfId="50252" xr:uid="{00000000-0005-0000-0000-000059600000}"/>
    <cellStyle name="Input 22 4 2 5 4" xfId="38215" xr:uid="{00000000-0005-0000-0000-00005A600000}"/>
    <cellStyle name="Input 22 4 2 6" xfId="21462" xr:uid="{00000000-0005-0000-0000-00005B600000}"/>
    <cellStyle name="Input 22 4 2 6 2" xfId="46999" xr:uid="{00000000-0005-0000-0000-00005C600000}"/>
    <cellStyle name="Input 22 4 2 6 3" xfId="50905" xr:uid="{00000000-0005-0000-0000-00005D600000}"/>
    <cellStyle name="Input 22 4 2 7" xfId="40802" xr:uid="{00000000-0005-0000-0000-00005E600000}"/>
    <cellStyle name="Input 22 4 2 8" xfId="40599" xr:uid="{00000000-0005-0000-0000-00005F600000}"/>
    <cellStyle name="Input 22 4 3" xfId="10898" xr:uid="{00000000-0005-0000-0000-000060600000}"/>
    <cellStyle name="Input 22 4 3 2" xfId="18691" xr:uid="{00000000-0005-0000-0000-000061600000}"/>
    <cellStyle name="Input 22 4 3 2 2" xfId="44238" xr:uid="{00000000-0005-0000-0000-000062600000}"/>
    <cellStyle name="Input 22 4 3 2 3" xfId="48147" xr:uid="{00000000-0005-0000-0000-000063600000}"/>
    <cellStyle name="Input 22 4 3 2 4" xfId="36328" xr:uid="{00000000-0005-0000-0000-000064600000}"/>
    <cellStyle name="Input 22 4 3 3" xfId="13352" xr:uid="{00000000-0005-0000-0000-000065600000}"/>
    <cellStyle name="Input 22 4 3 3 2" xfId="42522" xr:uid="{00000000-0005-0000-0000-000066600000}"/>
    <cellStyle name="Input 22 4 3 3 3" xfId="39069" xr:uid="{00000000-0005-0000-0000-000067600000}"/>
    <cellStyle name="Input 22 4 3 3 4" xfId="30992" xr:uid="{00000000-0005-0000-0000-000068600000}"/>
    <cellStyle name="Input 22 4 3 4" xfId="19513" xr:uid="{00000000-0005-0000-0000-000069600000}"/>
    <cellStyle name="Input 22 4 3 4 2" xfId="45050" xr:uid="{00000000-0005-0000-0000-00006A600000}"/>
    <cellStyle name="Input 22 4 3 4 3" xfId="48956" xr:uid="{00000000-0005-0000-0000-00006B600000}"/>
    <cellStyle name="Input 22 4 3 4 4" xfId="37061" xr:uid="{00000000-0005-0000-0000-00006C600000}"/>
    <cellStyle name="Input 22 4 3 5" xfId="21104" xr:uid="{00000000-0005-0000-0000-00006D600000}"/>
    <cellStyle name="Input 22 4 3 5 2" xfId="46641" xr:uid="{00000000-0005-0000-0000-00006E600000}"/>
    <cellStyle name="Input 22 4 3 5 3" xfId="50547" xr:uid="{00000000-0005-0000-0000-00006F600000}"/>
    <cellStyle name="Input 22 4 3 5 4" xfId="38510" xr:uid="{00000000-0005-0000-0000-000070600000}"/>
    <cellStyle name="Input 22 4 3 6" xfId="21757" xr:uid="{00000000-0005-0000-0000-000071600000}"/>
    <cellStyle name="Input 22 4 3 6 2" xfId="47294" xr:uid="{00000000-0005-0000-0000-000072600000}"/>
    <cellStyle name="Input 22 4 3 6 3" xfId="51200" xr:uid="{00000000-0005-0000-0000-000073600000}"/>
    <cellStyle name="Input 22 4 3 7" xfId="41097" xr:uid="{00000000-0005-0000-0000-000074600000}"/>
    <cellStyle name="Input 22 4 3 8" xfId="42055" xr:uid="{00000000-0005-0000-0000-000075600000}"/>
    <cellStyle name="Input 22 4 4" xfId="14861" xr:uid="{00000000-0005-0000-0000-000076600000}"/>
    <cellStyle name="Input 22 4 4 2" xfId="42977" xr:uid="{00000000-0005-0000-0000-000077600000}"/>
    <cellStyle name="Input 22 4 4 3" xfId="40160" xr:uid="{00000000-0005-0000-0000-000078600000}"/>
    <cellStyle name="Input 22 4 4 4" xfId="32496" xr:uid="{00000000-0005-0000-0000-000079600000}"/>
    <cellStyle name="Input 22 4 5" xfId="13124" xr:uid="{00000000-0005-0000-0000-00007A600000}"/>
    <cellStyle name="Input 22 4 5 2" xfId="42345" xr:uid="{00000000-0005-0000-0000-00007B600000}"/>
    <cellStyle name="Input 22 4 5 3" xfId="40053" xr:uid="{00000000-0005-0000-0000-00007C600000}"/>
    <cellStyle name="Input 22 4 5 4" xfId="30773" xr:uid="{00000000-0005-0000-0000-00007D600000}"/>
    <cellStyle name="Input 22 4 6" xfId="12795" xr:uid="{00000000-0005-0000-0000-00007E600000}"/>
    <cellStyle name="Input 22 4 6 2" xfId="42216" xr:uid="{00000000-0005-0000-0000-00007F600000}"/>
    <cellStyle name="Input 22 4 6 3" xfId="41311" xr:uid="{00000000-0005-0000-0000-000080600000}"/>
    <cellStyle name="Input 22 4 6 4" xfId="30452" xr:uid="{00000000-0005-0000-0000-000081600000}"/>
    <cellStyle name="Input 22 4 7" xfId="19648" xr:uid="{00000000-0005-0000-0000-000082600000}"/>
    <cellStyle name="Input 22 4 7 2" xfId="45185" xr:uid="{00000000-0005-0000-0000-000083600000}"/>
    <cellStyle name="Input 22 4 7 3" xfId="49091" xr:uid="{00000000-0005-0000-0000-000084600000}"/>
    <cellStyle name="Input 22 4 7 4" xfId="37184" xr:uid="{00000000-0005-0000-0000-000085600000}"/>
    <cellStyle name="Input 22 4 8" xfId="20617" xr:uid="{00000000-0005-0000-0000-000086600000}"/>
    <cellStyle name="Input 22 4 8 2" xfId="46154" xr:uid="{00000000-0005-0000-0000-000087600000}"/>
    <cellStyle name="Input 22 4 8 3" xfId="50060" xr:uid="{00000000-0005-0000-0000-000088600000}"/>
    <cellStyle name="Input 22 4 9" xfId="39837" xr:uid="{00000000-0005-0000-0000-000089600000}"/>
    <cellStyle name="Input 22 5" xfId="22453" xr:uid="{00000000-0005-0000-0000-00008A600000}"/>
    <cellStyle name="Input 22 6" xfId="53073" xr:uid="{00000000-0005-0000-0000-00008B600000}"/>
    <cellStyle name="Input 22_Sheet1" xfId="1892" xr:uid="{00000000-0005-0000-0000-00008C600000}"/>
    <cellStyle name="Input 23" xfId="1893" xr:uid="{00000000-0005-0000-0000-00008D600000}"/>
    <cellStyle name="Input 23 2" xfId="1894" xr:uid="{00000000-0005-0000-0000-00008E600000}"/>
    <cellStyle name="Input 23 2 2" xfId="1895" xr:uid="{00000000-0005-0000-0000-00008F600000}"/>
    <cellStyle name="Input 23 2 2 2" xfId="7079" xr:uid="{00000000-0005-0000-0000-000090600000}"/>
    <cellStyle name="Input 23 2 2 2 10" xfId="39415" xr:uid="{00000000-0005-0000-0000-000091600000}"/>
    <cellStyle name="Input 23 2 2 2 2" xfId="10609" xr:uid="{00000000-0005-0000-0000-000092600000}"/>
    <cellStyle name="Input 23 2 2 2 2 2" xfId="18402" xr:uid="{00000000-0005-0000-0000-000093600000}"/>
    <cellStyle name="Input 23 2 2 2 2 2 2" xfId="43949" xr:uid="{00000000-0005-0000-0000-000094600000}"/>
    <cellStyle name="Input 23 2 2 2 2 2 3" xfId="47858" xr:uid="{00000000-0005-0000-0000-000095600000}"/>
    <cellStyle name="Input 23 2 2 2 2 2 4" xfId="36039" xr:uid="{00000000-0005-0000-0000-000096600000}"/>
    <cellStyle name="Input 23 2 2 2 2 3" xfId="19908" xr:uid="{00000000-0005-0000-0000-000097600000}"/>
    <cellStyle name="Input 23 2 2 2 2 3 2" xfId="45445" xr:uid="{00000000-0005-0000-0000-000098600000}"/>
    <cellStyle name="Input 23 2 2 2 2 3 3" xfId="49351" xr:uid="{00000000-0005-0000-0000-000099600000}"/>
    <cellStyle name="Input 23 2 2 2 2 3 4" xfId="37422" xr:uid="{00000000-0005-0000-0000-00009A600000}"/>
    <cellStyle name="Input 23 2 2 2 2 4" xfId="19073" xr:uid="{00000000-0005-0000-0000-00009B600000}"/>
    <cellStyle name="Input 23 2 2 2 2 4 2" xfId="44610" xr:uid="{00000000-0005-0000-0000-00009C600000}"/>
    <cellStyle name="Input 23 2 2 2 2 4 3" xfId="48516" xr:uid="{00000000-0005-0000-0000-00009D600000}"/>
    <cellStyle name="Input 23 2 2 2 2 4 4" xfId="36670" xr:uid="{00000000-0005-0000-0000-00009E600000}"/>
    <cellStyle name="Input 23 2 2 2 2 5" xfId="20815" xr:uid="{00000000-0005-0000-0000-00009F600000}"/>
    <cellStyle name="Input 23 2 2 2 2 5 2" xfId="46352" xr:uid="{00000000-0005-0000-0000-0000A0600000}"/>
    <cellStyle name="Input 23 2 2 2 2 5 3" xfId="50258" xr:uid="{00000000-0005-0000-0000-0000A1600000}"/>
    <cellStyle name="Input 23 2 2 2 2 5 4" xfId="38221" xr:uid="{00000000-0005-0000-0000-0000A2600000}"/>
    <cellStyle name="Input 23 2 2 2 2 6" xfId="21468" xr:uid="{00000000-0005-0000-0000-0000A3600000}"/>
    <cellStyle name="Input 23 2 2 2 2 6 2" xfId="47005" xr:uid="{00000000-0005-0000-0000-0000A4600000}"/>
    <cellStyle name="Input 23 2 2 2 2 6 3" xfId="50911" xr:uid="{00000000-0005-0000-0000-0000A5600000}"/>
    <cellStyle name="Input 23 2 2 2 2 7" xfId="40808" xr:uid="{00000000-0005-0000-0000-0000A6600000}"/>
    <cellStyle name="Input 23 2 2 2 2 8" xfId="42612" xr:uid="{00000000-0005-0000-0000-0000A7600000}"/>
    <cellStyle name="Input 23 2 2 2 3" xfId="10904" xr:uid="{00000000-0005-0000-0000-0000A8600000}"/>
    <cellStyle name="Input 23 2 2 2 3 2" xfId="18697" xr:uid="{00000000-0005-0000-0000-0000A9600000}"/>
    <cellStyle name="Input 23 2 2 2 3 2 2" xfId="44244" xr:uid="{00000000-0005-0000-0000-0000AA600000}"/>
    <cellStyle name="Input 23 2 2 2 3 2 3" xfId="48153" xr:uid="{00000000-0005-0000-0000-0000AB600000}"/>
    <cellStyle name="Input 23 2 2 2 3 2 4" xfId="36334" xr:uid="{00000000-0005-0000-0000-0000AC600000}"/>
    <cellStyle name="Input 23 2 2 2 3 3" xfId="19719" xr:uid="{00000000-0005-0000-0000-0000AD600000}"/>
    <cellStyle name="Input 23 2 2 2 3 3 2" xfId="45256" xr:uid="{00000000-0005-0000-0000-0000AE600000}"/>
    <cellStyle name="Input 23 2 2 2 3 3 3" xfId="49162" xr:uid="{00000000-0005-0000-0000-0000AF600000}"/>
    <cellStyle name="Input 23 2 2 2 3 3 4" xfId="37246" xr:uid="{00000000-0005-0000-0000-0000B0600000}"/>
    <cellStyle name="Input 23 2 2 2 3 4" xfId="19468" xr:uid="{00000000-0005-0000-0000-0000B1600000}"/>
    <cellStyle name="Input 23 2 2 2 3 4 2" xfId="45005" xr:uid="{00000000-0005-0000-0000-0000B2600000}"/>
    <cellStyle name="Input 23 2 2 2 3 4 3" xfId="48911" xr:uid="{00000000-0005-0000-0000-0000B3600000}"/>
    <cellStyle name="Input 23 2 2 2 3 4 4" xfId="37026" xr:uid="{00000000-0005-0000-0000-0000B4600000}"/>
    <cellStyle name="Input 23 2 2 2 3 5" xfId="21110" xr:uid="{00000000-0005-0000-0000-0000B5600000}"/>
    <cellStyle name="Input 23 2 2 2 3 5 2" xfId="46647" xr:uid="{00000000-0005-0000-0000-0000B6600000}"/>
    <cellStyle name="Input 23 2 2 2 3 5 3" xfId="50553" xr:uid="{00000000-0005-0000-0000-0000B7600000}"/>
    <cellStyle name="Input 23 2 2 2 3 5 4" xfId="38516" xr:uid="{00000000-0005-0000-0000-0000B8600000}"/>
    <cellStyle name="Input 23 2 2 2 3 6" xfId="21763" xr:uid="{00000000-0005-0000-0000-0000B9600000}"/>
    <cellStyle name="Input 23 2 2 2 3 6 2" xfId="47300" xr:uid="{00000000-0005-0000-0000-0000BA600000}"/>
    <cellStyle name="Input 23 2 2 2 3 6 3" xfId="51206" xr:uid="{00000000-0005-0000-0000-0000BB600000}"/>
    <cellStyle name="Input 23 2 2 2 3 7" xfId="41103" xr:uid="{00000000-0005-0000-0000-0000BC600000}"/>
    <cellStyle name="Input 23 2 2 2 3 8" xfId="43230" xr:uid="{00000000-0005-0000-0000-0000BD600000}"/>
    <cellStyle name="Input 23 2 2 2 4" xfId="14867" xr:uid="{00000000-0005-0000-0000-0000BE600000}"/>
    <cellStyle name="Input 23 2 2 2 4 2" xfId="42983" xr:uid="{00000000-0005-0000-0000-0000BF600000}"/>
    <cellStyle name="Input 23 2 2 2 4 3" xfId="43562" xr:uid="{00000000-0005-0000-0000-0000C0600000}"/>
    <cellStyle name="Input 23 2 2 2 4 4" xfId="32502" xr:uid="{00000000-0005-0000-0000-0000C1600000}"/>
    <cellStyle name="Input 23 2 2 2 5" xfId="13127" xr:uid="{00000000-0005-0000-0000-0000C2600000}"/>
    <cellStyle name="Input 23 2 2 2 5 2" xfId="42348" xr:uid="{00000000-0005-0000-0000-0000C3600000}"/>
    <cellStyle name="Input 23 2 2 2 5 3" xfId="40541" xr:uid="{00000000-0005-0000-0000-0000C4600000}"/>
    <cellStyle name="Input 23 2 2 2 5 4" xfId="30776" xr:uid="{00000000-0005-0000-0000-0000C5600000}"/>
    <cellStyle name="Input 23 2 2 2 6" xfId="11467" xr:uid="{00000000-0005-0000-0000-0000C6600000}"/>
    <cellStyle name="Input 23 2 2 2 6 2" xfId="41478" xr:uid="{00000000-0005-0000-0000-0000C7600000}"/>
    <cellStyle name="Input 23 2 2 2 6 3" xfId="43353" xr:uid="{00000000-0005-0000-0000-0000C8600000}"/>
    <cellStyle name="Input 23 2 2 2 6 4" xfId="29184" xr:uid="{00000000-0005-0000-0000-0000C9600000}"/>
    <cellStyle name="Input 23 2 2 2 7" xfId="19039" xr:uid="{00000000-0005-0000-0000-0000CA600000}"/>
    <cellStyle name="Input 23 2 2 2 7 2" xfId="44576" xr:uid="{00000000-0005-0000-0000-0000CB600000}"/>
    <cellStyle name="Input 23 2 2 2 7 3" xfId="48482" xr:uid="{00000000-0005-0000-0000-0000CC600000}"/>
    <cellStyle name="Input 23 2 2 2 7 4" xfId="36643" xr:uid="{00000000-0005-0000-0000-0000CD600000}"/>
    <cellStyle name="Input 23 2 2 2 8" xfId="19687" xr:uid="{00000000-0005-0000-0000-0000CE600000}"/>
    <cellStyle name="Input 23 2 2 2 8 2" xfId="45224" xr:uid="{00000000-0005-0000-0000-0000CF600000}"/>
    <cellStyle name="Input 23 2 2 2 8 3" xfId="49130" xr:uid="{00000000-0005-0000-0000-0000D0600000}"/>
    <cellStyle name="Input 23 2 2 2 9" xfId="39843" xr:uid="{00000000-0005-0000-0000-0000D1600000}"/>
    <cellStyle name="Input 23 2 2 3" xfId="53081" xr:uid="{00000000-0005-0000-0000-0000D2600000}"/>
    <cellStyle name="Input 23 2 3" xfId="7078" xr:uid="{00000000-0005-0000-0000-0000D3600000}"/>
    <cellStyle name="Input 23 2 3 10" xfId="40287" xr:uid="{00000000-0005-0000-0000-0000D4600000}"/>
    <cellStyle name="Input 23 2 3 11" xfId="53082" xr:uid="{00000000-0005-0000-0000-0000D5600000}"/>
    <cellStyle name="Input 23 2 3 2" xfId="10608" xr:uid="{00000000-0005-0000-0000-0000D6600000}"/>
    <cellStyle name="Input 23 2 3 2 2" xfId="18401" xr:uid="{00000000-0005-0000-0000-0000D7600000}"/>
    <cellStyle name="Input 23 2 3 2 2 2" xfId="43948" xr:uid="{00000000-0005-0000-0000-0000D8600000}"/>
    <cellStyle name="Input 23 2 3 2 2 3" xfId="47857" xr:uid="{00000000-0005-0000-0000-0000D9600000}"/>
    <cellStyle name="Input 23 2 3 2 2 4" xfId="36038" xr:uid="{00000000-0005-0000-0000-0000DA600000}"/>
    <cellStyle name="Input 23 2 3 2 3" xfId="19299" xr:uid="{00000000-0005-0000-0000-0000DB600000}"/>
    <cellStyle name="Input 23 2 3 2 3 2" xfId="44836" xr:uid="{00000000-0005-0000-0000-0000DC600000}"/>
    <cellStyle name="Input 23 2 3 2 3 3" xfId="48742" xr:uid="{00000000-0005-0000-0000-0000DD600000}"/>
    <cellStyle name="Input 23 2 3 2 3 4" xfId="36877" xr:uid="{00000000-0005-0000-0000-0000DE600000}"/>
    <cellStyle name="Input 23 2 3 2 4" xfId="19043" xr:uid="{00000000-0005-0000-0000-0000DF600000}"/>
    <cellStyle name="Input 23 2 3 2 4 2" xfId="44580" xr:uid="{00000000-0005-0000-0000-0000E0600000}"/>
    <cellStyle name="Input 23 2 3 2 4 3" xfId="48486" xr:uid="{00000000-0005-0000-0000-0000E1600000}"/>
    <cellStyle name="Input 23 2 3 2 4 4" xfId="36647" xr:uid="{00000000-0005-0000-0000-0000E2600000}"/>
    <cellStyle name="Input 23 2 3 2 5" xfId="20814" xr:uid="{00000000-0005-0000-0000-0000E3600000}"/>
    <cellStyle name="Input 23 2 3 2 5 2" xfId="46351" xr:uid="{00000000-0005-0000-0000-0000E4600000}"/>
    <cellStyle name="Input 23 2 3 2 5 3" xfId="50257" xr:uid="{00000000-0005-0000-0000-0000E5600000}"/>
    <cellStyle name="Input 23 2 3 2 5 4" xfId="38220" xr:uid="{00000000-0005-0000-0000-0000E6600000}"/>
    <cellStyle name="Input 23 2 3 2 6" xfId="21467" xr:uid="{00000000-0005-0000-0000-0000E7600000}"/>
    <cellStyle name="Input 23 2 3 2 6 2" xfId="47004" xr:uid="{00000000-0005-0000-0000-0000E8600000}"/>
    <cellStyle name="Input 23 2 3 2 6 3" xfId="50910" xr:uid="{00000000-0005-0000-0000-0000E9600000}"/>
    <cellStyle name="Input 23 2 3 2 7" xfId="40807" xr:uid="{00000000-0005-0000-0000-0000EA600000}"/>
    <cellStyle name="Input 23 2 3 2 8" xfId="39604" xr:uid="{00000000-0005-0000-0000-0000EB600000}"/>
    <cellStyle name="Input 23 2 3 3" xfId="10903" xr:uid="{00000000-0005-0000-0000-0000EC600000}"/>
    <cellStyle name="Input 23 2 3 3 2" xfId="18696" xr:uid="{00000000-0005-0000-0000-0000ED600000}"/>
    <cellStyle name="Input 23 2 3 3 2 2" xfId="44243" xr:uid="{00000000-0005-0000-0000-0000EE600000}"/>
    <cellStyle name="Input 23 2 3 3 2 3" xfId="48152" xr:uid="{00000000-0005-0000-0000-0000EF600000}"/>
    <cellStyle name="Input 23 2 3 3 2 4" xfId="36333" xr:uid="{00000000-0005-0000-0000-0000F0600000}"/>
    <cellStyle name="Input 23 2 3 3 3" xfId="19588" xr:uid="{00000000-0005-0000-0000-0000F1600000}"/>
    <cellStyle name="Input 23 2 3 3 3 2" xfId="45125" xr:uid="{00000000-0005-0000-0000-0000F2600000}"/>
    <cellStyle name="Input 23 2 3 3 3 3" xfId="49031" xr:uid="{00000000-0005-0000-0000-0000F3600000}"/>
    <cellStyle name="Input 23 2 3 3 3 4" xfId="37128" xr:uid="{00000000-0005-0000-0000-0000F4600000}"/>
    <cellStyle name="Input 23 2 3 3 4" xfId="19246" xr:uid="{00000000-0005-0000-0000-0000F5600000}"/>
    <cellStyle name="Input 23 2 3 3 4 2" xfId="44783" xr:uid="{00000000-0005-0000-0000-0000F6600000}"/>
    <cellStyle name="Input 23 2 3 3 4 3" xfId="48689" xr:uid="{00000000-0005-0000-0000-0000F7600000}"/>
    <cellStyle name="Input 23 2 3 3 4 4" xfId="36824" xr:uid="{00000000-0005-0000-0000-0000F8600000}"/>
    <cellStyle name="Input 23 2 3 3 5" xfId="21109" xr:uid="{00000000-0005-0000-0000-0000F9600000}"/>
    <cellStyle name="Input 23 2 3 3 5 2" xfId="46646" xr:uid="{00000000-0005-0000-0000-0000FA600000}"/>
    <cellStyle name="Input 23 2 3 3 5 3" xfId="50552" xr:uid="{00000000-0005-0000-0000-0000FB600000}"/>
    <cellStyle name="Input 23 2 3 3 5 4" xfId="38515" xr:uid="{00000000-0005-0000-0000-0000FC600000}"/>
    <cellStyle name="Input 23 2 3 3 6" xfId="21762" xr:uid="{00000000-0005-0000-0000-0000FD600000}"/>
    <cellStyle name="Input 23 2 3 3 6 2" xfId="47299" xr:uid="{00000000-0005-0000-0000-0000FE600000}"/>
    <cellStyle name="Input 23 2 3 3 6 3" xfId="51205" xr:uid="{00000000-0005-0000-0000-0000FF600000}"/>
    <cellStyle name="Input 23 2 3 3 7" xfId="41102" xr:uid="{00000000-0005-0000-0000-000000610000}"/>
    <cellStyle name="Input 23 2 3 3 8" xfId="41427" xr:uid="{00000000-0005-0000-0000-000001610000}"/>
    <cellStyle name="Input 23 2 3 4" xfId="14866" xr:uid="{00000000-0005-0000-0000-000002610000}"/>
    <cellStyle name="Input 23 2 3 4 2" xfId="42982" xr:uid="{00000000-0005-0000-0000-000003610000}"/>
    <cellStyle name="Input 23 2 3 4 3" xfId="42674" xr:uid="{00000000-0005-0000-0000-000004610000}"/>
    <cellStyle name="Input 23 2 3 4 4" xfId="32501" xr:uid="{00000000-0005-0000-0000-000005610000}"/>
    <cellStyle name="Input 23 2 3 5" xfId="13126" xr:uid="{00000000-0005-0000-0000-000006610000}"/>
    <cellStyle name="Input 23 2 3 5 2" xfId="42347" xr:uid="{00000000-0005-0000-0000-000007610000}"/>
    <cellStyle name="Input 23 2 3 5 3" xfId="43683" xr:uid="{00000000-0005-0000-0000-000008610000}"/>
    <cellStyle name="Input 23 2 3 5 4" xfId="30775" xr:uid="{00000000-0005-0000-0000-000009610000}"/>
    <cellStyle name="Input 23 2 3 6" xfId="11851" xr:uid="{00000000-0005-0000-0000-00000A610000}"/>
    <cellStyle name="Input 23 2 3 6 2" xfId="41769" xr:uid="{00000000-0005-0000-0000-00000B610000}"/>
    <cellStyle name="Input 23 2 3 6 3" xfId="42009" xr:uid="{00000000-0005-0000-0000-00000C610000}"/>
    <cellStyle name="Input 23 2 3 6 4" xfId="29535" xr:uid="{00000000-0005-0000-0000-00000D610000}"/>
    <cellStyle name="Input 23 2 3 7" xfId="11821" xr:uid="{00000000-0005-0000-0000-00000E610000}"/>
    <cellStyle name="Input 23 2 3 7 2" xfId="41759" xr:uid="{00000000-0005-0000-0000-00000F610000}"/>
    <cellStyle name="Input 23 2 3 7 3" xfId="39338" xr:uid="{00000000-0005-0000-0000-000010610000}"/>
    <cellStyle name="Input 23 2 3 7 4" xfId="29507" xr:uid="{00000000-0005-0000-0000-000011610000}"/>
    <cellStyle name="Input 23 2 3 8" xfId="19938" xr:uid="{00000000-0005-0000-0000-000012610000}"/>
    <cellStyle name="Input 23 2 3 8 2" xfId="45475" xr:uid="{00000000-0005-0000-0000-000013610000}"/>
    <cellStyle name="Input 23 2 3 8 3" xfId="49381" xr:uid="{00000000-0005-0000-0000-000014610000}"/>
    <cellStyle name="Input 23 2 3 9" xfId="39842" xr:uid="{00000000-0005-0000-0000-000015610000}"/>
    <cellStyle name="Input 23 2 4" xfId="22456" xr:uid="{00000000-0005-0000-0000-000016610000}"/>
    <cellStyle name="Input 23 2 5" xfId="53080" xr:uid="{00000000-0005-0000-0000-000017610000}"/>
    <cellStyle name="Input 23 2_Sheet1" xfId="1896" xr:uid="{00000000-0005-0000-0000-000018610000}"/>
    <cellStyle name="Input 23 3" xfId="1897" xr:uid="{00000000-0005-0000-0000-000019610000}"/>
    <cellStyle name="Input 23 3 2" xfId="7080" xr:uid="{00000000-0005-0000-0000-00001A610000}"/>
    <cellStyle name="Input 23 3 2 10" xfId="39250" xr:uid="{00000000-0005-0000-0000-00001B610000}"/>
    <cellStyle name="Input 23 3 2 2" xfId="10610" xr:uid="{00000000-0005-0000-0000-00001C610000}"/>
    <cellStyle name="Input 23 3 2 2 2" xfId="18403" xr:uid="{00000000-0005-0000-0000-00001D610000}"/>
    <cellStyle name="Input 23 3 2 2 2 2" xfId="43950" xr:uid="{00000000-0005-0000-0000-00001E610000}"/>
    <cellStyle name="Input 23 3 2 2 2 3" xfId="47859" xr:uid="{00000000-0005-0000-0000-00001F610000}"/>
    <cellStyle name="Input 23 3 2 2 2 4" xfId="36040" xr:uid="{00000000-0005-0000-0000-000020610000}"/>
    <cellStyle name="Input 23 3 2 2 3" xfId="19131" xr:uid="{00000000-0005-0000-0000-000021610000}"/>
    <cellStyle name="Input 23 3 2 2 3 2" xfId="44668" xr:uid="{00000000-0005-0000-0000-000022610000}"/>
    <cellStyle name="Input 23 3 2 2 3 3" xfId="48574" xr:uid="{00000000-0005-0000-0000-000023610000}"/>
    <cellStyle name="Input 23 3 2 2 3 4" xfId="36726" xr:uid="{00000000-0005-0000-0000-000024610000}"/>
    <cellStyle name="Input 23 3 2 2 4" xfId="20127" xr:uid="{00000000-0005-0000-0000-000025610000}"/>
    <cellStyle name="Input 23 3 2 2 4 2" xfId="45664" xr:uid="{00000000-0005-0000-0000-000026610000}"/>
    <cellStyle name="Input 23 3 2 2 4 3" xfId="49570" xr:uid="{00000000-0005-0000-0000-000027610000}"/>
    <cellStyle name="Input 23 3 2 2 4 4" xfId="37613" xr:uid="{00000000-0005-0000-0000-000028610000}"/>
    <cellStyle name="Input 23 3 2 2 5" xfId="20816" xr:uid="{00000000-0005-0000-0000-000029610000}"/>
    <cellStyle name="Input 23 3 2 2 5 2" xfId="46353" xr:uid="{00000000-0005-0000-0000-00002A610000}"/>
    <cellStyle name="Input 23 3 2 2 5 3" xfId="50259" xr:uid="{00000000-0005-0000-0000-00002B610000}"/>
    <cellStyle name="Input 23 3 2 2 5 4" xfId="38222" xr:uid="{00000000-0005-0000-0000-00002C610000}"/>
    <cellStyle name="Input 23 3 2 2 6" xfId="21469" xr:uid="{00000000-0005-0000-0000-00002D610000}"/>
    <cellStyle name="Input 23 3 2 2 6 2" xfId="47006" xr:uid="{00000000-0005-0000-0000-00002E610000}"/>
    <cellStyle name="Input 23 3 2 2 6 3" xfId="50912" xr:uid="{00000000-0005-0000-0000-00002F610000}"/>
    <cellStyle name="Input 23 3 2 2 7" xfId="40809" xr:uid="{00000000-0005-0000-0000-000030610000}"/>
    <cellStyle name="Input 23 3 2 2 8" xfId="43525" xr:uid="{00000000-0005-0000-0000-000031610000}"/>
    <cellStyle name="Input 23 3 2 3" xfId="10905" xr:uid="{00000000-0005-0000-0000-000032610000}"/>
    <cellStyle name="Input 23 3 2 3 2" xfId="18698" xr:uid="{00000000-0005-0000-0000-000033610000}"/>
    <cellStyle name="Input 23 3 2 3 2 2" xfId="44245" xr:uid="{00000000-0005-0000-0000-000034610000}"/>
    <cellStyle name="Input 23 3 2 3 2 3" xfId="48154" xr:uid="{00000000-0005-0000-0000-000035610000}"/>
    <cellStyle name="Input 23 3 2 3 2 4" xfId="36335" xr:uid="{00000000-0005-0000-0000-000036610000}"/>
    <cellStyle name="Input 23 3 2 3 3" xfId="11526" xr:uid="{00000000-0005-0000-0000-000037610000}"/>
    <cellStyle name="Input 23 3 2 3 3 2" xfId="41537" xr:uid="{00000000-0005-0000-0000-000038610000}"/>
    <cellStyle name="Input 23 3 2 3 3 3" xfId="42582" xr:uid="{00000000-0005-0000-0000-000039610000}"/>
    <cellStyle name="Input 23 3 2 3 3 4" xfId="29241" xr:uid="{00000000-0005-0000-0000-00003A610000}"/>
    <cellStyle name="Input 23 3 2 3 4" xfId="20250" xr:uid="{00000000-0005-0000-0000-00003B610000}"/>
    <cellStyle name="Input 23 3 2 3 4 2" xfId="45787" xr:uid="{00000000-0005-0000-0000-00003C610000}"/>
    <cellStyle name="Input 23 3 2 3 4 3" xfId="49693" xr:uid="{00000000-0005-0000-0000-00003D610000}"/>
    <cellStyle name="Input 23 3 2 3 4 4" xfId="37721" xr:uid="{00000000-0005-0000-0000-00003E610000}"/>
    <cellStyle name="Input 23 3 2 3 5" xfId="21111" xr:uid="{00000000-0005-0000-0000-00003F610000}"/>
    <cellStyle name="Input 23 3 2 3 5 2" xfId="46648" xr:uid="{00000000-0005-0000-0000-000040610000}"/>
    <cellStyle name="Input 23 3 2 3 5 3" xfId="50554" xr:uid="{00000000-0005-0000-0000-000041610000}"/>
    <cellStyle name="Input 23 3 2 3 5 4" xfId="38517" xr:uid="{00000000-0005-0000-0000-000042610000}"/>
    <cellStyle name="Input 23 3 2 3 6" xfId="21764" xr:uid="{00000000-0005-0000-0000-000043610000}"/>
    <cellStyle name="Input 23 3 2 3 6 2" xfId="47301" xr:uid="{00000000-0005-0000-0000-000044610000}"/>
    <cellStyle name="Input 23 3 2 3 6 3" xfId="51207" xr:uid="{00000000-0005-0000-0000-000045610000}"/>
    <cellStyle name="Input 23 3 2 3 7" xfId="41104" xr:uid="{00000000-0005-0000-0000-000046610000}"/>
    <cellStyle name="Input 23 3 2 3 8" xfId="40089" xr:uid="{00000000-0005-0000-0000-000047610000}"/>
    <cellStyle name="Input 23 3 2 4" xfId="14868" xr:uid="{00000000-0005-0000-0000-000048610000}"/>
    <cellStyle name="Input 23 3 2 4 2" xfId="42984" xr:uid="{00000000-0005-0000-0000-000049610000}"/>
    <cellStyle name="Input 23 3 2 4 3" xfId="40423" xr:uid="{00000000-0005-0000-0000-00004A610000}"/>
    <cellStyle name="Input 23 3 2 4 4" xfId="32503" xr:uid="{00000000-0005-0000-0000-00004B610000}"/>
    <cellStyle name="Input 23 3 2 5" xfId="13128" xr:uid="{00000000-0005-0000-0000-00004C610000}"/>
    <cellStyle name="Input 23 3 2 5 2" xfId="42349" xr:uid="{00000000-0005-0000-0000-00004D610000}"/>
    <cellStyle name="Input 23 3 2 5 3" xfId="39651" xr:uid="{00000000-0005-0000-0000-00004E610000}"/>
    <cellStyle name="Input 23 3 2 5 4" xfId="30777" xr:uid="{00000000-0005-0000-0000-00004F610000}"/>
    <cellStyle name="Input 23 3 2 6" xfId="12042" xr:uid="{00000000-0005-0000-0000-000050610000}"/>
    <cellStyle name="Input 23 3 2 6 2" xfId="41798" xr:uid="{00000000-0005-0000-0000-000051610000}"/>
    <cellStyle name="Input 23 3 2 6 3" xfId="47503" xr:uid="{00000000-0005-0000-0000-000052610000}"/>
    <cellStyle name="Input 23 3 2 6 4" xfId="29721" xr:uid="{00000000-0005-0000-0000-000053610000}"/>
    <cellStyle name="Input 23 3 2 7" xfId="12828" xr:uid="{00000000-0005-0000-0000-000054610000}"/>
    <cellStyle name="Input 23 3 2 7 2" xfId="42231" xr:uid="{00000000-0005-0000-0000-000055610000}"/>
    <cellStyle name="Input 23 3 2 7 3" xfId="40333" xr:uid="{00000000-0005-0000-0000-000056610000}"/>
    <cellStyle name="Input 23 3 2 7 4" xfId="30483" xr:uid="{00000000-0005-0000-0000-000057610000}"/>
    <cellStyle name="Input 23 3 2 8" xfId="19989" xr:uid="{00000000-0005-0000-0000-000058610000}"/>
    <cellStyle name="Input 23 3 2 8 2" xfId="45526" xr:uid="{00000000-0005-0000-0000-000059610000}"/>
    <cellStyle name="Input 23 3 2 8 3" xfId="49432" xr:uid="{00000000-0005-0000-0000-00005A610000}"/>
    <cellStyle name="Input 23 3 2 9" xfId="39844" xr:uid="{00000000-0005-0000-0000-00005B610000}"/>
    <cellStyle name="Input 23 3 3" xfId="53083" xr:uid="{00000000-0005-0000-0000-00005C610000}"/>
    <cellStyle name="Input 23 4" xfId="7077" xr:uid="{00000000-0005-0000-0000-00005D610000}"/>
    <cellStyle name="Input 23 4 10" xfId="43425" xr:uid="{00000000-0005-0000-0000-00005E610000}"/>
    <cellStyle name="Input 23 4 11" xfId="53084" xr:uid="{00000000-0005-0000-0000-00005F610000}"/>
    <cellStyle name="Input 23 4 2" xfId="10607" xr:uid="{00000000-0005-0000-0000-000060610000}"/>
    <cellStyle name="Input 23 4 2 2" xfId="18400" xr:uid="{00000000-0005-0000-0000-000061610000}"/>
    <cellStyle name="Input 23 4 2 2 2" xfId="43947" xr:uid="{00000000-0005-0000-0000-000062610000}"/>
    <cellStyle name="Input 23 4 2 2 3" xfId="47856" xr:uid="{00000000-0005-0000-0000-000063610000}"/>
    <cellStyle name="Input 23 4 2 2 4" xfId="36037" xr:uid="{00000000-0005-0000-0000-000064610000}"/>
    <cellStyle name="Input 23 4 2 3" xfId="20033" xr:uid="{00000000-0005-0000-0000-000065610000}"/>
    <cellStyle name="Input 23 4 2 3 2" xfId="45570" xr:uid="{00000000-0005-0000-0000-000066610000}"/>
    <cellStyle name="Input 23 4 2 3 3" xfId="49476" xr:uid="{00000000-0005-0000-0000-000067610000}"/>
    <cellStyle name="Input 23 4 2 3 4" xfId="37531" xr:uid="{00000000-0005-0000-0000-000068610000}"/>
    <cellStyle name="Input 23 4 2 4" xfId="18883" xr:uid="{00000000-0005-0000-0000-000069610000}"/>
    <cellStyle name="Input 23 4 2 4 2" xfId="44420" xr:uid="{00000000-0005-0000-0000-00006A610000}"/>
    <cellStyle name="Input 23 4 2 4 3" xfId="48326" xr:uid="{00000000-0005-0000-0000-00006B610000}"/>
    <cellStyle name="Input 23 4 2 4 4" xfId="36520" xr:uid="{00000000-0005-0000-0000-00006C610000}"/>
    <cellStyle name="Input 23 4 2 5" xfId="20813" xr:uid="{00000000-0005-0000-0000-00006D610000}"/>
    <cellStyle name="Input 23 4 2 5 2" xfId="46350" xr:uid="{00000000-0005-0000-0000-00006E610000}"/>
    <cellStyle name="Input 23 4 2 5 3" xfId="50256" xr:uid="{00000000-0005-0000-0000-00006F610000}"/>
    <cellStyle name="Input 23 4 2 5 4" xfId="38219" xr:uid="{00000000-0005-0000-0000-000070610000}"/>
    <cellStyle name="Input 23 4 2 6" xfId="21466" xr:uid="{00000000-0005-0000-0000-000071610000}"/>
    <cellStyle name="Input 23 4 2 6 2" xfId="47003" xr:uid="{00000000-0005-0000-0000-000072610000}"/>
    <cellStyle name="Input 23 4 2 6 3" xfId="50909" xr:uid="{00000000-0005-0000-0000-000073610000}"/>
    <cellStyle name="Input 23 4 2 7" xfId="40806" xr:uid="{00000000-0005-0000-0000-000074610000}"/>
    <cellStyle name="Input 23 4 2 8" xfId="40494" xr:uid="{00000000-0005-0000-0000-000075610000}"/>
    <cellStyle name="Input 23 4 3" xfId="10902" xr:uid="{00000000-0005-0000-0000-000076610000}"/>
    <cellStyle name="Input 23 4 3 2" xfId="18695" xr:uid="{00000000-0005-0000-0000-000077610000}"/>
    <cellStyle name="Input 23 4 3 2 2" xfId="44242" xr:uid="{00000000-0005-0000-0000-000078610000}"/>
    <cellStyle name="Input 23 4 3 2 3" xfId="48151" xr:uid="{00000000-0005-0000-0000-000079610000}"/>
    <cellStyle name="Input 23 4 3 2 4" xfId="36332" xr:uid="{00000000-0005-0000-0000-00007A610000}"/>
    <cellStyle name="Input 23 4 3 3" xfId="20390" xr:uid="{00000000-0005-0000-0000-00007B610000}"/>
    <cellStyle name="Input 23 4 3 3 2" xfId="45927" xr:uid="{00000000-0005-0000-0000-00007C610000}"/>
    <cellStyle name="Input 23 4 3 3 3" xfId="49833" xr:uid="{00000000-0005-0000-0000-00007D610000}"/>
    <cellStyle name="Input 23 4 3 3 4" xfId="37844" xr:uid="{00000000-0005-0000-0000-00007E610000}"/>
    <cellStyle name="Input 23 4 3 4" xfId="20534" xr:uid="{00000000-0005-0000-0000-00007F610000}"/>
    <cellStyle name="Input 23 4 3 4 2" xfId="46071" xr:uid="{00000000-0005-0000-0000-000080610000}"/>
    <cellStyle name="Input 23 4 3 4 3" xfId="49977" xr:uid="{00000000-0005-0000-0000-000081610000}"/>
    <cellStyle name="Input 23 4 3 4 4" xfId="37962" xr:uid="{00000000-0005-0000-0000-000082610000}"/>
    <cellStyle name="Input 23 4 3 5" xfId="21108" xr:uid="{00000000-0005-0000-0000-000083610000}"/>
    <cellStyle name="Input 23 4 3 5 2" xfId="46645" xr:uid="{00000000-0005-0000-0000-000084610000}"/>
    <cellStyle name="Input 23 4 3 5 3" xfId="50551" xr:uid="{00000000-0005-0000-0000-000085610000}"/>
    <cellStyle name="Input 23 4 3 5 4" xfId="38514" xr:uid="{00000000-0005-0000-0000-000086610000}"/>
    <cellStyle name="Input 23 4 3 6" xfId="21761" xr:uid="{00000000-0005-0000-0000-000087610000}"/>
    <cellStyle name="Input 23 4 3 6 2" xfId="47298" xr:uid="{00000000-0005-0000-0000-000088610000}"/>
    <cellStyle name="Input 23 4 3 6 3" xfId="51204" xr:uid="{00000000-0005-0000-0000-000089610000}"/>
    <cellStyle name="Input 23 4 3 7" xfId="41101" xr:uid="{00000000-0005-0000-0000-00008A610000}"/>
    <cellStyle name="Input 23 4 3 8" xfId="39186" xr:uid="{00000000-0005-0000-0000-00008B610000}"/>
    <cellStyle name="Input 23 4 4" xfId="14865" xr:uid="{00000000-0005-0000-0000-00008C610000}"/>
    <cellStyle name="Input 23 4 4 2" xfId="42981" xr:uid="{00000000-0005-0000-0000-00008D610000}"/>
    <cellStyle name="Input 23 4 4 3" xfId="39638" xr:uid="{00000000-0005-0000-0000-00008E610000}"/>
    <cellStyle name="Input 23 4 4 4" xfId="32500" xr:uid="{00000000-0005-0000-0000-00008F610000}"/>
    <cellStyle name="Input 23 4 5" xfId="13125" xr:uid="{00000000-0005-0000-0000-000090610000}"/>
    <cellStyle name="Input 23 4 5 2" xfId="42346" xr:uid="{00000000-0005-0000-0000-000091610000}"/>
    <cellStyle name="Input 23 4 5 3" xfId="42795" xr:uid="{00000000-0005-0000-0000-000092610000}"/>
    <cellStyle name="Input 23 4 5 4" xfId="30774" xr:uid="{00000000-0005-0000-0000-000093610000}"/>
    <cellStyle name="Input 23 4 6" xfId="12612" xr:uid="{00000000-0005-0000-0000-000094610000}"/>
    <cellStyle name="Input 23 4 6 2" xfId="42091" xr:uid="{00000000-0005-0000-0000-000095610000}"/>
    <cellStyle name="Input 23 4 6 3" xfId="42699" xr:uid="{00000000-0005-0000-0000-000096610000}"/>
    <cellStyle name="Input 23 4 6 4" xfId="30278" xr:uid="{00000000-0005-0000-0000-000097610000}"/>
    <cellStyle name="Input 23 4 7" xfId="20497" xr:uid="{00000000-0005-0000-0000-000098610000}"/>
    <cellStyle name="Input 23 4 7 2" xfId="46034" xr:uid="{00000000-0005-0000-0000-000099610000}"/>
    <cellStyle name="Input 23 4 7 3" xfId="49940" xr:uid="{00000000-0005-0000-0000-00009A610000}"/>
    <cellStyle name="Input 23 4 7 4" xfId="37941" xr:uid="{00000000-0005-0000-0000-00009B610000}"/>
    <cellStyle name="Input 23 4 8" xfId="11667" xr:uid="{00000000-0005-0000-0000-00009C610000}"/>
    <cellStyle name="Input 23 4 8 2" xfId="41678" xr:uid="{00000000-0005-0000-0000-00009D610000}"/>
    <cellStyle name="Input 23 4 8 3" xfId="40068" xr:uid="{00000000-0005-0000-0000-00009E610000}"/>
    <cellStyle name="Input 23 4 9" xfId="39841" xr:uid="{00000000-0005-0000-0000-00009F610000}"/>
    <cellStyle name="Input 23 5" xfId="22455" xr:uid="{00000000-0005-0000-0000-0000A0610000}"/>
    <cellStyle name="Input 23 6" xfId="53079" xr:uid="{00000000-0005-0000-0000-0000A1610000}"/>
    <cellStyle name="Input 23_Sheet1" xfId="1898" xr:uid="{00000000-0005-0000-0000-0000A2610000}"/>
    <cellStyle name="Input 24" xfId="1899" xr:uid="{00000000-0005-0000-0000-0000A3610000}"/>
    <cellStyle name="Input 24 2" xfId="1900" xr:uid="{00000000-0005-0000-0000-0000A4610000}"/>
    <cellStyle name="Input 24 2 2" xfId="1901" xr:uid="{00000000-0005-0000-0000-0000A5610000}"/>
    <cellStyle name="Input 24 2 2 2" xfId="7083" xr:uid="{00000000-0005-0000-0000-0000A6610000}"/>
    <cellStyle name="Input 24 2 2 2 10" xfId="43276" xr:uid="{00000000-0005-0000-0000-0000A7610000}"/>
    <cellStyle name="Input 24 2 2 2 2" xfId="10613" xr:uid="{00000000-0005-0000-0000-0000A8610000}"/>
    <cellStyle name="Input 24 2 2 2 2 2" xfId="18406" xr:uid="{00000000-0005-0000-0000-0000A9610000}"/>
    <cellStyle name="Input 24 2 2 2 2 2 2" xfId="43953" xr:uid="{00000000-0005-0000-0000-0000AA610000}"/>
    <cellStyle name="Input 24 2 2 2 2 2 3" xfId="47862" xr:uid="{00000000-0005-0000-0000-0000AB610000}"/>
    <cellStyle name="Input 24 2 2 2 2 2 4" xfId="36043" xr:uid="{00000000-0005-0000-0000-0000AC610000}"/>
    <cellStyle name="Input 24 2 2 2 2 3" xfId="12162" xr:uid="{00000000-0005-0000-0000-0000AD610000}"/>
    <cellStyle name="Input 24 2 2 2 2 3 2" xfId="41907" xr:uid="{00000000-0005-0000-0000-0000AE610000}"/>
    <cellStyle name="Input 24 2 2 2 2 3 3" xfId="43592" xr:uid="{00000000-0005-0000-0000-0000AF610000}"/>
    <cellStyle name="Input 24 2 2 2 2 3 4" xfId="29834" xr:uid="{00000000-0005-0000-0000-0000B0610000}"/>
    <cellStyle name="Input 24 2 2 2 2 4" xfId="20301" xr:uid="{00000000-0005-0000-0000-0000B1610000}"/>
    <cellStyle name="Input 24 2 2 2 2 4 2" xfId="45838" xr:uid="{00000000-0005-0000-0000-0000B2610000}"/>
    <cellStyle name="Input 24 2 2 2 2 4 3" xfId="49744" xr:uid="{00000000-0005-0000-0000-0000B3610000}"/>
    <cellStyle name="Input 24 2 2 2 2 4 4" xfId="37767" xr:uid="{00000000-0005-0000-0000-0000B4610000}"/>
    <cellStyle name="Input 24 2 2 2 2 5" xfId="20819" xr:uid="{00000000-0005-0000-0000-0000B5610000}"/>
    <cellStyle name="Input 24 2 2 2 2 5 2" xfId="46356" xr:uid="{00000000-0005-0000-0000-0000B6610000}"/>
    <cellStyle name="Input 24 2 2 2 2 5 3" xfId="50262" xr:uid="{00000000-0005-0000-0000-0000B7610000}"/>
    <cellStyle name="Input 24 2 2 2 2 5 4" xfId="38225" xr:uid="{00000000-0005-0000-0000-0000B8610000}"/>
    <cellStyle name="Input 24 2 2 2 2 6" xfId="21472" xr:uid="{00000000-0005-0000-0000-0000B9610000}"/>
    <cellStyle name="Input 24 2 2 2 2 6 2" xfId="47009" xr:uid="{00000000-0005-0000-0000-0000BA610000}"/>
    <cellStyle name="Input 24 2 2 2 2 6 3" xfId="50915" xr:uid="{00000000-0005-0000-0000-0000BB610000}"/>
    <cellStyle name="Input 24 2 2 2 2 7" xfId="40812" xr:uid="{00000000-0005-0000-0000-0000BC610000}"/>
    <cellStyle name="Input 24 2 2 2 2 8" xfId="42074" xr:uid="{00000000-0005-0000-0000-0000BD610000}"/>
    <cellStyle name="Input 24 2 2 2 3" xfId="10908" xr:uid="{00000000-0005-0000-0000-0000BE610000}"/>
    <cellStyle name="Input 24 2 2 2 3 2" xfId="18701" xr:uid="{00000000-0005-0000-0000-0000BF610000}"/>
    <cellStyle name="Input 24 2 2 2 3 2 2" xfId="44248" xr:uid="{00000000-0005-0000-0000-0000C0610000}"/>
    <cellStyle name="Input 24 2 2 2 3 2 3" xfId="48157" xr:uid="{00000000-0005-0000-0000-0000C1610000}"/>
    <cellStyle name="Input 24 2 2 2 3 2 4" xfId="36338" xr:uid="{00000000-0005-0000-0000-0000C2610000}"/>
    <cellStyle name="Input 24 2 2 2 3 3" xfId="11527" xr:uid="{00000000-0005-0000-0000-0000C3610000}"/>
    <cellStyle name="Input 24 2 2 2 3 3 2" xfId="41538" xr:uid="{00000000-0005-0000-0000-0000C4610000}"/>
    <cellStyle name="Input 24 2 2 2 3 3 3" xfId="43496" xr:uid="{00000000-0005-0000-0000-0000C5610000}"/>
    <cellStyle name="Input 24 2 2 2 3 3 4" xfId="29242" xr:uid="{00000000-0005-0000-0000-0000C6610000}"/>
    <cellStyle name="Input 24 2 2 2 3 4" xfId="19355" xr:uid="{00000000-0005-0000-0000-0000C7610000}"/>
    <cellStyle name="Input 24 2 2 2 3 4 2" xfId="44892" xr:uid="{00000000-0005-0000-0000-0000C8610000}"/>
    <cellStyle name="Input 24 2 2 2 3 4 3" xfId="48798" xr:uid="{00000000-0005-0000-0000-0000C9610000}"/>
    <cellStyle name="Input 24 2 2 2 3 4 4" xfId="36924" xr:uid="{00000000-0005-0000-0000-0000CA610000}"/>
    <cellStyle name="Input 24 2 2 2 3 5" xfId="21114" xr:uid="{00000000-0005-0000-0000-0000CB610000}"/>
    <cellStyle name="Input 24 2 2 2 3 5 2" xfId="46651" xr:uid="{00000000-0005-0000-0000-0000CC610000}"/>
    <cellStyle name="Input 24 2 2 2 3 5 3" xfId="50557" xr:uid="{00000000-0005-0000-0000-0000CD610000}"/>
    <cellStyle name="Input 24 2 2 2 3 5 4" xfId="38520" xr:uid="{00000000-0005-0000-0000-0000CE610000}"/>
    <cellStyle name="Input 24 2 2 2 3 6" xfId="21767" xr:uid="{00000000-0005-0000-0000-0000CF610000}"/>
    <cellStyle name="Input 24 2 2 2 3 6 2" xfId="47304" xr:uid="{00000000-0005-0000-0000-0000D0610000}"/>
    <cellStyle name="Input 24 2 2 2 3 6 3" xfId="51210" xr:uid="{00000000-0005-0000-0000-0000D1610000}"/>
    <cellStyle name="Input 24 2 2 2 3 7" xfId="41107" xr:uid="{00000000-0005-0000-0000-0000D2610000}"/>
    <cellStyle name="Input 24 2 2 2 3 8" xfId="40585" xr:uid="{00000000-0005-0000-0000-0000D3610000}"/>
    <cellStyle name="Input 24 2 2 2 4" xfId="14871" xr:uid="{00000000-0005-0000-0000-0000D4610000}"/>
    <cellStyle name="Input 24 2 2 2 4 2" xfId="42987" xr:uid="{00000000-0005-0000-0000-0000D5610000}"/>
    <cellStyle name="Input 24 2 2 2 4 3" xfId="43453" xr:uid="{00000000-0005-0000-0000-0000D6610000}"/>
    <cellStyle name="Input 24 2 2 2 4 4" xfId="32506" xr:uid="{00000000-0005-0000-0000-0000D7610000}"/>
    <cellStyle name="Input 24 2 2 2 5" xfId="13131" xr:uid="{00000000-0005-0000-0000-0000D8610000}"/>
    <cellStyle name="Input 24 2 2 2 5 2" xfId="42352" xr:uid="{00000000-0005-0000-0000-0000D9610000}"/>
    <cellStyle name="Input 24 2 2 2 5 3" xfId="40437" xr:uid="{00000000-0005-0000-0000-0000DA610000}"/>
    <cellStyle name="Input 24 2 2 2 5 4" xfId="30780" xr:uid="{00000000-0005-0000-0000-0000DB610000}"/>
    <cellStyle name="Input 24 2 2 2 6" xfId="12734" xr:uid="{00000000-0005-0000-0000-0000DC610000}"/>
    <cellStyle name="Input 24 2 2 2 6 2" xfId="42188" xr:uid="{00000000-0005-0000-0000-0000DD610000}"/>
    <cellStyle name="Input 24 2 2 2 6 3" xfId="43474" xr:uid="{00000000-0005-0000-0000-0000DE610000}"/>
    <cellStyle name="Input 24 2 2 2 6 4" xfId="30392" xr:uid="{00000000-0005-0000-0000-0000DF610000}"/>
    <cellStyle name="Input 24 2 2 2 7" xfId="19775" xr:uid="{00000000-0005-0000-0000-0000E0610000}"/>
    <cellStyle name="Input 24 2 2 2 7 2" xfId="45312" xr:uid="{00000000-0005-0000-0000-0000E1610000}"/>
    <cellStyle name="Input 24 2 2 2 7 3" xfId="49218" xr:uid="{00000000-0005-0000-0000-0000E2610000}"/>
    <cellStyle name="Input 24 2 2 2 7 4" xfId="37302" xr:uid="{00000000-0005-0000-0000-0000E3610000}"/>
    <cellStyle name="Input 24 2 2 2 8" xfId="11606" xr:uid="{00000000-0005-0000-0000-0000E4610000}"/>
    <cellStyle name="Input 24 2 2 2 8 2" xfId="41617" xr:uid="{00000000-0005-0000-0000-0000E5610000}"/>
    <cellStyle name="Input 24 2 2 2 8 3" xfId="42023" xr:uid="{00000000-0005-0000-0000-0000E6610000}"/>
    <cellStyle name="Input 24 2 2 2 9" xfId="39847" xr:uid="{00000000-0005-0000-0000-0000E7610000}"/>
    <cellStyle name="Input 24 2 2 3" xfId="53087" xr:uid="{00000000-0005-0000-0000-0000E8610000}"/>
    <cellStyle name="Input 24 2 3" xfId="7082" xr:uid="{00000000-0005-0000-0000-0000E9610000}"/>
    <cellStyle name="Input 24 2 3 10" xfId="41726" xr:uid="{00000000-0005-0000-0000-0000EA610000}"/>
    <cellStyle name="Input 24 2 3 11" xfId="53088" xr:uid="{00000000-0005-0000-0000-0000EB610000}"/>
    <cellStyle name="Input 24 2 3 2" xfId="10612" xr:uid="{00000000-0005-0000-0000-0000EC610000}"/>
    <cellStyle name="Input 24 2 3 2 2" xfId="18405" xr:uid="{00000000-0005-0000-0000-0000ED610000}"/>
    <cellStyle name="Input 24 2 3 2 2 2" xfId="43952" xr:uid="{00000000-0005-0000-0000-0000EE610000}"/>
    <cellStyle name="Input 24 2 3 2 2 3" xfId="47861" xr:uid="{00000000-0005-0000-0000-0000EF610000}"/>
    <cellStyle name="Input 24 2 3 2 2 4" xfId="36042" xr:uid="{00000000-0005-0000-0000-0000F0610000}"/>
    <cellStyle name="Input 24 2 3 2 3" xfId="12627" xr:uid="{00000000-0005-0000-0000-0000F1610000}"/>
    <cellStyle name="Input 24 2 3 2 3 2" xfId="42106" xr:uid="{00000000-0005-0000-0000-0000F2610000}"/>
    <cellStyle name="Input 24 2 3 2 3 3" xfId="40061" xr:uid="{00000000-0005-0000-0000-0000F3610000}"/>
    <cellStyle name="Input 24 2 3 2 3 4" xfId="30292" xr:uid="{00000000-0005-0000-0000-0000F4610000}"/>
    <cellStyle name="Input 24 2 3 2 4" xfId="20252" xr:uid="{00000000-0005-0000-0000-0000F5610000}"/>
    <cellStyle name="Input 24 2 3 2 4 2" xfId="45789" xr:uid="{00000000-0005-0000-0000-0000F6610000}"/>
    <cellStyle name="Input 24 2 3 2 4 3" xfId="49695" xr:uid="{00000000-0005-0000-0000-0000F7610000}"/>
    <cellStyle name="Input 24 2 3 2 4 4" xfId="37723" xr:uid="{00000000-0005-0000-0000-0000F8610000}"/>
    <cellStyle name="Input 24 2 3 2 5" xfId="20818" xr:uid="{00000000-0005-0000-0000-0000F9610000}"/>
    <cellStyle name="Input 24 2 3 2 5 2" xfId="46355" xr:uid="{00000000-0005-0000-0000-0000FA610000}"/>
    <cellStyle name="Input 24 2 3 2 5 3" xfId="50261" xr:uid="{00000000-0005-0000-0000-0000FB610000}"/>
    <cellStyle name="Input 24 2 3 2 5 4" xfId="38224" xr:uid="{00000000-0005-0000-0000-0000FC610000}"/>
    <cellStyle name="Input 24 2 3 2 6" xfId="21471" xr:uid="{00000000-0005-0000-0000-0000FD610000}"/>
    <cellStyle name="Input 24 2 3 2 6 2" xfId="47008" xr:uid="{00000000-0005-0000-0000-0000FE610000}"/>
    <cellStyle name="Input 24 2 3 2 6 3" xfId="50914" xr:uid="{00000000-0005-0000-0000-0000FF610000}"/>
    <cellStyle name="Input 24 2 3 2 7" xfId="40811" xr:uid="{00000000-0005-0000-0000-000000620000}"/>
    <cellStyle name="Input 24 2 3 2 8" xfId="39500" xr:uid="{00000000-0005-0000-0000-000001620000}"/>
    <cellStyle name="Input 24 2 3 3" xfId="10907" xr:uid="{00000000-0005-0000-0000-000002620000}"/>
    <cellStyle name="Input 24 2 3 3 2" xfId="18700" xr:uid="{00000000-0005-0000-0000-000003620000}"/>
    <cellStyle name="Input 24 2 3 3 2 2" xfId="44247" xr:uid="{00000000-0005-0000-0000-000004620000}"/>
    <cellStyle name="Input 24 2 3 3 2 3" xfId="48156" xr:uid="{00000000-0005-0000-0000-000005620000}"/>
    <cellStyle name="Input 24 2 3 3 2 4" xfId="36337" xr:uid="{00000000-0005-0000-0000-000006620000}"/>
    <cellStyle name="Input 24 2 3 3 3" xfId="19718" xr:uid="{00000000-0005-0000-0000-000007620000}"/>
    <cellStyle name="Input 24 2 3 3 3 2" xfId="45255" xr:uid="{00000000-0005-0000-0000-000008620000}"/>
    <cellStyle name="Input 24 2 3 3 3 3" xfId="49161" xr:uid="{00000000-0005-0000-0000-000009620000}"/>
    <cellStyle name="Input 24 2 3 3 3 4" xfId="37245" xr:uid="{00000000-0005-0000-0000-00000A620000}"/>
    <cellStyle name="Input 24 2 3 3 4" xfId="12825" xr:uid="{00000000-0005-0000-0000-00000B620000}"/>
    <cellStyle name="Input 24 2 3 3 4 2" xfId="42228" xr:uid="{00000000-0005-0000-0000-00000C620000}"/>
    <cellStyle name="Input 24 2 3 3 4 3" xfId="39551" xr:uid="{00000000-0005-0000-0000-00000D620000}"/>
    <cellStyle name="Input 24 2 3 3 4 4" xfId="30480" xr:uid="{00000000-0005-0000-0000-00000E620000}"/>
    <cellStyle name="Input 24 2 3 3 5" xfId="21113" xr:uid="{00000000-0005-0000-0000-00000F620000}"/>
    <cellStyle name="Input 24 2 3 3 5 2" xfId="46650" xr:uid="{00000000-0005-0000-0000-000010620000}"/>
    <cellStyle name="Input 24 2 3 3 5 3" xfId="50556" xr:uid="{00000000-0005-0000-0000-000011620000}"/>
    <cellStyle name="Input 24 2 3 3 5 4" xfId="38519" xr:uid="{00000000-0005-0000-0000-000012620000}"/>
    <cellStyle name="Input 24 2 3 3 6" xfId="21766" xr:uid="{00000000-0005-0000-0000-000013620000}"/>
    <cellStyle name="Input 24 2 3 3 6 2" xfId="47303" xr:uid="{00000000-0005-0000-0000-000014620000}"/>
    <cellStyle name="Input 24 2 3 3 6 3" xfId="51209" xr:uid="{00000000-0005-0000-0000-000015620000}"/>
    <cellStyle name="Input 24 2 3 3 7" xfId="41106" xr:uid="{00000000-0005-0000-0000-000016620000}"/>
    <cellStyle name="Input 24 2 3 3 8" xfId="43726" xr:uid="{00000000-0005-0000-0000-000017620000}"/>
    <cellStyle name="Input 24 2 3 4" xfId="14870" xr:uid="{00000000-0005-0000-0000-000018620000}"/>
    <cellStyle name="Input 24 2 3 4 2" xfId="42986" xr:uid="{00000000-0005-0000-0000-000019620000}"/>
    <cellStyle name="Input 24 2 3 4 3" xfId="42542" xr:uid="{00000000-0005-0000-0000-00001A620000}"/>
    <cellStyle name="Input 24 2 3 4 4" xfId="32505" xr:uid="{00000000-0005-0000-0000-00001B620000}"/>
    <cellStyle name="Input 24 2 3 5" xfId="13130" xr:uid="{00000000-0005-0000-0000-00001C620000}"/>
    <cellStyle name="Input 24 2 3 5 2" xfId="42351" xr:uid="{00000000-0005-0000-0000-00001D620000}"/>
    <cellStyle name="Input 24 2 3 5 3" xfId="43576" xr:uid="{00000000-0005-0000-0000-00001E620000}"/>
    <cellStyle name="Input 24 2 3 5 4" xfId="30779" xr:uid="{00000000-0005-0000-0000-00001F620000}"/>
    <cellStyle name="Input 24 2 3 6" xfId="20074" xr:uid="{00000000-0005-0000-0000-000020620000}"/>
    <cellStyle name="Input 24 2 3 6 2" xfId="45611" xr:uid="{00000000-0005-0000-0000-000021620000}"/>
    <cellStyle name="Input 24 2 3 6 3" xfId="49517" xr:uid="{00000000-0005-0000-0000-000022620000}"/>
    <cellStyle name="Input 24 2 3 6 4" xfId="37568" xr:uid="{00000000-0005-0000-0000-000023620000}"/>
    <cellStyle name="Input 24 2 3 7" xfId="19230" xr:uid="{00000000-0005-0000-0000-000024620000}"/>
    <cellStyle name="Input 24 2 3 7 2" xfId="44767" xr:uid="{00000000-0005-0000-0000-000025620000}"/>
    <cellStyle name="Input 24 2 3 7 3" xfId="48673" xr:uid="{00000000-0005-0000-0000-000026620000}"/>
    <cellStyle name="Input 24 2 3 7 4" xfId="36813" xr:uid="{00000000-0005-0000-0000-000027620000}"/>
    <cellStyle name="Input 24 2 3 8" xfId="12186" xr:uid="{00000000-0005-0000-0000-000028620000}"/>
    <cellStyle name="Input 24 2 3 8 2" xfId="41930" xr:uid="{00000000-0005-0000-0000-000029620000}"/>
    <cellStyle name="Input 24 2 3 8 3" xfId="39116" xr:uid="{00000000-0005-0000-0000-00002A620000}"/>
    <cellStyle name="Input 24 2 3 9" xfId="39846" xr:uid="{00000000-0005-0000-0000-00002B620000}"/>
    <cellStyle name="Input 24 2 4" xfId="22458" xr:uid="{00000000-0005-0000-0000-00002C620000}"/>
    <cellStyle name="Input 24 2 5" xfId="53086" xr:uid="{00000000-0005-0000-0000-00002D620000}"/>
    <cellStyle name="Input 24 2_Sheet1" xfId="1902" xr:uid="{00000000-0005-0000-0000-00002E620000}"/>
    <cellStyle name="Input 24 3" xfId="1903" xr:uid="{00000000-0005-0000-0000-00002F620000}"/>
    <cellStyle name="Input 24 3 2" xfId="7084" xr:uid="{00000000-0005-0000-0000-000030620000}"/>
    <cellStyle name="Input 24 3 2 10" xfId="40135" xr:uid="{00000000-0005-0000-0000-000031620000}"/>
    <cellStyle name="Input 24 3 2 2" xfId="10614" xr:uid="{00000000-0005-0000-0000-000032620000}"/>
    <cellStyle name="Input 24 3 2 2 2" xfId="18407" xr:uid="{00000000-0005-0000-0000-000033620000}"/>
    <cellStyle name="Input 24 3 2 2 2 2" xfId="43954" xr:uid="{00000000-0005-0000-0000-000034620000}"/>
    <cellStyle name="Input 24 3 2 2 2 3" xfId="47863" xr:uid="{00000000-0005-0000-0000-000035620000}"/>
    <cellStyle name="Input 24 3 2 2 2 4" xfId="36044" xr:uid="{00000000-0005-0000-0000-000036620000}"/>
    <cellStyle name="Input 24 3 2 2 3" xfId="19611" xr:uid="{00000000-0005-0000-0000-000037620000}"/>
    <cellStyle name="Input 24 3 2 2 3 2" xfId="45148" xr:uid="{00000000-0005-0000-0000-000038620000}"/>
    <cellStyle name="Input 24 3 2 2 3 3" xfId="49054" xr:uid="{00000000-0005-0000-0000-000039620000}"/>
    <cellStyle name="Input 24 3 2 2 3 4" xfId="37151" xr:uid="{00000000-0005-0000-0000-00003A620000}"/>
    <cellStyle name="Input 24 3 2 2 4" xfId="11632" xr:uid="{00000000-0005-0000-0000-00003B620000}"/>
    <cellStyle name="Input 24 3 2 2 4 2" xfId="41643" xr:uid="{00000000-0005-0000-0000-00003C620000}"/>
    <cellStyle name="Input 24 3 2 2 4 3" xfId="47511" xr:uid="{00000000-0005-0000-0000-00003D620000}"/>
    <cellStyle name="Input 24 3 2 2 4 4" xfId="29333" xr:uid="{00000000-0005-0000-0000-00003E620000}"/>
    <cellStyle name="Input 24 3 2 2 5" xfId="20820" xr:uid="{00000000-0005-0000-0000-00003F620000}"/>
    <cellStyle name="Input 24 3 2 2 5 2" xfId="46357" xr:uid="{00000000-0005-0000-0000-000040620000}"/>
    <cellStyle name="Input 24 3 2 2 5 3" xfId="50263" xr:uid="{00000000-0005-0000-0000-000041620000}"/>
    <cellStyle name="Input 24 3 2 2 5 4" xfId="38226" xr:uid="{00000000-0005-0000-0000-000042620000}"/>
    <cellStyle name="Input 24 3 2 2 6" xfId="21473" xr:uid="{00000000-0005-0000-0000-000043620000}"/>
    <cellStyle name="Input 24 3 2 2 6 2" xfId="47010" xr:uid="{00000000-0005-0000-0000-000044620000}"/>
    <cellStyle name="Input 24 3 2 2 6 3" xfId="50916" xr:uid="{00000000-0005-0000-0000-000045620000}"/>
    <cellStyle name="Input 24 3 2 2 7" xfId="40813" xr:uid="{00000000-0005-0000-0000-000046620000}"/>
    <cellStyle name="Input 24 3 2 2 8" xfId="43393" xr:uid="{00000000-0005-0000-0000-000047620000}"/>
    <cellStyle name="Input 24 3 2 3" xfId="10909" xr:uid="{00000000-0005-0000-0000-000048620000}"/>
    <cellStyle name="Input 24 3 2 3 2" xfId="18702" xr:uid="{00000000-0005-0000-0000-000049620000}"/>
    <cellStyle name="Input 24 3 2 3 2 2" xfId="44249" xr:uid="{00000000-0005-0000-0000-00004A620000}"/>
    <cellStyle name="Input 24 3 2 3 2 3" xfId="48158" xr:uid="{00000000-0005-0000-0000-00004B620000}"/>
    <cellStyle name="Input 24 3 2 3 2 4" xfId="36339" xr:uid="{00000000-0005-0000-0000-00004C620000}"/>
    <cellStyle name="Input 24 3 2 3 3" xfId="19717" xr:uid="{00000000-0005-0000-0000-00004D620000}"/>
    <cellStyle name="Input 24 3 2 3 3 2" xfId="45254" xr:uid="{00000000-0005-0000-0000-00004E620000}"/>
    <cellStyle name="Input 24 3 2 3 3 3" xfId="49160" xr:uid="{00000000-0005-0000-0000-00004F620000}"/>
    <cellStyle name="Input 24 3 2 3 3 4" xfId="37244" xr:uid="{00000000-0005-0000-0000-000050620000}"/>
    <cellStyle name="Input 24 3 2 3 4" xfId="19163" xr:uid="{00000000-0005-0000-0000-000051620000}"/>
    <cellStyle name="Input 24 3 2 3 4 2" xfId="44700" xr:uid="{00000000-0005-0000-0000-000052620000}"/>
    <cellStyle name="Input 24 3 2 3 4 3" xfId="48606" xr:uid="{00000000-0005-0000-0000-000053620000}"/>
    <cellStyle name="Input 24 3 2 3 4 4" xfId="36755" xr:uid="{00000000-0005-0000-0000-000054620000}"/>
    <cellStyle name="Input 24 3 2 3 5" xfId="21115" xr:uid="{00000000-0005-0000-0000-000055620000}"/>
    <cellStyle name="Input 24 3 2 3 5 2" xfId="46652" xr:uid="{00000000-0005-0000-0000-000056620000}"/>
    <cellStyle name="Input 24 3 2 3 5 3" xfId="50558" xr:uid="{00000000-0005-0000-0000-000057620000}"/>
    <cellStyle name="Input 24 3 2 3 5 4" xfId="38521" xr:uid="{00000000-0005-0000-0000-000058620000}"/>
    <cellStyle name="Input 24 3 2 3 6" xfId="21768" xr:uid="{00000000-0005-0000-0000-000059620000}"/>
    <cellStyle name="Input 24 3 2 3 6 2" xfId="47305" xr:uid="{00000000-0005-0000-0000-00005A620000}"/>
    <cellStyle name="Input 24 3 2 3 6 3" xfId="51211" xr:uid="{00000000-0005-0000-0000-00005B620000}"/>
    <cellStyle name="Input 24 3 2 3 7" xfId="41108" xr:uid="{00000000-0005-0000-0000-00005C620000}"/>
    <cellStyle name="Input 24 3 2 3 8" xfId="39696" xr:uid="{00000000-0005-0000-0000-00005D620000}"/>
    <cellStyle name="Input 24 3 2 4" xfId="14872" xr:uid="{00000000-0005-0000-0000-00005E620000}"/>
    <cellStyle name="Input 24 3 2 4 2" xfId="42988" xr:uid="{00000000-0005-0000-0000-00005F620000}"/>
    <cellStyle name="Input 24 3 2 4 3" xfId="40315" xr:uid="{00000000-0005-0000-0000-000060620000}"/>
    <cellStyle name="Input 24 3 2 4 4" xfId="32507" xr:uid="{00000000-0005-0000-0000-000061620000}"/>
    <cellStyle name="Input 24 3 2 5" xfId="11299" xr:uid="{00000000-0005-0000-0000-000062620000}"/>
    <cellStyle name="Input 24 3 2 5 2" xfId="41346" xr:uid="{00000000-0005-0000-0000-000063620000}"/>
    <cellStyle name="Input 24 3 2 5 3" xfId="39362" xr:uid="{00000000-0005-0000-0000-000064620000}"/>
    <cellStyle name="Input 24 3 2 5 4" xfId="29027" xr:uid="{00000000-0005-0000-0000-000065620000}"/>
    <cellStyle name="Input 24 3 2 6" xfId="19699" xr:uid="{00000000-0005-0000-0000-000066620000}"/>
    <cellStyle name="Input 24 3 2 6 2" xfId="45236" xr:uid="{00000000-0005-0000-0000-000067620000}"/>
    <cellStyle name="Input 24 3 2 6 3" xfId="49142" xr:uid="{00000000-0005-0000-0000-000068620000}"/>
    <cellStyle name="Input 24 3 2 6 4" xfId="37228" xr:uid="{00000000-0005-0000-0000-000069620000}"/>
    <cellStyle name="Input 24 3 2 7" xfId="19058" xr:uid="{00000000-0005-0000-0000-00006A620000}"/>
    <cellStyle name="Input 24 3 2 7 2" xfId="44595" xr:uid="{00000000-0005-0000-0000-00006B620000}"/>
    <cellStyle name="Input 24 3 2 7 3" xfId="48501" xr:uid="{00000000-0005-0000-0000-00006C620000}"/>
    <cellStyle name="Input 24 3 2 7 4" xfId="36657" xr:uid="{00000000-0005-0000-0000-00006D620000}"/>
    <cellStyle name="Input 24 3 2 8" xfId="20615" xr:uid="{00000000-0005-0000-0000-00006E620000}"/>
    <cellStyle name="Input 24 3 2 8 2" xfId="46152" xr:uid="{00000000-0005-0000-0000-00006F620000}"/>
    <cellStyle name="Input 24 3 2 8 3" xfId="50058" xr:uid="{00000000-0005-0000-0000-000070620000}"/>
    <cellStyle name="Input 24 3 2 9" xfId="39848" xr:uid="{00000000-0005-0000-0000-000071620000}"/>
    <cellStyle name="Input 24 3 3" xfId="53089" xr:uid="{00000000-0005-0000-0000-000072620000}"/>
    <cellStyle name="Input 24 4" xfId="7081" xr:uid="{00000000-0005-0000-0000-000073620000}"/>
    <cellStyle name="Input 24 4 10" xfId="47602" xr:uid="{00000000-0005-0000-0000-000074620000}"/>
    <cellStyle name="Input 24 4 11" xfId="53090" xr:uid="{00000000-0005-0000-0000-000075620000}"/>
    <cellStyle name="Input 24 4 2" xfId="10611" xr:uid="{00000000-0005-0000-0000-000076620000}"/>
    <cellStyle name="Input 24 4 2 2" xfId="18404" xr:uid="{00000000-0005-0000-0000-000077620000}"/>
    <cellStyle name="Input 24 4 2 2 2" xfId="43951" xr:uid="{00000000-0005-0000-0000-000078620000}"/>
    <cellStyle name="Input 24 4 2 2 3" xfId="47860" xr:uid="{00000000-0005-0000-0000-000079620000}"/>
    <cellStyle name="Input 24 4 2 2 4" xfId="36041" xr:uid="{00000000-0005-0000-0000-00007A620000}"/>
    <cellStyle name="Input 24 4 2 3" xfId="19750" xr:uid="{00000000-0005-0000-0000-00007B620000}"/>
    <cellStyle name="Input 24 4 2 3 2" xfId="45287" xr:uid="{00000000-0005-0000-0000-00007C620000}"/>
    <cellStyle name="Input 24 4 2 3 3" xfId="49193" xr:uid="{00000000-0005-0000-0000-00007D620000}"/>
    <cellStyle name="Input 24 4 2 3 4" xfId="37277" xr:uid="{00000000-0005-0000-0000-00007E620000}"/>
    <cellStyle name="Input 24 4 2 4" xfId="11552" xr:uid="{00000000-0005-0000-0000-00007F620000}"/>
    <cellStyle name="Input 24 4 2 4 2" xfId="41563" xr:uid="{00000000-0005-0000-0000-000080620000}"/>
    <cellStyle name="Input 24 4 2 4 3" xfId="40210" xr:uid="{00000000-0005-0000-0000-000081620000}"/>
    <cellStyle name="Input 24 4 2 4 4" xfId="29264" xr:uid="{00000000-0005-0000-0000-000082620000}"/>
    <cellStyle name="Input 24 4 2 5" xfId="20817" xr:uid="{00000000-0005-0000-0000-000083620000}"/>
    <cellStyle name="Input 24 4 2 5 2" xfId="46354" xr:uid="{00000000-0005-0000-0000-000084620000}"/>
    <cellStyle name="Input 24 4 2 5 3" xfId="50260" xr:uid="{00000000-0005-0000-0000-000085620000}"/>
    <cellStyle name="Input 24 4 2 5 4" xfId="38223" xr:uid="{00000000-0005-0000-0000-000086620000}"/>
    <cellStyle name="Input 24 4 2 6" xfId="21470" xr:uid="{00000000-0005-0000-0000-000087620000}"/>
    <cellStyle name="Input 24 4 2 6 2" xfId="47007" xr:uid="{00000000-0005-0000-0000-000088620000}"/>
    <cellStyle name="Input 24 4 2 6 3" xfId="50913" xr:uid="{00000000-0005-0000-0000-000089620000}"/>
    <cellStyle name="Input 24 4 2 7" xfId="40810" xr:uid="{00000000-0005-0000-0000-00008A620000}"/>
    <cellStyle name="Input 24 4 2 8" xfId="40388" xr:uid="{00000000-0005-0000-0000-00008B620000}"/>
    <cellStyle name="Input 24 4 3" xfId="10906" xr:uid="{00000000-0005-0000-0000-00008C620000}"/>
    <cellStyle name="Input 24 4 3 2" xfId="18699" xr:uid="{00000000-0005-0000-0000-00008D620000}"/>
    <cellStyle name="Input 24 4 3 2 2" xfId="44246" xr:uid="{00000000-0005-0000-0000-00008E620000}"/>
    <cellStyle name="Input 24 4 3 2 3" xfId="48155" xr:uid="{00000000-0005-0000-0000-00008F620000}"/>
    <cellStyle name="Input 24 4 3 2 4" xfId="36336" xr:uid="{00000000-0005-0000-0000-000090620000}"/>
    <cellStyle name="Input 24 4 3 3" xfId="13925" xr:uid="{00000000-0005-0000-0000-000091620000}"/>
    <cellStyle name="Input 24 4 3 3 2" xfId="42660" xr:uid="{00000000-0005-0000-0000-000092620000}"/>
    <cellStyle name="Input 24 4 3 3 3" xfId="40428" xr:uid="{00000000-0005-0000-0000-000093620000}"/>
    <cellStyle name="Input 24 4 3 3 4" xfId="31561" xr:uid="{00000000-0005-0000-0000-000094620000}"/>
    <cellStyle name="Input 24 4 3 4" xfId="11759" xr:uid="{00000000-0005-0000-0000-000095620000}"/>
    <cellStyle name="Input 24 4 3 4 2" xfId="41735" xr:uid="{00000000-0005-0000-0000-000096620000}"/>
    <cellStyle name="Input 24 4 3 4 3" xfId="39342" xr:uid="{00000000-0005-0000-0000-000097620000}"/>
    <cellStyle name="Input 24 4 3 4 4" xfId="29446" xr:uid="{00000000-0005-0000-0000-000098620000}"/>
    <cellStyle name="Input 24 4 3 5" xfId="21112" xr:uid="{00000000-0005-0000-0000-000099620000}"/>
    <cellStyle name="Input 24 4 3 5 2" xfId="46649" xr:uid="{00000000-0005-0000-0000-00009A620000}"/>
    <cellStyle name="Input 24 4 3 5 3" xfId="50555" xr:uid="{00000000-0005-0000-0000-00009B620000}"/>
    <cellStyle name="Input 24 4 3 5 4" xfId="38518" xr:uid="{00000000-0005-0000-0000-00009C620000}"/>
    <cellStyle name="Input 24 4 3 6" xfId="21765" xr:uid="{00000000-0005-0000-0000-00009D620000}"/>
    <cellStyle name="Input 24 4 3 6 2" xfId="47302" xr:uid="{00000000-0005-0000-0000-00009E620000}"/>
    <cellStyle name="Input 24 4 3 6 3" xfId="51208" xr:uid="{00000000-0005-0000-0000-00009F620000}"/>
    <cellStyle name="Input 24 4 3 7" xfId="41105" xr:uid="{00000000-0005-0000-0000-0000A0620000}"/>
    <cellStyle name="Input 24 4 3 8" xfId="42837" xr:uid="{00000000-0005-0000-0000-0000A1620000}"/>
    <cellStyle name="Input 24 4 4" xfId="14869" xr:uid="{00000000-0005-0000-0000-0000A2620000}"/>
    <cellStyle name="Input 24 4 4 2" xfId="42985" xr:uid="{00000000-0005-0000-0000-0000A3620000}"/>
    <cellStyle name="Input 24 4 4 3" xfId="39532" xr:uid="{00000000-0005-0000-0000-0000A4620000}"/>
    <cellStyle name="Input 24 4 4 4" xfId="32504" xr:uid="{00000000-0005-0000-0000-0000A5620000}"/>
    <cellStyle name="Input 24 4 5" xfId="13129" xr:uid="{00000000-0005-0000-0000-0000A6620000}"/>
    <cellStyle name="Input 24 4 5 2" xfId="42350" xr:uid="{00000000-0005-0000-0000-0000A7620000}"/>
    <cellStyle name="Input 24 4 5 3" xfId="42688" xr:uid="{00000000-0005-0000-0000-0000A8620000}"/>
    <cellStyle name="Input 24 4 5 4" xfId="30778" xr:uid="{00000000-0005-0000-0000-0000A9620000}"/>
    <cellStyle name="Input 24 4 6" xfId="20184" xr:uid="{00000000-0005-0000-0000-0000AA620000}"/>
    <cellStyle name="Input 24 4 6 2" xfId="45721" xr:uid="{00000000-0005-0000-0000-0000AB620000}"/>
    <cellStyle name="Input 24 4 6 3" xfId="49627" xr:uid="{00000000-0005-0000-0000-0000AC620000}"/>
    <cellStyle name="Input 24 4 6 4" xfId="37669" xr:uid="{00000000-0005-0000-0000-0000AD620000}"/>
    <cellStyle name="Input 24 4 7" xfId="20081" xr:uid="{00000000-0005-0000-0000-0000AE620000}"/>
    <cellStyle name="Input 24 4 7 2" xfId="45618" xr:uid="{00000000-0005-0000-0000-0000AF620000}"/>
    <cellStyle name="Input 24 4 7 3" xfId="49524" xr:uid="{00000000-0005-0000-0000-0000B0620000}"/>
    <cellStyle name="Input 24 4 7 4" xfId="37574" xr:uid="{00000000-0005-0000-0000-0000B1620000}"/>
    <cellStyle name="Input 24 4 8" xfId="20487" xr:uid="{00000000-0005-0000-0000-0000B2620000}"/>
    <cellStyle name="Input 24 4 8 2" xfId="46024" xr:uid="{00000000-0005-0000-0000-0000B3620000}"/>
    <cellStyle name="Input 24 4 8 3" xfId="49930" xr:uid="{00000000-0005-0000-0000-0000B4620000}"/>
    <cellStyle name="Input 24 4 9" xfId="39845" xr:uid="{00000000-0005-0000-0000-0000B5620000}"/>
    <cellStyle name="Input 24 5" xfId="22457" xr:uid="{00000000-0005-0000-0000-0000B6620000}"/>
    <cellStyle name="Input 24 6" xfId="53085" xr:uid="{00000000-0005-0000-0000-0000B7620000}"/>
    <cellStyle name="Input 24_Sheet1" xfId="1904" xr:uid="{00000000-0005-0000-0000-0000B8620000}"/>
    <cellStyle name="Input 25" xfId="1905" xr:uid="{00000000-0005-0000-0000-0000B9620000}"/>
    <cellStyle name="Input 25 2" xfId="1906" xr:uid="{00000000-0005-0000-0000-0000BA620000}"/>
    <cellStyle name="Input 25 2 2" xfId="1907" xr:uid="{00000000-0005-0000-0000-0000BB620000}"/>
    <cellStyle name="Input 25 2 2 2" xfId="7087" xr:uid="{00000000-0005-0000-0000-0000BC620000}"/>
    <cellStyle name="Input 25 2 2 2 10" xfId="40630" xr:uid="{00000000-0005-0000-0000-0000BD620000}"/>
    <cellStyle name="Input 25 2 2 2 2" xfId="10617" xr:uid="{00000000-0005-0000-0000-0000BE620000}"/>
    <cellStyle name="Input 25 2 2 2 2 2" xfId="18410" xr:uid="{00000000-0005-0000-0000-0000BF620000}"/>
    <cellStyle name="Input 25 2 2 2 2 2 2" xfId="43957" xr:uid="{00000000-0005-0000-0000-0000C0620000}"/>
    <cellStyle name="Input 25 2 2 2 2 2 3" xfId="47866" xr:uid="{00000000-0005-0000-0000-0000C1620000}"/>
    <cellStyle name="Input 25 2 2 2 2 2 4" xfId="36047" xr:uid="{00000000-0005-0000-0000-0000C2620000}"/>
    <cellStyle name="Input 25 2 2 2 2 3" xfId="20032" xr:uid="{00000000-0005-0000-0000-0000C3620000}"/>
    <cellStyle name="Input 25 2 2 2 2 3 2" xfId="45569" xr:uid="{00000000-0005-0000-0000-0000C4620000}"/>
    <cellStyle name="Input 25 2 2 2 2 3 3" xfId="49475" xr:uid="{00000000-0005-0000-0000-0000C5620000}"/>
    <cellStyle name="Input 25 2 2 2 2 3 4" xfId="37530" xr:uid="{00000000-0005-0000-0000-0000C6620000}"/>
    <cellStyle name="Input 25 2 2 2 2 4" xfId="19788" xr:uid="{00000000-0005-0000-0000-0000C7620000}"/>
    <cellStyle name="Input 25 2 2 2 2 4 2" xfId="45325" xr:uid="{00000000-0005-0000-0000-0000C8620000}"/>
    <cellStyle name="Input 25 2 2 2 2 4 3" xfId="49231" xr:uid="{00000000-0005-0000-0000-0000C9620000}"/>
    <cellStyle name="Input 25 2 2 2 2 4 4" xfId="37312" xr:uid="{00000000-0005-0000-0000-0000CA620000}"/>
    <cellStyle name="Input 25 2 2 2 2 5" xfId="20823" xr:uid="{00000000-0005-0000-0000-0000CB620000}"/>
    <cellStyle name="Input 25 2 2 2 2 5 2" xfId="46360" xr:uid="{00000000-0005-0000-0000-0000CC620000}"/>
    <cellStyle name="Input 25 2 2 2 2 5 3" xfId="50266" xr:uid="{00000000-0005-0000-0000-0000CD620000}"/>
    <cellStyle name="Input 25 2 2 2 2 5 4" xfId="38229" xr:uid="{00000000-0005-0000-0000-0000CE620000}"/>
    <cellStyle name="Input 25 2 2 2 2 6" xfId="21476" xr:uid="{00000000-0005-0000-0000-0000CF620000}"/>
    <cellStyle name="Input 25 2 2 2 2 6 2" xfId="47013" xr:uid="{00000000-0005-0000-0000-0000D0620000}"/>
    <cellStyle name="Input 25 2 2 2 2 6 3" xfId="50919" xr:uid="{00000000-0005-0000-0000-0000D1620000}"/>
    <cellStyle name="Input 25 2 2 2 2 7" xfId="40816" xr:uid="{00000000-0005-0000-0000-0000D2620000}"/>
    <cellStyle name="Input 25 2 2 2 2 8" xfId="39198" xr:uid="{00000000-0005-0000-0000-0000D3620000}"/>
    <cellStyle name="Input 25 2 2 2 3" xfId="10912" xr:uid="{00000000-0005-0000-0000-0000D4620000}"/>
    <cellStyle name="Input 25 2 2 2 3 2" xfId="18705" xr:uid="{00000000-0005-0000-0000-0000D5620000}"/>
    <cellStyle name="Input 25 2 2 2 3 2 2" xfId="44252" xr:uid="{00000000-0005-0000-0000-0000D6620000}"/>
    <cellStyle name="Input 25 2 2 2 3 2 3" xfId="48161" xr:uid="{00000000-0005-0000-0000-0000D7620000}"/>
    <cellStyle name="Input 25 2 2 2 3 2 4" xfId="36342" xr:uid="{00000000-0005-0000-0000-0000D8620000}"/>
    <cellStyle name="Input 25 2 2 2 3 3" xfId="20142" xr:uid="{00000000-0005-0000-0000-0000D9620000}"/>
    <cellStyle name="Input 25 2 2 2 3 3 2" xfId="45679" xr:uid="{00000000-0005-0000-0000-0000DA620000}"/>
    <cellStyle name="Input 25 2 2 2 3 3 3" xfId="49585" xr:uid="{00000000-0005-0000-0000-0000DB620000}"/>
    <cellStyle name="Input 25 2 2 2 3 3 4" xfId="37628" xr:uid="{00000000-0005-0000-0000-0000DC620000}"/>
    <cellStyle name="Input 25 2 2 2 3 4" xfId="12694" xr:uid="{00000000-0005-0000-0000-0000DD620000}"/>
    <cellStyle name="Input 25 2 2 2 3 4 2" xfId="42173" xr:uid="{00000000-0005-0000-0000-0000DE620000}"/>
    <cellStyle name="Input 25 2 2 2 3 4 3" xfId="39556" xr:uid="{00000000-0005-0000-0000-0000DF620000}"/>
    <cellStyle name="Input 25 2 2 2 3 4 4" xfId="30355" xr:uid="{00000000-0005-0000-0000-0000E0620000}"/>
    <cellStyle name="Input 25 2 2 2 3 5" xfId="21118" xr:uid="{00000000-0005-0000-0000-0000E1620000}"/>
    <cellStyle name="Input 25 2 2 2 3 5 2" xfId="46655" xr:uid="{00000000-0005-0000-0000-0000E2620000}"/>
    <cellStyle name="Input 25 2 2 2 3 5 3" xfId="50561" xr:uid="{00000000-0005-0000-0000-0000E3620000}"/>
    <cellStyle name="Input 25 2 2 2 3 5 4" xfId="38524" xr:uid="{00000000-0005-0000-0000-0000E4620000}"/>
    <cellStyle name="Input 25 2 2 2 3 6" xfId="21771" xr:uid="{00000000-0005-0000-0000-0000E5620000}"/>
    <cellStyle name="Input 25 2 2 2 3 6 2" xfId="47308" xr:uid="{00000000-0005-0000-0000-0000E6620000}"/>
    <cellStyle name="Input 25 2 2 2 3 6 3" xfId="51214" xr:uid="{00000000-0005-0000-0000-0000E7620000}"/>
    <cellStyle name="Input 25 2 2 2 3 7" xfId="41111" xr:uid="{00000000-0005-0000-0000-0000E8620000}"/>
    <cellStyle name="Input 25 2 2 2 3 8" xfId="40480" xr:uid="{00000000-0005-0000-0000-0000E9620000}"/>
    <cellStyle name="Input 25 2 2 2 4" xfId="14875" xr:uid="{00000000-0005-0000-0000-0000EA620000}"/>
    <cellStyle name="Input 25 2 2 2 4 2" xfId="42991" xr:uid="{00000000-0005-0000-0000-0000EB620000}"/>
    <cellStyle name="Input 25 2 2 2 4 3" xfId="41290" xr:uid="{00000000-0005-0000-0000-0000EC620000}"/>
    <cellStyle name="Input 25 2 2 2 4 4" xfId="32510" xr:uid="{00000000-0005-0000-0000-0000ED620000}"/>
    <cellStyle name="Input 25 2 2 2 5" xfId="19578" xr:uid="{00000000-0005-0000-0000-0000EE620000}"/>
    <cellStyle name="Input 25 2 2 2 5 2" xfId="45115" xr:uid="{00000000-0005-0000-0000-0000EF620000}"/>
    <cellStyle name="Input 25 2 2 2 5 3" xfId="49021" xr:uid="{00000000-0005-0000-0000-0000F0620000}"/>
    <cellStyle name="Input 25 2 2 2 5 4" xfId="37118" xr:uid="{00000000-0005-0000-0000-0000F1620000}"/>
    <cellStyle name="Input 25 2 2 2 6" xfId="12655" xr:uid="{00000000-0005-0000-0000-0000F2620000}"/>
    <cellStyle name="Input 25 2 2 2 6 2" xfId="42134" xr:uid="{00000000-0005-0000-0000-0000F3620000}"/>
    <cellStyle name="Input 25 2 2 2 6 3" xfId="39557" xr:uid="{00000000-0005-0000-0000-0000F4620000}"/>
    <cellStyle name="Input 25 2 2 2 6 4" xfId="30320" xr:uid="{00000000-0005-0000-0000-0000F5620000}"/>
    <cellStyle name="Input 25 2 2 2 7" xfId="20520" xr:uid="{00000000-0005-0000-0000-0000F6620000}"/>
    <cellStyle name="Input 25 2 2 2 7 2" xfId="46057" xr:uid="{00000000-0005-0000-0000-0000F7620000}"/>
    <cellStyle name="Input 25 2 2 2 7 3" xfId="49963" xr:uid="{00000000-0005-0000-0000-0000F8620000}"/>
    <cellStyle name="Input 25 2 2 2 7 4" xfId="37953" xr:uid="{00000000-0005-0000-0000-0000F9620000}"/>
    <cellStyle name="Input 25 2 2 2 8" xfId="19333" xr:uid="{00000000-0005-0000-0000-0000FA620000}"/>
    <cellStyle name="Input 25 2 2 2 8 2" xfId="44870" xr:uid="{00000000-0005-0000-0000-0000FB620000}"/>
    <cellStyle name="Input 25 2 2 2 8 3" xfId="48776" xr:uid="{00000000-0005-0000-0000-0000FC620000}"/>
    <cellStyle name="Input 25 2 2 2 9" xfId="39851" xr:uid="{00000000-0005-0000-0000-0000FD620000}"/>
    <cellStyle name="Input 25 2 2 3" xfId="53093" xr:uid="{00000000-0005-0000-0000-0000FE620000}"/>
    <cellStyle name="Input 25 2 3" xfId="7086" xr:uid="{00000000-0005-0000-0000-0000FF620000}"/>
    <cellStyle name="Input 25 2 3 10" xfId="43771" xr:uid="{00000000-0005-0000-0000-000000630000}"/>
    <cellStyle name="Input 25 2 3 11" xfId="53094" xr:uid="{00000000-0005-0000-0000-000001630000}"/>
    <cellStyle name="Input 25 2 3 2" xfId="10616" xr:uid="{00000000-0005-0000-0000-000002630000}"/>
    <cellStyle name="Input 25 2 3 2 2" xfId="18409" xr:uid="{00000000-0005-0000-0000-000003630000}"/>
    <cellStyle name="Input 25 2 3 2 2 2" xfId="43956" xr:uid="{00000000-0005-0000-0000-000004630000}"/>
    <cellStyle name="Input 25 2 3 2 2 3" xfId="47865" xr:uid="{00000000-0005-0000-0000-000005630000}"/>
    <cellStyle name="Input 25 2 3 2 2 4" xfId="36046" xr:uid="{00000000-0005-0000-0000-000006630000}"/>
    <cellStyle name="Input 25 2 3 2 3" xfId="19425" xr:uid="{00000000-0005-0000-0000-000007630000}"/>
    <cellStyle name="Input 25 2 3 2 3 2" xfId="44962" xr:uid="{00000000-0005-0000-0000-000008630000}"/>
    <cellStyle name="Input 25 2 3 2 3 3" xfId="48868" xr:uid="{00000000-0005-0000-0000-000009630000}"/>
    <cellStyle name="Input 25 2 3 2 3 4" xfId="36990" xr:uid="{00000000-0005-0000-0000-00000A630000}"/>
    <cellStyle name="Input 25 2 3 2 4" xfId="11564" xr:uid="{00000000-0005-0000-0000-00000B630000}"/>
    <cellStyle name="Input 25 2 3 2 4 2" xfId="41575" xr:uid="{00000000-0005-0000-0000-00000C630000}"/>
    <cellStyle name="Input 25 2 3 2 4 3" xfId="39574" xr:uid="{00000000-0005-0000-0000-00000D630000}"/>
    <cellStyle name="Input 25 2 3 2 4 4" xfId="29275" xr:uid="{00000000-0005-0000-0000-00000E630000}"/>
    <cellStyle name="Input 25 2 3 2 5" xfId="20822" xr:uid="{00000000-0005-0000-0000-00000F630000}"/>
    <cellStyle name="Input 25 2 3 2 5 2" xfId="46359" xr:uid="{00000000-0005-0000-0000-000010630000}"/>
    <cellStyle name="Input 25 2 3 2 5 3" xfId="50265" xr:uid="{00000000-0005-0000-0000-000011630000}"/>
    <cellStyle name="Input 25 2 3 2 5 4" xfId="38228" xr:uid="{00000000-0005-0000-0000-000012630000}"/>
    <cellStyle name="Input 25 2 3 2 6" xfId="21475" xr:uid="{00000000-0005-0000-0000-000013630000}"/>
    <cellStyle name="Input 25 2 3 2 6 2" xfId="47012" xr:uid="{00000000-0005-0000-0000-000014630000}"/>
    <cellStyle name="Input 25 2 3 2 6 3" xfId="50918" xr:uid="{00000000-0005-0000-0000-000015630000}"/>
    <cellStyle name="Input 25 2 3 2 7" xfId="40815" xr:uid="{00000000-0005-0000-0000-000016630000}"/>
    <cellStyle name="Input 25 2 3 2 8" xfId="39395" xr:uid="{00000000-0005-0000-0000-000017630000}"/>
    <cellStyle name="Input 25 2 3 3" xfId="10911" xr:uid="{00000000-0005-0000-0000-000018630000}"/>
    <cellStyle name="Input 25 2 3 3 2" xfId="18704" xr:uid="{00000000-0005-0000-0000-000019630000}"/>
    <cellStyle name="Input 25 2 3 3 2 2" xfId="44251" xr:uid="{00000000-0005-0000-0000-00001A630000}"/>
    <cellStyle name="Input 25 2 3 3 2 3" xfId="48160" xr:uid="{00000000-0005-0000-0000-00001B630000}"/>
    <cellStyle name="Input 25 2 3 3 2 4" xfId="36341" xr:uid="{00000000-0005-0000-0000-00001C630000}"/>
    <cellStyle name="Input 25 2 3 3 3" xfId="19590" xr:uid="{00000000-0005-0000-0000-00001D630000}"/>
    <cellStyle name="Input 25 2 3 3 3 2" xfId="45127" xr:uid="{00000000-0005-0000-0000-00001E630000}"/>
    <cellStyle name="Input 25 2 3 3 3 3" xfId="49033" xr:uid="{00000000-0005-0000-0000-00001F630000}"/>
    <cellStyle name="Input 25 2 3 3 3 4" xfId="37130" xr:uid="{00000000-0005-0000-0000-000020630000}"/>
    <cellStyle name="Input 25 2 3 3 4" xfId="11634" xr:uid="{00000000-0005-0000-0000-000021630000}"/>
    <cellStyle name="Input 25 2 3 3 4 2" xfId="41645" xr:uid="{00000000-0005-0000-0000-000022630000}"/>
    <cellStyle name="Input 25 2 3 3 4 3" xfId="43211" xr:uid="{00000000-0005-0000-0000-000023630000}"/>
    <cellStyle name="Input 25 2 3 3 4 4" xfId="29335" xr:uid="{00000000-0005-0000-0000-000024630000}"/>
    <cellStyle name="Input 25 2 3 3 5" xfId="21117" xr:uid="{00000000-0005-0000-0000-000025630000}"/>
    <cellStyle name="Input 25 2 3 3 5 2" xfId="46654" xr:uid="{00000000-0005-0000-0000-000026630000}"/>
    <cellStyle name="Input 25 2 3 3 5 3" xfId="50560" xr:uid="{00000000-0005-0000-0000-000027630000}"/>
    <cellStyle name="Input 25 2 3 3 5 4" xfId="38523" xr:uid="{00000000-0005-0000-0000-000028630000}"/>
    <cellStyle name="Input 25 2 3 3 6" xfId="21770" xr:uid="{00000000-0005-0000-0000-000029630000}"/>
    <cellStyle name="Input 25 2 3 3 6 2" xfId="47307" xr:uid="{00000000-0005-0000-0000-00002A630000}"/>
    <cellStyle name="Input 25 2 3 3 6 3" xfId="51213" xr:uid="{00000000-0005-0000-0000-00002B630000}"/>
    <cellStyle name="Input 25 2 3 3 7" xfId="41110" xr:uid="{00000000-0005-0000-0000-00002C630000}"/>
    <cellStyle name="Input 25 2 3 3 8" xfId="43622" xr:uid="{00000000-0005-0000-0000-00002D630000}"/>
    <cellStyle name="Input 25 2 3 4" xfId="14874" xr:uid="{00000000-0005-0000-0000-00002E630000}"/>
    <cellStyle name="Input 25 2 3 4 2" xfId="42990" xr:uid="{00000000-0005-0000-0000-00002F630000}"/>
    <cellStyle name="Input 25 2 3 4 3" xfId="39274" xr:uid="{00000000-0005-0000-0000-000030630000}"/>
    <cellStyle name="Input 25 2 3 4 4" xfId="32509" xr:uid="{00000000-0005-0000-0000-000031630000}"/>
    <cellStyle name="Input 25 2 3 5" xfId="13133" xr:uid="{00000000-0005-0000-0000-000032630000}"/>
    <cellStyle name="Input 25 2 3 5 2" xfId="42354" xr:uid="{00000000-0005-0000-0000-000033630000}"/>
    <cellStyle name="Input 25 2 3 5 3" xfId="42554" xr:uid="{00000000-0005-0000-0000-000034630000}"/>
    <cellStyle name="Input 25 2 3 5 4" xfId="30782" xr:uid="{00000000-0005-0000-0000-000035630000}"/>
    <cellStyle name="Input 25 2 3 6" xfId="13300" xr:uid="{00000000-0005-0000-0000-000036630000}"/>
    <cellStyle name="Input 25 2 3 6 2" xfId="42470" xr:uid="{00000000-0005-0000-0000-000037630000}"/>
    <cellStyle name="Input 25 2 3 6 3" xfId="42791" xr:uid="{00000000-0005-0000-0000-000038630000}"/>
    <cellStyle name="Input 25 2 3 6 4" xfId="30944" xr:uid="{00000000-0005-0000-0000-000039630000}"/>
    <cellStyle name="Input 25 2 3 7" xfId="19502" xr:uid="{00000000-0005-0000-0000-00003A630000}"/>
    <cellStyle name="Input 25 2 3 7 2" xfId="45039" xr:uid="{00000000-0005-0000-0000-00003B630000}"/>
    <cellStyle name="Input 25 2 3 7 3" xfId="48945" xr:uid="{00000000-0005-0000-0000-00003C630000}"/>
    <cellStyle name="Input 25 2 3 7 4" xfId="37052" xr:uid="{00000000-0005-0000-0000-00003D630000}"/>
    <cellStyle name="Input 25 2 3 8" xfId="19949" xr:uid="{00000000-0005-0000-0000-00003E630000}"/>
    <cellStyle name="Input 25 2 3 8 2" xfId="45486" xr:uid="{00000000-0005-0000-0000-00003F630000}"/>
    <cellStyle name="Input 25 2 3 8 3" xfId="49392" xr:uid="{00000000-0005-0000-0000-000040630000}"/>
    <cellStyle name="Input 25 2 3 9" xfId="39850" xr:uid="{00000000-0005-0000-0000-000041630000}"/>
    <cellStyle name="Input 25 2 4" xfId="22460" xr:uid="{00000000-0005-0000-0000-000042630000}"/>
    <cellStyle name="Input 25 2 5" xfId="53092" xr:uid="{00000000-0005-0000-0000-000043630000}"/>
    <cellStyle name="Input 25 2_Sheet1" xfId="1908" xr:uid="{00000000-0005-0000-0000-000044630000}"/>
    <cellStyle name="Input 25 3" xfId="1909" xr:uid="{00000000-0005-0000-0000-000045630000}"/>
    <cellStyle name="Input 25 3 2" xfId="7088" xr:uid="{00000000-0005-0000-0000-000046630000}"/>
    <cellStyle name="Input 25 3 2 10" xfId="39964" xr:uid="{00000000-0005-0000-0000-000047630000}"/>
    <cellStyle name="Input 25 3 2 2" xfId="10618" xr:uid="{00000000-0005-0000-0000-000048630000}"/>
    <cellStyle name="Input 25 3 2 2 2" xfId="18411" xr:uid="{00000000-0005-0000-0000-000049630000}"/>
    <cellStyle name="Input 25 3 2 2 2 2" xfId="43958" xr:uid="{00000000-0005-0000-0000-00004A630000}"/>
    <cellStyle name="Input 25 3 2 2 2 3" xfId="47867" xr:uid="{00000000-0005-0000-0000-00004B630000}"/>
    <cellStyle name="Input 25 3 2 2 2 4" xfId="36048" xr:uid="{00000000-0005-0000-0000-00004C630000}"/>
    <cellStyle name="Input 25 3 2 2 3" xfId="19298" xr:uid="{00000000-0005-0000-0000-00004D630000}"/>
    <cellStyle name="Input 25 3 2 2 3 2" xfId="44835" xr:uid="{00000000-0005-0000-0000-00004E630000}"/>
    <cellStyle name="Input 25 3 2 2 3 3" xfId="48741" xr:uid="{00000000-0005-0000-0000-00004F630000}"/>
    <cellStyle name="Input 25 3 2 2 3 4" xfId="36876" xr:uid="{00000000-0005-0000-0000-000050630000}"/>
    <cellStyle name="Input 25 3 2 2 4" xfId="11654" xr:uid="{00000000-0005-0000-0000-000051630000}"/>
    <cellStyle name="Input 25 3 2 2 4 2" xfId="41665" xr:uid="{00000000-0005-0000-0000-000052630000}"/>
    <cellStyle name="Input 25 3 2 2 4 3" xfId="39569" xr:uid="{00000000-0005-0000-0000-000053630000}"/>
    <cellStyle name="Input 25 3 2 2 4 4" xfId="29353" xr:uid="{00000000-0005-0000-0000-000054630000}"/>
    <cellStyle name="Input 25 3 2 2 5" xfId="20824" xr:uid="{00000000-0005-0000-0000-000055630000}"/>
    <cellStyle name="Input 25 3 2 2 5 2" xfId="46361" xr:uid="{00000000-0005-0000-0000-000056630000}"/>
    <cellStyle name="Input 25 3 2 2 5 3" xfId="50267" xr:uid="{00000000-0005-0000-0000-000057630000}"/>
    <cellStyle name="Input 25 3 2 2 5 4" xfId="38230" xr:uid="{00000000-0005-0000-0000-000058630000}"/>
    <cellStyle name="Input 25 3 2 2 6" xfId="21477" xr:uid="{00000000-0005-0000-0000-000059630000}"/>
    <cellStyle name="Input 25 3 2 2 6 2" xfId="47014" xr:uid="{00000000-0005-0000-0000-00005A630000}"/>
    <cellStyle name="Input 25 3 2 2 6 3" xfId="50920" xr:uid="{00000000-0005-0000-0000-00005B630000}"/>
    <cellStyle name="Input 25 3 2 2 7" xfId="40817" xr:uid="{00000000-0005-0000-0000-00005C630000}"/>
    <cellStyle name="Input 25 3 2 2 8" xfId="47517" xr:uid="{00000000-0005-0000-0000-00005D630000}"/>
    <cellStyle name="Input 25 3 2 3" xfId="10913" xr:uid="{00000000-0005-0000-0000-00005E630000}"/>
    <cellStyle name="Input 25 3 2 3 2" xfId="18706" xr:uid="{00000000-0005-0000-0000-00005F630000}"/>
    <cellStyle name="Input 25 3 2 3 2 2" xfId="44253" xr:uid="{00000000-0005-0000-0000-000060630000}"/>
    <cellStyle name="Input 25 3 2 3 2 3" xfId="48162" xr:uid="{00000000-0005-0000-0000-000061630000}"/>
    <cellStyle name="Input 25 3 2 3 2 4" xfId="36343" xr:uid="{00000000-0005-0000-0000-000062630000}"/>
    <cellStyle name="Input 25 3 2 3 3" xfId="19401" xr:uid="{00000000-0005-0000-0000-000063630000}"/>
    <cellStyle name="Input 25 3 2 3 3 2" xfId="44938" xr:uid="{00000000-0005-0000-0000-000064630000}"/>
    <cellStyle name="Input 25 3 2 3 3 3" xfId="48844" xr:uid="{00000000-0005-0000-0000-000065630000}"/>
    <cellStyle name="Input 25 3 2 3 3 4" xfId="36966" xr:uid="{00000000-0005-0000-0000-000066630000}"/>
    <cellStyle name="Input 25 3 2 3 4" xfId="19629" xr:uid="{00000000-0005-0000-0000-000067630000}"/>
    <cellStyle name="Input 25 3 2 3 4 2" xfId="45166" xr:uid="{00000000-0005-0000-0000-000068630000}"/>
    <cellStyle name="Input 25 3 2 3 4 3" xfId="49072" xr:uid="{00000000-0005-0000-0000-000069630000}"/>
    <cellStyle name="Input 25 3 2 3 4 4" xfId="37168" xr:uid="{00000000-0005-0000-0000-00006A630000}"/>
    <cellStyle name="Input 25 3 2 3 5" xfId="21119" xr:uid="{00000000-0005-0000-0000-00006B630000}"/>
    <cellStyle name="Input 25 3 2 3 5 2" xfId="46656" xr:uid="{00000000-0005-0000-0000-00006C630000}"/>
    <cellStyle name="Input 25 3 2 3 5 3" xfId="50562" xr:uid="{00000000-0005-0000-0000-00006D630000}"/>
    <cellStyle name="Input 25 3 2 3 5 4" xfId="38525" xr:uid="{00000000-0005-0000-0000-00006E630000}"/>
    <cellStyle name="Input 25 3 2 3 6" xfId="21772" xr:uid="{00000000-0005-0000-0000-00006F630000}"/>
    <cellStyle name="Input 25 3 2 3 6 2" xfId="47309" xr:uid="{00000000-0005-0000-0000-000070630000}"/>
    <cellStyle name="Input 25 3 2 3 6 3" xfId="51215" xr:uid="{00000000-0005-0000-0000-000071630000}"/>
    <cellStyle name="Input 25 3 2 3 7" xfId="41112" xr:uid="{00000000-0005-0000-0000-000072630000}"/>
    <cellStyle name="Input 25 3 2 3 8" xfId="39590" xr:uid="{00000000-0005-0000-0000-000073630000}"/>
    <cellStyle name="Input 25 3 2 4" xfId="14876" xr:uid="{00000000-0005-0000-0000-000074630000}"/>
    <cellStyle name="Input 25 3 2 4 2" xfId="42992" xr:uid="{00000000-0005-0000-0000-000075630000}"/>
    <cellStyle name="Input 25 3 2 4 3" xfId="43183" xr:uid="{00000000-0005-0000-0000-000076630000}"/>
    <cellStyle name="Input 25 3 2 4 4" xfId="32511" xr:uid="{00000000-0005-0000-0000-000077630000}"/>
    <cellStyle name="Input 25 3 2 5" xfId="11300" xr:uid="{00000000-0005-0000-0000-000078630000}"/>
    <cellStyle name="Input 25 3 2 5 2" xfId="41347" xr:uid="{00000000-0005-0000-0000-000079630000}"/>
    <cellStyle name="Input 25 3 2 5 3" xfId="42040" xr:uid="{00000000-0005-0000-0000-00007A630000}"/>
    <cellStyle name="Input 25 3 2 5 4" xfId="29028" xr:uid="{00000000-0005-0000-0000-00007B630000}"/>
    <cellStyle name="Input 25 3 2 6" xfId="20254" xr:uid="{00000000-0005-0000-0000-00007C630000}"/>
    <cellStyle name="Input 25 3 2 6 2" xfId="45791" xr:uid="{00000000-0005-0000-0000-00007D630000}"/>
    <cellStyle name="Input 25 3 2 6 3" xfId="49697" xr:uid="{00000000-0005-0000-0000-00007E630000}"/>
    <cellStyle name="Input 25 3 2 6 4" xfId="37725" xr:uid="{00000000-0005-0000-0000-00007F630000}"/>
    <cellStyle name="Input 25 3 2 7" xfId="19546" xr:uid="{00000000-0005-0000-0000-000080630000}"/>
    <cellStyle name="Input 25 3 2 7 2" xfId="45083" xr:uid="{00000000-0005-0000-0000-000081630000}"/>
    <cellStyle name="Input 25 3 2 7 3" xfId="48989" xr:uid="{00000000-0005-0000-0000-000082630000}"/>
    <cellStyle name="Input 25 3 2 7 4" xfId="37090" xr:uid="{00000000-0005-0000-0000-000083630000}"/>
    <cellStyle name="Input 25 3 2 8" xfId="20515" xr:uid="{00000000-0005-0000-0000-000084630000}"/>
    <cellStyle name="Input 25 3 2 8 2" xfId="46052" xr:uid="{00000000-0005-0000-0000-000085630000}"/>
    <cellStyle name="Input 25 3 2 8 3" xfId="49958" xr:uid="{00000000-0005-0000-0000-000086630000}"/>
    <cellStyle name="Input 25 3 2 9" xfId="39852" xr:uid="{00000000-0005-0000-0000-000087630000}"/>
    <cellStyle name="Input 25 3 3" xfId="53095" xr:uid="{00000000-0005-0000-0000-000088630000}"/>
    <cellStyle name="Input 25 4" xfId="7085" xr:uid="{00000000-0005-0000-0000-000089630000}"/>
    <cellStyle name="Input 25 4 10" xfId="43104" xr:uid="{00000000-0005-0000-0000-00008A630000}"/>
    <cellStyle name="Input 25 4 11" xfId="53096" xr:uid="{00000000-0005-0000-0000-00008B630000}"/>
    <cellStyle name="Input 25 4 2" xfId="10615" xr:uid="{00000000-0005-0000-0000-00008C630000}"/>
    <cellStyle name="Input 25 4 2 2" xfId="18408" xr:uid="{00000000-0005-0000-0000-00008D630000}"/>
    <cellStyle name="Input 25 4 2 2 2" xfId="43955" xr:uid="{00000000-0005-0000-0000-00008E630000}"/>
    <cellStyle name="Input 25 4 2 2 3" xfId="47864" xr:uid="{00000000-0005-0000-0000-00008F630000}"/>
    <cellStyle name="Input 25 4 2 2 4" xfId="36045" xr:uid="{00000000-0005-0000-0000-000090630000}"/>
    <cellStyle name="Input 25 4 2 3" xfId="20166" xr:uid="{00000000-0005-0000-0000-000091630000}"/>
    <cellStyle name="Input 25 4 2 3 2" xfId="45703" xr:uid="{00000000-0005-0000-0000-000092630000}"/>
    <cellStyle name="Input 25 4 2 3 3" xfId="49609" xr:uid="{00000000-0005-0000-0000-000093630000}"/>
    <cellStyle name="Input 25 4 2 3 4" xfId="37652" xr:uid="{00000000-0005-0000-0000-000094630000}"/>
    <cellStyle name="Input 25 4 2 4" xfId="12645" xr:uid="{00000000-0005-0000-0000-000095630000}"/>
    <cellStyle name="Input 25 4 2 4 2" xfId="42124" xr:uid="{00000000-0005-0000-0000-000096630000}"/>
    <cellStyle name="Input 25 4 2 4 3" xfId="41313" xr:uid="{00000000-0005-0000-0000-000097630000}"/>
    <cellStyle name="Input 25 4 2 4 4" xfId="30310" xr:uid="{00000000-0005-0000-0000-000098630000}"/>
    <cellStyle name="Input 25 4 2 5" xfId="20821" xr:uid="{00000000-0005-0000-0000-000099630000}"/>
    <cellStyle name="Input 25 4 2 5 2" xfId="46358" xr:uid="{00000000-0005-0000-0000-00009A630000}"/>
    <cellStyle name="Input 25 4 2 5 3" xfId="50264" xr:uid="{00000000-0005-0000-0000-00009B630000}"/>
    <cellStyle name="Input 25 4 2 5 4" xfId="38227" xr:uid="{00000000-0005-0000-0000-00009C630000}"/>
    <cellStyle name="Input 25 4 2 6" xfId="21474" xr:uid="{00000000-0005-0000-0000-00009D630000}"/>
    <cellStyle name="Input 25 4 2 6 2" xfId="47011" xr:uid="{00000000-0005-0000-0000-00009E630000}"/>
    <cellStyle name="Input 25 4 2 6 3" xfId="50917" xr:uid="{00000000-0005-0000-0000-00009F630000}"/>
    <cellStyle name="Input 25 4 2 7" xfId="40814" xr:uid="{00000000-0005-0000-0000-0000A0630000}"/>
    <cellStyle name="Input 25 4 2 8" xfId="40255" xr:uid="{00000000-0005-0000-0000-0000A1630000}"/>
    <cellStyle name="Input 25 4 3" xfId="10910" xr:uid="{00000000-0005-0000-0000-0000A2630000}"/>
    <cellStyle name="Input 25 4 3 2" xfId="18703" xr:uid="{00000000-0005-0000-0000-0000A3630000}"/>
    <cellStyle name="Input 25 4 3 2 2" xfId="44250" xr:uid="{00000000-0005-0000-0000-0000A4630000}"/>
    <cellStyle name="Input 25 4 3 2 3" xfId="48159" xr:uid="{00000000-0005-0000-0000-0000A5630000}"/>
    <cellStyle name="Input 25 4 3 2 4" xfId="36340" xr:uid="{00000000-0005-0000-0000-0000A6630000}"/>
    <cellStyle name="Input 25 4 3 3" xfId="11528" xr:uid="{00000000-0005-0000-0000-0000A7630000}"/>
    <cellStyle name="Input 25 4 3 3 2" xfId="41539" xr:uid="{00000000-0005-0000-0000-0000A8630000}"/>
    <cellStyle name="Input 25 4 3 3 3" xfId="40357" xr:uid="{00000000-0005-0000-0000-0000A9630000}"/>
    <cellStyle name="Input 25 4 3 3 4" xfId="29243" xr:uid="{00000000-0005-0000-0000-0000AA630000}"/>
    <cellStyle name="Input 25 4 3 4" xfId="11453" xr:uid="{00000000-0005-0000-0000-0000AB630000}"/>
    <cellStyle name="Input 25 4 3 4 2" xfId="41464" xr:uid="{00000000-0005-0000-0000-0000AC630000}"/>
    <cellStyle name="Input 25 4 3 4 3" xfId="40078" xr:uid="{00000000-0005-0000-0000-0000AD630000}"/>
    <cellStyle name="Input 25 4 3 4 4" xfId="29173" xr:uid="{00000000-0005-0000-0000-0000AE630000}"/>
    <cellStyle name="Input 25 4 3 5" xfId="21116" xr:uid="{00000000-0005-0000-0000-0000AF630000}"/>
    <cellStyle name="Input 25 4 3 5 2" xfId="46653" xr:uid="{00000000-0005-0000-0000-0000B0630000}"/>
    <cellStyle name="Input 25 4 3 5 3" xfId="50559" xr:uid="{00000000-0005-0000-0000-0000B1630000}"/>
    <cellStyle name="Input 25 4 3 5 4" xfId="38522" xr:uid="{00000000-0005-0000-0000-0000B2630000}"/>
    <cellStyle name="Input 25 4 3 6" xfId="21769" xr:uid="{00000000-0005-0000-0000-0000B3630000}"/>
    <cellStyle name="Input 25 4 3 6 2" xfId="47306" xr:uid="{00000000-0005-0000-0000-0000B4630000}"/>
    <cellStyle name="Input 25 4 3 6 3" xfId="51212" xr:uid="{00000000-0005-0000-0000-0000B5630000}"/>
    <cellStyle name="Input 25 4 3 7" xfId="41109" xr:uid="{00000000-0005-0000-0000-0000B6630000}"/>
    <cellStyle name="Input 25 4 3 8" xfId="42733" xr:uid="{00000000-0005-0000-0000-0000B7630000}"/>
    <cellStyle name="Input 25 4 4" xfId="14873" xr:uid="{00000000-0005-0000-0000-0000B8630000}"/>
    <cellStyle name="Input 25 4 4 2" xfId="42989" xr:uid="{00000000-0005-0000-0000-0000B9630000}"/>
    <cellStyle name="Input 25 4 4 3" xfId="39432" xr:uid="{00000000-0005-0000-0000-0000BA630000}"/>
    <cellStyle name="Input 25 4 4 4" xfId="32508" xr:uid="{00000000-0005-0000-0000-0000BB630000}"/>
    <cellStyle name="Input 25 4 5" xfId="13132" xr:uid="{00000000-0005-0000-0000-0000BC630000}"/>
    <cellStyle name="Input 25 4 5 2" xfId="42353" xr:uid="{00000000-0005-0000-0000-0000BD630000}"/>
    <cellStyle name="Input 25 4 5 3" xfId="39544" xr:uid="{00000000-0005-0000-0000-0000BE630000}"/>
    <cellStyle name="Input 25 4 5 4" xfId="30781" xr:uid="{00000000-0005-0000-0000-0000BF630000}"/>
    <cellStyle name="Input 25 4 6" xfId="19665" xr:uid="{00000000-0005-0000-0000-0000C0630000}"/>
    <cellStyle name="Input 25 4 6 2" xfId="45202" xr:uid="{00000000-0005-0000-0000-0000C1630000}"/>
    <cellStyle name="Input 25 4 6 3" xfId="49108" xr:uid="{00000000-0005-0000-0000-0000C2630000}"/>
    <cellStyle name="Input 25 4 6 4" xfId="37199" xr:uid="{00000000-0005-0000-0000-0000C3630000}"/>
    <cellStyle name="Input 25 4 7" xfId="12707" xr:uid="{00000000-0005-0000-0000-0000C4630000}"/>
    <cellStyle name="Input 25 4 7 2" xfId="42182" xr:uid="{00000000-0005-0000-0000-0000C5630000}"/>
    <cellStyle name="Input 25 4 7 3" xfId="42695" xr:uid="{00000000-0005-0000-0000-0000C6630000}"/>
    <cellStyle name="Input 25 4 7 4" xfId="30365" xr:uid="{00000000-0005-0000-0000-0000C7630000}"/>
    <cellStyle name="Input 25 4 8" xfId="19070" xr:uid="{00000000-0005-0000-0000-0000C8630000}"/>
    <cellStyle name="Input 25 4 8 2" xfId="44607" xr:uid="{00000000-0005-0000-0000-0000C9630000}"/>
    <cellStyle name="Input 25 4 8 3" xfId="48513" xr:uid="{00000000-0005-0000-0000-0000CA630000}"/>
    <cellStyle name="Input 25 4 9" xfId="39849" xr:uid="{00000000-0005-0000-0000-0000CB630000}"/>
    <cellStyle name="Input 25 5" xfId="22459" xr:uid="{00000000-0005-0000-0000-0000CC630000}"/>
    <cellStyle name="Input 25 6" xfId="53091" xr:uid="{00000000-0005-0000-0000-0000CD630000}"/>
    <cellStyle name="Input 25_Sheet1" xfId="1910" xr:uid="{00000000-0005-0000-0000-0000CE630000}"/>
    <cellStyle name="Input 26" xfId="1911" xr:uid="{00000000-0005-0000-0000-0000CF630000}"/>
    <cellStyle name="Input 26 2" xfId="1912" xr:uid="{00000000-0005-0000-0000-0000D0630000}"/>
    <cellStyle name="Input 26 2 2" xfId="1913" xr:uid="{00000000-0005-0000-0000-0000D1630000}"/>
    <cellStyle name="Input 26 2 2 2" xfId="7091" xr:uid="{00000000-0005-0000-0000-0000D2630000}"/>
    <cellStyle name="Input 26 2 2 2 10" xfId="40510" xr:uid="{00000000-0005-0000-0000-0000D3630000}"/>
    <cellStyle name="Input 26 2 2 2 2" xfId="10621" xr:uid="{00000000-0005-0000-0000-0000D4630000}"/>
    <cellStyle name="Input 26 2 2 2 2 2" xfId="18414" xr:uid="{00000000-0005-0000-0000-0000D5630000}"/>
    <cellStyle name="Input 26 2 2 2 2 2 2" xfId="43961" xr:uid="{00000000-0005-0000-0000-0000D6630000}"/>
    <cellStyle name="Input 26 2 2 2 2 2 3" xfId="47870" xr:uid="{00000000-0005-0000-0000-0000D7630000}"/>
    <cellStyle name="Input 26 2 2 2 2 2 4" xfId="36051" xr:uid="{00000000-0005-0000-0000-0000D8630000}"/>
    <cellStyle name="Input 26 2 2 2 2 3" xfId="19749" xr:uid="{00000000-0005-0000-0000-0000D9630000}"/>
    <cellStyle name="Input 26 2 2 2 2 3 2" xfId="45286" xr:uid="{00000000-0005-0000-0000-0000DA630000}"/>
    <cellStyle name="Input 26 2 2 2 2 3 3" xfId="49192" xr:uid="{00000000-0005-0000-0000-0000DB630000}"/>
    <cellStyle name="Input 26 2 2 2 2 3 4" xfId="37276" xr:uid="{00000000-0005-0000-0000-0000DC630000}"/>
    <cellStyle name="Input 26 2 2 2 2 4" xfId="11553" xr:uid="{00000000-0005-0000-0000-0000DD630000}"/>
    <cellStyle name="Input 26 2 2 2 2 4 2" xfId="41564" xr:uid="{00000000-0005-0000-0000-0000DE630000}"/>
    <cellStyle name="Input 26 2 2 2 2 4 3" xfId="39351" xr:uid="{00000000-0005-0000-0000-0000DF630000}"/>
    <cellStyle name="Input 26 2 2 2 2 4 4" xfId="29265" xr:uid="{00000000-0005-0000-0000-0000E0630000}"/>
    <cellStyle name="Input 26 2 2 2 2 5" xfId="20827" xr:uid="{00000000-0005-0000-0000-0000E1630000}"/>
    <cellStyle name="Input 26 2 2 2 2 5 2" xfId="46364" xr:uid="{00000000-0005-0000-0000-0000E2630000}"/>
    <cellStyle name="Input 26 2 2 2 2 5 3" xfId="50270" xr:uid="{00000000-0005-0000-0000-0000E3630000}"/>
    <cellStyle name="Input 26 2 2 2 2 5 4" xfId="38233" xr:uid="{00000000-0005-0000-0000-0000E4630000}"/>
    <cellStyle name="Input 26 2 2 2 2 6" xfId="21480" xr:uid="{00000000-0005-0000-0000-0000E5630000}"/>
    <cellStyle name="Input 26 2 2 2 2 6 2" xfId="47017" xr:uid="{00000000-0005-0000-0000-0000E6630000}"/>
    <cellStyle name="Input 26 2 2 2 2 6 3" xfId="50923" xr:uid="{00000000-0005-0000-0000-0000E7630000}"/>
    <cellStyle name="Input 26 2 2 2 2 7" xfId="40820" xr:uid="{00000000-0005-0000-0000-0000E8630000}"/>
    <cellStyle name="Input 26 2 2 2 2 8" xfId="40101" xr:uid="{00000000-0005-0000-0000-0000E9630000}"/>
    <cellStyle name="Input 26 2 2 2 3" xfId="10916" xr:uid="{00000000-0005-0000-0000-0000EA630000}"/>
    <cellStyle name="Input 26 2 2 2 3 2" xfId="18709" xr:uid="{00000000-0005-0000-0000-0000EB630000}"/>
    <cellStyle name="Input 26 2 2 2 3 2 2" xfId="44256" xr:uid="{00000000-0005-0000-0000-0000EC630000}"/>
    <cellStyle name="Input 26 2 2 2 3 2 3" xfId="48165" xr:uid="{00000000-0005-0000-0000-0000ED630000}"/>
    <cellStyle name="Input 26 2 2 2 3 2 4" xfId="36346" xr:uid="{00000000-0005-0000-0000-0000EE630000}"/>
    <cellStyle name="Input 26 2 2 2 3 3" xfId="19883" xr:uid="{00000000-0005-0000-0000-0000EF630000}"/>
    <cellStyle name="Input 26 2 2 2 3 3 2" xfId="45420" xr:uid="{00000000-0005-0000-0000-0000F0630000}"/>
    <cellStyle name="Input 26 2 2 2 3 3 3" xfId="49326" xr:uid="{00000000-0005-0000-0000-0000F1630000}"/>
    <cellStyle name="Input 26 2 2 2 3 3 4" xfId="37397" xr:uid="{00000000-0005-0000-0000-0000F2630000}"/>
    <cellStyle name="Input 26 2 2 2 3 4" xfId="11548" xr:uid="{00000000-0005-0000-0000-0000F3630000}"/>
    <cellStyle name="Input 26 2 2 2 3 4 2" xfId="41559" xr:uid="{00000000-0005-0000-0000-0000F4630000}"/>
    <cellStyle name="Input 26 2 2 2 3 4 3" xfId="40354" xr:uid="{00000000-0005-0000-0000-0000F5630000}"/>
    <cellStyle name="Input 26 2 2 2 3 4 4" xfId="29262" xr:uid="{00000000-0005-0000-0000-0000F6630000}"/>
    <cellStyle name="Input 26 2 2 2 3 5" xfId="21122" xr:uid="{00000000-0005-0000-0000-0000F7630000}"/>
    <cellStyle name="Input 26 2 2 2 3 5 2" xfId="46659" xr:uid="{00000000-0005-0000-0000-0000F8630000}"/>
    <cellStyle name="Input 26 2 2 2 3 5 3" xfId="50565" xr:uid="{00000000-0005-0000-0000-0000F9630000}"/>
    <cellStyle name="Input 26 2 2 2 3 5 4" xfId="38528" xr:uid="{00000000-0005-0000-0000-0000FA630000}"/>
    <cellStyle name="Input 26 2 2 2 3 6" xfId="21775" xr:uid="{00000000-0005-0000-0000-0000FB630000}"/>
    <cellStyle name="Input 26 2 2 2 3 6 2" xfId="47312" xr:uid="{00000000-0005-0000-0000-0000FC630000}"/>
    <cellStyle name="Input 26 2 2 2 3 6 3" xfId="51218" xr:uid="{00000000-0005-0000-0000-0000FD630000}"/>
    <cellStyle name="Input 26 2 2 2 3 7" xfId="41115" xr:uid="{00000000-0005-0000-0000-0000FE630000}"/>
    <cellStyle name="Input 26 2 2 2 3 8" xfId="40374" xr:uid="{00000000-0005-0000-0000-0000FF630000}"/>
    <cellStyle name="Input 26 2 2 2 4" xfId="14879" xr:uid="{00000000-0005-0000-0000-000000640000}"/>
    <cellStyle name="Input 26 2 2 2 4 2" xfId="42995" xr:uid="{00000000-0005-0000-0000-000001640000}"/>
    <cellStyle name="Input 26 2 2 2 4 3" xfId="43670" xr:uid="{00000000-0005-0000-0000-000002640000}"/>
    <cellStyle name="Input 26 2 2 2 4 4" xfId="32514" xr:uid="{00000000-0005-0000-0000-000003640000}"/>
    <cellStyle name="Input 26 2 2 2 5" xfId="11302" xr:uid="{00000000-0005-0000-0000-000004640000}"/>
    <cellStyle name="Input 26 2 2 2 5 2" xfId="41349" xr:uid="{00000000-0005-0000-0000-000005640000}"/>
    <cellStyle name="Input 26 2 2 2 5 3" xfId="40223" xr:uid="{00000000-0005-0000-0000-000006640000}"/>
    <cellStyle name="Input 26 2 2 2 5 4" xfId="29030" xr:uid="{00000000-0005-0000-0000-000007640000}"/>
    <cellStyle name="Input 26 2 2 2 6" xfId="20122" xr:uid="{00000000-0005-0000-0000-000008640000}"/>
    <cellStyle name="Input 26 2 2 2 6 2" xfId="45659" xr:uid="{00000000-0005-0000-0000-000009640000}"/>
    <cellStyle name="Input 26 2 2 2 6 3" xfId="49565" xr:uid="{00000000-0005-0000-0000-00000A640000}"/>
    <cellStyle name="Input 26 2 2 2 6 4" xfId="37608" xr:uid="{00000000-0005-0000-0000-00000B640000}"/>
    <cellStyle name="Input 26 2 2 2 7" xfId="19856" xr:uid="{00000000-0005-0000-0000-00000C640000}"/>
    <cellStyle name="Input 26 2 2 2 7 2" xfId="45393" xr:uid="{00000000-0005-0000-0000-00000D640000}"/>
    <cellStyle name="Input 26 2 2 2 7 3" xfId="49299" xr:uid="{00000000-0005-0000-0000-00000E640000}"/>
    <cellStyle name="Input 26 2 2 2 7 4" xfId="37371" xr:uid="{00000000-0005-0000-0000-00000F640000}"/>
    <cellStyle name="Input 26 2 2 2 8" xfId="19542" xr:uid="{00000000-0005-0000-0000-000010640000}"/>
    <cellStyle name="Input 26 2 2 2 8 2" xfId="45079" xr:uid="{00000000-0005-0000-0000-000011640000}"/>
    <cellStyle name="Input 26 2 2 2 8 3" xfId="48985" xr:uid="{00000000-0005-0000-0000-000012640000}"/>
    <cellStyle name="Input 26 2 2 2 9" xfId="39855" xr:uid="{00000000-0005-0000-0000-000013640000}"/>
    <cellStyle name="Input 26 2 2 3" xfId="53099" xr:uid="{00000000-0005-0000-0000-000014640000}"/>
    <cellStyle name="Input 26 2 3" xfId="7090" xr:uid="{00000000-0005-0000-0000-000015640000}"/>
    <cellStyle name="Input 26 2 3 10" xfId="43652" xr:uid="{00000000-0005-0000-0000-000016640000}"/>
    <cellStyle name="Input 26 2 3 2" xfId="10620" xr:uid="{00000000-0005-0000-0000-000017640000}"/>
    <cellStyle name="Input 26 2 3 2 2" xfId="18413" xr:uid="{00000000-0005-0000-0000-000018640000}"/>
    <cellStyle name="Input 26 2 3 2 2 2" xfId="43960" xr:uid="{00000000-0005-0000-0000-000019640000}"/>
    <cellStyle name="Input 26 2 3 2 2 3" xfId="47869" xr:uid="{00000000-0005-0000-0000-00001A640000}"/>
    <cellStyle name="Input 26 2 3 2 2 4" xfId="36050" xr:uid="{00000000-0005-0000-0000-00001B640000}"/>
    <cellStyle name="Input 26 2 3 2 3" xfId="19130" xr:uid="{00000000-0005-0000-0000-00001C640000}"/>
    <cellStyle name="Input 26 2 3 2 3 2" xfId="44667" xr:uid="{00000000-0005-0000-0000-00001D640000}"/>
    <cellStyle name="Input 26 2 3 2 3 3" xfId="48573" xr:uid="{00000000-0005-0000-0000-00001E640000}"/>
    <cellStyle name="Input 26 2 3 2 3 4" xfId="36725" xr:uid="{00000000-0005-0000-0000-00001F640000}"/>
    <cellStyle name="Input 26 2 3 2 4" xfId="19385" xr:uid="{00000000-0005-0000-0000-000020640000}"/>
    <cellStyle name="Input 26 2 3 2 4 2" xfId="44922" xr:uid="{00000000-0005-0000-0000-000021640000}"/>
    <cellStyle name="Input 26 2 3 2 4 3" xfId="48828" xr:uid="{00000000-0005-0000-0000-000022640000}"/>
    <cellStyle name="Input 26 2 3 2 4 4" xfId="36951" xr:uid="{00000000-0005-0000-0000-000023640000}"/>
    <cellStyle name="Input 26 2 3 2 5" xfId="20826" xr:uid="{00000000-0005-0000-0000-000024640000}"/>
    <cellStyle name="Input 26 2 3 2 5 2" xfId="46363" xr:uid="{00000000-0005-0000-0000-000025640000}"/>
    <cellStyle name="Input 26 2 3 2 5 3" xfId="50269" xr:uid="{00000000-0005-0000-0000-000026640000}"/>
    <cellStyle name="Input 26 2 3 2 5 4" xfId="38232" xr:uid="{00000000-0005-0000-0000-000027640000}"/>
    <cellStyle name="Input 26 2 3 2 6" xfId="21479" xr:uid="{00000000-0005-0000-0000-000028640000}"/>
    <cellStyle name="Input 26 2 3 2 6 2" xfId="47016" xr:uid="{00000000-0005-0000-0000-000029640000}"/>
    <cellStyle name="Input 26 2 3 2 6 3" xfId="50922" xr:uid="{00000000-0005-0000-0000-00002A640000}"/>
    <cellStyle name="Input 26 2 3 2 7" xfId="40819" xr:uid="{00000000-0005-0000-0000-00002B640000}"/>
    <cellStyle name="Input 26 2 3 2 8" xfId="43242" xr:uid="{00000000-0005-0000-0000-00002C640000}"/>
    <cellStyle name="Input 26 2 3 3" xfId="10915" xr:uid="{00000000-0005-0000-0000-00002D640000}"/>
    <cellStyle name="Input 26 2 3 3 2" xfId="18708" xr:uid="{00000000-0005-0000-0000-00002E640000}"/>
    <cellStyle name="Input 26 2 3 3 2 2" xfId="44255" xr:uid="{00000000-0005-0000-0000-00002F640000}"/>
    <cellStyle name="Input 26 2 3 3 2 3" xfId="48164" xr:uid="{00000000-0005-0000-0000-000030640000}"/>
    <cellStyle name="Input 26 2 3 3 2 4" xfId="36345" xr:uid="{00000000-0005-0000-0000-000031640000}"/>
    <cellStyle name="Input 26 2 3 3 3" xfId="19274" xr:uid="{00000000-0005-0000-0000-000032640000}"/>
    <cellStyle name="Input 26 2 3 3 3 2" xfId="44811" xr:uid="{00000000-0005-0000-0000-000033640000}"/>
    <cellStyle name="Input 26 2 3 3 3 3" xfId="48717" xr:uid="{00000000-0005-0000-0000-000034640000}"/>
    <cellStyle name="Input 26 2 3 3 3 4" xfId="36852" xr:uid="{00000000-0005-0000-0000-000035640000}"/>
    <cellStyle name="Input 26 2 3 3 4" xfId="19872" xr:uid="{00000000-0005-0000-0000-000036640000}"/>
    <cellStyle name="Input 26 2 3 3 4 2" xfId="45409" xr:uid="{00000000-0005-0000-0000-000037640000}"/>
    <cellStyle name="Input 26 2 3 3 4 3" xfId="49315" xr:uid="{00000000-0005-0000-0000-000038640000}"/>
    <cellStyle name="Input 26 2 3 3 4 4" xfId="37386" xr:uid="{00000000-0005-0000-0000-000039640000}"/>
    <cellStyle name="Input 26 2 3 3 5" xfId="21121" xr:uid="{00000000-0005-0000-0000-00003A640000}"/>
    <cellStyle name="Input 26 2 3 3 5 2" xfId="46658" xr:uid="{00000000-0005-0000-0000-00003B640000}"/>
    <cellStyle name="Input 26 2 3 3 5 3" xfId="50564" xr:uid="{00000000-0005-0000-0000-00003C640000}"/>
    <cellStyle name="Input 26 2 3 3 5 4" xfId="38527" xr:uid="{00000000-0005-0000-0000-00003D640000}"/>
    <cellStyle name="Input 26 2 3 3 6" xfId="21774" xr:uid="{00000000-0005-0000-0000-00003E640000}"/>
    <cellStyle name="Input 26 2 3 3 6 2" xfId="47311" xr:uid="{00000000-0005-0000-0000-00003F640000}"/>
    <cellStyle name="Input 26 2 3 3 6 3" xfId="51217" xr:uid="{00000000-0005-0000-0000-000040640000}"/>
    <cellStyle name="Input 26 2 3 3 7" xfId="41114" xr:uid="{00000000-0005-0000-0000-000041640000}"/>
    <cellStyle name="Input 26 2 3 3 8" xfId="43511" xr:uid="{00000000-0005-0000-0000-000042640000}"/>
    <cellStyle name="Input 26 2 3 4" xfId="14878" xr:uid="{00000000-0005-0000-0000-000043640000}"/>
    <cellStyle name="Input 26 2 3 4 2" xfId="42994" xr:uid="{00000000-0005-0000-0000-000044640000}"/>
    <cellStyle name="Input 26 2 3 4 3" xfId="42783" xr:uid="{00000000-0005-0000-0000-000045640000}"/>
    <cellStyle name="Input 26 2 3 4 4" xfId="32513" xr:uid="{00000000-0005-0000-0000-000046640000}"/>
    <cellStyle name="Input 26 2 3 5" xfId="11303" xr:uid="{00000000-0005-0000-0000-000047640000}"/>
    <cellStyle name="Input 26 2 3 5 2" xfId="41350" xr:uid="{00000000-0005-0000-0000-000048640000}"/>
    <cellStyle name="Input 26 2 3 5 3" xfId="42828" xr:uid="{00000000-0005-0000-0000-000049640000}"/>
    <cellStyle name="Input 26 2 3 5 4" xfId="29031" xr:uid="{00000000-0005-0000-0000-00004A640000}"/>
    <cellStyle name="Input 26 2 3 6" xfId="19381" xr:uid="{00000000-0005-0000-0000-00004B640000}"/>
    <cellStyle name="Input 26 2 3 6 2" xfId="44918" xr:uid="{00000000-0005-0000-0000-00004C640000}"/>
    <cellStyle name="Input 26 2 3 6 3" xfId="48824" xr:uid="{00000000-0005-0000-0000-00004D640000}"/>
    <cellStyle name="Input 26 2 3 6 4" xfId="36947" xr:uid="{00000000-0005-0000-0000-00004E640000}"/>
    <cellStyle name="Input 26 2 3 7" xfId="20512" xr:uid="{00000000-0005-0000-0000-00004F640000}"/>
    <cellStyle name="Input 26 2 3 7 2" xfId="46049" xr:uid="{00000000-0005-0000-0000-000050640000}"/>
    <cellStyle name="Input 26 2 3 7 3" xfId="49955" xr:uid="{00000000-0005-0000-0000-000051640000}"/>
    <cellStyle name="Input 26 2 3 7 4" xfId="37948" xr:uid="{00000000-0005-0000-0000-000052640000}"/>
    <cellStyle name="Input 26 2 3 8" xfId="12617" xr:uid="{00000000-0005-0000-0000-000053640000}"/>
    <cellStyle name="Input 26 2 3 8 2" xfId="42096" xr:uid="{00000000-0005-0000-0000-000054640000}"/>
    <cellStyle name="Input 26 2 3 8 3" xfId="43479" xr:uid="{00000000-0005-0000-0000-000055640000}"/>
    <cellStyle name="Input 26 2 3 9" xfId="39854" xr:uid="{00000000-0005-0000-0000-000056640000}"/>
    <cellStyle name="Input 26 2 4" xfId="53098" xr:uid="{00000000-0005-0000-0000-000057640000}"/>
    <cellStyle name="Input 26 2_Sheet1" xfId="1914" xr:uid="{00000000-0005-0000-0000-000058640000}"/>
    <cellStyle name="Input 26 3" xfId="1915" xr:uid="{00000000-0005-0000-0000-000059640000}"/>
    <cellStyle name="Input 26 3 2" xfId="7092" xr:uid="{00000000-0005-0000-0000-00005A640000}"/>
    <cellStyle name="Input 26 3 2 10" xfId="39620" xr:uid="{00000000-0005-0000-0000-00005B640000}"/>
    <cellStyle name="Input 26 3 2 2" xfId="10622" xr:uid="{00000000-0005-0000-0000-00005C640000}"/>
    <cellStyle name="Input 26 3 2 2 2" xfId="18415" xr:uid="{00000000-0005-0000-0000-00005D640000}"/>
    <cellStyle name="Input 26 3 2 2 2 2" xfId="43962" xr:uid="{00000000-0005-0000-0000-00005E640000}"/>
    <cellStyle name="Input 26 3 2 2 2 3" xfId="47871" xr:uid="{00000000-0005-0000-0000-00005F640000}"/>
    <cellStyle name="Input 26 3 2 2 2 4" xfId="36052" xr:uid="{00000000-0005-0000-0000-000060640000}"/>
    <cellStyle name="Input 26 3 2 2 3" xfId="12626" xr:uid="{00000000-0005-0000-0000-000061640000}"/>
    <cellStyle name="Input 26 3 2 2 3 2" xfId="42105" xr:uid="{00000000-0005-0000-0000-000062640000}"/>
    <cellStyle name="Input 26 3 2 2 3 3" xfId="43201" xr:uid="{00000000-0005-0000-0000-000063640000}"/>
    <cellStyle name="Input 26 3 2 2 3 4" xfId="30291" xr:uid="{00000000-0005-0000-0000-000064640000}"/>
    <cellStyle name="Input 26 3 2 2 4" xfId="19552" xr:uid="{00000000-0005-0000-0000-000065640000}"/>
    <cellStyle name="Input 26 3 2 2 4 2" xfId="45089" xr:uid="{00000000-0005-0000-0000-000066640000}"/>
    <cellStyle name="Input 26 3 2 2 4 3" xfId="48995" xr:uid="{00000000-0005-0000-0000-000067640000}"/>
    <cellStyle name="Input 26 3 2 2 4 4" xfId="37094" xr:uid="{00000000-0005-0000-0000-000068640000}"/>
    <cellStyle name="Input 26 3 2 2 5" xfId="20828" xr:uid="{00000000-0005-0000-0000-000069640000}"/>
    <cellStyle name="Input 26 3 2 2 5 2" xfId="46365" xr:uid="{00000000-0005-0000-0000-00006A640000}"/>
    <cellStyle name="Input 26 3 2 2 5 3" xfId="50271" xr:uid="{00000000-0005-0000-0000-00006B640000}"/>
    <cellStyle name="Input 26 3 2 2 5 4" xfId="38234" xr:uid="{00000000-0005-0000-0000-00006C640000}"/>
    <cellStyle name="Input 26 3 2 2 6" xfId="21481" xr:uid="{00000000-0005-0000-0000-00006D640000}"/>
    <cellStyle name="Input 26 3 2 2 6 2" xfId="47018" xr:uid="{00000000-0005-0000-0000-00006E640000}"/>
    <cellStyle name="Input 26 3 2 2 6 3" xfId="50924" xr:uid="{00000000-0005-0000-0000-00006F640000}"/>
    <cellStyle name="Input 26 3 2 2 7" xfId="40821" xr:uid="{00000000-0005-0000-0000-000070640000}"/>
    <cellStyle name="Input 26 3 2 2 8" xfId="42850" xr:uid="{00000000-0005-0000-0000-000071640000}"/>
    <cellStyle name="Input 26 3 2 3" xfId="10917" xr:uid="{00000000-0005-0000-0000-000072640000}"/>
    <cellStyle name="Input 26 3 2 3 2" xfId="18710" xr:uid="{00000000-0005-0000-0000-000073640000}"/>
    <cellStyle name="Input 26 3 2 3 2 2" xfId="44257" xr:uid="{00000000-0005-0000-0000-000074640000}"/>
    <cellStyle name="Input 26 3 2 3 2 3" xfId="48166" xr:uid="{00000000-0005-0000-0000-000075640000}"/>
    <cellStyle name="Input 26 3 2 3 2 4" xfId="36347" xr:uid="{00000000-0005-0000-0000-000076640000}"/>
    <cellStyle name="Input 26 3 2 3 3" xfId="19106" xr:uid="{00000000-0005-0000-0000-000077640000}"/>
    <cellStyle name="Input 26 3 2 3 3 2" xfId="44643" xr:uid="{00000000-0005-0000-0000-000078640000}"/>
    <cellStyle name="Input 26 3 2 3 3 3" xfId="48549" xr:uid="{00000000-0005-0000-0000-000079640000}"/>
    <cellStyle name="Input 26 3 2 3 3 4" xfId="36701" xr:uid="{00000000-0005-0000-0000-00007A640000}"/>
    <cellStyle name="Input 26 3 2 3 4" xfId="20125" xr:uid="{00000000-0005-0000-0000-00007B640000}"/>
    <cellStyle name="Input 26 3 2 3 4 2" xfId="45662" xr:uid="{00000000-0005-0000-0000-00007C640000}"/>
    <cellStyle name="Input 26 3 2 3 4 3" xfId="49568" xr:uid="{00000000-0005-0000-0000-00007D640000}"/>
    <cellStyle name="Input 26 3 2 3 4 4" xfId="37611" xr:uid="{00000000-0005-0000-0000-00007E640000}"/>
    <cellStyle name="Input 26 3 2 3 5" xfId="21123" xr:uid="{00000000-0005-0000-0000-00007F640000}"/>
    <cellStyle name="Input 26 3 2 3 5 2" xfId="46660" xr:uid="{00000000-0005-0000-0000-000080640000}"/>
    <cellStyle name="Input 26 3 2 3 5 3" xfId="50566" xr:uid="{00000000-0005-0000-0000-000081640000}"/>
    <cellStyle name="Input 26 3 2 3 5 4" xfId="38529" xr:uid="{00000000-0005-0000-0000-000082640000}"/>
    <cellStyle name="Input 26 3 2 3 6" xfId="21776" xr:uid="{00000000-0005-0000-0000-000083640000}"/>
    <cellStyle name="Input 26 3 2 3 6 2" xfId="47313" xr:uid="{00000000-0005-0000-0000-000084640000}"/>
    <cellStyle name="Input 26 3 2 3 6 3" xfId="51219" xr:uid="{00000000-0005-0000-0000-000085640000}"/>
    <cellStyle name="Input 26 3 2 3 7" xfId="41116" xr:uid="{00000000-0005-0000-0000-000086640000}"/>
    <cellStyle name="Input 26 3 2 3 8" xfId="39486" xr:uid="{00000000-0005-0000-0000-000087640000}"/>
    <cellStyle name="Input 26 3 2 4" xfId="14880" xr:uid="{00000000-0005-0000-0000-000088640000}"/>
    <cellStyle name="Input 26 3 2 4 2" xfId="42996" xr:uid="{00000000-0005-0000-0000-000089640000}"/>
    <cellStyle name="Input 26 3 2 4 3" xfId="40529" xr:uid="{00000000-0005-0000-0000-00008A640000}"/>
    <cellStyle name="Input 26 3 2 4 4" xfId="32515" xr:uid="{00000000-0005-0000-0000-00008B640000}"/>
    <cellStyle name="Input 26 3 2 5" xfId="13134" xr:uid="{00000000-0005-0000-0000-00008C640000}"/>
    <cellStyle name="Input 26 3 2 5 2" xfId="42355" xr:uid="{00000000-0005-0000-0000-00008D640000}"/>
    <cellStyle name="Input 26 3 2 5 3" xfId="43465" xr:uid="{00000000-0005-0000-0000-00008E640000}"/>
    <cellStyle name="Input 26 3 2 5 4" xfId="30783" xr:uid="{00000000-0005-0000-0000-00008F640000}"/>
    <cellStyle name="Input 26 3 2 6" xfId="12324" xr:uid="{00000000-0005-0000-0000-000090640000}"/>
    <cellStyle name="Input 26 3 2 6 2" xfId="41957" xr:uid="{00000000-0005-0000-0000-000091640000}"/>
    <cellStyle name="Input 26 3 2 6 3" xfId="39665" xr:uid="{00000000-0005-0000-0000-000092640000}"/>
    <cellStyle name="Input 26 3 2 6 4" xfId="29995" xr:uid="{00000000-0005-0000-0000-000093640000}"/>
    <cellStyle name="Input 26 3 2 7" xfId="12463" xr:uid="{00000000-0005-0000-0000-000094640000}"/>
    <cellStyle name="Input 26 3 2 7 2" xfId="41984" xr:uid="{00000000-0005-0000-0000-000095640000}"/>
    <cellStyle name="Input 26 3 2 7 3" xfId="39563" xr:uid="{00000000-0005-0000-0000-000096640000}"/>
    <cellStyle name="Input 26 3 2 7 4" xfId="30134" xr:uid="{00000000-0005-0000-0000-000097640000}"/>
    <cellStyle name="Input 26 3 2 8" xfId="19329" xr:uid="{00000000-0005-0000-0000-000098640000}"/>
    <cellStyle name="Input 26 3 2 8 2" xfId="44866" xr:uid="{00000000-0005-0000-0000-000099640000}"/>
    <cellStyle name="Input 26 3 2 8 3" xfId="48772" xr:uid="{00000000-0005-0000-0000-00009A640000}"/>
    <cellStyle name="Input 26 3 2 9" xfId="39856" xr:uid="{00000000-0005-0000-0000-00009B640000}"/>
    <cellStyle name="Input 26 3 3" xfId="53100" xr:uid="{00000000-0005-0000-0000-00009C640000}"/>
    <cellStyle name="Input 26 4" xfId="7089" xr:uid="{00000000-0005-0000-0000-00009D640000}"/>
    <cellStyle name="Input 26 4 10" xfId="42764" xr:uid="{00000000-0005-0000-0000-00009E640000}"/>
    <cellStyle name="Input 26 4 11" xfId="53101" xr:uid="{00000000-0005-0000-0000-00009F640000}"/>
    <cellStyle name="Input 26 4 2" xfId="10619" xr:uid="{00000000-0005-0000-0000-0000A0640000}"/>
    <cellStyle name="Input 26 4 2 2" xfId="18412" xr:uid="{00000000-0005-0000-0000-0000A1640000}"/>
    <cellStyle name="Input 26 4 2 2 2" xfId="43959" xr:uid="{00000000-0005-0000-0000-0000A2640000}"/>
    <cellStyle name="Input 26 4 2 2 3" xfId="47868" xr:uid="{00000000-0005-0000-0000-0000A3640000}"/>
    <cellStyle name="Input 26 4 2 2 4" xfId="36049" xr:uid="{00000000-0005-0000-0000-0000A4640000}"/>
    <cellStyle name="Input 26 4 2 3" xfId="19907" xr:uid="{00000000-0005-0000-0000-0000A5640000}"/>
    <cellStyle name="Input 26 4 2 3 2" xfId="45444" xr:uid="{00000000-0005-0000-0000-0000A6640000}"/>
    <cellStyle name="Input 26 4 2 3 3" xfId="49350" xr:uid="{00000000-0005-0000-0000-0000A7640000}"/>
    <cellStyle name="Input 26 4 2 3 4" xfId="37421" xr:uid="{00000000-0005-0000-0000-0000A8640000}"/>
    <cellStyle name="Input 26 4 2 4" xfId="19838" xr:uid="{00000000-0005-0000-0000-0000A9640000}"/>
    <cellStyle name="Input 26 4 2 4 2" xfId="45375" xr:uid="{00000000-0005-0000-0000-0000AA640000}"/>
    <cellStyle name="Input 26 4 2 4 3" xfId="49281" xr:uid="{00000000-0005-0000-0000-0000AB640000}"/>
    <cellStyle name="Input 26 4 2 4 4" xfId="37356" xr:uid="{00000000-0005-0000-0000-0000AC640000}"/>
    <cellStyle name="Input 26 4 2 5" xfId="20825" xr:uid="{00000000-0005-0000-0000-0000AD640000}"/>
    <cellStyle name="Input 26 4 2 5 2" xfId="46362" xr:uid="{00000000-0005-0000-0000-0000AE640000}"/>
    <cellStyle name="Input 26 4 2 5 3" xfId="50268" xr:uid="{00000000-0005-0000-0000-0000AF640000}"/>
    <cellStyle name="Input 26 4 2 5 4" xfId="38231" xr:uid="{00000000-0005-0000-0000-0000B0640000}"/>
    <cellStyle name="Input 26 4 2 6" xfId="21478" xr:uid="{00000000-0005-0000-0000-0000B1640000}"/>
    <cellStyle name="Input 26 4 2 6 2" xfId="47015" xr:uid="{00000000-0005-0000-0000-0000B2640000}"/>
    <cellStyle name="Input 26 4 2 6 3" xfId="50921" xr:uid="{00000000-0005-0000-0000-0000B3640000}"/>
    <cellStyle name="Input 26 4 2 7" xfId="40818" xr:uid="{00000000-0005-0000-0000-0000B4640000}"/>
    <cellStyle name="Input 26 4 2 8" xfId="41439" xr:uid="{00000000-0005-0000-0000-0000B5640000}"/>
    <cellStyle name="Input 26 4 3" xfId="10914" xr:uid="{00000000-0005-0000-0000-0000B6640000}"/>
    <cellStyle name="Input 26 4 3 2" xfId="18707" xr:uid="{00000000-0005-0000-0000-0000B7640000}"/>
    <cellStyle name="Input 26 4 3 2 2" xfId="44254" xr:uid="{00000000-0005-0000-0000-0000B8640000}"/>
    <cellStyle name="Input 26 4 3 2 3" xfId="48163" xr:uid="{00000000-0005-0000-0000-0000B9640000}"/>
    <cellStyle name="Input 26 4 3 2 4" xfId="36344" xr:uid="{00000000-0005-0000-0000-0000BA640000}"/>
    <cellStyle name="Input 26 4 3 3" xfId="20008" xr:uid="{00000000-0005-0000-0000-0000BB640000}"/>
    <cellStyle name="Input 26 4 3 3 2" xfId="45545" xr:uid="{00000000-0005-0000-0000-0000BC640000}"/>
    <cellStyle name="Input 26 4 3 3 3" xfId="49451" xr:uid="{00000000-0005-0000-0000-0000BD640000}"/>
    <cellStyle name="Input 26 4 3 3 4" xfId="37506" xr:uid="{00000000-0005-0000-0000-0000BE640000}"/>
    <cellStyle name="Input 26 4 3 4" xfId="19076" xr:uid="{00000000-0005-0000-0000-0000BF640000}"/>
    <cellStyle name="Input 26 4 3 4 2" xfId="44613" xr:uid="{00000000-0005-0000-0000-0000C0640000}"/>
    <cellStyle name="Input 26 4 3 4 3" xfId="48519" xr:uid="{00000000-0005-0000-0000-0000C1640000}"/>
    <cellStyle name="Input 26 4 3 4 4" xfId="36672" xr:uid="{00000000-0005-0000-0000-0000C2640000}"/>
    <cellStyle name="Input 26 4 3 5" xfId="21120" xr:uid="{00000000-0005-0000-0000-0000C3640000}"/>
    <cellStyle name="Input 26 4 3 5 2" xfId="46657" xr:uid="{00000000-0005-0000-0000-0000C4640000}"/>
    <cellStyle name="Input 26 4 3 5 3" xfId="50563" xr:uid="{00000000-0005-0000-0000-0000C5640000}"/>
    <cellStyle name="Input 26 4 3 5 4" xfId="38526" xr:uid="{00000000-0005-0000-0000-0000C6640000}"/>
    <cellStyle name="Input 26 4 3 6" xfId="21773" xr:uid="{00000000-0005-0000-0000-0000C7640000}"/>
    <cellStyle name="Input 26 4 3 6 2" xfId="47310" xr:uid="{00000000-0005-0000-0000-0000C8640000}"/>
    <cellStyle name="Input 26 4 3 6 3" xfId="51216" xr:uid="{00000000-0005-0000-0000-0000C9640000}"/>
    <cellStyle name="Input 26 4 3 7" xfId="41113" xr:uid="{00000000-0005-0000-0000-0000CA640000}"/>
    <cellStyle name="Input 26 4 3 8" xfId="42598" xr:uid="{00000000-0005-0000-0000-0000CB640000}"/>
    <cellStyle name="Input 26 4 4" xfId="14877" xr:uid="{00000000-0005-0000-0000-0000CC640000}"/>
    <cellStyle name="Input 26 4 4 2" xfId="42993" xr:uid="{00000000-0005-0000-0000-0000CD640000}"/>
    <cellStyle name="Input 26 4 4 3" xfId="40042" xr:uid="{00000000-0005-0000-0000-0000CE640000}"/>
    <cellStyle name="Input 26 4 4 4" xfId="32512" xr:uid="{00000000-0005-0000-0000-0000CF640000}"/>
    <cellStyle name="Input 26 4 5" xfId="11301" xr:uid="{00000000-0005-0000-0000-0000D0640000}"/>
    <cellStyle name="Input 26 4 5 2" xfId="41348" xr:uid="{00000000-0005-0000-0000-0000D1640000}"/>
    <cellStyle name="Input 26 4 5 3" xfId="43361" xr:uid="{00000000-0005-0000-0000-0000D2640000}"/>
    <cellStyle name="Input 26 4 5 4" xfId="29029" xr:uid="{00000000-0005-0000-0000-0000D3640000}"/>
    <cellStyle name="Input 26 4 6" xfId="19554" xr:uid="{00000000-0005-0000-0000-0000D4640000}"/>
    <cellStyle name="Input 26 4 6 2" xfId="45091" xr:uid="{00000000-0005-0000-0000-0000D5640000}"/>
    <cellStyle name="Input 26 4 6 3" xfId="48997" xr:uid="{00000000-0005-0000-0000-0000D6640000}"/>
    <cellStyle name="Input 26 4 6 4" xfId="37096" xr:uid="{00000000-0005-0000-0000-0000D7640000}"/>
    <cellStyle name="Input 26 4 7" xfId="19580" xr:uid="{00000000-0005-0000-0000-0000D8640000}"/>
    <cellStyle name="Input 26 4 7 2" xfId="45117" xr:uid="{00000000-0005-0000-0000-0000D9640000}"/>
    <cellStyle name="Input 26 4 7 3" xfId="49023" xr:uid="{00000000-0005-0000-0000-0000DA640000}"/>
    <cellStyle name="Input 26 4 7 4" xfId="37120" xr:uid="{00000000-0005-0000-0000-0000DB640000}"/>
    <cellStyle name="Input 26 4 8" xfId="19048" xr:uid="{00000000-0005-0000-0000-0000DC640000}"/>
    <cellStyle name="Input 26 4 8 2" xfId="44585" xr:uid="{00000000-0005-0000-0000-0000DD640000}"/>
    <cellStyle name="Input 26 4 8 3" xfId="48491" xr:uid="{00000000-0005-0000-0000-0000DE640000}"/>
    <cellStyle name="Input 26 4 9" xfId="39853" xr:uid="{00000000-0005-0000-0000-0000DF640000}"/>
    <cellStyle name="Input 26 5" xfId="22461" xr:uid="{00000000-0005-0000-0000-0000E0640000}"/>
    <cellStyle name="Input 26 6" xfId="22918" xr:uid="{00000000-0005-0000-0000-0000E1640000}"/>
    <cellStyle name="Input 26 7" xfId="53097" xr:uid="{00000000-0005-0000-0000-0000E2640000}"/>
    <cellStyle name="Input 26_Sheet1" xfId="1916" xr:uid="{00000000-0005-0000-0000-0000E3640000}"/>
    <cellStyle name="Input 27" xfId="1917" xr:uid="{00000000-0005-0000-0000-0000E4640000}"/>
    <cellStyle name="Input 27 2" xfId="1918" xr:uid="{00000000-0005-0000-0000-0000E5640000}"/>
    <cellStyle name="Input 27 2 2" xfId="1919" xr:uid="{00000000-0005-0000-0000-0000E6640000}"/>
    <cellStyle name="Input 27 2 2 2" xfId="7095" xr:uid="{00000000-0005-0000-0000-0000E7640000}"/>
    <cellStyle name="Input 27 2 2 2 10" xfId="40404" xr:uid="{00000000-0005-0000-0000-0000E8640000}"/>
    <cellStyle name="Input 27 2 2 2 2" xfId="10625" xr:uid="{00000000-0005-0000-0000-0000E9640000}"/>
    <cellStyle name="Input 27 2 2 2 2 2" xfId="18418" xr:uid="{00000000-0005-0000-0000-0000EA640000}"/>
    <cellStyle name="Input 27 2 2 2 2 2 2" xfId="43965" xr:uid="{00000000-0005-0000-0000-0000EB640000}"/>
    <cellStyle name="Input 27 2 2 2 2 2 3" xfId="47874" xr:uid="{00000000-0005-0000-0000-0000EC640000}"/>
    <cellStyle name="Input 27 2 2 2 2 2 4" xfId="36055" xr:uid="{00000000-0005-0000-0000-0000ED640000}"/>
    <cellStyle name="Input 27 2 2 2 2 3" xfId="20163" xr:uid="{00000000-0005-0000-0000-0000EE640000}"/>
    <cellStyle name="Input 27 2 2 2 2 3 2" xfId="45700" xr:uid="{00000000-0005-0000-0000-0000EF640000}"/>
    <cellStyle name="Input 27 2 2 2 2 3 3" xfId="49606" xr:uid="{00000000-0005-0000-0000-0000F0640000}"/>
    <cellStyle name="Input 27 2 2 2 2 3 4" xfId="37649" xr:uid="{00000000-0005-0000-0000-0000F1640000}"/>
    <cellStyle name="Input 27 2 2 2 2 4" xfId="19265" xr:uid="{00000000-0005-0000-0000-0000F2640000}"/>
    <cellStyle name="Input 27 2 2 2 2 4 2" xfId="44802" xr:uid="{00000000-0005-0000-0000-0000F3640000}"/>
    <cellStyle name="Input 27 2 2 2 2 4 3" xfId="48708" xr:uid="{00000000-0005-0000-0000-0000F4640000}"/>
    <cellStyle name="Input 27 2 2 2 2 4 4" xfId="36843" xr:uid="{00000000-0005-0000-0000-0000F5640000}"/>
    <cellStyle name="Input 27 2 2 2 2 5" xfId="20831" xr:uid="{00000000-0005-0000-0000-0000F6640000}"/>
    <cellStyle name="Input 27 2 2 2 2 5 2" xfId="46368" xr:uid="{00000000-0005-0000-0000-0000F7640000}"/>
    <cellStyle name="Input 27 2 2 2 2 5 3" xfId="50274" xr:uid="{00000000-0005-0000-0000-0000F8640000}"/>
    <cellStyle name="Input 27 2 2 2 2 5 4" xfId="38237" xr:uid="{00000000-0005-0000-0000-0000F9640000}"/>
    <cellStyle name="Input 27 2 2 2 2 6" xfId="21484" xr:uid="{00000000-0005-0000-0000-0000FA640000}"/>
    <cellStyle name="Input 27 2 2 2 2 6 2" xfId="47021" xr:uid="{00000000-0005-0000-0000-0000FB640000}"/>
    <cellStyle name="Input 27 2 2 2 2 6 3" xfId="50927" xr:uid="{00000000-0005-0000-0000-0000FC640000}"/>
    <cellStyle name="Input 27 2 2 2 2 7" xfId="40824" xr:uid="{00000000-0005-0000-0000-0000FD640000}"/>
    <cellStyle name="Input 27 2 2 2 2 8" xfId="39709" xr:uid="{00000000-0005-0000-0000-0000FE640000}"/>
    <cellStyle name="Input 27 2 2 2 3" xfId="10920" xr:uid="{00000000-0005-0000-0000-0000FF640000}"/>
    <cellStyle name="Input 27 2 2 2 3 2" xfId="18713" xr:uid="{00000000-0005-0000-0000-000000650000}"/>
    <cellStyle name="Input 27 2 2 2 3 2 2" xfId="44260" xr:uid="{00000000-0005-0000-0000-000001650000}"/>
    <cellStyle name="Input 27 2 2 2 3 2 3" xfId="48169" xr:uid="{00000000-0005-0000-0000-000002650000}"/>
    <cellStyle name="Input 27 2 2 2 3 2 4" xfId="36350" xr:uid="{00000000-0005-0000-0000-000003650000}"/>
    <cellStyle name="Input 27 2 2 2 3 3" xfId="19716" xr:uid="{00000000-0005-0000-0000-000004650000}"/>
    <cellStyle name="Input 27 2 2 2 3 3 2" xfId="45253" xr:uid="{00000000-0005-0000-0000-000005650000}"/>
    <cellStyle name="Input 27 2 2 2 3 3 3" xfId="49159" xr:uid="{00000000-0005-0000-0000-000006650000}"/>
    <cellStyle name="Input 27 2 2 2 3 3 4" xfId="37243" xr:uid="{00000000-0005-0000-0000-000007650000}"/>
    <cellStyle name="Input 27 2 2 2 3 4" xfId="12971" xr:uid="{00000000-0005-0000-0000-000008650000}"/>
    <cellStyle name="Input 27 2 2 2 3 4 2" xfId="42262" xr:uid="{00000000-0005-0000-0000-000009650000}"/>
    <cellStyle name="Input 27 2 2 2 3 4 3" xfId="43470" xr:uid="{00000000-0005-0000-0000-00000A650000}"/>
    <cellStyle name="Input 27 2 2 2 3 4 4" xfId="30620" xr:uid="{00000000-0005-0000-0000-00000B650000}"/>
    <cellStyle name="Input 27 2 2 2 3 5" xfId="21126" xr:uid="{00000000-0005-0000-0000-00000C650000}"/>
    <cellStyle name="Input 27 2 2 2 3 5 2" xfId="46663" xr:uid="{00000000-0005-0000-0000-00000D650000}"/>
    <cellStyle name="Input 27 2 2 2 3 5 3" xfId="50569" xr:uid="{00000000-0005-0000-0000-00000E650000}"/>
    <cellStyle name="Input 27 2 2 2 3 5 4" xfId="38532" xr:uid="{00000000-0005-0000-0000-00000F650000}"/>
    <cellStyle name="Input 27 2 2 2 3 6" xfId="21779" xr:uid="{00000000-0005-0000-0000-000010650000}"/>
    <cellStyle name="Input 27 2 2 2 3 6 2" xfId="47316" xr:uid="{00000000-0005-0000-0000-000011650000}"/>
    <cellStyle name="Input 27 2 2 2 3 6 3" xfId="51222" xr:uid="{00000000-0005-0000-0000-000012650000}"/>
    <cellStyle name="Input 27 2 2 2 3 7" xfId="41119" xr:uid="{00000000-0005-0000-0000-000013650000}"/>
    <cellStyle name="Input 27 2 2 2 3 8" xfId="40235" xr:uid="{00000000-0005-0000-0000-000014650000}"/>
    <cellStyle name="Input 27 2 2 2 4" xfId="14883" xr:uid="{00000000-0005-0000-0000-000015650000}"/>
    <cellStyle name="Input 27 2 2 2 4 2" xfId="42999" xr:uid="{00000000-0005-0000-0000-000016650000}"/>
    <cellStyle name="Input 27 2 2 2 4 3" xfId="43561" xr:uid="{00000000-0005-0000-0000-000017650000}"/>
    <cellStyle name="Input 27 2 2 2 4 4" xfId="32518" xr:uid="{00000000-0005-0000-0000-000018650000}"/>
    <cellStyle name="Input 27 2 2 2 5" xfId="13137" xr:uid="{00000000-0005-0000-0000-000019650000}"/>
    <cellStyle name="Input 27 2 2 2 5 2" xfId="42358" xr:uid="{00000000-0005-0000-0000-00001A650000}"/>
    <cellStyle name="Input 27 2 2 2 5 3" xfId="41969" xr:uid="{00000000-0005-0000-0000-00001B650000}"/>
    <cellStyle name="Input 27 2 2 2 5 4" xfId="30786" xr:uid="{00000000-0005-0000-0000-00001C650000}"/>
    <cellStyle name="Input 27 2 2 2 6" xfId="19443" xr:uid="{00000000-0005-0000-0000-00001D650000}"/>
    <cellStyle name="Input 27 2 2 2 6 2" xfId="44980" xr:uid="{00000000-0005-0000-0000-00001E650000}"/>
    <cellStyle name="Input 27 2 2 2 6 3" xfId="48886" xr:uid="{00000000-0005-0000-0000-00001F650000}"/>
    <cellStyle name="Input 27 2 2 2 6 4" xfId="37008" xr:uid="{00000000-0005-0000-0000-000020650000}"/>
    <cellStyle name="Input 27 2 2 2 7" xfId="20388" xr:uid="{00000000-0005-0000-0000-000021650000}"/>
    <cellStyle name="Input 27 2 2 2 7 2" xfId="45925" xr:uid="{00000000-0005-0000-0000-000022650000}"/>
    <cellStyle name="Input 27 2 2 2 7 3" xfId="49831" xr:uid="{00000000-0005-0000-0000-000023650000}"/>
    <cellStyle name="Input 27 2 2 2 7 4" xfId="37842" xr:uid="{00000000-0005-0000-0000-000024650000}"/>
    <cellStyle name="Input 27 2 2 2 8" xfId="19694" xr:uid="{00000000-0005-0000-0000-000025650000}"/>
    <cellStyle name="Input 27 2 2 2 8 2" xfId="45231" xr:uid="{00000000-0005-0000-0000-000026650000}"/>
    <cellStyle name="Input 27 2 2 2 8 3" xfId="49137" xr:uid="{00000000-0005-0000-0000-000027650000}"/>
    <cellStyle name="Input 27 2 2 2 9" xfId="39859" xr:uid="{00000000-0005-0000-0000-000028650000}"/>
    <cellStyle name="Input 27 2 2 3" xfId="53104" xr:uid="{00000000-0005-0000-0000-000029650000}"/>
    <cellStyle name="Input 27 2 3" xfId="7094" xr:uid="{00000000-0005-0000-0000-00002A650000}"/>
    <cellStyle name="Input 27 2 3 10" xfId="43541" xr:uid="{00000000-0005-0000-0000-00002B650000}"/>
    <cellStyle name="Input 27 2 3 2" xfId="10624" xr:uid="{00000000-0005-0000-0000-00002C650000}"/>
    <cellStyle name="Input 27 2 3 2 2" xfId="18417" xr:uid="{00000000-0005-0000-0000-00002D650000}"/>
    <cellStyle name="Input 27 2 3 2 2 2" xfId="43964" xr:uid="{00000000-0005-0000-0000-00002E650000}"/>
    <cellStyle name="Input 27 2 3 2 2 3" xfId="47873" xr:uid="{00000000-0005-0000-0000-00002F650000}"/>
    <cellStyle name="Input 27 2 3 2 2 4" xfId="36054" xr:uid="{00000000-0005-0000-0000-000030650000}"/>
    <cellStyle name="Input 27 2 3 2 3" xfId="19609" xr:uid="{00000000-0005-0000-0000-000031650000}"/>
    <cellStyle name="Input 27 2 3 2 3 2" xfId="45146" xr:uid="{00000000-0005-0000-0000-000032650000}"/>
    <cellStyle name="Input 27 2 3 2 3 3" xfId="49052" xr:uid="{00000000-0005-0000-0000-000033650000}"/>
    <cellStyle name="Input 27 2 3 2 3 4" xfId="37149" xr:uid="{00000000-0005-0000-0000-000034650000}"/>
    <cellStyle name="Input 27 2 3 2 4" xfId="19484" xr:uid="{00000000-0005-0000-0000-000035650000}"/>
    <cellStyle name="Input 27 2 3 2 4 2" xfId="45021" xr:uid="{00000000-0005-0000-0000-000036650000}"/>
    <cellStyle name="Input 27 2 3 2 4 3" xfId="48927" xr:uid="{00000000-0005-0000-0000-000037650000}"/>
    <cellStyle name="Input 27 2 3 2 4 4" xfId="37040" xr:uid="{00000000-0005-0000-0000-000038650000}"/>
    <cellStyle name="Input 27 2 3 2 5" xfId="20830" xr:uid="{00000000-0005-0000-0000-000039650000}"/>
    <cellStyle name="Input 27 2 3 2 5 2" xfId="46367" xr:uid="{00000000-0005-0000-0000-00003A650000}"/>
    <cellStyle name="Input 27 2 3 2 5 3" xfId="50273" xr:uid="{00000000-0005-0000-0000-00003B650000}"/>
    <cellStyle name="Input 27 2 3 2 5 4" xfId="38236" xr:uid="{00000000-0005-0000-0000-00003C650000}"/>
    <cellStyle name="Input 27 2 3 2 6" xfId="21483" xr:uid="{00000000-0005-0000-0000-00003D650000}"/>
    <cellStyle name="Input 27 2 3 2 6 2" xfId="47020" xr:uid="{00000000-0005-0000-0000-00003E650000}"/>
    <cellStyle name="Input 27 2 3 2 6 3" xfId="50926" xr:uid="{00000000-0005-0000-0000-00003F650000}"/>
    <cellStyle name="Input 27 2 3 2 7" xfId="40823" xr:uid="{00000000-0005-0000-0000-000040650000}"/>
    <cellStyle name="Input 27 2 3 2 8" xfId="40598" xr:uid="{00000000-0005-0000-0000-000041650000}"/>
    <cellStyle name="Input 27 2 3 3" xfId="10919" xr:uid="{00000000-0005-0000-0000-000042650000}"/>
    <cellStyle name="Input 27 2 3 3 2" xfId="18712" xr:uid="{00000000-0005-0000-0000-000043650000}"/>
    <cellStyle name="Input 27 2 3 3 2 2" xfId="44259" xr:uid="{00000000-0005-0000-0000-000044650000}"/>
    <cellStyle name="Input 27 2 3 3 2 3" xfId="48168" xr:uid="{00000000-0005-0000-0000-000045650000}"/>
    <cellStyle name="Input 27 2 3 3 2 4" xfId="36349" xr:uid="{00000000-0005-0000-0000-000046650000}"/>
    <cellStyle name="Input 27 2 3 3 3" xfId="11530" xr:uid="{00000000-0005-0000-0000-000047650000}"/>
    <cellStyle name="Input 27 2 3 3 3 2" xfId="41541" xr:uid="{00000000-0005-0000-0000-000048650000}"/>
    <cellStyle name="Input 27 2 3 3 3 3" xfId="42027" xr:uid="{00000000-0005-0000-0000-000049650000}"/>
    <cellStyle name="Input 27 2 3 3 3 4" xfId="29245" xr:uid="{00000000-0005-0000-0000-00004A650000}"/>
    <cellStyle name="Input 27 2 3 3 4" xfId="19943" xr:uid="{00000000-0005-0000-0000-00004B650000}"/>
    <cellStyle name="Input 27 2 3 3 4 2" xfId="45480" xr:uid="{00000000-0005-0000-0000-00004C650000}"/>
    <cellStyle name="Input 27 2 3 3 4 3" xfId="49386" xr:uid="{00000000-0005-0000-0000-00004D650000}"/>
    <cellStyle name="Input 27 2 3 3 4 4" xfId="37452" xr:uid="{00000000-0005-0000-0000-00004E650000}"/>
    <cellStyle name="Input 27 2 3 3 5" xfId="21125" xr:uid="{00000000-0005-0000-0000-00004F650000}"/>
    <cellStyle name="Input 27 2 3 3 5 2" xfId="46662" xr:uid="{00000000-0005-0000-0000-000050650000}"/>
    <cellStyle name="Input 27 2 3 3 5 3" xfId="50568" xr:uid="{00000000-0005-0000-0000-000051650000}"/>
    <cellStyle name="Input 27 2 3 3 5 4" xfId="38531" xr:uid="{00000000-0005-0000-0000-000052650000}"/>
    <cellStyle name="Input 27 2 3 3 6" xfId="21778" xr:uid="{00000000-0005-0000-0000-000053650000}"/>
    <cellStyle name="Input 27 2 3 3 6 2" xfId="47315" xr:uid="{00000000-0005-0000-0000-000054650000}"/>
    <cellStyle name="Input 27 2 3 3 6 3" xfId="51221" xr:uid="{00000000-0005-0000-0000-000055650000}"/>
    <cellStyle name="Input 27 2 3 3 7" xfId="41118" xr:uid="{00000000-0005-0000-0000-000056650000}"/>
    <cellStyle name="Input 27 2 3 3 8" xfId="43373" xr:uid="{00000000-0005-0000-0000-000057650000}"/>
    <cellStyle name="Input 27 2 3 4" xfId="14882" xr:uid="{00000000-0005-0000-0000-000058650000}"/>
    <cellStyle name="Input 27 2 3 4 2" xfId="42998" xr:uid="{00000000-0005-0000-0000-000059650000}"/>
    <cellStyle name="Input 27 2 3 4 3" xfId="42673" xr:uid="{00000000-0005-0000-0000-00005A650000}"/>
    <cellStyle name="Input 27 2 3 4 4" xfId="32517" xr:uid="{00000000-0005-0000-0000-00005B650000}"/>
    <cellStyle name="Input 27 2 3 5" xfId="13136" xr:uid="{00000000-0005-0000-0000-00005C650000}"/>
    <cellStyle name="Input 27 2 3 5 2" xfId="42357" xr:uid="{00000000-0005-0000-0000-00005D650000}"/>
    <cellStyle name="Input 27 2 3 5 3" xfId="39444" xr:uid="{00000000-0005-0000-0000-00005E650000}"/>
    <cellStyle name="Input 27 2 3 5 4" xfId="30785" xr:uid="{00000000-0005-0000-0000-00005F650000}"/>
    <cellStyle name="Input 27 2 3 6" xfId="11364" xr:uid="{00000000-0005-0000-0000-000060650000}"/>
    <cellStyle name="Input 27 2 3 6 2" xfId="41400" xr:uid="{00000000-0005-0000-0000-000061650000}"/>
    <cellStyle name="Input 27 2 3 6 3" xfId="43714" xr:uid="{00000000-0005-0000-0000-000062650000}"/>
    <cellStyle name="Input 27 2 3 6 4" xfId="29087" xr:uid="{00000000-0005-0000-0000-000063650000}"/>
    <cellStyle name="Input 27 2 3 7" xfId="12896" xr:uid="{00000000-0005-0000-0000-000064650000}"/>
    <cellStyle name="Input 27 2 3 7 2" xfId="42252" xr:uid="{00000000-0005-0000-0000-000065650000}"/>
    <cellStyle name="Input 27 2 3 7 3" xfId="39657" xr:uid="{00000000-0005-0000-0000-000066650000}"/>
    <cellStyle name="Input 27 2 3 7 4" xfId="30546" xr:uid="{00000000-0005-0000-0000-000067650000}"/>
    <cellStyle name="Input 27 2 3 8" xfId="20614" xr:uid="{00000000-0005-0000-0000-000068650000}"/>
    <cellStyle name="Input 27 2 3 8 2" xfId="46151" xr:uid="{00000000-0005-0000-0000-000069650000}"/>
    <cellStyle name="Input 27 2 3 8 3" xfId="50057" xr:uid="{00000000-0005-0000-0000-00006A650000}"/>
    <cellStyle name="Input 27 2 3 9" xfId="39858" xr:uid="{00000000-0005-0000-0000-00006B650000}"/>
    <cellStyle name="Input 27 2 4" xfId="53103" xr:uid="{00000000-0005-0000-0000-00006C650000}"/>
    <cellStyle name="Input 27 2_Sheet1" xfId="1920" xr:uid="{00000000-0005-0000-0000-00006D650000}"/>
    <cellStyle name="Input 27 3" xfId="1921" xr:uid="{00000000-0005-0000-0000-00006E650000}"/>
    <cellStyle name="Input 27 3 2" xfId="7096" xr:uid="{00000000-0005-0000-0000-00006F650000}"/>
    <cellStyle name="Input 27 3 2 10" xfId="39516" xr:uid="{00000000-0005-0000-0000-000070650000}"/>
    <cellStyle name="Input 27 3 2 2" xfId="10626" xr:uid="{00000000-0005-0000-0000-000071650000}"/>
    <cellStyle name="Input 27 3 2 2 2" xfId="18419" xr:uid="{00000000-0005-0000-0000-000072650000}"/>
    <cellStyle name="Input 27 3 2 2 2 2" xfId="43966" xr:uid="{00000000-0005-0000-0000-000073650000}"/>
    <cellStyle name="Input 27 3 2 2 2 3" xfId="47875" xr:uid="{00000000-0005-0000-0000-000074650000}"/>
    <cellStyle name="Input 27 3 2 2 2 4" xfId="36056" xr:uid="{00000000-0005-0000-0000-000075650000}"/>
    <cellStyle name="Input 27 3 2 2 3" xfId="19422" xr:uid="{00000000-0005-0000-0000-000076650000}"/>
    <cellStyle name="Input 27 3 2 2 3 2" xfId="44959" xr:uid="{00000000-0005-0000-0000-000077650000}"/>
    <cellStyle name="Input 27 3 2 2 3 3" xfId="48865" xr:uid="{00000000-0005-0000-0000-000078650000}"/>
    <cellStyle name="Input 27 3 2 2 3 4" xfId="36987" xr:uid="{00000000-0005-0000-0000-000079650000}"/>
    <cellStyle name="Input 27 3 2 2 4" xfId="11637" xr:uid="{00000000-0005-0000-0000-00007A650000}"/>
    <cellStyle name="Input 27 3 2 2 4 2" xfId="41648" xr:uid="{00000000-0005-0000-0000-00007B650000}"/>
    <cellStyle name="Input 27 3 2 2 4 3" xfId="43344" xr:uid="{00000000-0005-0000-0000-00007C650000}"/>
    <cellStyle name="Input 27 3 2 2 4 4" xfId="29338" xr:uid="{00000000-0005-0000-0000-00007D650000}"/>
    <cellStyle name="Input 27 3 2 2 5" xfId="20832" xr:uid="{00000000-0005-0000-0000-00007E650000}"/>
    <cellStyle name="Input 27 3 2 2 5 2" xfId="46369" xr:uid="{00000000-0005-0000-0000-00007F650000}"/>
    <cellStyle name="Input 27 3 2 2 5 3" xfId="50275" xr:uid="{00000000-0005-0000-0000-000080650000}"/>
    <cellStyle name="Input 27 3 2 2 5 4" xfId="38238" xr:uid="{00000000-0005-0000-0000-000081650000}"/>
    <cellStyle name="Input 27 3 2 2 6" xfId="21485" xr:uid="{00000000-0005-0000-0000-000082650000}"/>
    <cellStyle name="Input 27 3 2 2 6 2" xfId="47022" xr:uid="{00000000-0005-0000-0000-000083650000}"/>
    <cellStyle name="Input 27 3 2 2 6 3" xfId="50928" xr:uid="{00000000-0005-0000-0000-000084650000}"/>
    <cellStyle name="Input 27 3 2 2 7" xfId="40825" xr:uid="{00000000-0005-0000-0000-000085650000}"/>
    <cellStyle name="Input 27 3 2 2 8" xfId="42746" xr:uid="{00000000-0005-0000-0000-000086650000}"/>
    <cellStyle name="Input 27 3 2 3" xfId="10921" xr:uid="{00000000-0005-0000-0000-000087650000}"/>
    <cellStyle name="Input 27 3 2 3 2" xfId="18714" xr:uid="{00000000-0005-0000-0000-000088650000}"/>
    <cellStyle name="Input 27 3 2 3 2 2" xfId="44261" xr:uid="{00000000-0005-0000-0000-000089650000}"/>
    <cellStyle name="Input 27 3 2 3 2 3" xfId="48170" xr:uid="{00000000-0005-0000-0000-00008A650000}"/>
    <cellStyle name="Input 27 3 2 3 2 4" xfId="36351" xr:uid="{00000000-0005-0000-0000-00008B650000}"/>
    <cellStyle name="Input 27 3 2 3 3" xfId="11529" xr:uid="{00000000-0005-0000-0000-00008C650000}"/>
    <cellStyle name="Input 27 3 2 3 3 2" xfId="41540" xr:uid="{00000000-0005-0000-0000-00008D650000}"/>
    <cellStyle name="Input 27 3 2 3 3 3" xfId="39469" xr:uid="{00000000-0005-0000-0000-00008E650000}"/>
    <cellStyle name="Input 27 3 2 3 3 4" xfId="29244" xr:uid="{00000000-0005-0000-0000-00008F650000}"/>
    <cellStyle name="Input 27 3 2 3 4" xfId="11784" xr:uid="{00000000-0005-0000-0000-000090650000}"/>
    <cellStyle name="Input 27 3 2 3 4 2" xfId="41738" xr:uid="{00000000-0005-0000-0000-000091650000}"/>
    <cellStyle name="Input 27 3 2 3 4 3" xfId="39158" xr:uid="{00000000-0005-0000-0000-000092650000}"/>
    <cellStyle name="Input 27 3 2 3 4 4" xfId="29471" xr:uid="{00000000-0005-0000-0000-000093650000}"/>
    <cellStyle name="Input 27 3 2 3 5" xfId="21127" xr:uid="{00000000-0005-0000-0000-000094650000}"/>
    <cellStyle name="Input 27 3 2 3 5 2" xfId="46664" xr:uid="{00000000-0005-0000-0000-000095650000}"/>
    <cellStyle name="Input 27 3 2 3 5 3" xfId="50570" xr:uid="{00000000-0005-0000-0000-000096650000}"/>
    <cellStyle name="Input 27 3 2 3 5 4" xfId="38533" xr:uid="{00000000-0005-0000-0000-000097650000}"/>
    <cellStyle name="Input 27 3 2 3 6" xfId="21780" xr:uid="{00000000-0005-0000-0000-000098650000}"/>
    <cellStyle name="Input 27 3 2 3 6 2" xfId="47317" xr:uid="{00000000-0005-0000-0000-000099650000}"/>
    <cellStyle name="Input 27 3 2 3 6 3" xfId="51223" xr:uid="{00000000-0005-0000-0000-00009A650000}"/>
    <cellStyle name="Input 27 3 2 3 7" xfId="41120" xr:uid="{00000000-0005-0000-0000-00009B650000}"/>
    <cellStyle name="Input 27 3 2 3 8" xfId="39375" xr:uid="{00000000-0005-0000-0000-00009C650000}"/>
    <cellStyle name="Input 27 3 2 4" xfId="14884" xr:uid="{00000000-0005-0000-0000-00009D650000}"/>
    <cellStyle name="Input 27 3 2 4 2" xfId="43000" xr:uid="{00000000-0005-0000-0000-00009E650000}"/>
    <cellStyle name="Input 27 3 2 4 3" xfId="40422" xr:uid="{00000000-0005-0000-0000-00009F650000}"/>
    <cellStyle name="Input 27 3 2 4 4" xfId="32519" xr:uid="{00000000-0005-0000-0000-0000A0650000}"/>
    <cellStyle name="Input 27 3 2 5" xfId="11304" xr:uid="{00000000-0005-0000-0000-0000A1650000}"/>
    <cellStyle name="Input 27 3 2 5 2" xfId="41351" xr:uid="{00000000-0005-0000-0000-0000A2650000}"/>
    <cellStyle name="Input 27 3 2 5 3" xfId="43718" xr:uid="{00000000-0005-0000-0000-0000A3650000}"/>
    <cellStyle name="Input 27 3 2 5 4" xfId="29032" xr:uid="{00000000-0005-0000-0000-0000A4650000}"/>
    <cellStyle name="Input 27 3 2 6" xfId="19966" xr:uid="{00000000-0005-0000-0000-0000A5650000}"/>
    <cellStyle name="Input 27 3 2 6 2" xfId="45503" xr:uid="{00000000-0005-0000-0000-0000A6650000}"/>
    <cellStyle name="Input 27 3 2 6 3" xfId="49409" xr:uid="{00000000-0005-0000-0000-0000A7650000}"/>
    <cellStyle name="Input 27 3 2 6 4" xfId="37471" xr:uid="{00000000-0005-0000-0000-0000A8650000}"/>
    <cellStyle name="Input 27 3 2 7" xfId="19939" xr:uid="{00000000-0005-0000-0000-0000A9650000}"/>
    <cellStyle name="Input 27 3 2 7 2" xfId="45476" xr:uid="{00000000-0005-0000-0000-0000AA650000}"/>
    <cellStyle name="Input 27 3 2 7 3" xfId="49382" xr:uid="{00000000-0005-0000-0000-0000AB650000}"/>
    <cellStyle name="Input 27 3 2 7 4" xfId="37448" xr:uid="{00000000-0005-0000-0000-0000AC650000}"/>
    <cellStyle name="Input 27 3 2 8" xfId="20207" xr:uid="{00000000-0005-0000-0000-0000AD650000}"/>
    <cellStyle name="Input 27 3 2 8 2" xfId="45744" xr:uid="{00000000-0005-0000-0000-0000AE650000}"/>
    <cellStyle name="Input 27 3 2 8 3" xfId="49650" xr:uid="{00000000-0005-0000-0000-0000AF650000}"/>
    <cellStyle name="Input 27 3 2 9" xfId="39860" xr:uid="{00000000-0005-0000-0000-0000B0650000}"/>
    <cellStyle name="Input 27 3 3" xfId="53105" xr:uid="{00000000-0005-0000-0000-0000B1650000}"/>
    <cellStyle name="Input 27 4" xfId="7093" xr:uid="{00000000-0005-0000-0000-0000B2650000}"/>
    <cellStyle name="Input 27 4 10" xfId="42628" xr:uid="{00000000-0005-0000-0000-0000B3650000}"/>
    <cellStyle name="Input 27 4 11" xfId="53106" xr:uid="{00000000-0005-0000-0000-0000B4650000}"/>
    <cellStyle name="Input 27 4 2" xfId="10623" xr:uid="{00000000-0005-0000-0000-0000B5650000}"/>
    <cellStyle name="Input 27 4 2 2" xfId="18416" xr:uid="{00000000-0005-0000-0000-0000B6650000}"/>
    <cellStyle name="Input 27 4 2 2 2" xfId="43963" xr:uid="{00000000-0005-0000-0000-0000B7650000}"/>
    <cellStyle name="Input 27 4 2 2 3" xfId="47872" xr:uid="{00000000-0005-0000-0000-0000B8650000}"/>
    <cellStyle name="Input 27 4 2 2 4" xfId="36053" xr:uid="{00000000-0005-0000-0000-0000B9650000}"/>
    <cellStyle name="Input 27 4 2 3" xfId="13326" xr:uid="{00000000-0005-0000-0000-0000BA650000}"/>
    <cellStyle name="Input 27 4 2 3 2" xfId="42496" xr:uid="{00000000-0005-0000-0000-0000BB650000}"/>
    <cellStyle name="Input 27 4 2 3 3" xfId="39541" xr:uid="{00000000-0005-0000-0000-0000BC650000}"/>
    <cellStyle name="Input 27 4 2 3 4" xfId="30966" xr:uid="{00000000-0005-0000-0000-0000BD650000}"/>
    <cellStyle name="Input 27 4 2 4" xfId="19516" xr:uid="{00000000-0005-0000-0000-0000BE650000}"/>
    <cellStyle name="Input 27 4 2 4 2" xfId="45053" xr:uid="{00000000-0005-0000-0000-0000BF650000}"/>
    <cellStyle name="Input 27 4 2 4 3" xfId="48959" xr:uid="{00000000-0005-0000-0000-0000C0650000}"/>
    <cellStyle name="Input 27 4 2 4 4" xfId="37064" xr:uid="{00000000-0005-0000-0000-0000C1650000}"/>
    <cellStyle name="Input 27 4 2 5" xfId="20829" xr:uid="{00000000-0005-0000-0000-0000C2650000}"/>
    <cellStyle name="Input 27 4 2 5 2" xfId="46366" xr:uid="{00000000-0005-0000-0000-0000C3650000}"/>
    <cellStyle name="Input 27 4 2 5 3" xfId="50272" xr:uid="{00000000-0005-0000-0000-0000C4650000}"/>
    <cellStyle name="Input 27 4 2 5 4" xfId="38235" xr:uid="{00000000-0005-0000-0000-0000C5650000}"/>
    <cellStyle name="Input 27 4 2 6" xfId="21482" xr:uid="{00000000-0005-0000-0000-0000C6650000}"/>
    <cellStyle name="Input 27 4 2 6 2" xfId="47019" xr:uid="{00000000-0005-0000-0000-0000C7650000}"/>
    <cellStyle name="Input 27 4 2 6 3" xfId="50925" xr:uid="{00000000-0005-0000-0000-0000C8650000}"/>
    <cellStyle name="Input 27 4 2 7" xfId="40822" xr:uid="{00000000-0005-0000-0000-0000C9650000}"/>
    <cellStyle name="Input 27 4 2 8" xfId="43739" xr:uid="{00000000-0005-0000-0000-0000CA650000}"/>
    <cellStyle name="Input 27 4 3" xfId="10918" xr:uid="{00000000-0005-0000-0000-0000CB650000}"/>
    <cellStyle name="Input 27 4 3 2" xfId="18711" xr:uid="{00000000-0005-0000-0000-0000CC650000}"/>
    <cellStyle name="Input 27 4 3 2 2" xfId="44258" xr:uid="{00000000-0005-0000-0000-0000CD650000}"/>
    <cellStyle name="Input 27 4 3 2 3" xfId="48167" xr:uid="{00000000-0005-0000-0000-0000CE650000}"/>
    <cellStyle name="Input 27 4 3 2 4" xfId="36348" xr:uid="{00000000-0005-0000-0000-0000CF650000}"/>
    <cellStyle name="Input 27 4 3 3" xfId="19715" xr:uid="{00000000-0005-0000-0000-0000D0650000}"/>
    <cellStyle name="Input 27 4 3 3 2" xfId="45252" xr:uid="{00000000-0005-0000-0000-0000D1650000}"/>
    <cellStyle name="Input 27 4 3 3 3" xfId="49158" xr:uid="{00000000-0005-0000-0000-0000D2650000}"/>
    <cellStyle name="Input 27 4 3 3 4" xfId="37242" xr:uid="{00000000-0005-0000-0000-0000D3650000}"/>
    <cellStyle name="Input 27 4 3 4" xfId="19449" xr:uid="{00000000-0005-0000-0000-0000D4650000}"/>
    <cellStyle name="Input 27 4 3 4 2" xfId="44986" xr:uid="{00000000-0005-0000-0000-0000D5650000}"/>
    <cellStyle name="Input 27 4 3 4 3" xfId="48892" xr:uid="{00000000-0005-0000-0000-0000D6650000}"/>
    <cellStyle name="Input 27 4 3 4 4" xfId="37014" xr:uid="{00000000-0005-0000-0000-0000D7650000}"/>
    <cellStyle name="Input 27 4 3 5" xfId="21124" xr:uid="{00000000-0005-0000-0000-0000D8650000}"/>
    <cellStyle name="Input 27 4 3 5 2" xfId="46661" xr:uid="{00000000-0005-0000-0000-0000D9650000}"/>
    <cellStyle name="Input 27 4 3 5 3" xfId="50567" xr:uid="{00000000-0005-0000-0000-0000DA650000}"/>
    <cellStyle name="Input 27 4 3 5 4" xfId="38530" xr:uid="{00000000-0005-0000-0000-0000DB650000}"/>
    <cellStyle name="Input 27 4 3 6" xfId="21777" xr:uid="{00000000-0005-0000-0000-0000DC650000}"/>
    <cellStyle name="Input 27 4 3 6 2" xfId="47314" xr:uid="{00000000-0005-0000-0000-0000DD650000}"/>
    <cellStyle name="Input 27 4 3 6 3" xfId="51220" xr:uid="{00000000-0005-0000-0000-0000DE650000}"/>
    <cellStyle name="Input 27 4 3 7" xfId="41117" xr:uid="{00000000-0005-0000-0000-0000DF650000}"/>
    <cellStyle name="Input 27 4 3 8" xfId="42054" xr:uid="{00000000-0005-0000-0000-0000E0650000}"/>
    <cellStyle name="Input 27 4 4" xfId="14881" xr:uid="{00000000-0005-0000-0000-0000E1650000}"/>
    <cellStyle name="Input 27 4 4 2" xfId="42997" xr:uid="{00000000-0005-0000-0000-0000E2650000}"/>
    <cellStyle name="Input 27 4 4 3" xfId="39637" xr:uid="{00000000-0005-0000-0000-0000E3650000}"/>
    <cellStyle name="Input 27 4 4 4" xfId="32516" xr:uid="{00000000-0005-0000-0000-0000E4650000}"/>
    <cellStyle name="Input 27 4 5" xfId="13135" xr:uid="{00000000-0005-0000-0000-0000E5650000}"/>
    <cellStyle name="Input 27 4 5 2" xfId="42356" xr:uid="{00000000-0005-0000-0000-0000E6650000}"/>
    <cellStyle name="Input 27 4 5 3" xfId="40327" xr:uid="{00000000-0005-0000-0000-0000E7650000}"/>
    <cellStyle name="Input 27 4 5 4" xfId="30784" xr:uid="{00000000-0005-0000-0000-0000E8650000}"/>
    <cellStyle name="Input 27 4 6" xfId="13307" xr:uid="{00000000-0005-0000-0000-0000E9650000}"/>
    <cellStyle name="Input 27 4 6 2" xfId="42477" xr:uid="{00000000-0005-0000-0000-0000EA650000}"/>
    <cellStyle name="Input 27 4 6 3" xfId="39539" xr:uid="{00000000-0005-0000-0000-0000EB650000}"/>
    <cellStyle name="Input 27 4 6 4" xfId="30948" xr:uid="{00000000-0005-0000-0000-0000EC650000}"/>
    <cellStyle name="Input 27 4 7" xfId="19263" xr:uid="{00000000-0005-0000-0000-0000ED650000}"/>
    <cellStyle name="Input 27 4 7 2" xfId="44800" xr:uid="{00000000-0005-0000-0000-0000EE650000}"/>
    <cellStyle name="Input 27 4 7 3" xfId="48706" xr:uid="{00000000-0005-0000-0000-0000EF650000}"/>
    <cellStyle name="Input 27 4 7 4" xfId="36841" xr:uid="{00000000-0005-0000-0000-0000F0650000}"/>
    <cellStyle name="Input 27 4 8" xfId="19649" xr:uid="{00000000-0005-0000-0000-0000F1650000}"/>
    <cellStyle name="Input 27 4 8 2" xfId="45186" xr:uid="{00000000-0005-0000-0000-0000F2650000}"/>
    <cellStyle name="Input 27 4 8 3" xfId="49092" xr:uid="{00000000-0005-0000-0000-0000F3650000}"/>
    <cellStyle name="Input 27 4 9" xfId="39857" xr:uid="{00000000-0005-0000-0000-0000F4650000}"/>
    <cellStyle name="Input 27 5" xfId="22462" xr:uid="{00000000-0005-0000-0000-0000F5650000}"/>
    <cellStyle name="Input 27 6" xfId="22917" xr:uid="{00000000-0005-0000-0000-0000F6650000}"/>
    <cellStyle name="Input 27 7" xfId="53102" xr:uid="{00000000-0005-0000-0000-0000F7650000}"/>
    <cellStyle name="Input 27_Sheet1" xfId="1922" xr:uid="{00000000-0005-0000-0000-0000F8650000}"/>
    <cellStyle name="Input 28" xfId="1923" xr:uid="{00000000-0005-0000-0000-0000F9650000}"/>
    <cellStyle name="Input 28 2" xfId="1924" xr:uid="{00000000-0005-0000-0000-0000FA650000}"/>
    <cellStyle name="Input 28 2 2" xfId="1925" xr:uid="{00000000-0005-0000-0000-0000FB650000}"/>
    <cellStyle name="Input 28 2 2 2" xfId="7099" xr:uid="{00000000-0005-0000-0000-0000FC650000}"/>
    <cellStyle name="Input 28 2 2 2 10" xfId="40286" xr:uid="{00000000-0005-0000-0000-0000FD650000}"/>
    <cellStyle name="Input 28 2 2 2 2" xfId="10629" xr:uid="{00000000-0005-0000-0000-0000FE650000}"/>
    <cellStyle name="Input 28 2 2 2 2 2" xfId="18422" xr:uid="{00000000-0005-0000-0000-0000FF650000}"/>
    <cellStyle name="Input 28 2 2 2 2 2 2" xfId="43969" xr:uid="{00000000-0005-0000-0000-000000660000}"/>
    <cellStyle name="Input 28 2 2 2 2 2 3" xfId="47878" xr:uid="{00000000-0005-0000-0000-000001660000}"/>
    <cellStyle name="Input 28 2 2 2 2 2 4" xfId="36059" xr:uid="{00000000-0005-0000-0000-000002660000}"/>
    <cellStyle name="Input 28 2 2 2 2 3" xfId="19904" xr:uid="{00000000-0005-0000-0000-000003660000}"/>
    <cellStyle name="Input 28 2 2 2 2 3 2" xfId="45441" xr:uid="{00000000-0005-0000-0000-000004660000}"/>
    <cellStyle name="Input 28 2 2 2 2 3 3" xfId="49347" xr:uid="{00000000-0005-0000-0000-000005660000}"/>
    <cellStyle name="Input 28 2 2 2 2 3 4" xfId="37418" xr:uid="{00000000-0005-0000-0000-000006660000}"/>
    <cellStyle name="Input 28 2 2 2 2 4" xfId="11546" xr:uid="{00000000-0005-0000-0000-000007660000}"/>
    <cellStyle name="Input 28 2 2 2 2 4 2" xfId="41557" xr:uid="{00000000-0005-0000-0000-000008660000}"/>
    <cellStyle name="Input 28 2 2 2 2 4 3" xfId="42579" xr:uid="{00000000-0005-0000-0000-000009660000}"/>
    <cellStyle name="Input 28 2 2 2 2 4 4" xfId="29260" xr:uid="{00000000-0005-0000-0000-00000A660000}"/>
    <cellStyle name="Input 28 2 2 2 2 5" xfId="20835" xr:uid="{00000000-0005-0000-0000-00000B660000}"/>
    <cellStyle name="Input 28 2 2 2 2 5 2" xfId="46372" xr:uid="{00000000-0005-0000-0000-00000C660000}"/>
    <cellStyle name="Input 28 2 2 2 2 5 3" xfId="50278" xr:uid="{00000000-0005-0000-0000-00000D660000}"/>
    <cellStyle name="Input 28 2 2 2 2 5 4" xfId="38241" xr:uid="{00000000-0005-0000-0000-00000E660000}"/>
    <cellStyle name="Input 28 2 2 2 2 6" xfId="21488" xr:uid="{00000000-0005-0000-0000-00000F660000}"/>
    <cellStyle name="Input 28 2 2 2 2 6 2" xfId="47025" xr:uid="{00000000-0005-0000-0000-000010660000}"/>
    <cellStyle name="Input 28 2 2 2 2 6 3" xfId="50931" xr:uid="{00000000-0005-0000-0000-000011660000}"/>
    <cellStyle name="Input 28 2 2 2 2 7" xfId="40828" xr:uid="{00000000-0005-0000-0000-000012660000}"/>
    <cellStyle name="Input 28 2 2 2 2 8" xfId="39603" xr:uid="{00000000-0005-0000-0000-000013660000}"/>
    <cellStyle name="Input 28 2 2 2 3" xfId="10924" xr:uid="{00000000-0005-0000-0000-000014660000}"/>
    <cellStyle name="Input 28 2 2 2 3 2" xfId="18717" xr:uid="{00000000-0005-0000-0000-000015660000}"/>
    <cellStyle name="Input 28 2 2 2 3 2 2" xfId="44264" xr:uid="{00000000-0005-0000-0000-000016660000}"/>
    <cellStyle name="Input 28 2 2 2 3 2 3" xfId="48173" xr:uid="{00000000-0005-0000-0000-000017660000}"/>
    <cellStyle name="Input 28 2 2 2 3 2 4" xfId="36354" xr:uid="{00000000-0005-0000-0000-000018660000}"/>
    <cellStyle name="Input 28 2 2 2 3 3" xfId="20141" xr:uid="{00000000-0005-0000-0000-000019660000}"/>
    <cellStyle name="Input 28 2 2 2 3 3 2" xfId="45678" xr:uid="{00000000-0005-0000-0000-00001A660000}"/>
    <cellStyle name="Input 28 2 2 2 3 3 3" xfId="49584" xr:uid="{00000000-0005-0000-0000-00001B660000}"/>
    <cellStyle name="Input 28 2 2 2 3 3 4" xfId="37627" xr:uid="{00000000-0005-0000-0000-00001C660000}"/>
    <cellStyle name="Input 28 2 2 2 3 4" xfId="11623" xr:uid="{00000000-0005-0000-0000-00001D660000}"/>
    <cellStyle name="Input 28 2 2 2 3 4 2" xfId="41634" xr:uid="{00000000-0005-0000-0000-00001E660000}"/>
    <cellStyle name="Input 28 2 2 2 3 4 3" xfId="42577" xr:uid="{00000000-0005-0000-0000-00001F660000}"/>
    <cellStyle name="Input 28 2 2 2 3 4 4" xfId="29326" xr:uid="{00000000-0005-0000-0000-000020660000}"/>
    <cellStyle name="Input 28 2 2 2 3 5" xfId="21130" xr:uid="{00000000-0005-0000-0000-000021660000}"/>
    <cellStyle name="Input 28 2 2 2 3 5 2" xfId="46667" xr:uid="{00000000-0005-0000-0000-000022660000}"/>
    <cellStyle name="Input 28 2 2 2 3 5 3" xfId="50573" xr:uid="{00000000-0005-0000-0000-000023660000}"/>
    <cellStyle name="Input 28 2 2 2 3 5 4" xfId="38536" xr:uid="{00000000-0005-0000-0000-000024660000}"/>
    <cellStyle name="Input 28 2 2 2 3 6" xfId="21783" xr:uid="{00000000-0005-0000-0000-000025660000}"/>
    <cellStyle name="Input 28 2 2 2 3 6 2" xfId="47320" xr:uid="{00000000-0005-0000-0000-000026660000}"/>
    <cellStyle name="Input 28 2 2 2 3 6 3" xfId="51226" xr:uid="{00000000-0005-0000-0000-000027660000}"/>
    <cellStyle name="Input 28 2 2 2 3 7" xfId="41123" xr:uid="{00000000-0005-0000-0000-000028660000}"/>
    <cellStyle name="Input 28 2 2 2 3 8" xfId="43228" xr:uid="{00000000-0005-0000-0000-000029660000}"/>
    <cellStyle name="Input 28 2 2 2 4" xfId="14887" xr:uid="{00000000-0005-0000-0000-00002A660000}"/>
    <cellStyle name="Input 28 2 2 2 4 2" xfId="43003" xr:uid="{00000000-0005-0000-0000-00002B660000}"/>
    <cellStyle name="Input 28 2 2 2 4 3" xfId="43452" xr:uid="{00000000-0005-0000-0000-00002C660000}"/>
    <cellStyle name="Input 28 2 2 2 4 4" xfId="32522" xr:uid="{00000000-0005-0000-0000-00002D660000}"/>
    <cellStyle name="Input 28 2 2 2 5" xfId="13140" xr:uid="{00000000-0005-0000-0000-00002E660000}"/>
    <cellStyle name="Input 28 2 2 2 5 2" xfId="42361" xr:uid="{00000000-0005-0000-0000-00002F660000}"/>
    <cellStyle name="Input 28 2 2 2 5 3" xfId="39300" xr:uid="{00000000-0005-0000-0000-000030660000}"/>
    <cellStyle name="Input 28 2 2 2 5 4" xfId="30789" xr:uid="{00000000-0005-0000-0000-000031660000}"/>
    <cellStyle name="Input 28 2 2 2 6" xfId="20267" xr:uid="{00000000-0005-0000-0000-000032660000}"/>
    <cellStyle name="Input 28 2 2 2 6 2" xfId="45804" xr:uid="{00000000-0005-0000-0000-000033660000}"/>
    <cellStyle name="Input 28 2 2 2 6 3" xfId="49710" xr:uid="{00000000-0005-0000-0000-000034660000}"/>
    <cellStyle name="Input 28 2 2 2 6 4" xfId="37737" xr:uid="{00000000-0005-0000-0000-000035660000}"/>
    <cellStyle name="Input 28 2 2 2 7" xfId="18893" xr:uid="{00000000-0005-0000-0000-000036660000}"/>
    <cellStyle name="Input 28 2 2 2 7 2" xfId="44430" xr:uid="{00000000-0005-0000-0000-000037660000}"/>
    <cellStyle name="Input 28 2 2 2 7 3" xfId="48336" xr:uid="{00000000-0005-0000-0000-000038660000}"/>
    <cellStyle name="Input 28 2 2 2 7 4" xfId="36529" xr:uid="{00000000-0005-0000-0000-000039660000}"/>
    <cellStyle name="Input 28 2 2 2 8" xfId="20353" xr:uid="{00000000-0005-0000-0000-00003A660000}"/>
    <cellStyle name="Input 28 2 2 2 8 2" xfId="45890" xr:uid="{00000000-0005-0000-0000-00003B660000}"/>
    <cellStyle name="Input 28 2 2 2 8 3" xfId="49796" xr:uid="{00000000-0005-0000-0000-00003C660000}"/>
    <cellStyle name="Input 28 2 2 2 9" xfId="39863" xr:uid="{00000000-0005-0000-0000-00003D660000}"/>
    <cellStyle name="Input 28 2 2 3" xfId="53109" xr:uid="{00000000-0005-0000-0000-00003E660000}"/>
    <cellStyle name="Input 28 2 3" xfId="7098" xr:uid="{00000000-0005-0000-0000-00003F660000}"/>
    <cellStyle name="Input 28 2 3 10" xfId="43424" xr:uid="{00000000-0005-0000-0000-000040660000}"/>
    <cellStyle name="Input 28 2 3 2" xfId="10628" xr:uid="{00000000-0005-0000-0000-000041660000}"/>
    <cellStyle name="Input 28 2 3 2 2" xfId="18421" xr:uid="{00000000-0005-0000-0000-000042660000}"/>
    <cellStyle name="Input 28 2 3 2 2 2" xfId="43968" xr:uid="{00000000-0005-0000-0000-000043660000}"/>
    <cellStyle name="Input 28 2 3 2 2 3" xfId="47877" xr:uid="{00000000-0005-0000-0000-000044660000}"/>
    <cellStyle name="Input 28 2 3 2 2 4" xfId="36058" xr:uid="{00000000-0005-0000-0000-000045660000}"/>
    <cellStyle name="Input 28 2 3 2 3" xfId="19295" xr:uid="{00000000-0005-0000-0000-000046660000}"/>
    <cellStyle name="Input 28 2 3 2 3 2" xfId="44832" xr:uid="{00000000-0005-0000-0000-000047660000}"/>
    <cellStyle name="Input 28 2 3 2 3 3" xfId="48738" xr:uid="{00000000-0005-0000-0000-000048660000}"/>
    <cellStyle name="Input 28 2 3 2 3 4" xfId="36873" xr:uid="{00000000-0005-0000-0000-000049660000}"/>
    <cellStyle name="Input 28 2 3 2 4" xfId="11655" xr:uid="{00000000-0005-0000-0000-00004A660000}"/>
    <cellStyle name="Input 28 2 3 2 4 2" xfId="41666" xr:uid="{00000000-0005-0000-0000-00004B660000}"/>
    <cellStyle name="Input 28 2 3 2 4 3" xfId="42576" xr:uid="{00000000-0005-0000-0000-00004C660000}"/>
    <cellStyle name="Input 28 2 3 2 4 4" xfId="29354" xr:uid="{00000000-0005-0000-0000-00004D660000}"/>
    <cellStyle name="Input 28 2 3 2 5" xfId="20834" xr:uid="{00000000-0005-0000-0000-00004E660000}"/>
    <cellStyle name="Input 28 2 3 2 5 2" xfId="46371" xr:uid="{00000000-0005-0000-0000-00004F660000}"/>
    <cellStyle name="Input 28 2 3 2 5 3" xfId="50277" xr:uid="{00000000-0005-0000-0000-000050660000}"/>
    <cellStyle name="Input 28 2 3 2 5 4" xfId="38240" xr:uid="{00000000-0005-0000-0000-000051660000}"/>
    <cellStyle name="Input 28 2 3 2 6" xfId="21487" xr:uid="{00000000-0005-0000-0000-000052660000}"/>
    <cellStyle name="Input 28 2 3 2 6 2" xfId="47024" xr:uid="{00000000-0005-0000-0000-000053660000}"/>
    <cellStyle name="Input 28 2 3 2 6 3" xfId="50930" xr:uid="{00000000-0005-0000-0000-000054660000}"/>
    <cellStyle name="Input 28 2 3 2 7" xfId="40827" xr:uid="{00000000-0005-0000-0000-000055660000}"/>
    <cellStyle name="Input 28 2 3 2 8" xfId="40493" xr:uid="{00000000-0005-0000-0000-000056660000}"/>
    <cellStyle name="Input 28 2 3 3" xfId="10923" xr:uid="{00000000-0005-0000-0000-000057660000}"/>
    <cellStyle name="Input 28 2 3 3 2" xfId="18716" xr:uid="{00000000-0005-0000-0000-000058660000}"/>
    <cellStyle name="Input 28 2 3 3 2 2" xfId="44263" xr:uid="{00000000-0005-0000-0000-000059660000}"/>
    <cellStyle name="Input 28 2 3 3 2 3" xfId="48172" xr:uid="{00000000-0005-0000-0000-00005A660000}"/>
    <cellStyle name="Input 28 2 3 3 2 4" xfId="36353" xr:uid="{00000000-0005-0000-0000-00005B660000}"/>
    <cellStyle name="Input 28 2 3 3 3" xfId="19583" xr:uid="{00000000-0005-0000-0000-00005C660000}"/>
    <cellStyle name="Input 28 2 3 3 3 2" xfId="45120" xr:uid="{00000000-0005-0000-0000-00005D660000}"/>
    <cellStyle name="Input 28 2 3 3 3 3" xfId="49026" xr:uid="{00000000-0005-0000-0000-00005E660000}"/>
    <cellStyle name="Input 28 2 3 3 3 4" xfId="37123" xr:uid="{00000000-0005-0000-0000-00005F660000}"/>
    <cellStyle name="Input 28 2 3 3 4" xfId="19244" xr:uid="{00000000-0005-0000-0000-000060660000}"/>
    <cellStyle name="Input 28 2 3 3 4 2" xfId="44781" xr:uid="{00000000-0005-0000-0000-000061660000}"/>
    <cellStyle name="Input 28 2 3 3 4 3" xfId="48687" xr:uid="{00000000-0005-0000-0000-000062660000}"/>
    <cellStyle name="Input 28 2 3 3 4 4" xfId="36822" xr:uid="{00000000-0005-0000-0000-000063660000}"/>
    <cellStyle name="Input 28 2 3 3 5" xfId="21129" xr:uid="{00000000-0005-0000-0000-000064660000}"/>
    <cellStyle name="Input 28 2 3 3 5 2" xfId="46666" xr:uid="{00000000-0005-0000-0000-000065660000}"/>
    <cellStyle name="Input 28 2 3 3 5 3" xfId="50572" xr:uid="{00000000-0005-0000-0000-000066660000}"/>
    <cellStyle name="Input 28 2 3 3 5 4" xfId="38535" xr:uid="{00000000-0005-0000-0000-000067660000}"/>
    <cellStyle name="Input 28 2 3 3 6" xfId="21782" xr:uid="{00000000-0005-0000-0000-000068660000}"/>
    <cellStyle name="Input 28 2 3 3 6 2" xfId="47319" xr:uid="{00000000-0005-0000-0000-000069660000}"/>
    <cellStyle name="Input 28 2 3 3 6 3" xfId="51225" xr:uid="{00000000-0005-0000-0000-00006A660000}"/>
    <cellStyle name="Input 28 2 3 3 7" xfId="41122" xr:uid="{00000000-0005-0000-0000-00006B660000}"/>
    <cellStyle name="Input 28 2 3 3 8" xfId="41425" xr:uid="{00000000-0005-0000-0000-00006C660000}"/>
    <cellStyle name="Input 28 2 3 4" xfId="14886" xr:uid="{00000000-0005-0000-0000-00006D660000}"/>
    <cellStyle name="Input 28 2 3 4 2" xfId="43002" xr:uid="{00000000-0005-0000-0000-00006E660000}"/>
    <cellStyle name="Input 28 2 3 4 3" xfId="42541" xr:uid="{00000000-0005-0000-0000-00006F660000}"/>
    <cellStyle name="Input 28 2 3 4 4" xfId="32521" xr:uid="{00000000-0005-0000-0000-000070660000}"/>
    <cellStyle name="Input 28 2 3 5" xfId="13139" xr:uid="{00000000-0005-0000-0000-000071660000}"/>
    <cellStyle name="Input 28 2 3 5 2" xfId="42360" xr:uid="{00000000-0005-0000-0000-000072660000}"/>
    <cellStyle name="Input 28 2 3 5 3" xfId="40177" xr:uid="{00000000-0005-0000-0000-000073660000}"/>
    <cellStyle name="Input 28 2 3 5 4" xfId="30788" xr:uid="{00000000-0005-0000-0000-000074660000}"/>
    <cellStyle name="Input 28 2 3 6" xfId="11730" xr:uid="{00000000-0005-0000-0000-000075660000}"/>
    <cellStyle name="Input 28 2 3 6 2" xfId="41716" xr:uid="{00000000-0005-0000-0000-000076660000}"/>
    <cellStyle name="Input 28 2 3 6 3" xfId="41387" xr:uid="{00000000-0005-0000-0000-000077660000}"/>
    <cellStyle name="Input 28 2 3 6 4" xfId="29417" xr:uid="{00000000-0005-0000-0000-000078660000}"/>
    <cellStyle name="Input 28 2 3 7" xfId="20368" xr:uid="{00000000-0005-0000-0000-000079660000}"/>
    <cellStyle name="Input 28 2 3 7 2" xfId="45905" xr:uid="{00000000-0005-0000-0000-00007A660000}"/>
    <cellStyle name="Input 28 2 3 7 3" xfId="49811" xr:uid="{00000000-0005-0000-0000-00007B660000}"/>
    <cellStyle name="Input 28 2 3 7 4" xfId="37824" xr:uid="{00000000-0005-0000-0000-00007C660000}"/>
    <cellStyle name="Input 28 2 3 8" xfId="12029" xr:uid="{00000000-0005-0000-0000-00007D660000}"/>
    <cellStyle name="Input 28 2 3 8 2" xfId="41786" xr:uid="{00000000-0005-0000-0000-00007E660000}"/>
    <cellStyle name="Input 28 2 3 8 3" xfId="42002" xr:uid="{00000000-0005-0000-0000-00007F660000}"/>
    <cellStyle name="Input 28 2 3 9" xfId="39862" xr:uid="{00000000-0005-0000-0000-000080660000}"/>
    <cellStyle name="Input 28 2 4" xfId="53108" xr:uid="{00000000-0005-0000-0000-000081660000}"/>
    <cellStyle name="Input 28 2_Sheet1" xfId="1926" xr:uid="{00000000-0005-0000-0000-000082660000}"/>
    <cellStyle name="Input 28 3" xfId="1927" xr:uid="{00000000-0005-0000-0000-000083660000}"/>
    <cellStyle name="Input 28 3 2" xfId="7100" xr:uid="{00000000-0005-0000-0000-000084660000}"/>
    <cellStyle name="Input 28 3 2 10" xfId="39414" xr:uid="{00000000-0005-0000-0000-000085660000}"/>
    <cellStyle name="Input 28 3 2 2" xfId="10630" xr:uid="{00000000-0005-0000-0000-000086660000}"/>
    <cellStyle name="Input 28 3 2 2 2" xfId="18423" xr:uid="{00000000-0005-0000-0000-000087660000}"/>
    <cellStyle name="Input 28 3 2 2 2 2" xfId="43970" xr:uid="{00000000-0005-0000-0000-000088660000}"/>
    <cellStyle name="Input 28 3 2 2 2 3" xfId="47879" xr:uid="{00000000-0005-0000-0000-000089660000}"/>
    <cellStyle name="Input 28 3 2 2 2 4" xfId="36060" xr:uid="{00000000-0005-0000-0000-00008A660000}"/>
    <cellStyle name="Input 28 3 2 2 3" xfId="19127" xr:uid="{00000000-0005-0000-0000-00008B660000}"/>
    <cellStyle name="Input 28 3 2 2 3 2" xfId="44664" xr:uid="{00000000-0005-0000-0000-00008C660000}"/>
    <cellStyle name="Input 28 3 2 2 3 3" xfId="48570" xr:uid="{00000000-0005-0000-0000-00008D660000}"/>
    <cellStyle name="Input 28 3 2 2 3 4" xfId="36722" xr:uid="{00000000-0005-0000-0000-00008E660000}"/>
    <cellStyle name="Input 28 3 2 2 4" xfId="18919" xr:uid="{00000000-0005-0000-0000-00008F660000}"/>
    <cellStyle name="Input 28 3 2 2 4 2" xfId="44456" xr:uid="{00000000-0005-0000-0000-000090660000}"/>
    <cellStyle name="Input 28 3 2 2 4 3" xfId="48362" xr:uid="{00000000-0005-0000-0000-000091660000}"/>
    <cellStyle name="Input 28 3 2 2 4 4" xfId="36549" xr:uid="{00000000-0005-0000-0000-000092660000}"/>
    <cellStyle name="Input 28 3 2 2 5" xfId="20836" xr:uid="{00000000-0005-0000-0000-000093660000}"/>
    <cellStyle name="Input 28 3 2 2 5 2" xfId="46373" xr:uid="{00000000-0005-0000-0000-000094660000}"/>
    <cellStyle name="Input 28 3 2 2 5 3" xfId="50279" xr:uid="{00000000-0005-0000-0000-000095660000}"/>
    <cellStyle name="Input 28 3 2 2 5 4" xfId="38242" xr:uid="{00000000-0005-0000-0000-000096660000}"/>
    <cellStyle name="Input 28 3 2 2 6" xfId="21489" xr:uid="{00000000-0005-0000-0000-000097660000}"/>
    <cellStyle name="Input 28 3 2 2 6 2" xfId="47026" xr:uid="{00000000-0005-0000-0000-000098660000}"/>
    <cellStyle name="Input 28 3 2 2 6 3" xfId="50932" xr:uid="{00000000-0005-0000-0000-000099660000}"/>
    <cellStyle name="Input 28 3 2 2 7" xfId="40829" xr:uid="{00000000-0005-0000-0000-00009A660000}"/>
    <cellStyle name="Input 28 3 2 2 8" xfId="42611" xr:uid="{00000000-0005-0000-0000-00009B660000}"/>
    <cellStyle name="Input 28 3 2 3" xfId="10925" xr:uid="{00000000-0005-0000-0000-00009C660000}"/>
    <cellStyle name="Input 28 3 2 3 2" xfId="18718" xr:uid="{00000000-0005-0000-0000-00009D660000}"/>
    <cellStyle name="Input 28 3 2 3 2 2" xfId="44265" xr:uid="{00000000-0005-0000-0000-00009E660000}"/>
    <cellStyle name="Input 28 3 2 3 2 3" xfId="48174" xr:uid="{00000000-0005-0000-0000-00009F660000}"/>
    <cellStyle name="Input 28 3 2 3 2 4" xfId="36355" xr:uid="{00000000-0005-0000-0000-0000A0660000}"/>
    <cellStyle name="Input 28 3 2 3 3" xfId="19400" xr:uid="{00000000-0005-0000-0000-0000A1660000}"/>
    <cellStyle name="Input 28 3 2 3 3 2" xfId="44937" xr:uid="{00000000-0005-0000-0000-0000A2660000}"/>
    <cellStyle name="Input 28 3 2 3 3 3" xfId="48843" xr:uid="{00000000-0005-0000-0000-0000A3660000}"/>
    <cellStyle name="Input 28 3 2 3 3 4" xfId="36965" xr:uid="{00000000-0005-0000-0000-0000A4660000}"/>
    <cellStyle name="Input 28 3 2 3 4" xfId="19656" xr:uid="{00000000-0005-0000-0000-0000A5660000}"/>
    <cellStyle name="Input 28 3 2 3 4 2" xfId="45193" xr:uid="{00000000-0005-0000-0000-0000A6660000}"/>
    <cellStyle name="Input 28 3 2 3 4 3" xfId="49099" xr:uid="{00000000-0005-0000-0000-0000A7660000}"/>
    <cellStyle name="Input 28 3 2 3 4 4" xfId="37190" xr:uid="{00000000-0005-0000-0000-0000A8660000}"/>
    <cellStyle name="Input 28 3 2 3 5" xfId="21131" xr:uid="{00000000-0005-0000-0000-0000A9660000}"/>
    <cellStyle name="Input 28 3 2 3 5 2" xfId="46668" xr:uid="{00000000-0005-0000-0000-0000AA660000}"/>
    <cellStyle name="Input 28 3 2 3 5 3" xfId="50574" xr:uid="{00000000-0005-0000-0000-0000AB660000}"/>
    <cellStyle name="Input 28 3 2 3 5 4" xfId="38537" xr:uid="{00000000-0005-0000-0000-0000AC660000}"/>
    <cellStyle name="Input 28 3 2 3 6" xfId="21784" xr:uid="{00000000-0005-0000-0000-0000AD660000}"/>
    <cellStyle name="Input 28 3 2 3 6 2" xfId="47321" xr:uid="{00000000-0005-0000-0000-0000AE660000}"/>
    <cellStyle name="Input 28 3 2 3 6 3" xfId="51227" xr:uid="{00000000-0005-0000-0000-0000AF660000}"/>
    <cellStyle name="Input 28 3 2 3 7" xfId="41124" xr:uid="{00000000-0005-0000-0000-0000B0660000}"/>
    <cellStyle name="Input 28 3 2 3 8" xfId="40087" xr:uid="{00000000-0005-0000-0000-0000B1660000}"/>
    <cellStyle name="Input 28 3 2 4" xfId="14888" xr:uid="{00000000-0005-0000-0000-0000B2660000}"/>
    <cellStyle name="Input 28 3 2 4 2" xfId="43004" xr:uid="{00000000-0005-0000-0000-0000B3660000}"/>
    <cellStyle name="Input 28 3 2 4 3" xfId="40314" xr:uid="{00000000-0005-0000-0000-0000B4660000}"/>
    <cellStyle name="Input 28 3 2 4 4" xfId="32523" xr:uid="{00000000-0005-0000-0000-0000B5660000}"/>
    <cellStyle name="Input 28 3 2 5" xfId="13141" xr:uid="{00000000-0005-0000-0000-0000B6660000}"/>
    <cellStyle name="Input 28 3 2 5 2" xfId="42362" xr:uid="{00000000-0005-0000-0000-0000B7660000}"/>
    <cellStyle name="Input 28 3 2 5 3" xfId="41970" xr:uid="{00000000-0005-0000-0000-0000B8660000}"/>
    <cellStyle name="Input 28 3 2 5 4" xfId="30790" xr:uid="{00000000-0005-0000-0000-0000B9660000}"/>
    <cellStyle name="Input 28 3 2 6" xfId="19641" xr:uid="{00000000-0005-0000-0000-0000BA660000}"/>
    <cellStyle name="Input 28 3 2 6 2" xfId="45178" xr:uid="{00000000-0005-0000-0000-0000BB660000}"/>
    <cellStyle name="Input 28 3 2 6 3" xfId="49084" xr:uid="{00000000-0005-0000-0000-0000BC660000}"/>
    <cellStyle name="Input 28 3 2 6 4" xfId="37177" xr:uid="{00000000-0005-0000-0000-0000BD660000}"/>
    <cellStyle name="Input 28 3 2 7" xfId="11598" xr:uid="{00000000-0005-0000-0000-0000BE660000}"/>
    <cellStyle name="Input 28 3 2 7 2" xfId="41609" xr:uid="{00000000-0005-0000-0000-0000BF660000}"/>
    <cellStyle name="Input 28 3 2 7 3" xfId="42712" xr:uid="{00000000-0005-0000-0000-0000C0660000}"/>
    <cellStyle name="Input 28 3 2 7 4" xfId="29305" xr:uid="{00000000-0005-0000-0000-0000C1660000}"/>
    <cellStyle name="Input 28 3 2 8" xfId="11481" xr:uid="{00000000-0005-0000-0000-0000C2660000}"/>
    <cellStyle name="Input 28 3 2 8 2" xfId="41492" xr:uid="{00000000-0005-0000-0000-0000C3660000}"/>
    <cellStyle name="Input 28 3 2 8 3" xfId="39681" xr:uid="{00000000-0005-0000-0000-0000C4660000}"/>
    <cellStyle name="Input 28 3 2 9" xfId="39864" xr:uid="{00000000-0005-0000-0000-0000C5660000}"/>
    <cellStyle name="Input 28 3 3" xfId="53110" xr:uid="{00000000-0005-0000-0000-0000C6660000}"/>
    <cellStyle name="Input 28 4" xfId="7097" xr:uid="{00000000-0005-0000-0000-0000C7660000}"/>
    <cellStyle name="Input 28 4 10" xfId="42197" xr:uid="{00000000-0005-0000-0000-0000C8660000}"/>
    <cellStyle name="Input 28 4 11" xfId="53111" xr:uid="{00000000-0005-0000-0000-0000C9660000}"/>
    <cellStyle name="Input 28 4 2" xfId="10627" xr:uid="{00000000-0005-0000-0000-0000CA660000}"/>
    <cellStyle name="Input 28 4 2 2" xfId="18420" xr:uid="{00000000-0005-0000-0000-0000CB660000}"/>
    <cellStyle name="Input 28 4 2 2 2" xfId="43967" xr:uid="{00000000-0005-0000-0000-0000CC660000}"/>
    <cellStyle name="Input 28 4 2 2 3" xfId="47876" xr:uid="{00000000-0005-0000-0000-0000CD660000}"/>
    <cellStyle name="Input 28 4 2 2 4" xfId="36057" xr:uid="{00000000-0005-0000-0000-0000CE660000}"/>
    <cellStyle name="Input 28 4 2 3" xfId="20029" xr:uid="{00000000-0005-0000-0000-0000CF660000}"/>
    <cellStyle name="Input 28 4 2 3 2" xfId="45566" xr:uid="{00000000-0005-0000-0000-0000D0660000}"/>
    <cellStyle name="Input 28 4 2 3 3" xfId="49472" xr:uid="{00000000-0005-0000-0000-0000D1660000}"/>
    <cellStyle name="Input 28 4 2 3 4" xfId="37527" xr:uid="{00000000-0005-0000-0000-0000D2660000}"/>
    <cellStyle name="Input 28 4 2 4" xfId="12064" xr:uid="{00000000-0005-0000-0000-0000D3660000}"/>
    <cellStyle name="Input 28 4 2 4 2" xfId="41817" xr:uid="{00000000-0005-0000-0000-0000D4660000}"/>
    <cellStyle name="Input 28 4 2 4 3" xfId="42810" xr:uid="{00000000-0005-0000-0000-0000D5660000}"/>
    <cellStyle name="Input 28 4 2 4 4" xfId="29742" xr:uid="{00000000-0005-0000-0000-0000D6660000}"/>
    <cellStyle name="Input 28 4 2 5" xfId="20833" xr:uid="{00000000-0005-0000-0000-0000D7660000}"/>
    <cellStyle name="Input 28 4 2 5 2" xfId="46370" xr:uid="{00000000-0005-0000-0000-0000D8660000}"/>
    <cellStyle name="Input 28 4 2 5 3" xfId="50276" xr:uid="{00000000-0005-0000-0000-0000D9660000}"/>
    <cellStyle name="Input 28 4 2 5 4" xfId="38239" xr:uid="{00000000-0005-0000-0000-0000DA660000}"/>
    <cellStyle name="Input 28 4 2 6" xfId="21486" xr:uid="{00000000-0005-0000-0000-0000DB660000}"/>
    <cellStyle name="Input 28 4 2 6 2" xfId="47023" xr:uid="{00000000-0005-0000-0000-0000DC660000}"/>
    <cellStyle name="Input 28 4 2 6 3" xfId="50929" xr:uid="{00000000-0005-0000-0000-0000DD660000}"/>
    <cellStyle name="Input 28 4 2 7" xfId="40826" xr:uid="{00000000-0005-0000-0000-0000DE660000}"/>
    <cellStyle name="Input 28 4 2 8" xfId="43635" xr:uid="{00000000-0005-0000-0000-0000DF660000}"/>
    <cellStyle name="Input 28 4 3" xfId="10922" xr:uid="{00000000-0005-0000-0000-0000E0660000}"/>
    <cellStyle name="Input 28 4 3 2" xfId="18715" xr:uid="{00000000-0005-0000-0000-0000E1660000}"/>
    <cellStyle name="Input 28 4 3 2 2" xfId="44262" xr:uid="{00000000-0005-0000-0000-0000E2660000}"/>
    <cellStyle name="Input 28 4 3 2 3" xfId="48171" xr:uid="{00000000-0005-0000-0000-0000E3660000}"/>
    <cellStyle name="Input 28 4 3 2 4" xfId="36352" xr:uid="{00000000-0005-0000-0000-0000E4660000}"/>
    <cellStyle name="Input 28 4 3 3" xfId="13355" xr:uid="{00000000-0005-0000-0000-0000E5660000}"/>
    <cellStyle name="Input 28 4 3 3 2" xfId="42525" xr:uid="{00000000-0005-0000-0000-0000E6660000}"/>
    <cellStyle name="Input 28 4 3 3 3" xfId="40048" xr:uid="{00000000-0005-0000-0000-0000E7660000}"/>
    <cellStyle name="Input 28 4 3 3 4" xfId="30995" xr:uid="{00000000-0005-0000-0000-0000E8660000}"/>
    <cellStyle name="Input 28 4 3 4" xfId="12766" xr:uid="{00000000-0005-0000-0000-0000E9660000}"/>
    <cellStyle name="Input 28 4 3 4 2" xfId="42210" xr:uid="{00000000-0005-0000-0000-0000EA660000}"/>
    <cellStyle name="Input 28 4 3 4 3" xfId="39310" xr:uid="{00000000-0005-0000-0000-0000EB660000}"/>
    <cellStyle name="Input 28 4 3 4 4" xfId="30424" xr:uid="{00000000-0005-0000-0000-0000EC660000}"/>
    <cellStyle name="Input 28 4 3 5" xfId="21128" xr:uid="{00000000-0005-0000-0000-0000ED660000}"/>
    <cellStyle name="Input 28 4 3 5 2" xfId="46665" xr:uid="{00000000-0005-0000-0000-0000EE660000}"/>
    <cellStyle name="Input 28 4 3 5 3" xfId="50571" xr:uid="{00000000-0005-0000-0000-0000EF660000}"/>
    <cellStyle name="Input 28 4 3 5 4" xfId="38534" xr:uid="{00000000-0005-0000-0000-0000F0660000}"/>
    <cellStyle name="Input 28 4 3 6" xfId="21781" xr:uid="{00000000-0005-0000-0000-0000F1660000}"/>
    <cellStyle name="Input 28 4 3 6 2" xfId="47318" xr:uid="{00000000-0005-0000-0000-0000F2660000}"/>
    <cellStyle name="Input 28 4 3 6 3" xfId="51224" xr:uid="{00000000-0005-0000-0000-0000F3660000}"/>
    <cellStyle name="Input 28 4 3 7" xfId="41121" xr:uid="{00000000-0005-0000-0000-0000F4660000}"/>
    <cellStyle name="Input 28 4 3 8" xfId="39185" xr:uid="{00000000-0005-0000-0000-0000F5660000}"/>
    <cellStyle name="Input 28 4 4" xfId="14885" xr:uid="{00000000-0005-0000-0000-0000F6660000}"/>
    <cellStyle name="Input 28 4 4 2" xfId="43001" xr:uid="{00000000-0005-0000-0000-0000F7660000}"/>
    <cellStyle name="Input 28 4 4 3" xfId="39531" xr:uid="{00000000-0005-0000-0000-0000F8660000}"/>
    <cellStyle name="Input 28 4 4 4" xfId="32520" xr:uid="{00000000-0005-0000-0000-0000F9660000}"/>
    <cellStyle name="Input 28 4 5" xfId="13138" xr:uid="{00000000-0005-0000-0000-0000FA660000}"/>
    <cellStyle name="Input 28 4 5 2" xfId="42359" xr:uid="{00000000-0005-0000-0000-0000FB660000}"/>
    <cellStyle name="Input 28 4 5 3" xfId="43317" xr:uid="{00000000-0005-0000-0000-0000FC660000}"/>
    <cellStyle name="Input 28 4 5 4" xfId="30787" xr:uid="{00000000-0005-0000-0000-0000FD660000}"/>
    <cellStyle name="Input 28 4 6" xfId="19341" xr:uid="{00000000-0005-0000-0000-0000FE660000}"/>
    <cellStyle name="Input 28 4 6 2" xfId="44878" xr:uid="{00000000-0005-0000-0000-0000FF660000}"/>
    <cellStyle name="Input 28 4 6 3" xfId="48784" xr:uid="{00000000-0005-0000-0000-000000670000}"/>
    <cellStyle name="Input 28 4 6 4" xfId="36913" xr:uid="{00000000-0005-0000-0000-000001670000}"/>
    <cellStyle name="Input 28 4 7" xfId="11675" xr:uid="{00000000-0005-0000-0000-000002670000}"/>
    <cellStyle name="Input 28 4 7 2" xfId="41686" xr:uid="{00000000-0005-0000-0000-000003670000}"/>
    <cellStyle name="Input 28 4 7 3" xfId="39568" xr:uid="{00000000-0005-0000-0000-000004670000}"/>
    <cellStyle name="Input 28 4 7 4" xfId="29369" xr:uid="{00000000-0005-0000-0000-000005670000}"/>
    <cellStyle name="Input 28 4 8" xfId="19015" xr:uid="{00000000-0005-0000-0000-000006670000}"/>
    <cellStyle name="Input 28 4 8 2" xfId="44552" xr:uid="{00000000-0005-0000-0000-000007670000}"/>
    <cellStyle name="Input 28 4 8 3" xfId="48458" xr:uid="{00000000-0005-0000-0000-000008670000}"/>
    <cellStyle name="Input 28 4 9" xfId="39861" xr:uid="{00000000-0005-0000-0000-000009670000}"/>
    <cellStyle name="Input 28 5" xfId="22463" xr:uid="{00000000-0005-0000-0000-00000A670000}"/>
    <cellStyle name="Input 28 6" xfId="22916" xr:uid="{00000000-0005-0000-0000-00000B670000}"/>
    <cellStyle name="Input 28 7" xfId="53107" xr:uid="{00000000-0005-0000-0000-00000C670000}"/>
    <cellStyle name="Input 28_Sheet1" xfId="1928" xr:uid="{00000000-0005-0000-0000-00000D670000}"/>
    <cellStyle name="Input 29" xfId="1929" xr:uid="{00000000-0005-0000-0000-00000E670000}"/>
    <cellStyle name="Input 29 2" xfId="1930" xr:uid="{00000000-0005-0000-0000-00000F670000}"/>
    <cellStyle name="Input 29 2 2" xfId="1931" xr:uid="{00000000-0005-0000-0000-000010670000}"/>
    <cellStyle name="Input 29 2 2 2" xfId="7103" xr:uid="{00000000-0005-0000-0000-000011670000}"/>
    <cellStyle name="Input 29 2 2 2 10" xfId="47528" xr:uid="{00000000-0005-0000-0000-000012670000}"/>
    <cellStyle name="Input 29 2 2 2 2" xfId="10633" xr:uid="{00000000-0005-0000-0000-000013670000}"/>
    <cellStyle name="Input 29 2 2 2 2 2" xfId="18426" xr:uid="{00000000-0005-0000-0000-000014670000}"/>
    <cellStyle name="Input 29 2 2 2 2 2 2" xfId="43973" xr:uid="{00000000-0005-0000-0000-000015670000}"/>
    <cellStyle name="Input 29 2 2 2 2 2 3" xfId="47882" xr:uid="{00000000-0005-0000-0000-000016670000}"/>
    <cellStyle name="Input 29 2 2 2 2 2 4" xfId="36063" xr:uid="{00000000-0005-0000-0000-000017670000}"/>
    <cellStyle name="Input 29 2 2 2 2 3" xfId="19748" xr:uid="{00000000-0005-0000-0000-000018670000}"/>
    <cellStyle name="Input 29 2 2 2 2 3 2" xfId="45285" xr:uid="{00000000-0005-0000-0000-000019670000}"/>
    <cellStyle name="Input 29 2 2 2 2 3 3" xfId="49191" xr:uid="{00000000-0005-0000-0000-00001A670000}"/>
    <cellStyle name="Input 29 2 2 2 2 3 4" xfId="37275" xr:uid="{00000000-0005-0000-0000-00001B670000}"/>
    <cellStyle name="Input 29 2 2 2 2 4" xfId="19257" xr:uid="{00000000-0005-0000-0000-00001C670000}"/>
    <cellStyle name="Input 29 2 2 2 2 4 2" xfId="44794" xr:uid="{00000000-0005-0000-0000-00001D670000}"/>
    <cellStyle name="Input 29 2 2 2 2 4 3" xfId="48700" xr:uid="{00000000-0005-0000-0000-00001E670000}"/>
    <cellStyle name="Input 29 2 2 2 2 4 4" xfId="36835" xr:uid="{00000000-0005-0000-0000-00001F670000}"/>
    <cellStyle name="Input 29 2 2 2 2 5" xfId="20839" xr:uid="{00000000-0005-0000-0000-000020670000}"/>
    <cellStyle name="Input 29 2 2 2 2 5 2" xfId="46376" xr:uid="{00000000-0005-0000-0000-000021670000}"/>
    <cellStyle name="Input 29 2 2 2 2 5 3" xfId="50282" xr:uid="{00000000-0005-0000-0000-000022670000}"/>
    <cellStyle name="Input 29 2 2 2 2 5 4" xfId="38245" xr:uid="{00000000-0005-0000-0000-000023670000}"/>
    <cellStyle name="Input 29 2 2 2 2 6" xfId="21492" xr:uid="{00000000-0005-0000-0000-000024670000}"/>
    <cellStyle name="Input 29 2 2 2 2 6 2" xfId="47029" xr:uid="{00000000-0005-0000-0000-000025670000}"/>
    <cellStyle name="Input 29 2 2 2 2 6 3" xfId="50935" xr:uid="{00000000-0005-0000-0000-000026670000}"/>
    <cellStyle name="Input 29 2 2 2 2 7" xfId="40832" xr:uid="{00000000-0005-0000-0000-000027670000}"/>
    <cellStyle name="Input 29 2 2 2 2 8" xfId="39499" xr:uid="{00000000-0005-0000-0000-000028670000}"/>
    <cellStyle name="Input 29 2 2 2 3" xfId="10928" xr:uid="{00000000-0005-0000-0000-000029670000}"/>
    <cellStyle name="Input 29 2 2 2 3 2" xfId="18721" xr:uid="{00000000-0005-0000-0000-00002A670000}"/>
    <cellStyle name="Input 29 2 2 2 3 2 2" xfId="44268" xr:uid="{00000000-0005-0000-0000-00002B670000}"/>
    <cellStyle name="Input 29 2 2 2 3 2 3" xfId="48177" xr:uid="{00000000-0005-0000-0000-00002C670000}"/>
    <cellStyle name="Input 29 2 2 2 3 2 4" xfId="36358" xr:uid="{00000000-0005-0000-0000-00002D670000}"/>
    <cellStyle name="Input 29 2 2 2 3 3" xfId="19882" xr:uid="{00000000-0005-0000-0000-00002E670000}"/>
    <cellStyle name="Input 29 2 2 2 3 3 2" xfId="45419" xr:uid="{00000000-0005-0000-0000-00002F670000}"/>
    <cellStyle name="Input 29 2 2 2 3 3 3" xfId="49325" xr:uid="{00000000-0005-0000-0000-000030670000}"/>
    <cellStyle name="Input 29 2 2 2 3 3 4" xfId="37396" xr:uid="{00000000-0005-0000-0000-000031670000}"/>
    <cellStyle name="Input 29 2 2 2 3 4" xfId="20240" xr:uid="{00000000-0005-0000-0000-000032670000}"/>
    <cellStyle name="Input 29 2 2 2 3 4 2" xfId="45777" xr:uid="{00000000-0005-0000-0000-000033670000}"/>
    <cellStyle name="Input 29 2 2 2 3 4 3" xfId="49683" xr:uid="{00000000-0005-0000-0000-000034670000}"/>
    <cellStyle name="Input 29 2 2 2 3 4 4" xfId="37713" xr:uid="{00000000-0005-0000-0000-000035670000}"/>
    <cellStyle name="Input 29 2 2 2 3 5" xfId="21134" xr:uid="{00000000-0005-0000-0000-000036670000}"/>
    <cellStyle name="Input 29 2 2 2 3 5 2" xfId="46671" xr:uid="{00000000-0005-0000-0000-000037670000}"/>
    <cellStyle name="Input 29 2 2 2 3 5 3" xfId="50577" xr:uid="{00000000-0005-0000-0000-000038670000}"/>
    <cellStyle name="Input 29 2 2 2 3 5 4" xfId="38540" xr:uid="{00000000-0005-0000-0000-000039670000}"/>
    <cellStyle name="Input 29 2 2 2 3 6" xfId="21787" xr:uid="{00000000-0005-0000-0000-00003A670000}"/>
    <cellStyle name="Input 29 2 2 2 3 6 2" xfId="47324" xr:uid="{00000000-0005-0000-0000-00003B670000}"/>
    <cellStyle name="Input 29 2 2 2 3 6 3" xfId="51230" xr:uid="{00000000-0005-0000-0000-00003C670000}"/>
    <cellStyle name="Input 29 2 2 2 3 7" xfId="41127" xr:uid="{00000000-0005-0000-0000-00003D670000}"/>
    <cellStyle name="Input 29 2 2 2 3 8" xfId="40582" xr:uid="{00000000-0005-0000-0000-00003E670000}"/>
    <cellStyle name="Input 29 2 2 2 4" xfId="14891" xr:uid="{00000000-0005-0000-0000-00003F670000}"/>
    <cellStyle name="Input 29 2 2 2 4 2" xfId="43007" xr:uid="{00000000-0005-0000-0000-000040670000}"/>
    <cellStyle name="Input 29 2 2 2 4 3" xfId="43300" xr:uid="{00000000-0005-0000-0000-000041670000}"/>
    <cellStyle name="Input 29 2 2 2 4 4" xfId="32526" xr:uid="{00000000-0005-0000-0000-000042670000}"/>
    <cellStyle name="Input 29 2 2 2 5" xfId="11307" xr:uid="{00000000-0005-0000-0000-000043670000}"/>
    <cellStyle name="Input 29 2 2 2 5 2" xfId="41354" xr:uid="{00000000-0005-0000-0000-000044670000}"/>
    <cellStyle name="Input 29 2 2 2 5 3" xfId="42724" xr:uid="{00000000-0005-0000-0000-000045670000}"/>
    <cellStyle name="Input 29 2 2 2 5 4" xfId="29035" xr:uid="{00000000-0005-0000-0000-000046670000}"/>
    <cellStyle name="Input 29 2 2 2 6" xfId="19820" xr:uid="{00000000-0005-0000-0000-000047670000}"/>
    <cellStyle name="Input 29 2 2 2 6 2" xfId="45357" xr:uid="{00000000-0005-0000-0000-000048670000}"/>
    <cellStyle name="Input 29 2 2 2 6 3" xfId="49263" xr:uid="{00000000-0005-0000-0000-000049670000}"/>
    <cellStyle name="Input 29 2 2 2 6 4" xfId="37341" xr:uid="{00000000-0005-0000-0000-00004A670000}"/>
    <cellStyle name="Input 29 2 2 2 7" xfId="20483" xr:uid="{00000000-0005-0000-0000-00004B670000}"/>
    <cellStyle name="Input 29 2 2 2 7 2" xfId="46020" xr:uid="{00000000-0005-0000-0000-00004C670000}"/>
    <cellStyle name="Input 29 2 2 2 7 3" xfId="49926" xr:uid="{00000000-0005-0000-0000-00004D670000}"/>
    <cellStyle name="Input 29 2 2 2 7 4" xfId="37933" xr:uid="{00000000-0005-0000-0000-00004E670000}"/>
    <cellStyle name="Input 29 2 2 2 8" xfId="12078" xr:uid="{00000000-0005-0000-0000-00004F670000}"/>
    <cellStyle name="Input 29 2 2 2 8 2" xfId="41823" xr:uid="{00000000-0005-0000-0000-000050670000}"/>
    <cellStyle name="Input 29 2 2 2 8 3" xfId="40199" xr:uid="{00000000-0005-0000-0000-000051670000}"/>
    <cellStyle name="Input 29 2 2 2 9" xfId="39867" xr:uid="{00000000-0005-0000-0000-000052670000}"/>
    <cellStyle name="Input 29 2 2 3" xfId="53114" xr:uid="{00000000-0005-0000-0000-000053670000}"/>
    <cellStyle name="Input 29 2 3" xfId="7102" xr:uid="{00000000-0005-0000-0000-000054670000}"/>
    <cellStyle name="Input 29 2 3 10" xfId="39248" xr:uid="{00000000-0005-0000-0000-000055670000}"/>
    <cellStyle name="Input 29 2 3 2" xfId="10632" xr:uid="{00000000-0005-0000-0000-000056670000}"/>
    <cellStyle name="Input 29 2 3 2 2" xfId="18425" xr:uid="{00000000-0005-0000-0000-000057670000}"/>
    <cellStyle name="Input 29 2 3 2 2 2" xfId="43972" xr:uid="{00000000-0005-0000-0000-000058670000}"/>
    <cellStyle name="Input 29 2 3 2 2 3" xfId="47881" xr:uid="{00000000-0005-0000-0000-000059670000}"/>
    <cellStyle name="Input 29 2 3 2 2 4" xfId="36062" xr:uid="{00000000-0005-0000-0000-00005A670000}"/>
    <cellStyle name="Input 29 2 3 2 3" xfId="11499" xr:uid="{00000000-0005-0000-0000-00005B670000}"/>
    <cellStyle name="Input 29 2 3 2 3 2" xfId="41510" xr:uid="{00000000-0005-0000-0000-00005C670000}"/>
    <cellStyle name="Input 29 2 3 2 3 3" xfId="43711" xr:uid="{00000000-0005-0000-0000-00005D670000}"/>
    <cellStyle name="Input 29 2 3 2 3 4" xfId="29214" xr:uid="{00000000-0005-0000-0000-00005E670000}"/>
    <cellStyle name="Input 29 2 3 2 4" xfId="19379" xr:uid="{00000000-0005-0000-0000-00005F670000}"/>
    <cellStyle name="Input 29 2 3 2 4 2" xfId="44916" xr:uid="{00000000-0005-0000-0000-000060670000}"/>
    <cellStyle name="Input 29 2 3 2 4 3" xfId="48822" xr:uid="{00000000-0005-0000-0000-000061670000}"/>
    <cellStyle name="Input 29 2 3 2 4 4" xfId="36945" xr:uid="{00000000-0005-0000-0000-000062670000}"/>
    <cellStyle name="Input 29 2 3 2 5" xfId="20838" xr:uid="{00000000-0005-0000-0000-000063670000}"/>
    <cellStyle name="Input 29 2 3 2 5 2" xfId="46375" xr:uid="{00000000-0005-0000-0000-000064670000}"/>
    <cellStyle name="Input 29 2 3 2 5 3" xfId="50281" xr:uid="{00000000-0005-0000-0000-000065670000}"/>
    <cellStyle name="Input 29 2 3 2 5 4" xfId="38244" xr:uid="{00000000-0005-0000-0000-000066670000}"/>
    <cellStyle name="Input 29 2 3 2 6" xfId="21491" xr:uid="{00000000-0005-0000-0000-000067670000}"/>
    <cellStyle name="Input 29 2 3 2 6 2" xfId="47028" xr:uid="{00000000-0005-0000-0000-000068670000}"/>
    <cellStyle name="Input 29 2 3 2 6 3" xfId="50934" xr:uid="{00000000-0005-0000-0000-000069670000}"/>
    <cellStyle name="Input 29 2 3 2 7" xfId="40831" xr:uid="{00000000-0005-0000-0000-00006A670000}"/>
    <cellStyle name="Input 29 2 3 2 8" xfId="40387" xr:uid="{00000000-0005-0000-0000-00006B670000}"/>
    <cellStyle name="Input 29 2 3 3" xfId="10927" xr:uid="{00000000-0005-0000-0000-00006C670000}"/>
    <cellStyle name="Input 29 2 3 3 2" xfId="18720" xr:uid="{00000000-0005-0000-0000-00006D670000}"/>
    <cellStyle name="Input 29 2 3 3 2 2" xfId="44267" xr:uid="{00000000-0005-0000-0000-00006E670000}"/>
    <cellStyle name="Input 29 2 3 3 2 3" xfId="48176" xr:uid="{00000000-0005-0000-0000-00006F670000}"/>
    <cellStyle name="Input 29 2 3 3 2 4" xfId="36357" xr:uid="{00000000-0005-0000-0000-000070670000}"/>
    <cellStyle name="Input 29 2 3 3 3" xfId="19273" xr:uid="{00000000-0005-0000-0000-000071670000}"/>
    <cellStyle name="Input 29 2 3 3 3 2" xfId="44810" xr:uid="{00000000-0005-0000-0000-000072670000}"/>
    <cellStyle name="Input 29 2 3 3 3 3" xfId="48716" xr:uid="{00000000-0005-0000-0000-000073670000}"/>
    <cellStyle name="Input 29 2 3 3 3 4" xfId="36851" xr:uid="{00000000-0005-0000-0000-000074670000}"/>
    <cellStyle name="Input 29 2 3 3 4" xfId="19042" xr:uid="{00000000-0005-0000-0000-000075670000}"/>
    <cellStyle name="Input 29 2 3 3 4 2" xfId="44579" xr:uid="{00000000-0005-0000-0000-000076670000}"/>
    <cellStyle name="Input 29 2 3 3 4 3" xfId="48485" xr:uid="{00000000-0005-0000-0000-000077670000}"/>
    <cellStyle name="Input 29 2 3 3 4 4" xfId="36646" xr:uid="{00000000-0005-0000-0000-000078670000}"/>
    <cellStyle name="Input 29 2 3 3 5" xfId="21133" xr:uid="{00000000-0005-0000-0000-000079670000}"/>
    <cellStyle name="Input 29 2 3 3 5 2" xfId="46670" xr:uid="{00000000-0005-0000-0000-00007A670000}"/>
    <cellStyle name="Input 29 2 3 3 5 3" xfId="50576" xr:uid="{00000000-0005-0000-0000-00007B670000}"/>
    <cellStyle name="Input 29 2 3 3 5 4" xfId="38539" xr:uid="{00000000-0005-0000-0000-00007C670000}"/>
    <cellStyle name="Input 29 2 3 3 6" xfId="21786" xr:uid="{00000000-0005-0000-0000-00007D670000}"/>
    <cellStyle name="Input 29 2 3 3 6 2" xfId="47323" xr:uid="{00000000-0005-0000-0000-00007E670000}"/>
    <cellStyle name="Input 29 2 3 3 6 3" xfId="51229" xr:uid="{00000000-0005-0000-0000-00007F670000}"/>
    <cellStyle name="Input 29 2 3 3 7" xfId="41126" xr:uid="{00000000-0005-0000-0000-000080670000}"/>
    <cellStyle name="Input 29 2 3 3 8" xfId="43723" xr:uid="{00000000-0005-0000-0000-000081670000}"/>
    <cellStyle name="Input 29 2 3 4" xfId="14890" xr:uid="{00000000-0005-0000-0000-000082670000}"/>
    <cellStyle name="Input 29 2 3 4 2" xfId="43006" xr:uid="{00000000-0005-0000-0000-000083670000}"/>
    <cellStyle name="Input 29 2 3 4 3" xfId="41946" xr:uid="{00000000-0005-0000-0000-000084670000}"/>
    <cellStyle name="Input 29 2 3 4 4" xfId="32525" xr:uid="{00000000-0005-0000-0000-000085670000}"/>
    <cellStyle name="Input 29 2 3 5" xfId="12475" xr:uid="{00000000-0005-0000-0000-000086670000}"/>
    <cellStyle name="Input 29 2 3 5 2" xfId="41996" xr:uid="{00000000-0005-0000-0000-000087670000}"/>
    <cellStyle name="Input 29 2 3 5 3" xfId="40062" xr:uid="{00000000-0005-0000-0000-000088670000}"/>
    <cellStyle name="Input 29 2 3 5 4" xfId="30146" xr:uid="{00000000-0005-0000-0000-000089670000}"/>
    <cellStyle name="Input 29 2 3 6" xfId="19495" xr:uid="{00000000-0005-0000-0000-00008A670000}"/>
    <cellStyle name="Input 29 2 3 6 2" xfId="45032" xr:uid="{00000000-0005-0000-0000-00008B670000}"/>
    <cellStyle name="Input 29 2 3 6 3" xfId="48938" xr:uid="{00000000-0005-0000-0000-00008C670000}"/>
    <cellStyle name="Input 29 2 3 6 4" xfId="37049" xr:uid="{00000000-0005-0000-0000-00008D670000}"/>
    <cellStyle name="Input 29 2 3 7" xfId="20331" xr:uid="{00000000-0005-0000-0000-00008E670000}"/>
    <cellStyle name="Input 29 2 3 7 2" xfId="45868" xr:uid="{00000000-0005-0000-0000-00008F670000}"/>
    <cellStyle name="Input 29 2 3 7 3" xfId="49774" xr:uid="{00000000-0005-0000-0000-000090670000}"/>
    <cellStyle name="Input 29 2 3 7 4" xfId="37795" xr:uid="{00000000-0005-0000-0000-000091670000}"/>
    <cellStyle name="Input 29 2 3 8" xfId="20380" xr:uid="{00000000-0005-0000-0000-000092670000}"/>
    <cellStyle name="Input 29 2 3 8 2" xfId="45917" xr:uid="{00000000-0005-0000-0000-000093670000}"/>
    <cellStyle name="Input 29 2 3 8 3" xfId="49823" xr:uid="{00000000-0005-0000-0000-000094670000}"/>
    <cellStyle name="Input 29 2 3 9" xfId="39866" xr:uid="{00000000-0005-0000-0000-000095670000}"/>
    <cellStyle name="Input 29 2 4" xfId="53113" xr:uid="{00000000-0005-0000-0000-000096670000}"/>
    <cellStyle name="Input 29 2_Sheet1" xfId="1932" xr:uid="{00000000-0005-0000-0000-000097670000}"/>
    <cellStyle name="Input 29 3" xfId="1933" xr:uid="{00000000-0005-0000-0000-000098670000}"/>
    <cellStyle name="Input 29 3 2" xfId="7104" xr:uid="{00000000-0005-0000-0000-000099670000}"/>
    <cellStyle name="Input 29 3 2 10" xfId="47552" xr:uid="{00000000-0005-0000-0000-00009A670000}"/>
    <cellStyle name="Input 29 3 2 2" xfId="10634" xr:uid="{00000000-0005-0000-0000-00009B670000}"/>
    <cellStyle name="Input 29 3 2 2 2" xfId="18427" xr:uid="{00000000-0005-0000-0000-00009C670000}"/>
    <cellStyle name="Input 29 3 2 2 2 2" xfId="43974" xr:uid="{00000000-0005-0000-0000-00009D670000}"/>
    <cellStyle name="Input 29 3 2 2 2 3" xfId="47883" xr:uid="{00000000-0005-0000-0000-00009E670000}"/>
    <cellStyle name="Input 29 3 2 2 2 4" xfId="36064" xr:uid="{00000000-0005-0000-0000-00009F670000}"/>
    <cellStyle name="Input 29 3 2 2 3" xfId="20165" xr:uid="{00000000-0005-0000-0000-0000A0670000}"/>
    <cellStyle name="Input 29 3 2 2 3 2" xfId="45702" xr:uid="{00000000-0005-0000-0000-0000A1670000}"/>
    <cellStyle name="Input 29 3 2 2 3 3" xfId="49608" xr:uid="{00000000-0005-0000-0000-0000A2670000}"/>
    <cellStyle name="Input 29 3 2 2 3 4" xfId="37651" xr:uid="{00000000-0005-0000-0000-0000A3670000}"/>
    <cellStyle name="Input 29 3 2 2 4" xfId="11538" xr:uid="{00000000-0005-0000-0000-0000A4670000}"/>
    <cellStyle name="Input 29 3 2 2 4 2" xfId="41549" xr:uid="{00000000-0005-0000-0000-0000A5670000}"/>
    <cellStyle name="Input 29 3 2 2 4 3" xfId="42818" xr:uid="{00000000-0005-0000-0000-0000A6670000}"/>
    <cellStyle name="Input 29 3 2 2 4 4" xfId="29252" xr:uid="{00000000-0005-0000-0000-0000A7670000}"/>
    <cellStyle name="Input 29 3 2 2 5" xfId="20840" xr:uid="{00000000-0005-0000-0000-0000A8670000}"/>
    <cellStyle name="Input 29 3 2 2 5 2" xfId="46377" xr:uid="{00000000-0005-0000-0000-0000A9670000}"/>
    <cellStyle name="Input 29 3 2 2 5 3" xfId="50283" xr:uid="{00000000-0005-0000-0000-0000AA670000}"/>
    <cellStyle name="Input 29 3 2 2 5 4" xfId="38246" xr:uid="{00000000-0005-0000-0000-0000AB670000}"/>
    <cellStyle name="Input 29 3 2 2 6" xfId="21493" xr:uid="{00000000-0005-0000-0000-0000AC670000}"/>
    <cellStyle name="Input 29 3 2 2 6 2" xfId="47030" xr:uid="{00000000-0005-0000-0000-0000AD670000}"/>
    <cellStyle name="Input 29 3 2 2 6 3" xfId="50936" xr:uid="{00000000-0005-0000-0000-0000AE670000}"/>
    <cellStyle name="Input 29 3 2 2 7" xfId="40833" xr:uid="{00000000-0005-0000-0000-0000AF670000}"/>
    <cellStyle name="Input 29 3 2 2 8" xfId="42073" xr:uid="{00000000-0005-0000-0000-0000B0670000}"/>
    <cellStyle name="Input 29 3 2 3" xfId="10929" xr:uid="{00000000-0005-0000-0000-0000B1670000}"/>
    <cellStyle name="Input 29 3 2 3 2" xfId="18722" xr:uid="{00000000-0005-0000-0000-0000B2670000}"/>
    <cellStyle name="Input 29 3 2 3 2 2" xfId="44269" xr:uid="{00000000-0005-0000-0000-0000B3670000}"/>
    <cellStyle name="Input 29 3 2 3 2 3" xfId="48178" xr:uid="{00000000-0005-0000-0000-0000B4670000}"/>
    <cellStyle name="Input 29 3 2 3 2 4" xfId="36359" xr:uid="{00000000-0005-0000-0000-0000B5670000}"/>
    <cellStyle name="Input 29 3 2 3 3" xfId="19105" xr:uid="{00000000-0005-0000-0000-0000B6670000}"/>
    <cellStyle name="Input 29 3 2 3 3 2" xfId="44642" xr:uid="{00000000-0005-0000-0000-0000B7670000}"/>
    <cellStyle name="Input 29 3 2 3 3 3" xfId="48548" xr:uid="{00000000-0005-0000-0000-0000B8670000}"/>
    <cellStyle name="Input 29 3 2 3 3 4" xfId="36700" xr:uid="{00000000-0005-0000-0000-0000B9670000}"/>
    <cellStyle name="Input 29 3 2 3 4" xfId="19383" xr:uid="{00000000-0005-0000-0000-0000BA670000}"/>
    <cellStyle name="Input 29 3 2 3 4 2" xfId="44920" xr:uid="{00000000-0005-0000-0000-0000BB670000}"/>
    <cellStyle name="Input 29 3 2 3 4 3" xfId="48826" xr:uid="{00000000-0005-0000-0000-0000BC670000}"/>
    <cellStyle name="Input 29 3 2 3 4 4" xfId="36949" xr:uid="{00000000-0005-0000-0000-0000BD670000}"/>
    <cellStyle name="Input 29 3 2 3 5" xfId="21135" xr:uid="{00000000-0005-0000-0000-0000BE670000}"/>
    <cellStyle name="Input 29 3 2 3 5 2" xfId="46672" xr:uid="{00000000-0005-0000-0000-0000BF670000}"/>
    <cellStyle name="Input 29 3 2 3 5 3" xfId="50578" xr:uid="{00000000-0005-0000-0000-0000C0670000}"/>
    <cellStyle name="Input 29 3 2 3 5 4" xfId="38541" xr:uid="{00000000-0005-0000-0000-0000C1670000}"/>
    <cellStyle name="Input 29 3 2 3 6" xfId="21788" xr:uid="{00000000-0005-0000-0000-0000C2670000}"/>
    <cellStyle name="Input 29 3 2 3 6 2" xfId="47325" xr:uid="{00000000-0005-0000-0000-0000C3670000}"/>
    <cellStyle name="Input 29 3 2 3 6 3" xfId="51231" xr:uid="{00000000-0005-0000-0000-0000C4670000}"/>
    <cellStyle name="Input 29 3 2 3 7" xfId="41128" xr:uid="{00000000-0005-0000-0000-0000C5670000}"/>
    <cellStyle name="Input 29 3 2 3 8" xfId="39693" xr:uid="{00000000-0005-0000-0000-0000C6670000}"/>
    <cellStyle name="Input 29 3 2 4" xfId="14892" xr:uid="{00000000-0005-0000-0000-0000C7670000}"/>
    <cellStyle name="Input 29 3 2 4 2" xfId="43008" xr:uid="{00000000-0005-0000-0000-0000C8670000}"/>
    <cellStyle name="Input 29 3 2 4 3" xfId="40159" xr:uid="{00000000-0005-0000-0000-0000C9670000}"/>
    <cellStyle name="Input 29 3 2 4 4" xfId="32527" xr:uid="{00000000-0005-0000-0000-0000CA670000}"/>
    <cellStyle name="Input 29 3 2 5" xfId="11306" xr:uid="{00000000-0005-0000-0000-0000CB670000}"/>
    <cellStyle name="Input 29 3 2 5 2" xfId="41353" xr:uid="{00000000-0005-0000-0000-0000CC670000}"/>
    <cellStyle name="Input 29 3 2 5 3" xfId="39687" xr:uid="{00000000-0005-0000-0000-0000CD670000}"/>
    <cellStyle name="Input 29 3 2 5 4" xfId="29034" xr:uid="{00000000-0005-0000-0000-0000CE670000}"/>
    <cellStyle name="Input 29 3 2 6" xfId="19792" xr:uid="{00000000-0005-0000-0000-0000CF670000}"/>
    <cellStyle name="Input 29 3 2 6 2" xfId="45329" xr:uid="{00000000-0005-0000-0000-0000D0670000}"/>
    <cellStyle name="Input 29 3 2 6 3" xfId="49235" xr:uid="{00000000-0005-0000-0000-0000D1670000}"/>
    <cellStyle name="Input 29 3 2 6 4" xfId="37316" xr:uid="{00000000-0005-0000-0000-0000D2670000}"/>
    <cellStyle name="Input 29 3 2 7" xfId="19232" xr:uid="{00000000-0005-0000-0000-0000D3670000}"/>
    <cellStyle name="Input 29 3 2 7 2" xfId="44769" xr:uid="{00000000-0005-0000-0000-0000D4670000}"/>
    <cellStyle name="Input 29 3 2 7 3" xfId="48675" xr:uid="{00000000-0005-0000-0000-0000D5670000}"/>
    <cellStyle name="Input 29 3 2 7 4" xfId="36814" xr:uid="{00000000-0005-0000-0000-0000D6670000}"/>
    <cellStyle name="Input 29 3 2 8" xfId="18922" xr:uid="{00000000-0005-0000-0000-0000D7670000}"/>
    <cellStyle name="Input 29 3 2 8 2" xfId="44459" xr:uid="{00000000-0005-0000-0000-0000D8670000}"/>
    <cellStyle name="Input 29 3 2 8 3" xfId="48365" xr:uid="{00000000-0005-0000-0000-0000D9670000}"/>
    <cellStyle name="Input 29 3 2 9" xfId="39868" xr:uid="{00000000-0005-0000-0000-0000DA670000}"/>
    <cellStyle name="Input 29 3 3" xfId="53115" xr:uid="{00000000-0005-0000-0000-0000DB670000}"/>
    <cellStyle name="Input 29 4" xfId="7101" xr:uid="{00000000-0005-0000-0000-0000DC670000}"/>
    <cellStyle name="Input 29 4 10" xfId="39249" xr:uid="{00000000-0005-0000-0000-0000DD670000}"/>
    <cellStyle name="Input 29 4 11" xfId="53116" xr:uid="{00000000-0005-0000-0000-0000DE670000}"/>
    <cellStyle name="Input 29 4 2" xfId="10631" xr:uid="{00000000-0005-0000-0000-0000DF670000}"/>
    <cellStyle name="Input 29 4 2 2" xfId="18424" xr:uid="{00000000-0005-0000-0000-0000E0670000}"/>
    <cellStyle name="Input 29 4 2 2 2" xfId="43971" xr:uid="{00000000-0005-0000-0000-0000E1670000}"/>
    <cellStyle name="Input 29 4 2 2 3" xfId="47880" xr:uid="{00000000-0005-0000-0000-0000E2670000}"/>
    <cellStyle name="Input 29 4 2 2 4" xfId="36061" xr:uid="{00000000-0005-0000-0000-0000E3670000}"/>
    <cellStyle name="Input 29 4 2 3" xfId="19746" xr:uid="{00000000-0005-0000-0000-0000E4670000}"/>
    <cellStyle name="Input 29 4 2 3 2" xfId="45283" xr:uid="{00000000-0005-0000-0000-0000E5670000}"/>
    <cellStyle name="Input 29 4 2 3 3" xfId="49189" xr:uid="{00000000-0005-0000-0000-0000E6670000}"/>
    <cellStyle name="Input 29 4 2 3 4" xfId="37273" xr:uid="{00000000-0005-0000-0000-0000E7670000}"/>
    <cellStyle name="Input 29 4 2 4" xfId="12696" xr:uid="{00000000-0005-0000-0000-0000E8670000}"/>
    <cellStyle name="Input 29 4 2 4 2" xfId="42175" xr:uid="{00000000-0005-0000-0000-0000E9670000}"/>
    <cellStyle name="Input 29 4 2 4 3" xfId="43476" xr:uid="{00000000-0005-0000-0000-0000EA670000}"/>
    <cellStyle name="Input 29 4 2 4 4" xfId="30357" xr:uid="{00000000-0005-0000-0000-0000EB670000}"/>
    <cellStyle name="Input 29 4 2 5" xfId="20837" xr:uid="{00000000-0005-0000-0000-0000EC670000}"/>
    <cellStyle name="Input 29 4 2 5 2" xfId="46374" xr:uid="{00000000-0005-0000-0000-0000ED670000}"/>
    <cellStyle name="Input 29 4 2 5 3" xfId="50280" xr:uid="{00000000-0005-0000-0000-0000EE670000}"/>
    <cellStyle name="Input 29 4 2 5 4" xfId="38243" xr:uid="{00000000-0005-0000-0000-0000EF670000}"/>
    <cellStyle name="Input 29 4 2 6" xfId="21490" xr:uid="{00000000-0005-0000-0000-0000F0670000}"/>
    <cellStyle name="Input 29 4 2 6 2" xfId="47027" xr:uid="{00000000-0005-0000-0000-0000F1670000}"/>
    <cellStyle name="Input 29 4 2 6 3" xfId="50933" xr:uid="{00000000-0005-0000-0000-0000F2670000}"/>
    <cellStyle name="Input 29 4 2 7" xfId="40830" xr:uid="{00000000-0005-0000-0000-0000F3670000}"/>
    <cellStyle name="Input 29 4 2 8" xfId="43524" xr:uid="{00000000-0005-0000-0000-0000F4670000}"/>
    <cellStyle name="Input 29 4 3" xfId="10926" xr:uid="{00000000-0005-0000-0000-0000F5670000}"/>
    <cellStyle name="Input 29 4 3 2" xfId="18719" xr:uid="{00000000-0005-0000-0000-0000F6670000}"/>
    <cellStyle name="Input 29 4 3 2 2" xfId="44266" xr:uid="{00000000-0005-0000-0000-0000F7670000}"/>
    <cellStyle name="Input 29 4 3 2 3" xfId="48175" xr:uid="{00000000-0005-0000-0000-0000F8670000}"/>
    <cellStyle name="Input 29 4 3 2 4" xfId="36356" xr:uid="{00000000-0005-0000-0000-0000F9670000}"/>
    <cellStyle name="Input 29 4 3 3" xfId="20007" xr:uid="{00000000-0005-0000-0000-0000FA670000}"/>
    <cellStyle name="Input 29 4 3 3 2" xfId="45544" xr:uid="{00000000-0005-0000-0000-0000FB670000}"/>
    <cellStyle name="Input 29 4 3 3 3" xfId="49450" xr:uid="{00000000-0005-0000-0000-0000FC670000}"/>
    <cellStyle name="Input 29 4 3 3 4" xfId="37505" xr:uid="{00000000-0005-0000-0000-0000FD670000}"/>
    <cellStyle name="Input 29 4 3 4" xfId="20242" xr:uid="{00000000-0005-0000-0000-0000FE670000}"/>
    <cellStyle name="Input 29 4 3 4 2" xfId="45779" xr:uid="{00000000-0005-0000-0000-0000FF670000}"/>
    <cellStyle name="Input 29 4 3 4 3" xfId="49685" xr:uid="{00000000-0005-0000-0000-000000680000}"/>
    <cellStyle name="Input 29 4 3 4 4" xfId="37715" xr:uid="{00000000-0005-0000-0000-000001680000}"/>
    <cellStyle name="Input 29 4 3 5" xfId="21132" xr:uid="{00000000-0005-0000-0000-000002680000}"/>
    <cellStyle name="Input 29 4 3 5 2" xfId="46669" xr:uid="{00000000-0005-0000-0000-000003680000}"/>
    <cellStyle name="Input 29 4 3 5 3" xfId="50575" xr:uid="{00000000-0005-0000-0000-000004680000}"/>
    <cellStyle name="Input 29 4 3 5 4" xfId="38538" xr:uid="{00000000-0005-0000-0000-000005680000}"/>
    <cellStyle name="Input 29 4 3 6" xfId="21785" xr:uid="{00000000-0005-0000-0000-000006680000}"/>
    <cellStyle name="Input 29 4 3 6 2" xfId="47322" xr:uid="{00000000-0005-0000-0000-000007680000}"/>
    <cellStyle name="Input 29 4 3 6 3" xfId="51228" xr:uid="{00000000-0005-0000-0000-000008680000}"/>
    <cellStyle name="Input 29 4 3 7" xfId="41125" xr:uid="{00000000-0005-0000-0000-000009680000}"/>
    <cellStyle name="Input 29 4 3 8" xfId="42834" xr:uid="{00000000-0005-0000-0000-00000A680000}"/>
    <cellStyle name="Input 29 4 4" xfId="14889" xr:uid="{00000000-0005-0000-0000-00000B680000}"/>
    <cellStyle name="Input 29 4 4 2" xfId="43005" xr:uid="{00000000-0005-0000-0000-00000C680000}"/>
    <cellStyle name="Input 29 4 4 3" xfId="39431" xr:uid="{00000000-0005-0000-0000-00000D680000}"/>
    <cellStyle name="Input 29 4 4 4" xfId="32524" xr:uid="{00000000-0005-0000-0000-00000E680000}"/>
    <cellStyle name="Input 29 4 5" xfId="11305" xr:uid="{00000000-0005-0000-0000-00000F680000}"/>
    <cellStyle name="Input 29 4 5 2" xfId="41352" xr:uid="{00000000-0005-0000-0000-000010680000}"/>
    <cellStyle name="Input 29 4 5 3" xfId="40576" xr:uid="{00000000-0005-0000-0000-000011680000}"/>
    <cellStyle name="Input 29 4 5 4" xfId="29033" xr:uid="{00000000-0005-0000-0000-000012680000}"/>
    <cellStyle name="Input 29 4 6" xfId="13903" xr:uid="{00000000-0005-0000-0000-000013680000}"/>
    <cellStyle name="Input 29 4 6 2" xfId="42638" xr:uid="{00000000-0005-0000-0000-000014680000}"/>
    <cellStyle name="Input 29 4 6 3" xfId="40429" xr:uid="{00000000-0005-0000-0000-000015680000}"/>
    <cellStyle name="Input 29 4 6 4" xfId="31542" xr:uid="{00000000-0005-0000-0000-000016680000}"/>
    <cellStyle name="Input 29 4 7" xfId="20062" xr:uid="{00000000-0005-0000-0000-000017680000}"/>
    <cellStyle name="Input 29 4 7 2" xfId="45599" xr:uid="{00000000-0005-0000-0000-000018680000}"/>
    <cellStyle name="Input 29 4 7 3" xfId="49505" xr:uid="{00000000-0005-0000-0000-000019680000}"/>
    <cellStyle name="Input 29 4 7 4" xfId="37557" xr:uid="{00000000-0005-0000-0000-00001A680000}"/>
    <cellStyle name="Input 29 4 8" xfId="20287" xr:uid="{00000000-0005-0000-0000-00001B680000}"/>
    <cellStyle name="Input 29 4 8 2" xfId="45824" xr:uid="{00000000-0005-0000-0000-00001C680000}"/>
    <cellStyle name="Input 29 4 8 3" xfId="49730" xr:uid="{00000000-0005-0000-0000-00001D680000}"/>
    <cellStyle name="Input 29 4 9" xfId="39865" xr:uid="{00000000-0005-0000-0000-00001E680000}"/>
    <cellStyle name="Input 29 5" xfId="22464" xr:uid="{00000000-0005-0000-0000-00001F680000}"/>
    <cellStyle name="Input 29 6" xfId="22915" xr:uid="{00000000-0005-0000-0000-000020680000}"/>
    <cellStyle name="Input 29 7" xfId="53112" xr:uid="{00000000-0005-0000-0000-000021680000}"/>
    <cellStyle name="Input 29_Sheet1" xfId="1934" xr:uid="{00000000-0005-0000-0000-000022680000}"/>
    <cellStyle name="Input 3" xfId="107" xr:uid="{00000000-0005-0000-0000-000023680000}"/>
    <cellStyle name="Input 3 10" xfId="1936" xr:uid="{00000000-0005-0000-0000-000024680000}"/>
    <cellStyle name="Input 3 10 2" xfId="7106" xr:uid="{00000000-0005-0000-0000-000025680000}"/>
    <cellStyle name="Input 3 10 2 10" xfId="39247" xr:uid="{00000000-0005-0000-0000-000026680000}"/>
    <cellStyle name="Input 3 10 2 2" xfId="10636" xr:uid="{00000000-0005-0000-0000-000027680000}"/>
    <cellStyle name="Input 3 10 2 2 2" xfId="18429" xr:uid="{00000000-0005-0000-0000-000028680000}"/>
    <cellStyle name="Input 3 10 2 2 2 2" xfId="43976" xr:uid="{00000000-0005-0000-0000-000029680000}"/>
    <cellStyle name="Input 3 10 2 2 2 3" xfId="47885" xr:uid="{00000000-0005-0000-0000-00002A680000}"/>
    <cellStyle name="Input 3 10 2 2 2 4" xfId="36066" xr:uid="{00000000-0005-0000-0000-00002B680000}"/>
    <cellStyle name="Input 3 10 2 2 3" xfId="20031" xr:uid="{00000000-0005-0000-0000-00002C680000}"/>
    <cellStyle name="Input 3 10 2 2 3 2" xfId="45568" xr:uid="{00000000-0005-0000-0000-00002D680000}"/>
    <cellStyle name="Input 3 10 2 2 3 3" xfId="49474" xr:uid="{00000000-0005-0000-0000-00002E680000}"/>
    <cellStyle name="Input 3 10 2 2 3 4" xfId="37529" xr:uid="{00000000-0005-0000-0000-00002F680000}"/>
    <cellStyle name="Input 3 10 2 2 4" xfId="11174" xr:uid="{00000000-0005-0000-0000-000030680000}"/>
    <cellStyle name="Input 3 10 2 2 4 2" xfId="41297" xr:uid="{00000000-0005-0000-0000-000031680000}"/>
    <cellStyle name="Input 3 10 2 2 4 3" xfId="40081" xr:uid="{00000000-0005-0000-0000-000032680000}"/>
    <cellStyle name="Input 3 10 2 2 4 4" xfId="28902" xr:uid="{00000000-0005-0000-0000-000033680000}"/>
    <cellStyle name="Input 3 10 2 2 5" xfId="20842" xr:uid="{00000000-0005-0000-0000-000034680000}"/>
    <cellStyle name="Input 3 10 2 2 5 2" xfId="46379" xr:uid="{00000000-0005-0000-0000-000035680000}"/>
    <cellStyle name="Input 3 10 2 2 5 3" xfId="50285" xr:uid="{00000000-0005-0000-0000-000036680000}"/>
    <cellStyle name="Input 3 10 2 2 5 4" xfId="38248" xr:uid="{00000000-0005-0000-0000-000037680000}"/>
    <cellStyle name="Input 3 10 2 2 6" xfId="21495" xr:uid="{00000000-0005-0000-0000-000038680000}"/>
    <cellStyle name="Input 3 10 2 2 6 2" xfId="47032" xr:uid="{00000000-0005-0000-0000-000039680000}"/>
    <cellStyle name="Input 3 10 2 2 6 3" xfId="50938" xr:uid="{00000000-0005-0000-0000-00003A680000}"/>
    <cellStyle name="Input 3 10 2 2 7" xfId="40835" xr:uid="{00000000-0005-0000-0000-00003B680000}"/>
    <cellStyle name="Input 3 10 2 2 8" xfId="40254" xr:uid="{00000000-0005-0000-0000-00003C680000}"/>
    <cellStyle name="Input 3 10 2 3" xfId="10931" xr:uid="{00000000-0005-0000-0000-00003D680000}"/>
    <cellStyle name="Input 3 10 2 3 2" xfId="18724" xr:uid="{00000000-0005-0000-0000-00003E680000}"/>
    <cellStyle name="Input 3 10 2 3 2 2" xfId="44271" xr:uid="{00000000-0005-0000-0000-00003F680000}"/>
    <cellStyle name="Input 3 10 2 3 2 3" xfId="48180" xr:uid="{00000000-0005-0000-0000-000040680000}"/>
    <cellStyle name="Input 3 10 2 3 2 4" xfId="36361" xr:uid="{00000000-0005-0000-0000-000041680000}"/>
    <cellStyle name="Input 3 10 2 3 3" xfId="11531" xr:uid="{00000000-0005-0000-0000-000042680000}"/>
    <cellStyle name="Input 3 10 2 3 3 2" xfId="41542" xr:uid="{00000000-0005-0000-0000-000043680000}"/>
    <cellStyle name="Input 3 10 2 3 3 3" xfId="43350" xr:uid="{00000000-0005-0000-0000-000044680000}"/>
    <cellStyle name="Input 3 10 2 3 3 4" xfId="29246" xr:uid="{00000000-0005-0000-0000-000045680000}"/>
    <cellStyle name="Input 3 10 2 3 4" xfId="11847" xr:uid="{00000000-0005-0000-0000-000046680000}"/>
    <cellStyle name="Input 3 10 2 3 4 2" xfId="41765" xr:uid="{00000000-0005-0000-0000-000047680000}"/>
    <cellStyle name="Input 3 10 2 3 4 3" xfId="43488" xr:uid="{00000000-0005-0000-0000-000048680000}"/>
    <cellStyle name="Input 3 10 2 3 4 4" xfId="29531" xr:uid="{00000000-0005-0000-0000-000049680000}"/>
    <cellStyle name="Input 3 10 2 3 5" xfId="21137" xr:uid="{00000000-0005-0000-0000-00004A680000}"/>
    <cellStyle name="Input 3 10 2 3 5 2" xfId="46674" xr:uid="{00000000-0005-0000-0000-00004B680000}"/>
    <cellStyle name="Input 3 10 2 3 5 3" xfId="50580" xr:uid="{00000000-0005-0000-0000-00004C680000}"/>
    <cellStyle name="Input 3 10 2 3 5 4" xfId="38543" xr:uid="{00000000-0005-0000-0000-00004D680000}"/>
    <cellStyle name="Input 3 10 2 3 6" xfId="21790" xr:uid="{00000000-0005-0000-0000-00004E680000}"/>
    <cellStyle name="Input 3 10 2 3 6 2" xfId="47327" xr:uid="{00000000-0005-0000-0000-00004F680000}"/>
    <cellStyle name="Input 3 10 2 3 6 3" xfId="51233" xr:uid="{00000000-0005-0000-0000-000050680000}"/>
    <cellStyle name="Input 3 10 2 3 7" xfId="41130" xr:uid="{00000000-0005-0000-0000-000051680000}"/>
    <cellStyle name="Input 3 10 2 3 8" xfId="43619" xr:uid="{00000000-0005-0000-0000-000052680000}"/>
    <cellStyle name="Input 3 10 2 4" xfId="14894" xr:uid="{00000000-0005-0000-0000-000053680000}"/>
    <cellStyle name="Input 3 10 2 4 2" xfId="43010" xr:uid="{00000000-0005-0000-0000-000054680000}"/>
    <cellStyle name="Input 3 10 2 4 3" xfId="39061" xr:uid="{00000000-0005-0000-0000-000055680000}"/>
    <cellStyle name="Input 3 10 2 4 4" xfId="32529" xr:uid="{00000000-0005-0000-0000-000056680000}"/>
    <cellStyle name="Input 3 10 2 5" xfId="13143" xr:uid="{00000000-0005-0000-0000-000057680000}"/>
    <cellStyle name="Input 3 10 2 5 2" xfId="42364" xr:uid="{00000000-0005-0000-0000-000058680000}"/>
    <cellStyle name="Input 3 10 2 5 3" xfId="40178" xr:uid="{00000000-0005-0000-0000-000059680000}"/>
    <cellStyle name="Input 3 10 2 5 4" xfId="30792" xr:uid="{00000000-0005-0000-0000-00005A680000}"/>
    <cellStyle name="Input 3 10 2 6" xfId="13308" xr:uid="{00000000-0005-0000-0000-00005B680000}"/>
    <cellStyle name="Input 3 10 2 6 2" xfId="42478" xr:uid="{00000000-0005-0000-0000-00005C680000}"/>
    <cellStyle name="Input 3 10 2 6 3" xfId="42548" xr:uid="{00000000-0005-0000-0000-00005D680000}"/>
    <cellStyle name="Input 3 10 2 6 4" xfId="30949" xr:uid="{00000000-0005-0000-0000-00005E680000}"/>
    <cellStyle name="Input 3 10 2 7" xfId="20532" xr:uid="{00000000-0005-0000-0000-00005F680000}"/>
    <cellStyle name="Input 3 10 2 7 2" xfId="46069" xr:uid="{00000000-0005-0000-0000-000060680000}"/>
    <cellStyle name="Input 3 10 2 7 3" xfId="49975" xr:uid="{00000000-0005-0000-0000-000061680000}"/>
    <cellStyle name="Input 3 10 2 7 4" xfId="37961" xr:uid="{00000000-0005-0000-0000-000062680000}"/>
    <cellStyle name="Input 3 10 2 8" xfId="18976" xr:uid="{00000000-0005-0000-0000-000063680000}"/>
    <cellStyle name="Input 3 10 2 8 2" xfId="44513" xr:uid="{00000000-0005-0000-0000-000064680000}"/>
    <cellStyle name="Input 3 10 2 8 3" xfId="48419" xr:uid="{00000000-0005-0000-0000-000065680000}"/>
    <cellStyle name="Input 3 10 2 9" xfId="39870" xr:uid="{00000000-0005-0000-0000-000066680000}"/>
    <cellStyle name="Input 3 10 3" xfId="53118" xr:uid="{00000000-0005-0000-0000-000067680000}"/>
    <cellStyle name="Input 3 11" xfId="1937" xr:uid="{00000000-0005-0000-0000-000068680000}"/>
    <cellStyle name="Input 3 11 2" xfId="7107" xr:uid="{00000000-0005-0000-0000-000069680000}"/>
    <cellStyle name="Input 3 11 2 10" xfId="39246" xr:uid="{00000000-0005-0000-0000-00006A680000}"/>
    <cellStyle name="Input 3 11 2 2" xfId="10637" xr:uid="{00000000-0005-0000-0000-00006B680000}"/>
    <cellStyle name="Input 3 11 2 2 2" xfId="18430" xr:uid="{00000000-0005-0000-0000-00006C680000}"/>
    <cellStyle name="Input 3 11 2 2 2 2" xfId="43977" xr:uid="{00000000-0005-0000-0000-00006D680000}"/>
    <cellStyle name="Input 3 11 2 2 2 3" xfId="47886" xr:uid="{00000000-0005-0000-0000-00006E680000}"/>
    <cellStyle name="Input 3 11 2 2 2 4" xfId="36067" xr:uid="{00000000-0005-0000-0000-00006F680000}"/>
    <cellStyle name="Input 3 11 2 2 3" xfId="19297" xr:uid="{00000000-0005-0000-0000-000070680000}"/>
    <cellStyle name="Input 3 11 2 2 3 2" xfId="44834" xr:uid="{00000000-0005-0000-0000-000071680000}"/>
    <cellStyle name="Input 3 11 2 2 3 3" xfId="48740" xr:uid="{00000000-0005-0000-0000-000072680000}"/>
    <cellStyle name="Input 3 11 2 2 3 4" xfId="36875" xr:uid="{00000000-0005-0000-0000-000073680000}"/>
    <cellStyle name="Input 3 11 2 2 4" xfId="18928" xr:uid="{00000000-0005-0000-0000-000074680000}"/>
    <cellStyle name="Input 3 11 2 2 4 2" xfId="44465" xr:uid="{00000000-0005-0000-0000-000075680000}"/>
    <cellStyle name="Input 3 11 2 2 4 3" xfId="48371" xr:uid="{00000000-0005-0000-0000-000076680000}"/>
    <cellStyle name="Input 3 11 2 2 4 4" xfId="36556" xr:uid="{00000000-0005-0000-0000-000077680000}"/>
    <cellStyle name="Input 3 11 2 2 5" xfId="20843" xr:uid="{00000000-0005-0000-0000-000078680000}"/>
    <cellStyle name="Input 3 11 2 2 5 2" xfId="46380" xr:uid="{00000000-0005-0000-0000-000079680000}"/>
    <cellStyle name="Input 3 11 2 2 5 3" xfId="50286" xr:uid="{00000000-0005-0000-0000-00007A680000}"/>
    <cellStyle name="Input 3 11 2 2 5 4" xfId="38249" xr:uid="{00000000-0005-0000-0000-00007B680000}"/>
    <cellStyle name="Input 3 11 2 2 6" xfId="21496" xr:uid="{00000000-0005-0000-0000-00007C680000}"/>
    <cellStyle name="Input 3 11 2 2 6 2" xfId="47033" xr:uid="{00000000-0005-0000-0000-00007D680000}"/>
    <cellStyle name="Input 3 11 2 2 6 3" xfId="50939" xr:uid="{00000000-0005-0000-0000-00007E680000}"/>
    <cellStyle name="Input 3 11 2 2 7" xfId="40836" xr:uid="{00000000-0005-0000-0000-00007F680000}"/>
    <cellStyle name="Input 3 11 2 2 8" xfId="39394" xr:uid="{00000000-0005-0000-0000-000080680000}"/>
    <cellStyle name="Input 3 11 2 3" xfId="10932" xr:uid="{00000000-0005-0000-0000-000081680000}"/>
    <cellStyle name="Input 3 11 2 3 2" xfId="18725" xr:uid="{00000000-0005-0000-0000-000082680000}"/>
    <cellStyle name="Input 3 11 2 3 2 2" xfId="44272" xr:uid="{00000000-0005-0000-0000-000083680000}"/>
    <cellStyle name="Input 3 11 2 3 2 3" xfId="48181" xr:uid="{00000000-0005-0000-0000-000084680000}"/>
    <cellStyle name="Input 3 11 2 3 2 4" xfId="36362" xr:uid="{00000000-0005-0000-0000-000085680000}"/>
    <cellStyle name="Input 3 11 2 3 3" xfId="13356" xr:uid="{00000000-0005-0000-0000-000086680000}"/>
    <cellStyle name="Input 3 11 2 3 3 2" xfId="42526" xr:uid="{00000000-0005-0000-0000-000087680000}"/>
    <cellStyle name="Input 3 11 2 3 3 3" xfId="42790" xr:uid="{00000000-0005-0000-0000-000088680000}"/>
    <cellStyle name="Input 3 11 2 3 3 4" xfId="30996" xr:uid="{00000000-0005-0000-0000-000089680000}"/>
    <cellStyle name="Input 3 11 2 3 4" xfId="20357" xr:uid="{00000000-0005-0000-0000-00008A680000}"/>
    <cellStyle name="Input 3 11 2 3 4 2" xfId="45894" xr:uid="{00000000-0005-0000-0000-00008B680000}"/>
    <cellStyle name="Input 3 11 2 3 4 3" xfId="49800" xr:uid="{00000000-0005-0000-0000-00008C680000}"/>
    <cellStyle name="Input 3 11 2 3 4 4" xfId="37813" xr:uid="{00000000-0005-0000-0000-00008D680000}"/>
    <cellStyle name="Input 3 11 2 3 5" xfId="21138" xr:uid="{00000000-0005-0000-0000-00008E680000}"/>
    <cellStyle name="Input 3 11 2 3 5 2" xfId="46675" xr:uid="{00000000-0005-0000-0000-00008F680000}"/>
    <cellStyle name="Input 3 11 2 3 5 3" xfId="50581" xr:uid="{00000000-0005-0000-0000-000090680000}"/>
    <cellStyle name="Input 3 11 2 3 5 4" xfId="38544" xr:uid="{00000000-0005-0000-0000-000091680000}"/>
    <cellStyle name="Input 3 11 2 3 6" xfId="21791" xr:uid="{00000000-0005-0000-0000-000092680000}"/>
    <cellStyle name="Input 3 11 2 3 6 2" xfId="47328" xr:uid="{00000000-0005-0000-0000-000093680000}"/>
    <cellStyle name="Input 3 11 2 3 6 3" xfId="51234" xr:uid="{00000000-0005-0000-0000-000094680000}"/>
    <cellStyle name="Input 3 11 2 3 7" xfId="41131" xr:uid="{00000000-0005-0000-0000-000095680000}"/>
    <cellStyle name="Input 3 11 2 3 8" xfId="40477" xr:uid="{00000000-0005-0000-0000-000096680000}"/>
    <cellStyle name="Input 3 11 2 4" xfId="14895" xr:uid="{00000000-0005-0000-0000-000097680000}"/>
    <cellStyle name="Input 3 11 2 4 2" xfId="43011" xr:uid="{00000000-0005-0000-0000-000098680000}"/>
    <cellStyle name="Input 3 11 2 4 3" xfId="47582" xr:uid="{00000000-0005-0000-0000-000099680000}"/>
    <cellStyle name="Input 3 11 2 4 4" xfId="32530" xr:uid="{00000000-0005-0000-0000-00009A680000}"/>
    <cellStyle name="Input 3 11 2 5" xfId="13144" xr:uid="{00000000-0005-0000-0000-00009B680000}"/>
    <cellStyle name="Input 3 11 2 5 2" xfId="42365" xr:uid="{00000000-0005-0000-0000-00009C680000}"/>
    <cellStyle name="Input 3 11 2 5 3" xfId="39301" xr:uid="{00000000-0005-0000-0000-00009D680000}"/>
    <cellStyle name="Input 3 11 2 5 4" xfId="30793" xr:uid="{00000000-0005-0000-0000-00009E680000}"/>
    <cellStyle name="Input 3 11 2 6" xfId="11365" xr:uid="{00000000-0005-0000-0000-00009F680000}"/>
    <cellStyle name="Input 3 11 2 6 2" xfId="41401" xr:uid="{00000000-0005-0000-0000-0000A0680000}"/>
    <cellStyle name="Input 3 11 2 6 3" xfId="40572" xr:uid="{00000000-0005-0000-0000-0000A1680000}"/>
    <cellStyle name="Input 3 11 2 6 4" xfId="29088" xr:uid="{00000000-0005-0000-0000-0000A2680000}"/>
    <cellStyle name="Input 3 11 2 7" xfId="20472" xr:uid="{00000000-0005-0000-0000-0000A3680000}"/>
    <cellStyle name="Input 3 11 2 7 2" xfId="46009" xr:uid="{00000000-0005-0000-0000-0000A4680000}"/>
    <cellStyle name="Input 3 11 2 7 3" xfId="49915" xr:uid="{00000000-0005-0000-0000-0000A5680000}"/>
    <cellStyle name="Input 3 11 2 7 4" xfId="37925" xr:uid="{00000000-0005-0000-0000-0000A6680000}"/>
    <cellStyle name="Input 3 11 2 8" xfId="20613" xr:uid="{00000000-0005-0000-0000-0000A7680000}"/>
    <cellStyle name="Input 3 11 2 8 2" xfId="46150" xr:uid="{00000000-0005-0000-0000-0000A8680000}"/>
    <cellStyle name="Input 3 11 2 8 3" xfId="50056" xr:uid="{00000000-0005-0000-0000-0000A9680000}"/>
    <cellStyle name="Input 3 11 2 9" xfId="39871" xr:uid="{00000000-0005-0000-0000-0000AA680000}"/>
    <cellStyle name="Input 3 11 3" xfId="53119" xr:uid="{00000000-0005-0000-0000-0000AB680000}"/>
    <cellStyle name="Input 3 12" xfId="1938" xr:uid="{00000000-0005-0000-0000-0000AC680000}"/>
    <cellStyle name="Input 3 12 2" xfId="7108" xr:uid="{00000000-0005-0000-0000-0000AD680000}"/>
    <cellStyle name="Input 3 12 2 10" xfId="39245" xr:uid="{00000000-0005-0000-0000-0000AE680000}"/>
    <cellStyle name="Input 3 12 2 2" xfId="10638" xr:uid="{00000000-0005-0000-0000-0000AF680000}"/>
    <cellStyle name="Input 3 12 2 2 2" xfId="18431" xr:uid="{00000000-0005-0000-0000-0000B0680000}"/>
    <cellStyle name="Input 3 12 2 2 2 2" xfId="43978" xr:uid="{00000000-0005-0000-0000-0000B1680000}"/>
    <cellStyle name="Input 3 12 2 2 2 3" xfId="47887" xr:uid="{00000000-0005-0000-0000-0000B2680000}"/>
    <cellStyle name="Input 3 12 2 2 2 4" xfId="36068" xr:uid="{00000000-0005-0000-0000-0000B3680000}"/>
    <cellStyle name="Input 3 12 2 2 3" xfId="19906" xr:uid="{00000000-0005-0000-0000-0000B4680000}"/>
    <cellStyle name="Input 3 12 2 2 3 2" xfId="45443" xr:uid="{00000000-0005-0000-0000-0000B5680000}"/>
    <cellStyle name="Input 3 12 2 2 3 3" xfId="49349" xr:uid="{00000000-0005-0000-0000-0000B6680000}"/>
    <cellStyle name="Input 3 12 2 2 3 4" xfId="37420" xr:uid="{00000000-0005-0000-0000-0000B7680000}"/>
    <cellStyle name="Input 3 12 2 2 4" xfId="11441" xr:uid="{00000000-0005-0000-0000-0000B8680000}"/>
    <cellStyle name="Input 3 12 2 2 4 2" xfId="41457" xr:uid="{00000000-0005-0000-0000-0000B9680000}"/>
    <cellStyle name="Input 3 12 2 2 4 3" xfId="39360" xr:uid="{00000000-0005-0000-0000-0000BA680000}"/>
    <cellStyle name="Input 3 12 2 2 4 4" xfId="29161" xr:uid="{00000000-0005-0000-0000-0000BB680000}"/>
    <cellStyle name="Input 3 12 2 2 5" xfId="20844" xr:uid="{00000000-0005-0000-0000-0000BC680000}"/>
    <cellStyle name="Input 3 12 2 2 5 2" xfId="46381" xr:uid="{00000000-0005-0000-0000-0000BD680000}"/>
    <cellStyle name="Input 3 12 2 2 5 3" xfId="50287" xr:uid="{00000000-0005-0000-0000-0000BE680000}"/>
    <cellStyle name="Input 3 12 2 2 5 4" xfId="38250" xr:uid="{00000000-0005-0000-0000-0000BF680000}"/>
    <cellStyle name="Input 3 12 2 2 6" xfId="21497" xr:uid="{00000000-0005-0000-0000-0000C0680000}"/>
    <cellStyle name="Input 3 12 2 2 6 2" xfId="47034" xr:uid="{00000000-0005-0000-0000-0000C1680000}"/>
    <cellStyle name="Input 3 12 2 2 6 3" xfId="50940" xr:uid="{00000000-0005-0000-0000-0000C2680000}"/>
    <cellStyle name="Input 3 12 2 2 7" xfId="40837" xr:uid="{00000000-0005-0000-0000-0000C3680000}"/>
    <cellStyle name="Input 3 12 2 2 8" xfId="39197" xr:uid="{00000000-0005-0000-0000-0000C4680000}"/>
    <cellStyle name="Input 3 12 2 3" xfId="10933" xr:uid="{00000000-0005-0000-0000-0000C5680000}"/>
    <cellStyle name="Input 3 12 2 3 2" xfId="18726" xr:uid="{00000000-0005-0000-0000-0000C6680000}"/>
    <cellStyle name="Input 3 12 2 3 2 2" xfId="44273" xr:uid="{00000000-0005-0000-0000-0000C7680000}"/>
    <cellStyle name="Input 3 12 2 3 2 3" xfId="48182" xr:uid="{00000000-0005-0000-0000-0000C8680000}"/>
    <cellStyle name="Input 3 12 2 3 2 4" xfId="36363" xr:uid="{00000000-0005-0000-0000-0000C9680000}"/>
    <cellStyle name="Input 3 12 2 3 3" xfId="19584" xr:uid="{00000000-0005-0000-0000-0000CA680000}"/>
    <cellStyle name="Input 3 12 2 3 3 2" xfId="45121" xr:uid="{00000000-0005-0000-0000-0000CB680000}"/>
    <cellStyle name="Input 3 12 2 3 3 3" xfId="49027" xr:uid="{00000000-0005-0000-0000-0000CC680000}"/>
    <cellStyle name="Input 3 12 2 3 3 4" xfId="37124" xr:uid="{00000000-0005-0000-0000-0000CD680000}"/>
    <cellStyle name="Input 3 12 2 3 4" xfId="18937" xr:uid="{00000000-0005-0000-0000-0000CE680000}"/>
    <cellStyle name="Input 3 12 2 3 4 2" xfId="44474" xr:uid="{00000000-0005-0000-0000-0000CF680000}"/>
    <cellStyle name="Input 3 12 2 3 4 3" xfId="48380" xr:uid="{00000000-0005-0000-0000-0000D0680000}"/>
    <cellStyle name="Input 3 12 2 3 4 4" xfId="36564" xr:uid="{00000000-0005-0000-0000-0000D1680000}"/>
    <cellStyle name="Input 3 12 2 3 5" xfId="21139" xr:uid="{00000000-0005-0000-0000-0000D2680000}"/>
    <cellStyle name="Input 3 12 2 3 5 2" xfId="46676" xr:uid="{00000000-0005-0000-0000-0000D3680000}"/>
    <cellStyle name="Input 3 12 2 3 5 3" xfId="50582" xr:uid="{00000000-0005-0000-0000-0000D4680000}"/>
    <cellStyle name="Input 3 12 2 3 5 4" xfId="38545" xr:uid="{00000000-0005-0000-0000-0000D5680000}"/>
    <cellStyle name="Input 3 12 2 3 6" xfId="21792" xr:uid="{00000000-0005-0000-0000-0000D6680000}"/>
    <cellStyle name="Input 3 12 2 3 6 2" xfId="47329" xr:uid="{00000000-0005-0000-0000-0000D7680000}"/>
    <cellStyle name="Input 3 12 2 3 6 3" xfId="51235" xr:uid="{00000000-0005-0000-0000-0000D8680000}"/>
    <cellStyle name="Input 3 12 2 3 7" xfId="41132" xr:uid="{00000000-0005-0000-0000-0000D9680000}"/>
    <cellStyle name="Input 3 12 2 3 8" xfId="39587" xr:uid="{00000000-0005-0000-0000-0000DA680000}"/>
    <cellStyle name="Input 3 12 2 4" xfId="14896" xr:uid="{00000000-0005-0000-0000-0000DB680000}"/>
    <cellStyle name="Input 3 12 2 4 2" xfId="43012" xr:uid="{00000000-0005-0000-0000-0000DC680000}"/>
    <cellStyle name="Input 3 12 2 4 3" xfId="39060" xr:uid="{00000000-0005-0000-0000-0000DD680000}"/>
    <cellStyle name="Input 3 12 2 4 4" xfId="32531" xr:uid="{00000000-0005-0000-0000-0000DE680000}"/>
    <cellStyle name="Input 3 12 2 5" xfId="13145" xr:uid="{00000000-0005-0000-0000-0000DF680000}"/>
    <cellStyle name="Input 3 12 2 5 2" xfId="42366" xr:uid="{00000000-0005-0000-0000-0000E0680000}"/>
    <cellStyle name="Input 3 12 2 5 3" xfId="39103" xr:uid="{00000000-0005-0000-0000-0000E1680000}"/>
    <cellStyle name="Input 3 12 2 5 4" xfId="30794" xr:uid="{00000000-0005-0000-0000-0000E2680000}"/>
    <cellStyle name="Input 3 12 2 6" xfId="20050" xr:uid="{00000000-0005-0000-0000-0000E3680000}"/>
    <cellStyle name="Input 3 12 2 6 2" xfId="45587" xr:uid="{00000000-0005-0000-0000-0000E4680000}"/>
    <cellStyle name="Input 3 12 2 6 3" xfId="49493" xr:uid="{00000000-0005-0000-0000-0000E5680000}"/>
    <cellStyle name="Input 3 12 2 6 4" xfId="37548" xr:uid="{00000000-0005-0000-0000-0000E6680000}"/>
    <cellStyle name="Input 3 12 2 7" xfId="19565" xr:uid="{00000000-0005-0000-0000-0000E7680000}"/>
    <cellStyle name="Input 3 12 2 7 2" xfId="45102" xr:uid="{00000000-0005-0000-0000-0000E8680000}"/>
    <cellStyle name="Input 3 12 2 7 3" xfId="49008" xr:uid="{00000000-0005-0000-0000-0000E9680000}"/>
    <cellStyle name="Input 3 12 2 7 4" xfId="37106" xr:uid="{00000000-0005-0000-0000-0000EA680000}"/>
    <cellStyle name="Input 3 12 2 8" xfId="11333" xr:uid="{00000000-0005-0000-0000-0000EB680000}"/>
    <cellStyle name="Input 3 12 2 8 2" xfId="41378" xr:uid="{00000000-0005-0000-0000-0000EC680000}"/>
    <cellStyle name="Input 3 12 2 8 3" xfId="40222" xr:uid="{00000000-0005-0000-0000-0000ED680000}"/>
    <cellStyle name="Input 3 12 2 9" xfId="39872" xr:uid="{00000000-0005-0000-0000-0000EE680000}"/>
    <cellStyle name="Input 3 12 3" xfId="53120" xr:uid="{00000000-0005-0000-0000-0000EF680000}"/>
    <cellStyle name="Input 3 13" xfId="1939" xr:uid="{00000000-0005-0000-0000-0000F0680000}"/>
    <cellStyle name="Input 3 13 2" xfId="7109" xr:uid="{00000000-0005-0000-0000-0000F1680000}"/>
    <cellStyle name="Input 3 13 2 10" xfId="39244" xr:uid="{00000000-0005-0000-0000-0000F2680000}"/>
    <cellStyle name="Input 3 13 2 2" xfId="10639" xr:uid="{00000000-0005-0000-0000-0000F3680000}"/>
    <cellStyle name="Input 3 13 2 2 2" xfId="18432" xr:uid="{00000000-0005-0000-0000-0000F4680000}"/>
    <cellStyle name="Input 3 13 2 2 2 2" xfId="43979" xr:uid="{00000000-0005-0000-0000-0000F5680000}"/>
    <cellStyle name="Input 3 13 2 2 2 3" xfId="47888" xr:uid="{00000000-0005-0000-0000-0000F6680000}"/>
    <cellStyle name="Input 3 13 2 2 2 4" xfId="36069" xr:uid="{00000000-0005-0000-0000-0000F7680000}"/>
    <cellStyle name="Input 3 13 2 2 3" xfId="19129" xr:uid="{00000000-0005-0000-0000-0000F8680000}"/>
    <cellStyle name="Input 3 13 2 2 3 2" xfId="44666" xr:uid="{00000000-0005-0000-0000-0000F9680000}"/>
    <cellStyle name="Input 3 13 2 2 3 3" xfId="48572" xr:uid="{00000000-0005-0000-0000-0000FA680000}"/>
    <cellStyle name="Input 3 13 2 2 3 4" xfId="36724" xr:uid="{00000000-0005-0000-0000-0000FB680000}"/>
    <cellStyle name="Input 3 13 2 2 4" xfId="19992" xr:uid="{00000000-0005-0000-0000-0000FC680000}"/>
    <cellStyle name="Input 3 13 2 2 4 2" xfId="45529" xr:uid="{00000000-0005-0000-0000-0000FD680000}"/>
    <cellStyle name="Input 3 13 2 2 4 3" xfId="49435" xr:uid="{00000000-0005-0000-0000-0000FE680000}"/>
    <cellStyle name="Input 3 13 2 2 4 4" xfId="37490" xr:uid="{00000000-0005-0000-0000-0000FF680000}"/>
    <cellStyle name="Input 3 13 2 2 5" xfId="20845" xr:uid="{00000000-0005-0000-0000-000000690000}"/>
    <cellStyle name="Input 3 13 2 2 5 2" xfId="46382" xr:uid="{00000000-0005-0000-0000-000001690000}"/>
    <cellStyle name="Input 3 13 2 2 5 3" xfId="50288" xr:uid="{00000000-0005-0000-0000-000002690000}"/>
    <cellStyle name="Input 3 13 2 2 5 4" xfId="38251" xr:uid="{00000000-0005-0000-0000-000003690000}"/>
    <cellStyle name="Input 3 13 2 2 6" xfId="21498" xr:uid="{00000000-0005-0000-0000-000004690000}"/>
    <cellStyle name="Input 3 13 2 2 6 2" xfId="47035" xr:uid="{00000000-0005-0000-0000-000005690000}"/>
    <cellStyle name="Input 3 13 2 2 6 3" xfId="50941" xr:uid="{00000000-0005-0000-0000-000006690000}"/>
    <cellStyle name="Input 3 13 2 2 7" xfId="40838" xr:uid="{00000000-0005-0000-0000-000007690000}"/>
    <cellStyle name="Input 3 13 2 2 8" xfId="42072" xr:uid="{00000000-0005-0000-0000-000008690000}"/>
    <cellStyle name="Input 3 13 2 3" xfId="10934" xr:uid="{00000000-0005-0000-0000-000009690000}"/>
    <cellStyle name="Input 3 13 2 3 2" xfId="18727" xr:uid="{00000000-0005-0000-0000-00000A690000}"/>
    <cellStyle name="Input 3 13 2 3 2 2" xfId="44274" xr:uid="{00000000-0005-0000-0000-00000B690000}"/>
    <cellStyle name="Input 3 13 2 3 2 3" xfId="48183" xr:uid="{00000000-0005-0000-0000-00000C690000}"/>
    <cellStyle name="Input 3 13 2 3 2 4" xfId="36364" xr:uid="{00000000-0005-0000-0000-00000D690000}"/>
    <cellStyle name="Input 3 13 2 3 3" xfId="20140" xr:uid="{00000000-0005-0000-0000-00000E690000}"/>
    <cellStyle name="Input 3 13 2 3 3 2" xfId="45677" xr:uid="{00000000-0005-0000-0000-00000F690000}"/>
    <cellStyle name="Input 3 13 2 3 3 3" xfId="49583" xr:uid="{00000000-0005-0000-0000-000010690000}"/>
    <cellStyle name="Input 3 13 2 3 3 4" xfId="37626" xr:uid="{00000000-0005-0000-0000-000011690000}"/>
    <cellStyle name="Input 3 13 2 3 4" xfId="11545" xr:uid="{00000000-0005-0000-0000-000012690000}"/>
    <cellStyle name="Input 3 13 2 3 4 2" xfId="41556" xr:uid="{00000000-0005-0000-0000-000013690000}"/>
    <cellStyle name="Input 3 13 2 3 4 3" xfId="39572" xr:uid="{00000000-0005-0000-0000-000014690000}"/>
    <cellStyle name="Input 3 13 2 3 4 4" xfId="29259" xr:uid="{00000000-0005-0000-0000-000015690000}"/>
    <cellStyle name="Input 3 13 2 3 5" xfId="21140" xr:uid="{00000000-0005-0000-0000-000016690000}"/>
    <cellStyle name="Input 3 13 2 3 5 2" xfId="46677" xr:uid="{00000000-0005-0000-0000-000017690000}"/>
    <cellStyle name="Input 3 13 2 3 5 3" xfId="50583" xr:uid="{00000000-0005-0000-0000-000018690000}"/>
    <cellStyle name="Input 3 13 2 3 5 4" xfId="38546" xr:uid="{00000000-0005-0000-0000-000019690000}"/>
    <cellStyle name="Input 3 13 2 3 6" xfId="21793" xr:uid="{00000000-0005-0000-0000-00001A690000}"/>
    <cellStyle name="Input 3 13 2 3 6 2" xfId="47330" xr:uid="{00000000-0005-0000-0000-00001B690000}"/>
    <cellStyle name="Input 3 13 2 3 6 3" xfId="51236" xr:uid="{00000000-0005-0000-0000-00001C690000}"/>
    <cellStyle name="Input 3 13 2 3 7" xfId="41133" xr:uid="{00000000-0005-0000-0000-00001D690000}"/>
    <cellStyle name="Input 3 13 2 3 8" xfId="42595" xr:uid="{00000000-0005-0000-0000-00001E690000}"/>
    <cellStyle name="Input 3 13 2 4" xfId="14897" xr:uid="{00000000-0005-0000-0000-00001F690000}"/>
    <cellStyle name="Input 3 13 2 4 2" xfId="43013" xr:uid="{00000000-0005-0000-0000-000020690000}"/>
    <cellStyle name="Input 3 13 2 4 3" xfId="47482" xr:uid="{00000000-0005-0000-0000-000021690000}"/>
    <cellStyle name="Input 3 13 2 4 4" xfId="32532" xr:uid="{00000000-0005-0000-0000-000022690000}"/>
    <cellStyle name="Input 3 13 2 5" xfId="11308" xr:uid="{00000000-0005-0000-0000-000023690000}"/>
    <cellStyle name="Input 3 13 2 5 2" xfId="41355" xr:uid="{00000000-0005-0000-0000-000024690000}"/>
    <cellStyle name="Input 3 13 2 5 3" xfId="43612" xr:uid="{00000000-0005-0000-0000-000025690000}"/>
    <cellStyle name="Input 3 13 2 5 4" xfId="29036" xr:uid="{00000000-0005-0000-0000-000026690000}"/>
    <cellStyle name="Input 3 13 2 6" xfId="19634" xr:uid="{00000000-0005-0000-0000-000027690000}"/>
    <cellStyle name="Input 3 13 2 6 2" xfId="45171" xr:uid="{00000000-0005-0000-0000-000028690000}"/>
    <cellStyle name="Input 3 13 2 6 3" xfId="49077" xr:uid="{00000000-0005-0000-0000-000029690000}"/>
    <cellStyle name="Input 3 13 2 6 4" xfId="37172" xr:uid="{00000000-0005-0000-0000-00002A690000}"/>
    <cellStyle name="Input 3 13 2 7" xfId="18998" xr:uid="{00000000-0005-0000-0000-00002B690000}"/>
    <cellStyle name="Input 3 13 2 7 2" xfId="44535" xr:uid="{00000000-0005-0000-0000-00002C690000}"/>
    <cellStyle name="Input 3 13 2 7 3" xfId="48441" xr:uid="{00000000-0005-0000-0000-00002D690000}"/>
    <cellStyle name="Input 3 13 2 7 4" xfId="36620" xr:uid="{00000000-0005-0000-0000-00002E690000}"/>
    <cellStyle name="Input 3 13 2 8" xfId="20526" xr:uid="{00000000-0005-0000-0000-00002F690000}"/>
    <cellStyle name="Input 3 13 2 8 2" xfId="46063" xr:uid="{00000000-0005-0000-0000-000030690000}"/>
    <cellStyle name="Input 3 13 2 8 3" xfId="49969" xr:uid="{00000000-0005-0000-0000-000031690000}"/>
    <cellStyle name="Input 3 13 2 9" xfId="39873" xr:uid="{00000000-0005-0000-0000-000032690000}"/>
    <cellStyle name="Input 3 13 3" xfId="53121" xr:uid="{00000000-0005-0000-0000-000033690000}"/>
    <cellStyle name="Input 3 14" xfId="1940" xr:uid="{00000000-0005-0000-0000-000034690000}"/>
    <cellStyle name="Input 3 14 2" xfId="7110" xr:uid="{00000000-0005-0000-0000-000035690000}"/>
    <cellStyle name="Input 3 14 2 10" xfId="39243" xr:uid="{00000000-0005-0000-0000-000036690000}"/>
    <cellStyle name="Input 3 14 2 2" xfId="10640" xr:uid="{00000000-0005-0000-0000-000037690000}"/>
    <cellStyle name="Input 3 14 2 2 2" xfId="18433" xr:uid="{00000000-0005-0000-0000-000038690000}"/>
    <cellStyle name="Input 3 14 2 2 2 2" xfId="43980" xr:uid="{00000000-0005-0000-0000-000039690000}"/>
    <cellStyle name="Input 3 14 2 2 2 3" xfId="47889" xr:uid="{00000000-0005-0000-0000-00003A690000}"/>
    <cellStyle name="Input 3 14 2 2 2 4" xfId="36070" xr:uid="{00000000-0005-0000-0000-00003B690000}"/>
    <cellStyle name="Input 3 14 2 2 3" xfId="12628" xr:uid="{00000000-0005-0000-0000-00003C690000}"/>
    <cellStyle name="Input 3 14 2 2 3 2" xfId="42107" xr:uid="{00000000-0005-0000-0000-00003D690000}"/>
    <cellStyle name="Input 3 14 2 2 3 3" xfId="42805" xr:uid="{00000000-0005-0000-0000-00003E690000}"/>
    <cellStyle name="Input 3 14 2 2 3 4" xfId="30293" xr:uid="{00000000-0005-0000-0000-00003F690000}"/>
    <cellStyle name="Input 3 14 2 2 4" xfId="18905" xr:uid="{00000000-0005-0000-0000-000040690000}"/>
    <cellStyle name="Input 3 14 2 2 4 2" xfId="44442" xr:uid="{00000000-0005-0000-0000-000041690000}"/>
    <cellStyle name="Input 3 14 2 2 4 3" xfId="48348" xr:uid="{00000000-0005-0000-0000-000042690000}"/>
    <cellStyle name="Input 3 14 2 2 4 4" xfId="36538" xr:uid="{00000000-0005-0000-0000-000043690000}"/>
    <cellStyle name="Input 3 14 2 2 5" xfId="20846" xr:uid="{00000000-0005-0000-0000-000044690000}"/>
    <cellStyle name="Input 3 14 2 2 5 2" xfId="46383" xr:uid="{00000000-0005-0000-0000-000045690000}"/>
    <cellStyle name="Input 3 14 2 2 5 3" xfId="50289" xr:uid="{00000000-0005-0000-0000-000046690000}"/>
    <cellStyle name="Input 3 14 2 2 5 4" xfId="38252" xr:uid="{00000000-0005-0000-0000-000047690000}"/>
    <cellStyle name="Input 3 14 2 2 6" xfId="21499" xr:uid="{00000000-0005-0000-0000-000048690000}"/>
    <cellStyle name="Input 3 14 2 2 6 2" xfId="47036" xr:uid="{00000000-0005-0000-0000-000049690000}"/>
    <cellStyle name="Input 3 14 2 2 6 3" xfId="50942" xr:uid="{00000000-0005-0000-0000-00004A690000}"/>
    <cellStyle name="Input 3 14 2 2 7" xfId="40839" xr:uid="{00000000-0005-0000-0000-00004B690000}"/>
    <cellStyle name="Input 3 14 2 2 8" xfId="43391" xr:uid="{00000000-0005-0000-0000-00004C690000}"/>
    <cellStyle name="Input 3 14 2 3" xfId="10935" xr:uid="{00000000-0005-0000-0000-00004D690000}"/>
    <cellStyle name="Input 3 14 2 3 2" xfId="18728" xr:uid="{00000000-0005-0000-0000-00004E690000}"/>
    <cellStyle name="Input 3 14 2 3 2 2" xfId="44275" xr:uid="{00000000-0005-0000-0000-00004F690000}"/>
    <cellStyle name="Input 3 14 2 3 2 3" xfId="48184" xr:uid="{00000000-0005-0000-0000-000050690000}"/>
    <cellStyle name="Input 3 14 2 3 2 4" xfId="36365" xr:uid="{00000000-0005-0000-0000-000051690000}"/>
    <cellStyle name="Input 3 14 2 3 3" xfId="19399" xr:uid="{00000000-0005-0000-0000-000052690000}"/>
    <cellStyle name="Input 3 14 2 3 3 2" xfId="44936" xr:uid="{00000000-0005-0000-0000-000053690000}"/>
    <cellStyle name="Input 3 14 2 3 3 3" xfId="48842" xr:uid="{00000000-0005-0000-0000-000054690000}"/>
    <cellStyle name="Input 3 14 2 3 3 4" xfId="36964" xr:uid="{00000000-0005-0000-0000-000055690000}"/>
    <cellStyle name="Input 3 14 2 3 4" xfId="12658" xr:uid="{00000000-0005-0000-0000-000056690000}"/>
    <cellStyle name="Input 3 14 2 3 4 2" xfId="42137" xr:uid="{00000000-0005-0000-0000-000057690000}"/>
    <cellStyle name="Input 3 14 2 3 4 3" xfId="40338" xr:uid="{00000000-0005-0000-0000-000058690000}"/>
    <cellStyle name="Input 3 14 2 3 4 4" xfId="30323" xr:uid="{00000000-0005-0000-0000-000059690000}"/>
    <cellStyle name="Input 3 14 2 3 5" xfId="21141" xr:uid="{00000000-0005-0000-0000-00005A690000}"/>
    <cellStyle name="Input 3 14 2 3 5 2" xfId="46678" xr:uid="{00000000-0005-0000-0000-00005B690000}"/>
    <cellStyle name="Input 3 14 2 3 5 3" xfId="50584" xr:uid="{00000000-0005-0000-0000-00005C690000}"/>
    <cellStyle name="Input 3 14 2 3 5 4" xfId="38547" xr:uid="{00000000-0005-0000-0000-00005D690000}"/>
    <cellStyle name="Input 3 14 2 3 6" xfId="21794" xr:uid="{00000000-0005-0000-0000-00005E690000}"/>
    <cellStyle name="Input 3 14 2 3 6 2" xfId="47331" xr:uid="{00000000-0005-0000-0000-00005F690000}"/>
    <cellStyle name="Input 3 14 2 3 6 3" xfId="51237" xr:uid="{00000000-0005-0000-0000-000060690000}"/>
    <cellStyle name="Input 3 14 2 3 7" xfId="41134" xr:uid="{00000000-0005-0000-0000-000061690000}"/>
    <cellStyle name="Input 3 14 2 3 8" xfId="43508" xr:uid="{00000000-0005-0000-0000-000062690000}"/>
    <cellStyle name="Input 3 14 2 4" xfId="14898" xr:uid="{00000000-0005-0000-0000-000063690000}"/>
    <cellStyle name="Input 3 14 2 4 2" xfId="43014" xr:uid="{00000000-0005-0000-0000-000064690000}"/>
    <cellStyle name="Input 3 14 2 4 3" xfId="41288" xr:uid="{00000000-0005-0000-0000-000065690000}"/>
    <cellStyle name="Input 3 14 2 4 4" xfId="32533" xr:uid="{00000000-0005-0000-0000-000066690000}"/>
    <cellStyle name="Input 3 14 2 5" xfId="12025" xr:uid="{00000000-0005-0000-0000-000067690000}"/>
    <cellStyle name="Input 3 14 2 5 2" xfId="41782" xr:uid="{00000000-0005-0000-0000-000068690000}"/>
    <cellStyle name="Input 3 14 2 5 3" xfId="47506" xr:uid="{00000000-0005-0000-0000-000069690000}"/>
    <cellStyle name="Input 3 14 2 5 4" xfId="29707" xr:uid="{00000000-0005-0000-0000-00006A690000}"/>
    <cellStyle name="Input 3 14 2 6" xfId="19947" xr:uid="{00000000-0005-0000-0000-00006B690000}"/>
    <cellStyle name="Input 3 14 2 6 2" xfId="45484" xr:uid="{00000000-0005-0000-0000-00006C690000}"/>
    <cellStyle name="Input 3 14 2 6 3" xfId="49390" xr:uid="{00000000-0005-0000-0000-00006D690000}"/>
    <cellStyle name="Input 3 14 2 6 4" xfId="37455" xr:uid="{00000000-0005-0000-0000-00006E690000}"/>
    <cellStyle name="Input 3 14 2 7" xfId="19826" xr:uid="{00000000-0005-0000-0000-00006F690000}"/>
    <cellStyle name="Input 3 14 2 7 2" xfId="45363" xr:uid="{00000000-0005-0000-0000-000070690000}"/>
    <cellStyle name="Input 3 14 2 7 3" xfId="49269" xr:uid="{00000000-0005-0000-0000-000071690000}"/>
    <cellStyle name="Input 3 14 2 7 4" xfId="37344" xr:uid="{00000000-0005-0000-0000-000072690000}"/>
    <cellStyle name="Input 3 14 2 8" xfId="19014" xr:uid="{00000000-0005-0000-0000-000073690000}"/>
    <cellStyle name="Input 3 14 2 8 2" xfId="44551" xr:uid="{00000000-0005-0000-0000-000074690000}"/>
    <cellStyle name="Input 3 14 2 8 3" xfId="48457" xr:uid="{00000000-0005-0000-0000-000075690000}"/>
    <cellStyle name="Input 3 14 2 9" xfId="39874" xr:uid="{00000000-0005-0000-0000-000076690000}"/>
    <cellStyle name="Input 3 15" xfId="4235" xr:uid="{00000000-0005-0000-0000-000077690000}"/>
    <cellStyle name="Input 3 15 2" xfId="7111" xr:uid="{00000000-0005-0000-0000-000078690000}"/>
    <cellStyle name="Input 3 15 2 10" xfId="47601" xr:uid="{00000000-0005-0000-0000-000079690000}"/>
    <cellStyle name="Input 3 15 2 2" xfId="10641" xr:uid="{00000000-0005-0000-0000-00007A690000}"/>
    <cellStyle name="Input 3 15 2 2 2" xfId="18434" xr:uid="{00000000-0005-0000-0000-00007B690000}"/>
    <cellStyle name="Input 3 15 2 2 2 2" xfId="43981" xr:uid="{00000000-0005-0000-0000-00007C690000}"/>
    <cellStyle name="Input 3 15 2 2 2 3" xfId="47890" xr:uid="{00000000-0005-0000-0000-00007D690000}"/>
    <cellStyle name="Input 3 15 2 2 2 4" xfId="36071" xr:uid="{00000000-0005-0000-0000-00007E690000}"/>
    <cellStyle name="Input 3 15 2 2 3" xfId="19610" xr:uid="{00000000-0005-0000-0000-00007F690000}"/>
    <cellStyle name="Input 3 15 2 2 3 2" xfId="45147" xr:uid="{00000000-0005-0000-0000-000080690000}"/>
    <cellStyle name="Input 3 15 2 2 3 3" xfId="49053" xr:uid="{00000000-0005-0000-0000-000081690000}"/>
    <cellStyle name="Input 3 15 2 2 3 4" xfId="37150" xr:uid="{00000000-0005-0000-0000-000082690000}"/>
    <cellStyle name="Input 3 15 2 2 4" xfId="11447" xr:uid="{00000000-0005-0000-0000-000083690000}"/>
    <cellStyle name="Input 3 15 2 2 4 2" xfId="41458" xr:uid="{00000000-0005-0000-0000-000084690000}"/>
    <cellStyle name="Input 3 15 2 2 4 3" xfId="42032" xr:uid="{00000000-0005-0000-0000-000085690000}"/>
    <cellStyle name="Input 3 15 2 2 4 4" xfId="29167" xr:uid="{00000000-0005-0000-0000-000086690000}"/>
    <cellStyle name="Input 3 15 2 2 5" xfId="20847" xr:uid="{00000000-0005-0000-0000-000087690000}"/>
    <cellStyle name="Input 3 15 2 2 5 2" xfId="46384" xr:uid="{00000000-0005-0000-0000-000088690000}"/>
    <cellStyle name="Input 3 15 2 2 5 3" xfId="50290" xr:uid="{00000000-0005-0000-0000-000089690000}"/>
    <cellStyle name="Input 3 15 2 2 5 4" xfId="38253" xr:uid="{00000000-0005-0000-0000-00008A690000}"/>
    <cellStyle name="Input 3 15 2 2 6" xfId="21500" xr:uid="{00000000-0005-0000-0000-00008B690000}"/>
    <cellStyle name="Input 3 15 2 2 6 2" xfId="47037" xr:uid="{00000000-0005-0000-0000-00008C690000}"/>
    <cellStyle name="Input 3 15 2 2 6 3" xfId="50943" xr:uid="{00000000-0005-0000-0000-00008D690000}"/>
    <cellStyle name="Input 3 15 2 2 7" xfId="40840" xr:uid="{00000000-0005-0000-0000-00008E690000}"/>
    <cellStyle name="Input 3 15 2 2 8" xfId="40253" xr:uid="{00000000-0005-0000-0000-00008F690000}"/>
    <cellStyle name="Input 3 15 2 3" xfId="10936" xr:uid="{00000000-0005-0000-0000-000090690000}"/>
    <cellStyle name="Input 3 15 2 3 2" xfId="18729" xr:uid="{00000000-0005-0000-0000-000091690000}"/>
    <cellStyle name="Input 3 15 2 3 2 2" xfId="44276" xr:uid="{00000000-0005-0000-0000-000092690000}"/>
    <cellStyle name="Input 3 15 2 3 2 3" xfId="48185" xr:uid="{00000000-0005-0000-0000-000093690000}"/>
    <cellStyle name="Input 3 15 2 3 2 4" xfId="36366" xr:uid="{00000000-0005-0000-0000-000094690000}"/>
    <cellStyle name="Input 3 15 2 3 3" xfId="20006" xr:uid="{00000000-0005-0000-0000-000095690000}"/>
    <cellStyle name="Input 3 15 2 3 3 2" xfId="45543" xr:uid="{00000000-0005-0000-0000-000096690000}"/>
    <cellStyle name="Input 3 15 2 3 3 3" xfId="49449" xr:uid="{00000000-0005-0000-0000-000097690000}"/>
    <cellStyle name="Input 3 15 2 3 3 4" xfId="37504" xr:uid="{00000000-0005-0000-0000-000098690000}"/>
    <cellStyle name="Input 3 15 2 3 4" xfId="12089" xr:uid="{00000000-0005-0000-0000-000099690000}"/>
    <cellStyle name="Input 3 15 2 3 4 2" xfId="41834" xr:uid="{00000000-0005-0000-0000-00009A690000}"/>
    <cellStyle name="Input 3 15 2 3 4 3" xfId="39142" xr:uid="{00000000-0005-0000-0000-00009B690000}"/>
    <cellStyle name="Input 3 15 2 3 4 4" xfId="29765" xr:uid="{00000000-0005-0000-0000-00009C690000}"/>
    <cellStyle name="Input 3 15 2 3 5" xfId="21142" xr:uid="{00000000-0005-0000-0000-00009D690000}"/>
    <cellStyle name="Input 3 15 2 3 5 2" xfId="46679" xr:uid="{00000000-0005-0000-0000-00009E690000}"/>
    <cellStyle name="Input 3 15 2 3 5 3" xfId="50585" xr:uid="{00000000-0005-0000-0000-00009F690000}"/>
    <cellStyle name="Input 3 15 2 3 5 4" xfId="38548" xr:uid="{00000000-0005-0000-0000-0000A0690000}"/>
    <cellStyle name="Input 3 15 2 3 6" xfId="21795" xr:uid="{00000000-0005-0000-0000-0000A1690000}"/>
    <cellStyle name="Input 3 15 2 3 6 2" xfId="47332" xr:uid="{00000000-0005-0000-0000-0000A2690000}"/>
    <cellStyle name="Input 3 15 2 3 6 3" xfId="51238" xr:uid="{00000000-0005-0000-0000-0000A3690000}"/>
    <cellStyle name="Input 3 15 2 3 7" xfId="41135" xr:uid="{00000000-0005-0000-0000-0000A4690000}"/>
    <cellStyle name="Input 3 15 2 3 8" xfId="40371" xr:uid="{00000000-0005-0000-0000-0000A5690000}"/>
    <cellStyle name="Input 3 15 2 4" xfId="14899" xr:uid="{00000000-0005-0000-0000-0000A6690000}"/>
    <cellStyle name="Input 3 15 2 4 2" xfId="43015" xr:uid="{00000000-0005-0000-0000-0000A7690000}"/>
    <cellStyle name="Input 3 15 2 4 3" xfId="43181" xr:uid="{00000000-0005-0000-0000-0000A8690000}"/>
    <cellStyle name="Input 3 15 2 4 4" xfId="32534" xr:uid="{00000000-0005-0000-0000-0000A9690000}"/>
    <cellStyle name="Input 3 15 2 5" xfId="12026" xr:uid="{00000000-0005-0000-0000-0000AA690000}"/>
    <cellStyle name="Input 3 15 2 5 2" xfId="41783" xr:uid="{00000000-0005-0000-0000-0000AB690000}"/>
    <cellStyle name="Input 3 15 2 5 3" xfId="41356" xr:uid="{00000000-0005-0000-0000-0000AC690000}"/>
    <cellStyle name="Input 3 15 2 5 4" xfId="29708" xr:uid="{00000000-0005-0000-0000-0000AD690000}"/>
    <cellStyle name="Input 3 15 2 6" xfId="19848" xr:uid="{00000000-0005-0000-0000-0000AE690000}"/>
    <cellStyle name="Input 3 15 2 6 2" xfId="45385" xr:uid="{00000000-0005-0000-0000-0000AF690000}"/>
    <cellStyle name="Input 3 15 2 6 3" xfId="49291" xr:uid="{00000000-0005-0000-0000-0000B0690000}"/>
    <cellStyle name="Input 3 15 2 6 4" xfId="37364" xr:uid="{00000000-0005-0000-0000-0000B1690000}"/>
    <cellStyle name="Input 3 15 2 7" xfId="12132" xr:uid="{00000000-0005-0000-0000-0000B2690000}"/>
    <cellStyle name="Input 3 15 2 7 2" xfId="41877" xr:uid="{00000000-0005-0000-0000-0000B3690000}"/>
    <cellStyle name="Input 3 15 2 7 3" xfId="39118" xr:uid="{00000000-0005-0000-0000-0000B4690000}"/>
    <cellStyle name="Input 3 15 2 7 4" xfId="29805" xr:uid="{00000000-0005-0000-0000-0000B5690000}"/>
    <cellStyle name="Input 3 15 2 8" xfId="19980" xr:uid="{00000000-0005-0000-0000-0000B6690000}"/>
    <cellStyle name="Input 3 15 2 8 2" xfId="45517" xr:uid="{00000000-0005-0000-0000-0000B7690000}"/>
    <cellStyle name="Input 3 15 2 8 3" xfId="49423" xr:uid="{00000000-0005-0000-0000-0000B8690000}"/>
    <cellStyle name="Input 3 15 2 9" xfId="39875" xr:uid="{00000000-0005-0000-0000-0000B9690000}"/>
    <cellStyle name="Input 3 16" xfId="4236" xr:uid="{00000000-0005-0000-0000-0000BA690000}"/>
    <cellStyle name="Input 3 16 2" xfId="7112" xr:uid="{00000000-0005-0000-0000-0000BB690000}"/>
    <cellStyle name="Input 3 16 2 10" xfId="41724" xr:uid="{00000000-0005-0000-0000-0000BC690000}"/>
    <cellStyle name="Input 3 16 2 2" xfId="10642" xr:uid="{00000000-0005-0000-0000-0000BD690000}"/>
    <cellStyle name="Input 3 16 2 2 2" xfId="18435" xr:uid="{00000000-0005-0000-0000-0000BE690000}"/>
    <cellStyle name="Input 3 16 2 2 2 2" xfId="43982" xr:uid="{00000000-0005-0000-0000-0000BF690000}"/>
    <cellStyle name="Input 3 16 2 2 2 3" xfId="47891" xr:uid="{00000000-0005-0000-0000-0000C0690000}"/>
    <cellStyle name="Input 3 16 2 2 2 4" xfId="36072" xr:uid="{00000000-0005-0000-0000-0000C1690000}"/>
    <cellStyle name="Input 3 16 2 2 3" xfId="20164" xr:uid="{00000000-0005-0000-0000-0000C2690000}"/>
    <cellStyle name="Input 3 16 2 2 3 2" xfId="45701" xr:uid="{00000000-0005-0000-0000-0000C3690000}"/>
    <cellStyle name="Input 3 16 2 2 3 3" xfId="49607" xr:uid="{00000000-0005-0000-0000-0000C4690000}"/>
    <cellStyle name="Input 3 16 2 2 3 4" xfId="37650" xr:uid="{00000000-0005-0000-0000-0000C5690000}"/>
    <cellStyle name="Input 3 16 2 2 4" xfId="19084" xr:uid="{00000000-0005-0000-0000-0000C6690000}"/>
    <cellStyle name="Input 3 16 2 2 4 2" xfId="44621" xr:uid="{00000000-0005-0000-0000-0000C7690000}"/>
    <cellStyle name="Input 3 16 2 2 4 3" xfId="48527" xr:uid="{00000000-0005-0000-0000-0000C8690000}"/>
    <cellStyle name="Input 3 16 2 2 4 4" xfId="36680" xr:uid="{00000000-0005-0000-0000-0000C9690000}"/>
    <cellStyle name="Input 3 16 2 2 5" xfId="20848" xr:uid="{00000000-0005-0000-0000-0000CA690000}"/>
    <cellStyle name="Input 3 16 2 2 5 2" xfId="46385" xr:uid="{00000000-0005-0000-0000-0000CB690000}"/>
    <cellStyle name="Input 3 16 2 2 5 3" xfId="50291" xr:uid="{00000000-0005-0000-0000-0000CC690000}"/>
    <cellStyle name="Input 3 16 2 2 5 4" xfId="38254" xr:uid="{00000000-0005-0000-0000-0000CD690000}"/>
    <cellStyle name="Input 3 16 2 2 6" xfId="21501" xr:uid="{00000000-0005-0000-0000-0000CE690000}"/>
    <cellStyle name="Input 3 16 2 2 6 2" xfId="47038" xr:uid="{00000000-0005-0000-0000-0000CF690000}"/>
    <cellStyle name="Input 3 16 2 2 6 3" xfId="50944" xr:uid="{00000000-0005-0000-0000-0000D0690000}"/>
    <cellStyle name="Input 3 16 2 2 7" xfId="40841" xr:uid="{00000000-0005-0000-0000-0000D1690000}"/>
    <cellStyle name="Input 3 16 2 2 8" xfId="39393" xr:uid="{00000000-0005-0000-0000-0000D2690000}"/>
    <cellStyle name="Input 3 16 2 3" xfId="10937" xr:uid="{00000000-0005-0000-0000-0000D3690000}"/>
    <cellStyle name="Input 3 16 2 3 2" xfId="18730" xr:uid="{00000000-0005-0000-0000-0000D4690000}"/>
    <cellStyle name="Input 3 16 2 3 2 2" xfId="44277" xr:uid="{00000000-0005-0000-0000-0000D5690000}"/>
    <cellStyle name="Input 3 16 2 3 2 3" xfId="48186" xr:uid="{00000000-0005-0000-0000-0000D6690000}"/>
    <cellStyle name="Input 3 16 2 3 2 4" xfId="36367" xr:uid="{00000000-0005-0000-0000-0000D7690000}"/>
    <cellStyle name="Input 3 16 2 3 3" xfId="19272" xr:uid="{00000000-0005-0000-0000-0000D8690000}"/>
    <cellStyle name="Input 3 16 2 3 3 2" xfId="44809" xr:uid="{00000000-0005-0000-0000-0000D9690000}"/>
    <cellStyle name="Input 3 16 2 3 3 3" xfId="48715" xr:uid="{00000000-0005-0000-0000-0000DA690000}"/>
    <cellStyle name="Input 3 16 2 3 3 4" xfId="36850" xr:uid="{00000000-0005-0000-0000-0000DB690000}"/>
    <cellStyle name="Input 3 16 2 3 4" xfId="11660" xr:uid="{00000000-0005-0000-0000-0000DC690000}"/>
    <cellStyle name="Input 3 16 2 3 4 2" xfId="41671" xr:uid="{00000000-0005-0000-0000-0000DD690000}"/>
    <cellStyle name="Input 3 16 2 3 4 3" xfId="43343" xr:uid="{00000000-0005-0000-0000-0000DE690000}"/>
    <cellStyle name="Input 3 16 2 3 4 4" xfId="29359" xr:uid="{00000000-0005-0000-0000-0000DF690000}"/>
    <cellStyle name="Input 3 16 2 3 5" xfId="21143" xr:uid="{00000000-0005-0000-0000-0000E0690000}"/>
    <cellStyle name="Input 3 16 2 3 5 2" xfId="46680" xr:uid="{00000000-0005-0000-0000-0000E1690000}"/>
    <cellStyle name="Input 3 16 2 3 5 3" xfId="50586" xr:uid="{00000000-0005-0000-0000-0000E2690000}"/>
    <cellStyle name="Input 3 16 2 3 5 4" xfId="38549" xr:uid="{00000000-0005-0000-0000-0000E3690000}"/>
    <cellStyle name="Input 3 16 2 3 6" xfId="21796" xr:uid="{00000000-0005-0000-0000-0000E4690000}"/>
    <cellStyle name="Input 3 16 2 3 6 2" xfId="47333" xr:uid="{00000000-0005-0000-0000-0000E5690000}"/>
    <cellStyle name="Input 3 16 2 3 6 3" xfId="51239" xr:uid="{00000000-0005-0000-0000-0000E6690000}"/>
    <cellStyle name="Input 3 16 2 3 7" xfId="41136" xr:uid="{00000000-0005-0000-0000-0000E7690000}"/>
    <cellStyle name="Input 3 16 2 3 8" xfId="39483" xr:uid="{00000000-0005-0000-0000-0000E8690000}"/>
    <cellStyle name="Input 3 16 2 4" xfId="14900" xr:uid="{00000000-0005-0000-0000-0000E9690000}"/>
    <cellStyle name="Input 3 16 2 4 2" xfId="43016" xr:uid="{00000000-0005-0000-0000-0000EA690000}"/>
    <cellStyle name="Input 3 16 2 4 3" xfId="40040" xr:uid="{00000000-0005-0000-0000-0000EB690000}"/>
    <cellStyle name="Input 3 16 2 4 4" xfId="32535" xr:uid="{00000000-0005-0000-0000-0000EC690000}"/>
    <cellStyle name="Input 3 16 2 5" xfId="13147" xr:uid="{00000000-0005-0000-0000-0000ED690000}"/>
    <cellStyle name="Input 3 16 2 5 2" xfId="42368" xr:uid="{00000000-0005-0000-0000-0000EE690000}"/>
    <cellStyle name="Input 3 16 2 5 3" xfId="39298" xr:uid="{00000000-0005-0000-0000-0000EF690000}"/>
    <cellStyle name="Input 3 16 2 5 4" xfId="30796" xr:uid="{00000000-0005-0000-0000-0000F0690000}"/>
    <cellStyle name="Input 3 16 2 6" xfId="18979" xr:uid="{00000000-0005-0000-0000-0000F1690000}"/>
    <cellStyle name="Input 3 16 2 6 2" xfId="44516" xr:uid="{00000000-0005-0000-0000-0000F2690000}"/>
    <cellStyle name="Input 3 16 2 6 3" xfId="48422" xr:uid="{00000000-0005-0000-0000-0000F3690000}"/>
    <cellStyle name="Input 3 16 2 6 4" xfId="36603" xr:uid="{00000000-0005-0000-0000-0000F4690000}"/>
    <cellStyle name="Input 3 16 2 7" xfId="19643" xr:uid="{00000000-0005-0000-0000-0000F5690000}"/>
    <cellStyle name="Input 3 16 2 7 2" xfId="45180" xr:uid="{00000000-0005-0000-0000-0000F6690000}"/>
    <cellStyle name="Input 3 16 2 7 3" xfId="49086" xr:uid="{00000000-0005-0000-0000-0000F7690000}"/>
    <cellStyle name="Input 3 16 2 7 4" xfId="37179" xr:uid="{00000000-0005-0000-0000-0000F8690000}"/>
    <cellStyle name="Input 3 16 2 8" xfId="19823" xr:uid="{00000000-0005-0000-0000-0000F9690000}"/>
    <cellStyle name="Input 3 16 2 8 2" xfId="45360" xr:uid="{00000000-0005-0000-0000-0000FA690000}"/>
    <cellStyle name="Input 3 16 2 8 3" xfId="49266" xr:uid="{00000000-0005-0000-0000-0000FB690000}"/>
    <cellStyle name="Input 3 16 2 9" xfId="39876" xr:uid="{00000000-0005-0000-0000-0000FC690000}"/>
    <cellStyle name="Input 3 17" xfId="4237" xr:uid="{00000000-0005-0000-0000-0000FD690000}"/>
    <cellStyle name="Input 3 17 2" xfId="10463" xr:uid="{00000000-0005-0000-0000-0000FE690000}"/>
    <cellStyle name="Input 3 17 2 2" xfId="18256" xr:uid="{00000000-0005-0000-0000-0000FF690000}"/>
    <cellStyle name="Input 3 17 2 2 2" xfId="43803" xr:uid="{00000000-0005-0000-0000-0000006A0000}"/>
    <cellStyle name="Input 3 17 2 2 3" xfId="47712" xr:uid="{00000000-0005-0000-0000-0000016A0000}"/>
    <cellStyle name="Input 3 17 2 2 4" xfId="35893" xr:uid="{00000000-0005-0000-0000-0000026A0000}"/>
    <cellStyle name="Input 3 17 2 3" xfId="13320" xr:uid="{00000000-0005-0000-0000-0000036A0000}"/>
    <cellStyle name="Input 3 17 2 3 2" xfId="42490" xr:uid="{00000000-0005-0000-0000-0000046A0000}"/>
    <cellStyle name="Input 3 17 2 3 3" xfId="43680" xr:uid="{00000000-0005-0000-0000-0000056A0000}"/>
    <cellStyle name="Input 3 17 2 3 4" xfId="30960" xr:uid="{00000000-0005-0000-0000-0000066A0000}"/>
    <cellStyle name="Input 3 17 2 4" xfId="20305" xr:uid="{00000000-0005-0000-0000-0000076A0000}"/>
    <cellStyle name="Input 3 17 2 4 2" xfId="45842" xr:uid="{00000000-0005-0000-0000-0000086A0000}"/>
    <cellStyle name="Input 3 17 2 4 3" xfId="49748" xr:uid="{00000000-0005-0000-0000-0000096A0000}"/>
    <cellStyle name="Input 3 17 2 4 4" xfId="37771" xr:uid="{00000000-0005-0000-0000-00000A6A0000}"/>
    <cellStyle name="Input 3 17 2 5" xfId="20669" xr:uid="{00000000-0005-0000-0000-00000B6A0000}"/>
    <cellStyle name="Input 3 17 2 5 2" xfId="46206" xr:uid="{00000000-0005-0000-0000-00000C6A0000}"/>
    <cellStyle name="Input 3 17 2 5 3" xfId="50112" xr:uid="{00000000-0005-0000-0000-00000D6A0000}"/>
    <cellStyle name="Input 3 17 2 5 4" xfId="38075" xr:uid="{00000000-0005-0000-0000-00000E6A0000}"/>
    <cellStyle name="Input 3 17 2 6" xfId="21322" xr:uid="{00000000-0005-0000-0000-00000F6A0000}"/>
    <cellStyle name="Input 3 17 2 6 2" xfId="46859" xr:uid="{00000000-0005-0000-0000-0000106A0000}"/>
    <cellStyle name="Input 3 17 2 6 3" xfId="50765" xr:uid="{00000000-0005-0000-0000-0000116A0000}"/>
    <cellStyle name="Input 3 17 2 7" xfId="40662" xr:uid="{00000000-0005-0000-0000-0000126A0000}"/>
    <cellStyle name="Input 3 17 2 8" xfId="39717" xr:uid="{00000000-0005-0000-0000-0000136A0000}"/>
    <cellStyle name="Input 3 17 3" xfId="8465" xr:uid="{00000000-0005-0000-0000-0000146A0000}"/>
    <cellStyle name="Input 3 17 3 2" xfId="16261" xr:uid="{00000000-0005-0000-0000-0000156A0000}"/>
    <cellStyle name="Input 3 17 3 2 2" xfId="43412" xr:uid="{00000000-0005-0000-0000-0000166A0000}"/>
    <cellStyle name="Input 3 17 3 2 3" xfId="42663" xr:uid="{00000000-0005-0000-0000-0000176A0000}"/>
    <cellStyle name="Input 3 17 3 2 4" xfId="33896" xr:uid="{00000000-0005-0000-0000-0000186A0000}"/>
    <cellStyle name="Input 3 17 3 3" xfId="12130" xr:uid="{00000000-0005-0000-0000-0000196A0000}"/>
    <cellStyle name="Input 3 17 3 3 2" xfId="41875" xr:uid="{00000000-0005-0000-0000-00001A6A0000}"/>
    <cellStyle name="Input 3 17 3 3 3" xfId="43173" xr:uid="{00000000-0005-0000-0000-00001B6A0000}"/>
    <cellStyle name="Input 3 17 3 3 4" xfId="29803" xr:uid="{00000000-0005-0000-0000-00001C6A0000}"/>
    <cellStyle name="Input 3 17 3 4" xfId="18971" xr:uid="{00000000-0005-0000-0000-00001D6A0000}"/>
    <cellStyle name="Input 3 17 3 4 2" xfId="44508" xr:uid="{00000000-0005-0000-0000-00001E6A0000}"/>
    <cellStyle name="Input 3 17 3 4 3" xfId="48414" xr:uid="{00000000-0005-0000-0000-00001F6A0000}"/>
    <cellStyle name="Input 3 17 3 4 4" xfId="36596" xr:uid="{00000000-0005-0000-0000-0000206A0000}"/>
    <cellStyle name="Input 3 17 3 5" xfId="20502" xr:uid="{00000000-0005-0000-0000-0000216A0000}"/>
    <cellStyle name="Input 3 17 3 5 2" xfId="46039" xr:uid="{00000000-0005-0000-0000-0000226A0000}"/>
    <cellStyle name="Input 3 17 3 5 3" xfId="49945" xr:uid="{00000000-0005-0000-0000-0000236A0000}"/>
    <cellStyle name="Input 3 17 3 5 4" xfId="37945" xr:uid="{00000000-0005-0000-0000-0000246A0000}"/>
    <cellStyle name="Input 3 17 3 6" xfId="19198" xr:uid="{00000000-0005-0000-0000-0000256A0000}"/>
    <cellStyle name="Input 3 17 3 6 2" xfId="44735" xr:uid="{00000000-0005-0000-0000-0000266A0000}"/>
    <cellStyle name="Input 3 17 3 6 3" xfId="48641" xr:uid="{00000000-0005-0000-0000-0000276A0000}"/>
    <cellStyle name="Input 3 17 3 7" xfId="40274" xr:uid="{00000000-0005-0000-0000-0000286A0000}"/>
    <cellStyle name="Input 3 17 3 8" xfId="39228" xr:uid="{00000000-0005-0000-0000-0000296A0000}"/>
    <cellStyle name="Input 3 18" xfId="7105" xr:uid="{00000000-0005-0000-0000-00002A6A0000}"/>
    <cellStyle name="Input 3 18 10" xfId="47627" xr:uid="{00000000-0005-0000-0000-00002B6A0000}"/>
    <cellStyle name="Input 3 18 2" xfId="10635" xr:uid="{00000000-0005-0000-0000-00002C6A0000}"/>
    <cellStyle name="Input 3 18 2 2" xfId="18428" xr:uid="{00000000-0005-0000-0000-00002D6A0000}"/>
    <cellStyle name="Input 3 18 2 2 2" xfId="43975" xr:uid="{00000000-0005-0000-0000-00002E6A0000}"/>
    <cellStyle name="Input 3 18 2 2 3" xfId="47884" xr:uid="{00000000-0005-0000-0000-00002F6A0000}"/>
    <cellStyle name="Input 3 18 2 2 4" xfId="36065" xr:uid="{00000000-0005-0000-0000-0000306A0000}"/>
    <cellStyle name="Input 3 18 2 3" xfId="19424" xr:uid="{00000000-0005-0000-0000-0000316A0000}"/>
    <cellStyle name="Input 3 18 2 3 2" xfId="44961" xr:uid="{00000000-0005-0000-0000-0000326A0000}"/>
    <cellStyle name="Input 3 18 2 3 3" xfId="48867" xr:uid="{00000000-0005-0000-0000-0000336A0000}"/>
    <cellStyle name="Input 3 18 2 3 4" xfId="36989" xr:uid="{00000000-0005-0000-0000-0000346A0000}"/>
    <cellStyle name="Input 3 18 2 4" xfId="18932" xr:uid="{00000000-0005-0000-0000-0000356A0000}"/>
    <cellStyle name="Input 3 18 2 4 2" xfId="44469" xr:uid="{00000000-0005-0000-0000-0000366A0000}"/>
    <cellStyle name="Input 3 18 2 4 3" xfId="48375" xr:uid="{00000000-0005-0000-0000-0000376A0000}"/>
    <cellStyle name="Input 3 18 2 4 4" xfId="36560" xr:uid="{00000000-0005-0000-0000-0000386A0000}"/>
    <cellStyle name="Input 3 18 2 5" xfId="20841" xr:uid="{00000000-0005-0000-0000-0000396A0000}"/>
    <cellStyle name="Input 3 18 2 5 2" xfId="46378" xr:uid="{00000000-0005-0000-0000-00003A6A0000}"/>
    <cellStyle name="Input 3 18 2 5 3" xfId="50284" xr:uid="{00000000-0005-0000-0000-00003B6A0000}"/>
    <cellStyle name="Input 3 18 2 5 4" xfId="38247" xr:uid="{00000000-0005-0000-0000-00003C6A0000}"/>
    <cellStyle name="Input 3 18 2 6" xfId="21494" xr:uid="{00000000-0005-0000-0000-00003D6A0000}"/>
    <cellStyle name="Input 3 18 2 6 2" xfId="47031" xr:uid="{00000000-0005-0000-0000-00003E6A0000}"/>
    <cellStyle name="Input 3 18 2 6 3" xfId="50937" xr:uid="{00000000-0005-0000-0000-00003F6A0000}"/>
    <cellStyle name="Input 3 18 2 7" xfId="40834" xr:uid="{00000000-0005-0000-0000-0000406A0000}"/>
    <cellStyle name="Input 3 18 2 8" xfId="43392" xr:uid="{00000000-0005-0000-0000-0000416A0000}"/>
    <cellStyle name="Input 3 18 3" xfId="10930" xr:uid="{00000000-0005-0000-0000-0000426A0000}"/>
    <cellStyle name="Input 3 18 3 2" xfId="18723" xr:uid="{00000000-0005-0000-0000-0000436A0000}"/>
    <cellStyle name="Input 3 18 3 2 2" xfId="44270" xr:uid="{00000000-0005-0000-0000-0000446A0000}"/>
    <cellStyle name="Input 3 18 3 2 3" xfId="48179" xr:uid="{00000000-0005-0000-0000-0000456A0000}"/>
    <cellStyle name="Input 3 18 3 2 4" xfId="36360" xr:uid="{00000000-0005-0000-0000-0000466A0000}"/>
    <cellStyle name="Input 3 18 3 3" xfId="19714" xr:uid="{00000000-0005-0000-0000-0000476A0000}"/>
    <cellStyle name="Input 3 18 3 3 2" xfId="45251" xr:uid="{00000000-0005-0000-0000-0000486A0000}"/>
    <cellStyle name="Input 3 18 3 3 3" xfId="49157" xr:uid="{00000000-0005-0000-0000-0000496A0000}"/>
    <cellStyle name="Input 3 18 3 3 4" xfId="37241" xr:uid="{00000000-0005-0000-0000-00004A6A0000}"/>
    <cellStyle name="Input 3 18 3 4" xfId="13261" xr:uid="{00000000-0005-0000-0000-00004B6A0000}"/>
    <cellStyle name="Input 3 18 3 4 2" xfId="42433" xr:uid="{00000000-0005-0000-0000-00004C6A0000}"/>
    <cellStyle name="Input 3 18 3 4 3" xfId="43682" xr:uid="{00000000-0005-0000-0000-00004D6A0000}"/>
    <cellStyle name="Input 3 18 3 4 4" xfId="30906" xr:uid="{00000000-0005-0000-0000-00004E6A0000}"/>
    <cellStyle name="Input 3 18 3 5" xfId="21136" xr:uid="{00000000-0005-0000-0000-00004F6A0000}"/>
    <cellStyle name="Input 3 18 3 5 2" xfId="46673" xr:uid="{00000000-0005-0000-0000-0000506A0000}"/>
    <cellStyle name="Input 3 18 3 5 3" xfId="50579" xr:uid="{00000000-0005-0000-0000-0000516A0000}"/>
    <cellStyle name="Input 3 18 3 5 4" xfId="38542" xr:uid="{00000000-0005-0000-0000-0000526A0000}"/>
    <cellStyle name="Input 3 18 3 6" xfId="21789" xr:uid="{00000000-0005-0000-0000-0000536A0000}"/>
    <cellStyle name="Input 3 18 3 6 2" xfId="47326" xr:uid="{00000000-0005-0000-0000-0000546A0000}"/>
    <cellStyle name="Input 3 18 3 6 3" xfId="51232" xr:uid="{00000000-0005-0000-0000-0000556A0000}"/>
    <cellStyle name="Input 3 18 3 7" xfId="41129" xr:uid="{00000000-0005-0000-0000-0000566A0000}"/>
    <cellStyle name="Input 3 18 3 8" xfId="42730" xr:uid="{00000000-0005-0000-0000-0000576A0000}"/>
    <cellStyle name="Input 3 18 4" xfId="14893" xr:uid="{00000000-0005-0000-0000-0000586A0000}"/>
    <cellStyle name="Input 3 18 4 2" xfId="43009" xr:uid="{00000000-0005-0000-0000-0000596A0000}"/>
    <cellStyle name="Input 3 18 4 3" xfId="39273" xr:uid="{00000000-0005-0000-0000-00005A6A0000}"/>
    <cellStyle name="Input 3 18 4 4" xfId="32528" xr:uid="{00000000-0005-0000-0000-00005B6A0000}"/>
    <cellStyle name="Input 3 18 5" xfId="13142" xr:uid="{00000000-0005-0000-0000-00005C6A0000}"/>
    <cellStyle name="Input 3 18 5 2" xfId="42363" xr:uid="{00000000-0005-0000-0000-00005D6A0000}"/>
    <cellStyle name="Input 3 18 5 3" xfId="43318" xr:uid="{00000000-0005-0000-0000-00005E6A0000}"/>
    <cellStyle name="Input 3 18 5 4" xfId="30791" xr:uid="{00000000-0005-0000-0000-00005F6A0000}"/>
    <cellStyle name="Input 3 18 6" xfId="12325" xr:uid="{00000000-0005-0000-0000-0000606A0000}"/>
    <cellStyle name="Input 3 18 6 2" xfId="41958" xr:uid="{00000000-0005-0000-0000-0000616A0000}"/>
    <cellStyle name="Input 3 18 6 3" xfId="42702" xr:uid="{00000000-0005-0000-0000-0000626A0000}"/>
    <cellStyle name="Input 3 18 6 4" xfId="29996" xr:uid="{00000000-0005-0000-0000-0000636A0000}"/>
    <cellStyle name="Input 3 18 7" xfId="20099" xr:uid="{00000000-0005-0000-0000-0000646A0000}"/>
    <cellStyle name="Input 3 18 7 2" xfId="45636" xr:uid="{00000000-0005-0000-0000-0000656A0000}"/>
    <cellStyle name="Input 3 18 7 3" xfId="49542" xr:uid="{00000000-0005-0000-0000-0000666A0000}"/>
    <cellStyle name="Input 3 18 7 4" xfId="37588" xr:uid="{00000000-0005-0000-0000-0000676A0000}"/>
    <cellStyle name="Input 3 18 8" xfId="13902" xr:uid="{00000000-0005-0000-0000-0000686A0000}"/>
    <cellStyle name="Input 3 18 8 2" xfId="42637" xr:uid="{00000000-0005-0000-0000-0000696A0000}"/>
    <cellStyle name="Input 3 18 8 3" xfId="43568" xr:uid="{00000000-0005-0000-0000-00006A6A0000}"/>
    <cellStyle name="Input 3 18 9" xfId="39869" xr:uid="{00000000-0005-0000-0000-00006B6A0000}"/>
    <cellStyle name="Input 3 19" xfId="1935" xr:uid="{00000000-0005-0000-0000-00006C6A0000}"/>
    <cellStyle name="Input 3 2" xfId="1941" xr:uid="{00000000-0005-0000-0000-00006D6A0000}"/>
    <cellStyle name="Input 3 2 2" xfId="1942" xr:uid="{00000000-0005-0000-0000-00006E6A0000}"/>
    <cellStyle name="Input 3 2 2 2" xfId="7114" xr:uid="{00000000-0005-0000-0000-00006F6A0000}"/>
    <cellStyle name="Input 3 2 2 2 10" xfId="40134" xr:uid="{00000000-0005-0000-0000-0000706A0000}"/>
    <cellStyle name="Input 3 2 2 2 2" xfId="10644" xr:uid="{00000000-0005-0000-0000-0000716A0000}"/>
    <cellStyle name="Input 3 2 2 2 2 2" xfId="18437" xr:uid="{00000000-0005-0000-0000-0000726A0000}"/>
    <cellStyle name="Input 3 2 2 2 2 2 2" xfId="43984" xr:uid="{00000000-0005-0000-0000-0000736A0000}"/>
    <cellStyle name="Input 3 2 2 2 2 2 3" xfId="47893" xr:uid="{00000000-0005-0000-0000-0000746A0000}"/>
    <cellStyle name="Input 3 2 2 2 2 2 4" xfId="36074" xr:uid="{00000000-0005-0000-0000-0000756A0000}"/>
    <cellStyle name="Input 3 2 2 2 2 3" xfId="20030" xr:uid="{00000000-0005-0000-0000-0000766A0000}"/>
    <cellStyle name="Input 3 2 2 2 2 3 2" xfId="45567" xr:uid="{00000000-0005-0000-0000-0000776A0000}"/>
    <cellStyle name="Input 3 2 2 2 2 3 3" xfId="49473" xr:uid="{00000000-0005-0000-0000-0000786A0000}"/>
    <cellStyle name="Input 3 2 2 2 2 3 4" xfId="37528" xr:uid="{00000000-0005-0000-0000-0000796A0000}"/>
    <cellStyle name="Input 3 2 2 2 2 4" xfId="19454" xr:uid="{00000000-0005-0000-0000-00007A6A0000}"/>
    <cellStyle name="Input 3 2 2 2 2 4 2" xfId="44991" xr:uid="{00000000-0005-0000-0000-00007B6A0000}"/>
    <cellStyle name="Input 3 2 2 2 2 4 3" xfId="48897" xr:uid="{00000000-0005-0000-0000-00007C6A0000}"/>
    <cellStyle name="Input 3 2 2 2 2 4 4" xfId="37015" xr:uid="{00000000-0005-0000-0000-00007D6A0000}"/>
    <cellStyle name="Input 3 2 2 2 2 5" xfId="20850" xr:uid="{00000000-0005-0000-0000-00007E6A0000}"/>
    <cellStyle name="Input 3 2 2 2 2 5 2" xfId="46387" xr:uid="{00000000-0005-0000-0000-00007F6A0000}"/>
    <cellStyle name="Input 3 2 2 2 2 5 3" xfId="50293" xr:uid="{00000000-0005-0000-0000-0000806A0000}"/>
    <cellStyle name="Input 3 2 2 2 2 5 4" xfId="38256" xr:uid="{00000000-0005-0000-0000-0000816A0000}"/>
    <cellStyle name="Input 3 2 2 2 2 6" xfId="21503" xr:uid="{00000000-0005-0000-0000-0000826A0000}"/>
    <cellStyle name="Input 3 2 2 2 2 6 2" xfId="47040" xr:uid="{00000000-0005-0000-0000-0000836A0000}"/>
    <cellStyle name="Input 3 2 2 2 2 6 3" xfId="50946" xr:uid="{00000000-0005-0000-0000-0000846A0000}"/>
    <cellStyle name="Input 3 2 2 2 2 7" xfId="40843" xr:uid="{00000000-0005-0000-0000-0000856A0000}"/>
    <cellStyle name="Input 3 2 2 2 2 8" xfId="43390" xr:uid="{00000000-0005-0000-0000-0000866A0000}"/>
    <cellStyle name="Input 3 2 2 2 3" xfId="10939" xr:uid="{00000000-0005-0000-0000-0000876A0000}"/>
    <cellStyle name="Input 3 2 2 2 3 2" xfId="18732" xr:uid="{00000000-0005-0000-0000-0000886A0000}"/>
    <cellStyle name="Input 3 2 2 2 3 2 2" xfId="44279" xr:uid="{00000000-0005-0000-0000-0000896A0000}"/>
    <cellStyle name="Input 3 2 2 2 3 2 3" xfId="48188" xr:uid="{00000000-0005-0000-0000-00008A6A0000}"/>
    <cellStyle name="Input 3 2 2 2 3 2 4" xfId="36369" xr:uid="{00000000-0005-0000-0000-00008B6A0000}"/>
    <cellStyle name="Input 3 2 2 2 3 3" xfId="19104" xr:uid="{00000000-0005-0000-0000-00008C6A0000}"/>
    <cellStyle name="Input 3 2 2 2 3 3 2" xfId="44641" xr:uid="{00000000-0005-0000-0000-00008D6A0000}"/>
    <cellStyle name="Input 3 2 2 2 3 3 3" xfId="48547" xr:uid="{00000000-0005-0000-0000-00008E6A0000}"/>
    <cellStyle name="Input 3 2 2 2 3 3 4" xfId="36699" xr:uid="{00000000-0005-0000-0000-00008F6A0000}"/>
    <cellStyle name="Input 3 2 2 2 3 4" xfId="19990" xr:uid="{00000000-0005-0000-0000-0000906A0000}"/>
    <cellStyle name="Input 3 2 2 2 3 4 2" xfId="45527" xr:uid="{00000000-0005-0000-0000-0000916A0000}"/>
    <cellStyle name="Input 3 2 2 2 3 4 3" xfId="49433" xr:uid="{00000000-0005-0000-0000-0000926A0000}"/>
    <cellStyle name="Input 3 2 2 2 3 4 4" xfId="37488" xr:uid="{00000000-0005-0000-0000-0000936A0000}"/>
    <cellStyle name="Input 3 2 2 2 3 5" xfId="21145" xr:uid="{00000000-0005-0000-0000-0000946A0000}"/>
    <cellStyle name="Input 3 2 2 2 3 5 2" xfId="46682" xr:uid="{00000000-0005-0000-0000-0000956A0000}"/>
    <cellStyle name="Input 3 2 2 2 3 5 3" xfId="50588" xr:uid="{00000000-0005-0000-0000-0000966A0000}"/>
    <cellStyle name="Input 3 2 2 2 3 5 4" xfId="38551" xr:uid="{00000000-0005-0000-0000-0000976A0000}"/>
    <cellStyle name="Input 3 2 2 2 3 6" xfId="21798" xr:uid="{00000000-0005-0000-0000-0000986A0000}"/>
    <cellStyle name="Input 3 2 2 2 3 6 2" xfId="47335" xr:uid="{00000000-0005-0000-0000-0000996A0000}"/>
    <cellStyle name="Input 3 2 2 2 3 6 3" xfId="51241" xr:uid="{00000000-0005-0000-0000-00009A6A0000}"/>
    <cellStyle name="Input 3 2 2 2 3 7" xfId="41138" xr:uid="{00000000-0005-0000-0000-00009B6A0000}"/>
    <cellStyle name="Input 3 2 2 2 3 8" xfId="43370" xr:uid="{00000000-0005-0000-0000-00009C6A0000}"/>
    <cellStyle name="Input 3 2 2 2 4" xfId="14902" xr:uid="{00000000-0005-0000-0000-00009D6A0000}"/>
    <cellStyle name="Input 3 2 2 2 4 2" xfId="43018" xr:uid="{00000000-0005-0000-0000-00009E6A0000}"/>
    <cellStyle name="Input 3 2 2 2 4 3" xfId="43668" xr:uid="{00000000-0005-0000-0000-00009F6A0000}"/>
    <cellStyle name="Input 3 2 2 2 4 4" xfId="32537" xr:uid="{00000000-0005-0000-0000-0000A06A0000}"/>
    <cellStyle name="Input 3 2 2 2 5" xfId="12476" xr:uid="{00000000-0005-0000-0000-0000A16A0000}"/>
    <cellStyle name="Input 3 2 2 2 5 2" xfId="41997" xr:uid="{00000000-0005-0000-0000-0000A26A0000}"/>
    <cellStyle name="Input 3 2 2 2 5 3" xfId="42806" xr:uid="{00000000-0005-0000-0000-0000A36A0000}"/>
    <cellStyle name="Input 3 2 2 2 5 4" xfId="30147" xr:uid="{00000000-0005-0000-0000-0000A46A0000}"/>
    <cellStyle name="Input 3 2 2 2 6" xfId="11344" xr:uid="{00000000-0005-0000-0000-0000A56A0000}"/>
    <cellStyle name="Input 3 2 2 2 6 2" xfId="41383" xr:uid="{00000000-0005-0000-0000-0000A66A0000}"/>
    <cellStyle name="Input 3 2 2 2 6 3" xfId="40573" xr:uid="{00000000-0005-0000-0000-0000A76A0000}"/>
    <cellStyle name="Input 3 2 2 2 6 4" xfId="29070" xr:uid="{00000000-0005-0000-0000-0000A86A0000}"/>
    <cellStyle name="Input 3 2 2 2 7" xfId="19566" xr:uid="{00000000-0005-0000-0000-0000A96A0000}"/>
    <cellStyle name="Input 3 2 2 2 7 2" xfId="45103" xr:uid="{00000000-0005-0000-0000-0000AA6A0000}"/>
    <cellStyle name="Input 3 2 2 2 7 3" xfId="49009" xr:uid="{00000000-0005-0000-0000-0000AB6A0000}"/>
    <cellStyle name="Input 3 2 2 2 7 4" xfId="37107" xr:uid="{00000000-0005-0000-0000-0000AC6A0000}"/>
    <cellStyle name="Input 3 2 2 2 8" xfId="19982" xr:uid="{00000000-0005-0000-0000-0000AD6A0000}"/>
    <cellStyle name="Input 3 2 2 2 8 2" xfId="45519" xr:uid="{00000000-0005-0000-0000-0000AE6A0000}"/>
    <cellStyle name="Input 3 2 2 2 8 3" xfId="49425" xr:uid="{00000000-0005-0000-0000-0000AF6A0000}"/>
    <cellStyle name="Input 3 2 2 2 9" xfId="39878" xr:uid="{00000000-0005-0000-0000-0000B06A0000}"/>
    <cellStyle name="Input 3 2 2 3" xfId="53123" xr:uid="{00000000-0005-0000-0000-0000B16A0000}"/>
    <cellStyle name="Input 3 2 3" xfId="1943" xr:uid="{00000000-0005-0000-0000-0000B26A0000}"/>
    <cellStyle name="Input 3 2 3 2" xfId="7115" xr:uid="{00000000-0005-0000-0000-0000B36A0000}"/>
    <cellStyle name="Input 3 2 3 2 10" xfId="43103" xr:uid="{00000000-0005-0000-0000-0000B46A0000}"/>
    <cellStyle name="Input 3 2 3 2 2" xfId="10645" xr:uid="{00000000-0005-0000-0000-0000B56A0000}"/>
    <cellStyle name="Input 3 2 3 2 2 2" xfId="18438" xr:uid="{00000000-0005-0000-0000-0000B66A0000}"/>
    <cellStyle name="Input 3 2 3 2 2 2 2" xfId="43985" xr:uid="{00000000-0005-0000-0000-0000B76A0000}"/>
    <cellStyle name="Input 3 2 3 2 2 2 3" xfId="47894" xr:uid="{00000000-0005-0000-0000-0000B86A0000}"/>
    <cellStyle name="Input 3 2 3 2 2 2 4" xfId="36075" xr:uid="{00000000-0005-0000-0000-0000B96A0000}"/>
    <cellStyle name="Input 3 2 3 2 2 3" xfId="19296" xr:uid="{00000000-0005-0000-0000-0000BA6A0000}"/>
    <cellStyle name="Input 3 2 3 2 2 3 2" xfId="44833" xr:uid="{00000000-0005-0000-0000-0000BB6A0000}"/>
    <cellStyle name="Input 3 2 3 2 2 3 3" xfId="48739" xr:uid="{00000000-0005-0000-0000-0000BC6A0000}"/>
    <cellStyle name="Input 3 2 3 2 2 3 4" xfId="36874" xr:uid="{00000000-0005-0000-0000-0000BD6A0000}"/>
    <cellStyle name="Input 3 2 3 2 2 4" xfId="18927" xr:uid="{00000000-0005-0000-0000-0000BE6A0000}"/>
    <cellStyle name="Input 3 2 3 2 2 4 2" xfId="44464" xr:uid="{00000000-0005-0000-0000-0000BF6A0000}"/>
    <cellStyle name="Input 3 2 3 2 2 4 3" xfId="48370" xr:uid="{00000000-0005-0000-0000-0000C06A0000}"/>
    <cellStyle name="Input 3 2 3 2 2 4 4" xfId="36555" xr:uid="{00000000-0005-0000-0000-0000C16A0000}"/>
    <cellStyle name="Input 3 2 3 2 2 5" xfId="20851" xr:uid="{00000000-0005-0000-0000-0000C26A0000}"/>
    <cellStyle name="Input 3 2 3 2 2 5 2" xfId="46388" xr:uid="{00000000-0005-0000-0000-0000C36A0000}"/>
    <cellStyle name="Input 3 2 3 2 2 5 3" xfId="50294" xr:uid="{00000000-0005-0000-0000-0000C46A0000}"/>
    <cellStyle name="Input 3 2 3 2 2 5 4" xfId="38257" xr:uid="{00000000-0005-0000-0000-0000C56A0000}"/>
    <cellStyle name="Input 3 2 3 2 2 6" xfId="21504" xr:uid="{00000000-0005-0000-0000-0000C66A0000}"/>
    <cellStyle name="Input 3 2 3 2 2 6 2" xfId="47041" xr:uid="{00000000-0005-0000-0000-0000C76A0000}"/>
    <cellStyle name="Input 3 2 3 2 2 6 3" xfId="50947" xr:uid="{00000000-0005-0000-0000-0000C86A0000}"/>
    <cellStyle name="Input 3 2 3 2 2 7" xfId="40844" xr:uid="{00000000-0005-0000-0000-0000C96A0000}"/>
    <cellStyle name="Input 3 2 3 2 2 8" xfId="40252" xr:uid="{00000000-0005-0000-0000-0000CA6A0000}"/>
    <cellStyle name="Input 3 2 3 2 3" xfId="10940" xr:uid="{00000000-0005-0000-0000-0000CB6A0000}"/>
    <cellStyle name="Input 3 2 3 2 3 2" xfId="18733" xr:uid="{00000000-0005-0000-0000-0000CC6A0000}"/>
    <cellStyle name="Input 3 2 3 2 3 2 2" xfId="44280" xr:uid="{00000000-0005-0000-0000-0000CD6A0000}"/>
    <cellStyle name="Input 3 2 3 2 3 2 3" xfId="48189" xr:uid="{00000000-0005-0000-0000-0000CE6A0000}"/>
    <cellStyle name="Input 3 2 3 2 3 2 4" xfId="36370" xr:uid="{00000000-0005-0000-0000-0000CF6A0000}"/>
    <cellStyle name="Input 3 2 3 2 3 3" xfId="19713" xr:uid="{00000000-0005-0000-0000-0000D06A0000}"/>
    <cellStyle name="Input 3 2 3 2 3 3 2" xfId="45250" xr:uid="{00000000-0005-0000-0000-0000D16A0000}"/>
    <cellStyle name="Input 3 2 3 2 3 3 3" xfId="49156" xr:uid="{00000000-0005-0000-0000-0000D26A0000}"/>
    <cellStyle name="Input 3 2 3 2 3 3 4" xfId="37240" xr:uid="{00000000-0005-0000-0000-0000D36A0000}"/>
    <cellStyle name="Input 3 2 3 2 3 4" xfId="19059" xr:uid="{00000000-0005-0000-0000-0000D46A0000}"/>
    <cellStyle name="Input 3 2 3 2 3 4 2" xfId="44596" xr:uid="{00000000-0005-0000-0000-0000D56A0000}"/>
    <cellStyle name="Input 3 2 3 2 3 4 3" xfId="48502" xr:uid="{00000000-0005-0000-0000-0000D66A0000}"/>
    <cellStyle name="Input 3 2 3 2 3 4 4" xfId="36658" xr:uid="{00000000-0005-0000-0000-0000D76A0000}"/>
    <cellStyle name="Input 3 2 3 2 3 5" xfId="21146" xr:uid="{00000000-0005-0000-0000-0000D86A0000}"/>
    <cellStyle name="Input 3 2 3 2 3 5 2" xfId="46683" xr:uid="{00000000-0005-0000-0000-0000D96A0000}"/>
    <cellStyle name="Input 3 2 3 2 3 5 3" xfId="50589" xr:uid="{00000000-0005-0000-0000-0000DA6A0000}"/>
    <cellStyle name="Input 3 2 3 2 3 5 4" xfId="38552" xr:uid="{00000000-0005-0000-0000-0000DB6A0000}"/>
    <cellStyle name="Input 3 2 3 2 3 6" xfId="21799" xr:uid="{00000000-0005-0000-0000-0000DC6A0000}"/>
    <cellStyle name="Input 3 2 3 2 3 6 2" xfId="47336" xr:uid="{00000000-0005-0000-0000-0000DD6A0000}"/>
    <cellStyle name="Input 3 2 3 2 3 6 3" xfId="51242" xr:uid="{00000000-0005-0000-0000-0000DE6A0000}"/>
    <cellStyle name="Input 3 2 3 2 3 7" xfId="41139" xr:uid="{00000000-0005-0000-0000-0000DF6A0000}"/>
    <cellStyle name="Input 3 2 3 2 3 8" xfId="40232" xr:uid="{00000000-0005-0000-0000-0000E06A0000}"/>
    <cellStyle name="Input 3 2 3 2 4" xfId="14903" xr:uid="{00000000-0005-0000-0000-0000E16A0000}"/>
    <cellStyle name="Input 3 2 3 2 4 2" xfId="43019" xr:uid="{00000000-0005-0000-0000-0000E26A0000}"/>
    <cellStyle name="Input 3 2 3 2 4 3" xfId="40527" xr:uid="{00000000-0005-0000-0000-0000E36A0000}"/>
    <cellStyle name="Input 3 2 3 2 4 4" xfId="32538" xr:uid="{00000000-0005-0000-0000-0000E46A0000}"/>
    <cellStyle name="Input 3 2 3 2 5" xfId="12477" xr:uid="{00000000-0005-0000-0000-0000E56A0000}"/>
    <cellStyle name="Input 3 2 3 2 5 2" xfId="41998" xr:uid="{00000000-0005-0000-0000-0000E66A0000}"/>
    <cellStyle name="Input 3 2 3 2 5 3" xfId="43695" xr:uid="{00000000-0005-0000-0000-0000E76A0000}"/>
    <cellStyle name="Input 3 2 3 2 5 4" xfId="30148" xr:uid="{00000000-0005-0000-0000-0000E86A0000}"/>
    <cellStyle name="Input 3 2 3 2 6" xfId="11477" xr:uid="{00000000-0005-0000-0000-0000E96A0000}"/>
    <cellStyle name="Input 3 2 3 2 6 2" xfId="41488" xr:uid="{00000000-0005-0000-0000-0000EA6A0000}"/>
    <cellStyle name="Input 3 2 3 2 6 3" xfId="40077" xr:uid="{00000000-0005-0000-0000-0000EB6A0000}"/>
    <cellStyle name="Input 3 2 3 2 6 4" xfId="29193" xr:uid="{00000000-0005-0000-0000-0000EC6A0000}"/>
    <cellStyle name="Input 3 2 3 2 7" xfId="11471" xr:uid="{00000000-0005-0000-0000-0000ED6A0000}"/>
    <cellStyle name="Input 3 2 3 2 7 2" xfId="41482" xr:uid="{00000000-0005-0000-0000-0000EE6A0000}"/>
    <cellStyle name="Input 3 2 3 2 7 3" xfId="43354" xr:uid="{00000000-0005-0000-0000-0000EF6A0000}"/>
    <cellStyle name="Input 3 2 3 2 7 4" xfId="29187" xr:uid="{00000000-0005-0000-0000-0000F06A0000}"/>
    <cellStyle name="Input 3 2 3 2 8" xfId="20249" xr:uid="{00000000-0005-0000-0000-0000F16A0000}"/>
    <cellStyle name="Input 3 2 3 2 8 2" xfId="45786" xr:uid="{00000000-0005-0000-0000-0000F26A0000}"/>
    <cellStyle name="Input 3 2 3 2 8 3" xfId="49692" xr:uid="{00000000-0005-0000-0000-0000F36A0000}"/>
    <cellStyle name="Input 3 2 3 2 9" xfId="39879" xr:uid="{00000000-0005-0000-0000-0000F46A0000}"/>
    <cellStyle name="Input 3 2 3 3" xfId="22925" xr:uid="{00000000-0005-0000-0000-0000F56A0000}"/>
    <cellStyle name="Input 3 2 3 3 2" xfId="47621" xr:uid="{00000000-0005-0000-0000-0000F66A0000}"/>
    <cellStyle name="Input 3 2 3 3 3" xfId="51436" xr:uid="{00000000-0005-0000-0000-0000F76A0000}"/>
    <cellStyle name="Input 3 2 3 3 4" xfId="39034" xr:uid="{00000000-0005-0000-0000-0000F86A0000}"/>
    <cellStyle name="Input 3 2 3 4" xfId="23065" xr:uid="{00000000-0005-0000-0000-0000F96A0000}"/>
    <cellStyle name="Input 3 2 3 4 2" xfId="47665" xr:uid="{00000000-0005-0000-0000-0000FA6A0000}"/>
    <cellStyle name="Input 3 2 3 4 3" xfId="51476" xr:uid="{00000000-0005-0000-0000-0000FB6A0000}"/>
    <cellStyle name="Input 3 2 3 5" xfId="53124" xr:uid="{00000000-0005-0000-0000-0000FC6A0000}"/>
    <cellStyle name="Input 3 2 4" xfId="4238" xr:uid="{00000000-0005-0000-0000-0000FD6A0000}"/>
    <cellStyle name="Input 3 2 4 2" xfId="7116" xr:uid="{00000000-0005-0000-0000-0000FE6A0000}"/>
    <cellStyle name="Input 3 2 4 2 10" xfId="43770" xr:uid="{00000000-0005-0000-0000-0000FF6A0000}"/>
    <cellStyle name="Input 3 2 4 2 2" xfId="10646" xr:uid="{00000000-0005-0000-0000-0000006B0000}"/>
    <cellStyle name="Input 3 2 4 2 2 2" xfId="18439" xr:uid="{00000000-0005-0000-0000-0000016B0000}"/>
    <cellStyle name="Input 3 2 4 2 2 2 2" xfId="43986" xr:uid="{00000000-0005-0000-0000-0000026B0000}"/>
    <cellStyle name="Input 3 2 4 2 2 2 3" xfId="47895" xr:uid="{00000000-0005-0000-0000-0000036B0000}"/>
    <cellStyle name="Input 3 2 4 2 2 2 4" xfId="36076" xr:uid="{00000000-0005-0000-0000-0000046B0000}"/>
    <cellStyle name="Input 3 2 4 2 2 3" xfId="19905" xr:uid="{00000000-0005-0000-0000-0000056B0000}"/>
    <cellStyle name="Input 3 2 4 2 2 3 2" xfId="45442" xr:uid="{00000000-0005-0000-0000-0000066B0000}"/>
    <cellStyle name="Input 3 2 4 2 2 3 3" xfId="49348" xr:uid="{00000000-0005-0000-0000-0000076B0000}"/>
    <cellStyle name="Input 3 2 4 2 2 3 4" xfId="37419" xr:uid="{00000000-0005-0000-0000-0000086B0000}"/>
    <cellStyle name="Input 3 2 4 2 2 4" xfId="19812" xr:uid="{00000000-0005-0000-0000-0000096B0000}"/>
    <cellStyle name="Input 3 2 4 2 2 4 2" xfId="45349" xr:uid="{00000000-0005-0000-0000-00000A6B0000}"/>
    <cellStyle name="Input 3 2 4 2 2 4 3" xfId="49255" xr:uid="{00000000-0005-0000-0000-00000B6B0000}"/>
    <cellStyle name="Input 3 2 4 2 2 4 4" xfId="37333" xr:uid="{00000000-0005-0000-0000-00000C6B0000}"/>
    <cellStyle name="Input 3 2 4 2 2 5" xfId="20852" xr:uid="{00000000-0005-0000-0000-00000D6B0000}"/>
    <cellStyle name="Input 3 2 4 2 2 5 2" xfId="46389" xr:uid="{00000000-0005-0000-0000-00000E6B0000}"/>
    <cellStyle name="Input 3 2 4 2 2 5 3" xfId="50295" xr:uid="{00000000-0005-0000-0000-00000F6B0000}"/>
    <cellStyle name="Input 3 2 4 2 2 5 4" xfId="38258" xr:uid="{00000000-0005-0000-0000-0000106B0000}"/>
    <cellStyle name="Input 3 2 4 2 2 6" xfId="21505" xr:uid="{00000000-0005-0000-0000-0000116B0000}"/>
    <cellStyle name="Input 3 2 4 2 2 6 2" xfId="47042" xr:uid="{00000000-0005-0000-0000-0000126B0000}"/>
    <cellStyle name="Input 3 2 4 2 2 6 3" xfId="50948" xr:uid="{00000000-0005-0000-0000-0000136B0000}"/>
    <cellStyle name="Input 3 2 4 2 2 7" xfId="40845" xr:uid="{00000000-0005-0000-0000-0000146B0000}"/>
    <cellStyle name="Input 3 2 4 2 2 8" xfId="39392" xr:uid="{00000000-0005-0000-0000-0000156B0000}"/>
    <cellStyle name="Input 3 2 4 2 3" xfId="10941" xr:uid="{00000000-0005-0000-0000-0000166B0000}"/>
    <cellStyle name="Input 3 2 4 2 3 2" xfId="18734" xr:uid="{00000000-0005-0000-0000-0000176B0000}"/>
    <cellStyle name="Input 3 2 4 2 3 2 2" xfId="44281" xr:uid="{00000000-0005-0000-0000-0000186B0000}"/>
    <cellStyle name="Input 3 2 4 2 3 2 3" xfId="48190" xr:uid="{00000000-0005-0000-0000-0000196B0000}"/>
    <cellStyle name="Input 3 2 4 2 3 2 4" xfId="36371" xr:uid="{00000000-0005-0000-0000-00001A6B0000}"/>
    <cellStyle name="Input 3 2 4 2 3 3" xfId="11532" xr:uid="{00000000-0005-0000-0000-00001B6B0000}"/>
    <cellStyle name="Input 3 2 4 2 3 3 2" xfId="41543" xr:uid="{00000000-0005-0000-0000-00001C6B0000}"/>
    <cellStyle name="Input 3 2 4 2 3 3 3" xfId="40213" xr:uid="{00000000-0005-0000-0000-00001D6B0000}"/>
    <cellStyle name="Input 3 2 4 2 3 3 4" xfId="29247" xr:uid="{00000000-0005-0000-0000-00001E6B0000}"/>
    <cellStyle name="Input 3 2 4 2 3 4" xfId="19159" xr:uid="{00000000-0005-0000-0000-00001F6B0000}"/>
    <cellStyle name="Input 3 2 4 2 3 4 2" xfId="44696" xr:uid="{00000000-0005-0000-0000-0000206B0000}"/>
    <cellStyle name="Input 3 2 4 2 3 4 3" xfId="48602" xr:uid="{00000000-0005-0000-0000-0000216B0000}"/>
    <cellStyle name="Input 3 2 4 2 3 4 4" xfId="36751" xr:uid="{00000000-0005-0000-0000-0000226B0000}"/>
    <cellStyle name="Input 3 2 4 2 3 5" xfId="21147" xr:uid="{00000000-0005-0000-0000-0000236B0000}"/>
    <cellStyle name="Input 3 2 4 2 3 5 2" xfId="46684" xr:uid="{00000000-0005-0000-0000-0000246B0000}"/>
    <cellStyle name="Input 3 2 4 2 3 5 3" xfId="50590" xr:uid="{00000000-0005-0000-0000-0000256B0000}"/>
    <cellStyle name="Input 3 2 4 2 3 5 4" xfId="38553" xr:uid="{00000000-0005-0000-0000-0000266B0000}"/>
    <cellStyle name="Input 3 2 4 2 3 6" xfId="21800" xr:uid="{00000000-0005-0000-0000-0000276B0000}"/>
    <cellStyle name="Input 3 2 4 2 3 6 2" xfId="47337" xr:uid="{00000000-0005-0000-0000-0000286B0000}"/>
    <cellStyle name="Input 3 2 4 2 3 6 3" xfId="51243" xr:uid="{00000000-0005-0000-0000-0000296B0000}"/>
    <cellStyle name="Input 3 2 4 2 3 7" xfId="41140" xr:uid="{00000000-0005-0000-0000-00002A6B0000}"/>
    <cellStyle name="Input 3 2 4 2 3 8" xfId="39372" xr:uid="{00000000-0005-0000-0000-00002B6B0000}"/>
    <cellStyle name="Input 3 2 4 2 4" xfId="14904" xr:uid="{00000000-0005-0000-0000-00002C6B0000}"/>
    <cellStyle name="Input 3 2 4 2 4 2" xfId="43020" xr:uid="{00000000-0005-0000-0000-00002D6B0000}"/>
    <cellStyle name="Input 3 2 4 2 4 3" xfId="39635" xr:uid="{00000000-0005-0000-0000-00002E6B0000}"/>
    <cellStyle name="Input 3 2 4 2 4 4" xfId="32539" xr:uid="{00000000-0005-0000-0000-00002F6B0000}"/>
    <cellStyle name="Input 3 2 4 2 5" xfId="11311" xr:uid="{00000000-0005-0000-0000-0000306B0000}"/>
    <cellStyle name="Input 3 2 4 2 5 2" xfId="41357" xr:uid="{00000000-0005-0000-0000-0000316B0000}"/>
    <cellStyle name="Input 3 2 4 2 5 3" xfId="42589" xr:uid="{00000000-0005-0000-0000-0000326B0000}"/>
    <cellStyle name="Input 3 2 4 2 5 4" xfId="29039" xr:uid="{00000000-0005-0000-0000-0000336B0000}"/>
    <cellStyle name="Input 3 2 4 2 6" xfId="19358" xr:uid="{00000000-0005-0000-0000-0000346B0000}"/>
    <cellStyle name="Input 3 2 4 2 6 2" xfId="44895" xr:uid="{00000000-0005-0000-0000-0000356B0000}"/>
    <cellStyle name="Input 3 2 4 2 6 3" xfId="48801" xr:uid="{00000000-0005-0000-0000-0000366B0000}"/>
    <cellStyle name="Input 3 2 4 2 6 4" xfId="36927" xr:uid="{00000000-0005-0000-0000-0000376B0000}"/>
    <cellStyle name="Input 3 2 4 2 7" xfId="19020" xr:uid="{00000000-0005-0000-0000-0000386B0000}"/>
    <cellStyle name="Input 3 2 4 2 7 2" xfId="44557" xr:uid="{00000000-0005-0000-0000-0000396B0000}"/>
    <cellStyle name="Input 3 2 4 2 7 3" xfId="48463" xr:uid="{00000000-0005-0000-0000-00003A6B0000}"/>
    <cellStyle name="Input 3 2 4 2 7 4" xfId="36628" xr:uid="{00000000-0005-0000-0000-00003B6B0000}"/>
    <cellStyle name="Input 3 2 4 2 8" xfId="19150" xr:uid="{00000000-0005-0000-0000-00003C6B0000}"/>
    <cellStyle name="Input 3 2 4 2 8 2" xfId="44687" xr:uid="{00000000-0005-0000-0000-00003D6B0000}"/>
    <cellStyle name="Input 3 2 4 2 8 3" xfId="48593" xr:uid="{00000000-0005-0000-0000-00003E6B0000}"/>
    <cellStyle name="Input 3 2 4 2 9" xfId="39880" xr:uid="{00000000-0005-0000-0000-00003F6B0000}"/>
    <cellStyle name="Input 3 2 4 3" xfId="22465" xr:uid="{00000000-0005-0000-0000-0000406B0000}"/>
    <cellStyle name="Input 3 2 5" xfId="4239" xr:uid="{00000000-0005-0000-0000-0000416B0000}"/>
    <cellStyle name="Input 3 2 5 2" xfId="10464" xr:uid="{00000000-0005-0000-0000-0000426B0000}"/>
    <cellStyle name="Input 3 2 5 2 2" xfId="18257" xr:uid="{00000000-0005-0000-0000-0000436B0000}"/>
    <cellStyle name="Input 3 2 5 2 2 2" xfId="43804" xr:uid="{00000000-0005-0000-0000-0000446B0000}"/>
    <cellStyle name="Input 3 2 5 2 2 3" xfId="47713" xr:uid="{00000000-0005-0000-0000-0000456B0000}"/>
    <cellStyle name="Input 3 2 5 2 2 4" xfId="35894" xr:uid="{00000000-0005-0000-0000-0000466B0000}"/>
    <cellStyle name="Input 3 2 5 2 3" xfId="19624" xr:uid="{00000000-0005-0000-0000-0000476B0000}"/>
    <cellStyle name="Input 3 2 5 2 3 2" xfId="45161" xr:uid="{00000000-0005-0000-0000-0000486B0000}"/>
    <cellStyle name="Input 3 2 5 2 3 3" xfId="49067" xr:uid="{00000000-0005-0000-0000-0000496B0000}"/>
    <cellStyle name="Input 3 2 5 2 3 4" xfId="37164" xr:uid="{00000000-0005-0000-0000-00004A6B0000}"/>
    <cellStyle name="Input 3 2 5 2 4" xfId="20056" xr:uid="{00000000-0005-0000-0000-00004B6B0000}"/>
    <cellStyle name="Input 3 2 5 2 4 2" xfId="45593" xr:uid="{00000000-0005-0000-0000-00004C6B0000}"/>
    <cellStyle name="Input 3 2 5 2 4 3" xfId="49499" xr:uid="{00000000-0005-0000-0000-00004D6B0000}"/>
    <cellStyle name="Input 3 2 5 2 4 4" xfId="37552" xr:uid="{00000000-0005-0000-0000-00004E6B0000}"/>
    <cellStyle name="Input 3 2 5 2 5" xfId="20670" xr:uid="{00000000-0005-0000-0000-00004F6B0000}"/>
    <cellStyle name="Input 3 2 5 2 5 2" xfId="46207" xr:uid="{00000000-0005-0000-0000-0000506B0000}"/>
    <cellStyle name="Input 3 2 5 2 5 3" xfId="50113" xr:uid="{00000000-0005-0000-0000-0000516B0000}"/>
    <cellStyle name="Input 3 2 5 2 5 4" xfId="38076" xr:uid="{00000000-0005-0000-0000-0000526B0000}"/>
    <cellStyle name="Input 3 2 5 2 6" xfId="21323" xr:uid="{00000000-0005-0000-0000-0000536B0000}"/>
    <cellStyle name="Input 3 2 5 2 6 2" xfId="46860" xr:uid="{00000000-0005-0000-0000-0000546B0000}"/>
    <cellStyle name="Input 3 2 5 2 6 3" xfId="50766" xr:uid="{00000000-0005-0000-0000-0000556B0000}"/>
    <cellStyle name="Input 3 2 5 2 7" xfId="40663" xr:uid="{00000000-0005-0000-0000-0000566B0000}"/>
    <cellStyle name="Input 3 2 5 2 8" xfId="42754" xr:uid="{00000000-0005-0000-0000-0000576B0000}"/>
    <cellStyle name="Input 3 2 5 3" xfId="8466" xr:uid="{00000000-0005-0000-0000-0000586B0000}"/>
    <cellStyle name="Input 3 2 5 3 2" xfId="16262" xr:uid="{00000000-0005-0000-0000-0000596B0000}"/>
    <cellStyle name="Input 3 2 5 3 2 2" xfId="43413" xr:uid="{00000000-0005-0000-0000-00005A6B0000}"/>
    <cellStyle name="Input 3 2 5 3 2 3" xfId="43552" xr:uid="{00000000-0005-0000-0000-00005B6B0000}"/>
    <cellStyle name="Input 3 2 5 3 2 4" xfId="33897" xr:uid="{00000000-0005-0000-0000-00005C6B0000}"/>
    <cellStyle name="Input 3 2 5 3 3" xfId="12131" xr:uid="{00000000-0005-0000-0000-00005D6B0000}"/>
    <cellStyle name="Input 3 2 5 3 3 2" xfId="41876" xr:uid="{00000000-0005-0000-0000-00005E6B0000}"/>
    <cellStyle name="Input 3 2 5 3 3 3" xfId="40031" xr:uid="{00000000-0005-0000-0000-00005F6B0000}"/>
    <cellStyle name="Input 3 2 5 3 3 4" xfId="29804" xr:uid="{00000000-0005-0000-0000-0000606B0000}"/>
    <cellStyle name="Input 3 2 5 3 4" xfId="11739" xr:uid="{00000000-0005-0000-0000-0000616B0000}"/>
    <cellStyle name="Input 3 2 5 3 4 2" xfId="41725" xr:uid="{00000000-0005-0000-0000-0000626B0000}"/>
    <cellStyle name="Input 3 2 5 3 4 3" xfId="40455" xr:uid="{00000000-0005-0000-0000-0000636B0000}"/>
    <cellStyle name="Input 3 2 5 3 4 4" xfId="29426" xr:uid="{00000000-0005-0000-0000-0000646B0000}"/>
    <cellStyle name="Input 3 2 5 3 5" xfId="12648" xr:uid="{00000000-0005-0000-0000-0000656B0000}"/>
    <cellStyle name="Input 3 2 5 3 5 2" xfId="42127" xr:uid="{00000000-0005-0000-0000-0000666B0000}"/>
    <cellStyle name="Input 3 2 5 3 5 3" xfId="42804" xr:uid="{00000000-0005-0000-0000-0000676B0000}"/>
    <cellStyle name="Input 3 2 5 3 5 4" xfId="30313" xr:uid="{00000000-0005-0000-0000-0000686B0000}"/>
    <cellStyle name="Input 3 2 5 3 6" xfId="18989" xr:uid="{00000000-0005-0000-0000-0000696B0000}"/>
    <cellStyle name="Input 3 2 5 3 6 2" xfId="44526" xr:uid="{00000000-0005-0000-0000-00006A6B0000}"/>
    <cellStyle name="Input 3 2 5 3 6 3" xfId="48432" xr:uid="{00000000-0005-0000-0000-00006B6B0000}"/>
    <cellStyle name="Input 3 2 5 3 7" xfId="40275" xr:uid="{00000000-0005-0000-0000-00006C6B0000}"/>
    <cellStyle name="Input 3 2 5 3 8" xfId="39227" xr:uid="{00000000-0005-0000-0000-00006D6B0000}"/>
    <cellStyle name="Input 3 2 6" xfId="7113" xr:uid="{00000000-0005-0000-0000-00006E6B0000}"/>
    <cellStyle name="Input 3 2 6 10" xfId="43275" xr:uid="{00000000-0005-0000-0000-00006F6B0000}"/>
    <cellStyle name="Input 3 2 6 2" xfId="10643" xr:uid="{00000000-0005-0000-0000-0000706B0000}"/>
    <cellStyle name="Input 3 2 6 2 2" xfId="18436" xr:uid="{00000000-0005-0000-0000-0000716B0000}"/>
    <cellStyle name="Input 3 2 6 2 2 2" xfId="43983" xr:uid="{00000000-0005-0000-0000-0000726B0000}"/>
    <cellStyle name="Input 3 2 6 2 2 3" xfId="47892" xr:uid="{00000000-0005-0000-0000-0000736B0000}"/>
    <cellStyle name="Input 3 2 6 2 2 4" xfId="36073" xr:uid="{00000000-0005-0000-0000-0000746B0000}"/>
    <cellStyle name="Input 3 2 6 2 3" xfId="19423" xr:uid="{00000000-0005-0000-0000-0000756B0000}"/>
    <cellStyle name="Input 3 2 6 2 3 2" xfId="44960" xr:uid="{00000000-0005-0000-0000-0000766B0000}"/>
    <cellStyle name="Input 3 2 6 2 3 3" xfId="48866" xr:uid="{00000000-0005-0000-0000-0000776B0000}"/>
    <cellStyle name="Input 3 2 6 2 3 4" xfId="36988" xr:uid="{00000000-0005-0000-0000-0000786B0000}"/>
    <cellStyle name="Input 3 2 6 2 4" xfId="11636" xr:uid="{00000000-0005-0000-0000-0000796B0000}"/>
    <cellStyle name="Input 3 2 6 2 4 2" xfId="41647" xr:uid="{00000000-0005-0000-0000-00007A6B0000}"/>
    <cellStyle name="Input 3 2 6 2 4 3" xfId="42021" xr:uid="{00000000-0005-0000-0000-00007B6B0000}"/>
    <cellStyle name="Input 3 2 6 2 4 4" xfId="29337" xr:uid="{00000000-0005-0000-0000-00007C6B0000}"/>
    <cellStyle name="Input 3 2 6 2 5" xfId="20849" xr:uid="{00000000-0005-0000-0000-00007D6B0000}"/>
    <cellStyle name="Input 3 2 6 2 5 2" xfId="46386" xr:uid="{00000000-0005-0000-0000-00007E6B0000}"/>
    <cellStyle name="Input 3 2 6 2 5 3" xfId="50292" xr:uid="{00000000-0005-0000-0000-00007F6B0000}"/>
    <cellStyle name="Input 3 2 6 2 5 4" xfId="38255" xr:uid="{00000000-0005-0000-0000-0000806B0000}"/>
    <cellStyle name="Input 3 2 6 2 6" xfId="21502" xr:uid="{00000000-0005-0000-0000-0000816B0000}"/>
    <cellStyle name="Input 3 2 6 2 6 2" xfId="47039" xr:uid="{00000000-0005-0000-0000-0000826B0000}"/>
    <cellStyle name="Input 3 2 6 2 6 3" xfId="50945" xr:uid="{00000000-0005-0000-0000-0000836B0000}"/>
    <cellStyle name="Input 3 2 6 2 7" xfId="40842" xr:uid="{00000000-0005-0000-0000-0000846B0000}"/>
    <cellStyle name="Input 3 2 6 2 8" xfId="42071" xr:uid="{00000000-0005-0000-0000-0000856B0000}"/>
    <cellStyle name="Input 3 2 6 3" xfId="10938" xr:uid="{00000000-0005-0000-0000-0000866B0000}"/>
    <cellStyle name="Input 3 2 6 3 2" xfId="18731" xr:uid="{00000000-0005-0000-0000-0000876B0000}"/>
    <cellStyle name="Input 3 2 6 3 2 2" xfId="44278" xr:uid="{00000000-0005-0000-0000-0000886B0000}"/>
    <cellStyle name="Input 3 2 6 3 2 3" xfId="48187" xr:uid="{00000000-0005-0000-0000-0000896B0000}"/>
    <cellStyle name="Input 3 2 6 3 2 4" xfId="36368" xr:uid="{00000000-0005-0000-0000-00008A6B0000}"/>
    <cellStyle name="Input 3 2 6 3 3" xfId="19881" xr:uid="{00000000-0005-0000-0000-00008B6B0000}"/>
    <cellStyle name="Input 3 2 6 3 3 2" xfId="45418" xr:uid="{00000000-0005-0000-0000-00008C6B0000}"/>
    <cellStyle name="Input 3 2 6 3 3 3" xfId="49324" xr:uid="{00000000-0005-0000-0000-00008D6B0000}"/>
    <cellStyle name="Input 3 2 6 3 3 4" xfId="37395" xr:uid="{00000000-0005-0000-0000-00008E6B0000}"/>
    <cellStyle name="Input 3 2 6 3 4" xfId="19477" xr:uid="{00000000-0005-0000-0000-00008F6B0000}"/>
    <cellStyle name="Input 3 2 6 3 4 2" xfId="45014" xr:uid="{00000000-0005-0000-0000-0000906B0000}"/>
    <cellStyle name="Input 3 2 6 3 4 3" xfId="48920" xr:uid="{00000000-0005-0000-0000-0000916B0000}"/>
    <cellStyle name="Input 3 2 6 3 4 4" xfId="37034" xr:uid="{00000000-0005-0000-0000-0000926B0000}"/>
    <cellStyle name="Input 3 2 6 3 5" xfId="21144" xr:uid="{00000000-0005-0000-0000-0000936B0000}"/>
    <cellStyle name="Input 3 2 6 3 5 2" xfId="46681" xr:uid="{00000000-0005-0000-0000-0000946B0000}"/>
    <cellStyle name="Input 3 2 6 3 5 3" xfId="50587" xr:uid="{00000000-0005-0000-0000-0000956B0000}"/>
    <cellStyle name="Input 3 2 6 3 5 4" xfId="38550" xr:uid="{00000000-0005-0000-0000-0000966B0000}"/>
    <cellStyle name="Input 3 2 6 3 6" xfId="21797" xr:uid="{00000000-0005-0000-0000-0000976B0000}"/>
    <cellStyle name="Input 3 2 6 3 6 2" xfId="47334" xr:uid="{00000000-0005-0000-0000-0000986B0000}"/>
    <cellStyle name="Input 3 2 6 3 6 3" xfId="51240" xr:uid="{00000000-0005-0000-0000-0000996B0000}"/>
    <cellStyle name="Input 3 2 6 3 7" xfId="41137" xr:uid="{00000000-0005-0000-0000-00009A6B0000}"/>
    <cellStyle name="Input 3 2 6 3 8" xfId="42051" xr:uid="{00000000-0005-0000-0000-00009B6B0000}"/>
    <cellStyle name="Input 3 2 6 4" xfId="14901" xr:uid="{00000000-0005-0000-0000-00009C6B0000}"/>
    <cellStyle name="Input 3 2 6 4 2" xfId="43017" xr:uid="{00000000-0005-0000-0000-00009D6B0000}"/>
    <cellStyle name="Input 3 2 6 4 3" xfId="42781" xr:uid="{00000000-0005-0000-0000-00009E6B0000}"/>
    <cellStyle name="Input 3 2 6 4 4" xfId="32536" xr:uid="{00000000-0005-0000-0000-00009F6B0000}"/>
    <cellStyle name="Input 3 2 6 5" xfId="13148" xr:uid="{00000000-0005-0000-0000-0000A06B0000}"/>
    <cellStyle name="Input 3 2 6 5 2" xfId="42369" xr:uid="{00000000-0005-0000-0000-0000A16B0000}"/>
    <cellStyle name="Input 3 2 6 5 3" xfId="39297" xr:uid="{00000000-0005-0000-0000-0000A26B0000}"/>
    <cellStyle name="Input 3 2 6 5 4" xfId="30797" xr:uid="{00000000-0005-0000-0000-0000A36B0000}"/>
    <cellStyle name="Input 3 2 6 6" xfId="20375" xr:uid="{00000000-0005-0000-0000-0000A46B0000}"/>
    <cellStyle name="Input 3 2 6 6 2" xfId="45912" xr:uid="{00000000-0005-0000-0000-0000A56B0000}"/>
    <cellStyle name="Input 3 2 6 6 3" xfId="49818" xr:uid="{00000000-0005-0000-0000-0000A66B0000}"/>
    <cellStyle name="Input 3 2 6 6 4" xfId="37831" xr:uid="{00000000-0005-0000-0000-0000A76B0000}"/>
    <cellStyle name="Input 3 2 6 7" xfId="18934" xr:uid="{00000000-0005-0000-0000-0000A86B0000}"/>
    <cellStyle name="Input 3 2 6 7 2" xfId="44471" xr:uid="{00000000-0005-0000-0000-0000A96B0000}"/>
    <cellStyle name="Input 3 2 6 7 3" xfId="48377" xr:uid="{00000000-0005-0000-0000-0000AA6B0000}"/>
    <cellStyle name="Input 3 2 6 7 4" xfId="36561" xr:uid="{00000000-0005-0000-0000-0000AB6B0000}"/>
    <cellStyle name="Input 3 2 6 8" xfId="19450" xr:uid="{00000000-0005-0000-0000-0000AC6B0000}"/>
    <cellStyle name="Input 3 2 6 8 2" xfId="44987" xr:uid="{00000000-0005-0000-0000-0000AD6B0000}"/>
    <cellStyle name="Input 3 2 6 8 3" xfId="48893" xr:uid="{00000000-0005-0000-0000-0000AE6B0000}"/>
    <cellStyle name="Input 3 2 6 9" xfId="39877" xr:uid="{00000000-0005-0000-0000-0000AF6B0000}"/>
    <cellStyle name="Input 3 2 7" xfId="53122" xr:uid="{00000000-0005-0000-0000-0000B06B0000}"/>
    <cellStyle name="Input 3 2_Sheet1" xfId="1944" xr:uid="{00000000-0005-0000-0000-0000B16B0000}"/>
    <cellStyle name="Input 3 20" xfId="52759" xr:uid="{00000000-0005-0000-0000-0000B26B0000}"/>
    <cellStyle name="Input 3 21" xfId="52741" xr:uid="{00000000-0005-0000-0000-0000B36B0000}"/>
    <cellStyle name="Input 3 22" xfId="52756" xr:uid="{00000000-0005-0000-0000-0000B46B0000}"/>
    <cellStyle name="Input 3 23" xfId="52743" xr:uid="{00000000-0005-0000-0000-0000B56B0000}"/>
    <cellStyle name="Input 3 24" xfId="52757" xr:uid="{00000000-0005-0000-0000-0000B66B0000}"/>
    <cellStyle name="Input 3 25" xfId="52781" xr:uid="{00000000-0005-0000-0000-0000B76B0000}"/>
    <cellStyle name="Input 3 26" xfId="52754" xr:uid="{00000000-0005-0000-0000-0000B86B0000}"/>
    <cellStyle name="Input 3 27" xfId="52780" xr:uid="{00000000-0005-0000-0000-0000B96B0000}"/>
    <cellStyle name="Input 3 28" xfId="52820" xr:uid="{00000000-0005-0000-0000-0000BA6B0000}"/>
    <cellStyle name="Input 3 29" xfId="52796" xr:uid="{00000000-0005-0000-0000-0000BB6B0000}"/>
    <cellStyle name="Input 3 3" xfId="1945" xr:uid="{00000000-0005-0000-0000-0000BC6B0000}"/>
    <cellStyle name="Input 3 3 2" xfId="7117" xr:uid="{00000000-0005-0000-0000-0000BD6B0000}"/>
    <cellStyle name="Input 3 3 2 10" xfId="40629" xr:uid="{00000000-0005-0000-0000-0000BE6B0000}"/>
    <cellStyle name="Input 3 3 2 11" xfId="53126" xr:uid="{00000000-0005-0000-0000-0000BF6B0000}"/>
    <cellStyle name="Input 3 3 2 2" xfId="10647" xr:uid="{00000000-0005-0000-0000-0000C06B0000}"/>
    <cellStyle name="Input 3 3 2 2 2" xfId="18440" xr:uid="{00000000-0005-0000-0000-0000C16B0000}"/>
    <cellStyle name="Input 3 3 2 2 2 2" xfId="43987" xr:uid="{00000000-0005-0000-0000-0000C26B0000}"/>
    <cellStyle name="Input 3 3 2 2 2 3" xfId="47896" xr:uid="{00000000-0005-0000-0000-0000C36B0000}"/>
    <cellStyle name="Input 3 3 2 2 2 4" xfId="36077" xr:uid="{00000000-0005-0000-0000-0000C46B0000}"/>
    <cellStyle name="Input 3 3 2 2 3" xfId="19128" xr:uid="{00000000-0005-0000-0000-0000C56B0000}"/>
    <cellStyle name="Input 3 3 2 2 3 2" xfId="44665" xr:uid="{00000000-0005-0000-0000-0000C66B0000}"/>
    <cellStyle name="Input 3 3 2 2 3 3" xfId="48571" xr:uid="{00000000-0005-0000-0000-0000C76B0000}"/>
    <cellStyle name="Input 3 3 2 2 3 4" xfId="36723" xr:uid="{00000000-0005-0000-0000-0000C86B0000}"/>
    <cellStyle name="Input 3 3 2 2 4" xfId="19834" xr:uid="{00000000-0005-0000-0000-0000C96B0000}"/>
    <cellStyle name="Input 3 3 2 2 4 2" xfId="45371" xr:uid="{00000000-0005-0000-0000-0000CA6B0000}"/>
    <cellStyle name="Input 3 3 2 2 4 3" xfId="49277" xr:uid="{00000000-0005-0000-0000-0000CB6B0000}"/>
    <cellStyle name="Input 3 3 2 2 4 4" xfId="37352" xr:uid="{00000000-0005-0000-0000-0000CC6B0000}"/>
    <cellStyle name="Input 3 3 2 2 5" xfId="20853" xr:uid="{00000000-0005-0000-0000-0000CD6B0000}"/>
    <cellStyle name="Input 3 3 2 2 5 2" xfId="46390" xr:uid="{00000000-0005-0000-0000-0000CE6B0000}"/>
    <cellStyle name="Input 3 3 2 2 5 3" xfId="50296" xr:uid="{00000000-0005-0000-0000-0000CF6B0000}"/>
    <cellStyle name="Input 3 3 2 2 5 4" xfId="38259" xr:uid="{00000000-0005-0000-0000-0000D06B0000}"/>
    <cellStyle name="Input 3 3 2 2 6" xfId="21506" xr:uid="{00000000-0005-0000-0000-0000D16B0000}"/>
    <cellStyle name="Input 3 3 2 2 6 2" xfId="47043" xr:uid="{00000000-0005-0000-0000-0000D26B0000}"/>
    <cellStyle name="Input 3 3 2 2 6 3" xfId="50949" xr:uid="{00000000-0005-0000-0000-0000D36B0000}"/>
    <cellStyle name="Input 3 3 2 2 7" xfId="40846" xr:uid="{00000000-0005-0000-0000-0000D46B0000}"/>
    <cellStyle name="Input 3 3 2 2 8" xfId="41438" xr:uid="{00000000-0005-0000-0000-0000D56B0000}"/>
    <cellStyle name="Input 3 3 2 3" xfId="10942" xr:uid="{00000000-0005-0000-0000-0000D66B0000}"/>
    <cellStyle name="Input 3 3 2 3 2" xfId="18735" xr:uid="{00000000-0005-0000-0000-0000D76B0000}"/>
    <cellStyle name="Input 3 3 2 3 2 2" xfId="44282" xr:uid="{00000000-0005-0000-0000-0000D86B0000}"/>
    <cellStyle name="Input 3 3 2 3 2 3" xfId="48191" xr:uid="{00000000-0005-0000-0000-0000D96B0000}"/>
    <cellStyle name="Input 3 3 2 3 2 4" xfId="36372" xr:uid="{00000000-0005-0000-0000-0000DA6B0000}"/>
    <cellStyle name="Input 3 3 2 3 3" xfId="13357" xr:uid="{00000000-0005-0000-0000-0000DB6B0000}"/>
    <cellStyle name="Input 3 3 2 3 3 2" xfId="42527" xr:uid="{00000000-0005-0000-0000-0000DC6B0000}"/>
    <cellStyle name="Input 3 3 2 3 3 3" xfId="43677" xr:uid="{00000000-0005-0000-0000-0000DD6B0000}"/>
    <cellStyle name="Input 3 3 2 3 3 4" xfId="30997" xr:uid="{00000000-0005-0000-0000-0000DE6B0000}"/>
    <cellStyle name="Input 3 3 2 3 4" xfId="19515" xr:uid="{00000000-0005-0000-0000-0000DF6B0000}"/>
    <cellStyle name="Input 3 3 2 3 4 2" xfId="45052" xr:uid="{00000000-0005-0000-0000-0000E06B0000}"/>
    <cellStyle name="Input 3 3 2 3 4 3" xfId="48958" xr:uid="{00000000-0005-0000-0000-0000E16B0000}"/>
    <cellStyle name="Input 3 3 2 3 4 4" xfId="37063" xr:uid="{00000000-0005-0000-0000-0000E26B0000}"/>
    <cellStyle name="Input 3 3 2 3 5" xfId="21148" xr:uid="{00000000-0005-0000-0000-0000E36B0000}"/>
    <cellStyle name="Input 3 3 2 3 5 2" xfId="46685" xr:uid="{00000000-0005-0000-0000-0000E46B0000}"/>
    <cellStyle name="Input 3 3 2 3 5 3" xfId="50591" xr:uid="{00000000-0005-0000-0000-0000E56B0000}"/>
    <cellStyle name="Input 3 3 2 3 5 4" xfId="38554" xr:uid="{00000000-0005-0000-0000-0000E66B0000}"/>
    <cellStyle name="Input 3 3 2 3 6" xfId="21801" xr:uid="{00000000-0005-0000-0000-0000E76B0000}"/>
    <cellStyle name="Input 3 3 2 3 6 2" xfId="47338" xr:uid="{00000000-0005-0000-0000-0000E86B0000}"/>
    <cellStyle name="Input 3 3 2 3 6 3" xfId="51244" xr:uid="{00000000-0005-0000-0000-0000E96B0000}"/>
    <cellStyle name="Input 3 3 2 3 7" xfId="41141" xr:uid="{00000000-0005-0000-0000-0000EA6B0000}"/>
    <cellStyle name="Input 3 3 2 3 8" xfId="42053" xr:uid="{00000000-0005-0000-0000-0000EB6B0000}"/>
    <cellStyle name="Input 3 3 2 4" xfId="14905" xr:uid="{00000000-0005-0000-0000-0000EC6B0000}"/>
    <cellStyle name="Input 3 3 2 4 2" xfId="43021" xr:uid="{00000000-0005-0000-0000-0000ED6B0000}"/>
    <cellStyle name="Input 3 3 2 4 3" xfId="42671" xr:uid="{00000000-0005-0000-0000-0000EE6B0000}"/>
    <cellStyle name="Input 3 3 2 4 4" xfId="32540" xr:uid="{00000000-0005-0000-0000-0000EF6B0000}"/>
    <cellStyle name="Input 3 3 2 5" xfId="12480" xr:uid="{00000000-0005-0000-0000-0000F06B0000}"/>
    <cellStyle name="Input 3 3 2 5 2" xfId="42001" xr:uid="{00000000-0005-0000-0000-0000F16B0000}"/>
    <cellStyle name="Input 3 3 2 5 3" xfId="42700" xr:uid="{00000000-0005-0000-0000-0000F26B0000}"/>
    <cellStyle name="Input 3 3 2 5 4" xfId="30151" xr:uid="{00000000-0005-0000-0000-0000F36B0000}"/>
    <cellStyle name="Input 3 3 2 6" xfId="20213" xr:uid="{00000000-0005-0000-0000-0000F46B0000}"/>
    <cellStyle name="Input 3 3 2 6 2" xfId="45750" xr:uid="{00000000-0005-0000-0000-0000F56B0000}"/>
    <cellStyle name="Input 3 3 2 6 3" xfId="49656" xr:uid="{00000000-0005-0000-0000-0000F66B0000}"/>
    <cellStyle name="Input 3 3 2 6 4" xfId="37691" xr:uid="{00000000-0005-0000-0000-0000F76B0000}"/>
    <cellStyle name="Input 3 3 2 7" xfId="12951" xr:uid="{00000000-0005-0000-0000-0000F86B0000}"/>
    <cellStyle name="Input 3 3 2 7 2" xfId="42261" xr:uid="{00000000-0005-0000-0000-0000F96B0000}"/>
    <cellStyle name="Input 3 3 2 7 3" xfId="40183" xr:uid="{00000000-0005-0000-0000-0000FA6B0000}"/>
    <cellStyle name="Input 3 3 2 7 4" xfId="30600" xr:uid="{00000000-0005-0000-0000-0000FB6B0000}"/>
    <cellStyle name="Input 3 3 2 8" xfId="12090" xr:uid="{00000000-0005-0000-0000-0000FC6B0000}"/>
    <cellStyle name="Input 3 3 2 8 2" xfId="41835" xr:uid="{00000000-0005-0000-0000-0000FD6B0000}"/>
    <cellStyle name="Input 3 3 2 8 3" xfId="39141" xr:uid="{00000000-0005-0000-0000-0000FE6B0000}"/>
    <cellStyle name="Input 3 3 2 9" xfId="39881" xr:uid="{00000000-0005-0000-0000-0000FF6B0000}"/>
    <cellStyle name="Input 3 3 3" xfId="22466" xr:uid="{00000000-0005-0000-0000-0000006C0000}"/>
    <cellStyle name="Input 3 3 4" xfId="53125" xr:uid="{00000000-0005-0000-0000-0000016C0000}"/>
    <cellStyle name="Input 3 30" xfId="52823" xr:uid="{00000000-0005-0000-0000-0000026C0000}"/>
    <cellStyle name="Input 3 31" xfId="52795" xr:uid="{00000000-0005-0000-0000-0000036C0000}"/>
    <cellStyle name="Input 3 32" xfId="52821" xr:uid="{00000000-0005-0000-0000-0000046C0000}"/>
    <cellStyle name="Input 3 33" xfId="52838" xr:uid="{00000000-0005-0000-0000-0000056C0000}"/>
    <cellStyle name="Input 3 34" xfId="52818" xr:uid="{00000000-0005-0000-0000-0000066C0000}"/>
    <cellStyle name="Input 3 35" xfId="52841" xr:uid="{00000000-0005-0000-0000-0000076C0000}"/>
    <cellStyle name="Input 3 36" xfId="52824" xr:uid="{00000000-0005-0000-0000-0000086C0000}"/>
    <cellStyle name="Input 3 37" xfId="52794" xr:uid="{00000000-0005-0000-0000-0000096C0000}"/>
    <cellStyle name="Input 3 38" xfId="52842" xr:uid="{00000000-0005-0000-0000-00000A6C0000}"/>
    <cellStyle name="Input 3 39" xfId="52798" xr:uid="{00000000-0005-0000-0000-00000B6C0000}"/>
    <cellStyle name="Input 3 4" xfId="1946" xr:uid="{00000000-0005-0000-0000-00000C6C0000}"/>
    <cellStyle name="Input 3 4 2" xfId="7118" xr:uid="{00000000-0005-0000-0000-00000D6C0000}"/>
    <cellStyle name="Input 3 4 2 10" xfId="39963" xr:uid="{00000000-0005-0000-0000-00000E6C0000}"/>
    <cellStyle name="Input 3 4 2 11" xfId="53128" xr:uid="{00000000-0005-0000-0000-00000F6C0000}"/>
    <cellStyle name="Input 3 4 2 2" xfId="10648" xr:uid="{00000000-0005-0000-0000-0000106C0000}"/>
    <cellStyle name="Input 3 4 2 2 2" xfId="18441" xr:uid="{00000000-0005-0000-0000-0000116C0000}"/>
    <cellStyle name="Input 3 4 2 2 2 2" xfId="43988" xr:uid="{00000000-0005-0000-0000-0000126C0000}"/>
    <cellStyle name="Input 3 4 2 2 2 3" xfId="47897" xr:uid="{00000000-0005-0000-0000-0000136C0000}"/>
    <cellStyle name="Input 3 4 2 2 2 4" xfId="36078" xr:uid="{00000000-0005-0000-0000-0000146C0000}"/>
    <cellStyle name="Input 3 4 2 2 3" xfId="19747" xr:uid="{00000000-0005-0000-0000-0000156C0000}"/>
    <cellStyle name="Input 3 4 2 2 3 2" xfId="45284" xr:uid="{00000000-0005-0000-0000-0000166C0000}"/>
    <cellStyle name="Input 3 4 2 2 3 3" xfId="49190" xr:uid="{00000000-0005-0000-0000-0000176C0000}"/>
    <cellStyle name="Input 3 4 2 2 3 4" xfId="37274" xr:uid="{00000000-0005-0000-0000-0000186C0000}"/>
    <cellStyle name="Input 3 4 2 2 4" xfId="18943" xr:uid="{00000000-0005-0000-0000-0000196C0000}"/>
    <cellStyle name="Input 3 4 2 2 4 2" xfId="44480" xr:uid="{00000000-0005-0000-0000-00001A6C0000}"/>
    <cellStyle name="Input 3 4 2 2 4 3" xfId="48386" xr:uid="{00000000-0005-0000-0000-00001B6C0000}"/>
    <cellStyle name="Input 3 4 2 2 4 4" xfId="36570" xr:uid="{00000000-0005-0000-0000-00001C6C0000}"/>
    <cellStyle name="Input 3 4 2 2 5" xfId="20854" xr:uid="{00000000-0005-0000-0000-00001D6C0000}"/>
    <cellStyle name="Input 3 4 2 2 5 2" xfId="46391" xr:uid="{00000000-0005-0000-0000-00001E6C0000}"/>
    <cellStyle name="Input 3 4 2 2 5 3" xfId="50297" xr:uid="{00000000-0005-0000-0000-00001F6C0000}"/>
    <cellStyle name="Input 3 4 2 2 5 4" xfId="38260" xr:uid="{00000000-0005-0000-0000-0000206C0000}"/>
    <cellStyle name="Input 3 4 2 2 6" xfId="21507" xr:uid="{00000000-0005-0000-0000-0000216C0000}"/>
    <cellStyle name="Input 3 4 2 2 6 2" xfId="47044" xr:uid="{00000000-0005-0000-0000-0000226C0000}"/>
    <cellStyle name="Input 3 4 2 2 6 3" xfId="50950" xr:uid="{00000000-0005-0000-0000-0000236C0000}"/>
    <cellStyle name="Input 3 4 2 2 7" xfId="40847" xr:uid="{00000000-0005-0000-0000-0000246C0000}"/>
    <cellStyle name="Input 3 4 2 2 8" xfId="43241" xr:uid="{00000000-0005-0000-0000-0000256C0000}"/>
    <cellStyle name="Input 3 4 2 3" xfId="10943" xr:uid="{00000000-0005-0000-0000-0000266C0000}"/>
    <cellStyle name="Input 3 4 2 3 2" xfId="18736" xr:uid="{00000000-0005-0000-0000-0000276C0000}"/>
    <cellStyle name="Input 3 4 2 3 2 2" xfId="44283" xr:uid="{00000000-0005-0000-0000-0000286C0000}"/>
    <cellStyle name="Input 3 4 2 3 2 3" xfId="48192" xr:uid="{00000000-0005-0000-0000-0000296C0000}"/>
    <cellStyle name="Input 3 4 2 3 2 4" xfId="36373" xr:uid="{00000000-0005-0000-0000-00002A6C0000}"/>
    <cellStyle name="Input 3 4 2 3 3" xfId="19585" xr:uid="{00000000-0005-0000-0000-00002B6C0000}"/>
    <cellStyle name="Input 3 4 2 3 3 2" xfId="45122" xr:uid="{00000000-0005-0000-0000-00002C6C0000}"/>
    <cellStyle name="Input 3 4 2 3 3 3" xfId="49028" xr:uid="{00000000-0005-0000-0000-00002D6C0000}"/>
    <cellStyle name="Input 3 4 2 3 3 4" xfId="37125" xr:uid="{00000000-0005-0000-0000-00002E6C0000}"/>
    <cellStyle name="Input 3 4 2 3 4" xfId="18938" xr:uid="{00000000-0005-0000-0000-00002F6C0000}"/>
    <cellStyle name="Input 3 4 2 3 4 2" xfId="44475" xr:uid="{00000000-0005-0000-0000-0000306C0000}"/>
    <cellStyle name="Input 3 4 2 3 4 3" xfId="48381" xr:uid="{00000000-0005-0000-0000-0000316C0000}"/>
    <cellStyle name="Input 3 4 2 3 4 4" xfId="36565" xr:uid="{00000000-0005-0000-0000-0000326C0000}"/>
    <cellStyle name="Input 3 4 2 3 5" xfId="21149" xr:uid="{00000000-0005-0000-0000-0000336C0000}"/>
    <cellStyle name="Input 3 4 2 3 5 2" xfId="46686" xr:uid="{00000000-0005-0000-0000-0000346C0000}"/>
    <cellStyle name="Input 3 4 2 3 5 3" xfId="50592" xr:uid="{00000000-0005-0000-0000-0000356C0000}"/>
    <cellStyle name="Input 3 4 2 3 5 4" xfId="38555" xr:uid="{00000000-0005-0000-0000-0000366C0000}"/>
    <cellStyle name="Input 3 4 2 3 6" xfId="21802" xr:uid="{00000000-0005-0000-0000-0000376C0000}"/>
    <cellStyle name="Input 3 4 2 3 6 2" xfId="47339" xr:uid="{00000000-0005-0000-0000-0000386C0000}"/>
    <cellStyle name="Input 3 4 2 3 6 3" xfId="51245" xr:uid="{00000000-0005-0000-0000-0000396C0000}"/>
    <cellStyle name="Input 3 4 2 3 7" xfId="41142" xr:uid="{00000000-0005-0000-0000-00003A6C0000}"/>
    <cellStyle name="Input 3 4 2 3 8" xfId="43372" xr:uid="{00000000-0005-0000-0000-00003B6C0000}"/>
    <cellStyle name="Input 3 4 2 4" xfId="14906" xr:uid="{00000000-0005-0000-0000-00003C6C0000}"/>
    <cellStyle name="Input 3 4 2 4 2" xfId="43022" xr:uid="{00000000-0005-0000-0000-00003D6C0000}"/>
    <cellStyle name="Input 3 4 2 4 3" xfId="43559" xr:uid="{00000000-0005-0000-0000-00003E6C0000}"/>
    <cellStyle name="Input 3 4 2 4 4" xfId="32541" xr:uid="{00000000-0005-0000-0000-00003F6C0000}"/>
    <cellStyle name="Input 3 4 2 5" xfId="13146" xr:uid="{00000000-0005-0000-0000-0000406C0000}"/>
    <cellStyle name="Input 3 4 2 5 2" xfId="42367" xr:uid="{00000000-0005-0000-0000-0000416C0000}"/>
    <cellStyle name="Input 3 4 2 5 3" xfId="39299" xr:uid="{00000000-0005-0000-0000-0000426C0000}"/>
    <cellStyle name="Input 3 4 2 5 4" xfId="30795" xr:uid="{00000000-0005-0000-0000-0000436C0000}"/>
    <cellStyle name="Input 3 4 2 6" xfId="19175" xr:uid="{00000000-0005-0000-0000-0000446C0000}"/>
    <cellStyle name="Input 3 4 2 6 2" xfId="44712" xr:uid="{00000000-0005-0000-0000-0000456C0000}"/>
    <cellStyle name="Input 3 4 2 6 3" xfId="48618" xr:uid="{00000000-0005-0000-0000-0000466C0000}"/>
    <cellStyle name="Input 3 4 2 6 4" xfId="36766" xr:uid="{00000000-0005-0000-0000-0000476C0000}"/>
    <cellStyle name="Input 3 4 2 7" xfId="20106" xr:uid="{00000000-0005-0000-0000-0000486C0000}"/>
    <cellStyle name="Input 3 4 2 7 2" xfId="45643" xr:uid="{00000000-0005-0000-0000-0000496C0000}"/>
    <cellStyle name="Input 3 4 2 7 3" xfId="49549" xr:uid="{00000000-0005-0000-0000-00004A6C0000}"/>
    <cellStyle name="Input 3 4 2 7 4" xfId="37594" xr:uid="{00000000-0005-0000-0000-00004B6C0000}"/>
    <cellStyle name="Input 3 4 2 8" xfId="20190" xr:uid="{00000000-0005-0000-0000-00004C6C0000}"/>
    <cellStyle name="Input 3 4 2 8 2" xfId="45727" xr:uid="{00000000-0005-0000-0000-00004D6C0000}"/>
    <cellStyle name="Input 3 4 2 8 3" xfId="49633" xr:uid="{00000000-0005-0000-0000-00004E6C0000}"/>
    <cellStyle name="Input 3 4 2 9" xfId="39882" xr:uid="{00000000-0005-0000-0000-00004F6C0000}"/>
    <cellStyle name="Input 3 4 3" xfId="22467" xr:uid="{00000000-0005-0000-0000-0000506C0000}"/>
    <cellStyle name="Input 3 4 4" xfId="53127" xr:uid="{00000000-0005-0000-0000-0000516C0000}"/>
    <cellStyle name="Input 3 40" xfId="52847" xr:uid="{00000000-0005-0000-0000-0000526C0000}"/>
    <cellStyle name="Input 3 41" xfId="52800" xr:uid="{00000000-0005-0000-0000-0000536C0000}"/>
    <cellStyle name="Input 3 42" xfId="52826" xr:uid="{00000000-0005-0000-0000-0000546C0000}"/>
    <cellStyle name="Input 3 43" xfId="52802" xr:uid="{00000000-0005-0000-0000-0000556C0000}"/>
    <cellStyle name="Input 3 44" xfId="52792" xr:uid="{00000000-0005-0000-0000-0000566C0000}"/>
    <cellStyle name="Input 3 45" xfId="52882" xr:uid="{00000000-0005-0000-0000-0000576C0000}"/>
    <cellStyle name="Input 3 46" xfId="52859" xr:uid="{00000000-0005-0000-0000-0000586C0000}"/>
    <cellStyle name="Input 3 47" xfId="52880" xr:uid="{00000000-0005-0000-0000-0000596C0000}"/>
    <cellStyle name="Input 3 48" xfId="52857" xr:uid="{00000000-0005-0000-0000-00005A6C0000}"/>
    <cellStyle name="Input 3 49" xfId="52878" xr:uid="{00000000-0005-0000-0000-00005B6C0000}"/>
    <cellStyle name="Input 3 5" xfId="1947" xr:uid="{00000000-0005-0000-0000-00005C6C0000}"/>
    <cellStyle name="Input 3 5 2" xfId="7119" xr:uid="{00000000-0005-0000-0000-00005D6C0000}"/>
    <cellStyle name="Input 3 5 2 10" xfId="42763" xr:uid="{00000000-0005-0000-0000-00005E6C0000}"/>
    <cellStyle name="Input 3 5 2 11" xfId="53130" xr:uid="{00000000-0005-0000-0000-00005F6C0000}"/>
    <cellStyle name="Input 3 5 2 2" xfId="10649" xr:uid="{00000000-0005-0000-0000-0000606C0000}"/>
    <cellStyle name="Input 3 5 2 2 2" xfId="18442" xr:uid="{00000000-0005-0000-0000-0000616C0000}"/>
    <cellStyle name="Input 3 5 2 2 2 2" xfId="43989" xr:uid="{00000000-0005-0000-0000-0000626C0000}"/>
    <cellStyle name="Input 3 5 2 2 2 3" xfId="47898" xr:uid="{00000000-0005-0000-0000-0000636C0000}"/>
    <cellStyle name="Input 3 5 2 2 2 4" xfId="36079" xr:uid="{00000000-0005-0000-0000-0000646C0000}"/>
    <cellStyle name="Input 3 5 2 2 3" xfId="12629" xr:uid="{00000000-0005-0000-0000-0000656C0000}"/>
    <cellStyle name="Input 3 5 2 2 3 2" xfId="42108" xr:uid="{00000000-0005-0000-0000-0000666C0000}"/>
    <cellStyle name="Input 3 5 2 2 3 3" xfId="43693" xr:uid="{00000000-0005-0000-0000-0000676C0000}"/>
    <cellStyle name="Input 3 5 2 2 3 4" xfId="30294" xr:uid="{00000000-0005-0000-0000-0000686C0000}"/>
    <cellStyle name="Input 3 5 2 2 4" xfId="20120" xr:uid="{00000000-0005-0000-0000-0000696C0000}"/>
    <cellStyle name="Input 3 5 2 2 4 2" xfId="45657" xr:uid="{00000000-0005-0000-0000-00006A6C0000}"/>
    <cellStyle name="Input 3 5 2 2 4 3" xfId="49563" xr:uid="{00000000-0005-0000-0000-00006B6C0000}"/>
    <cellStyle name="Input 3 5 2 2 4 4" xfId="37606" xr:uid="{00000000-0005-0000-0000-00006C6C0000}"/>
    <cellStyle name="Input 3 5 2 2 5" xfId="20855" xr:uid="{00000000-0005-0000-0000-00006D6C0000}"/>
    <cellStyle name="Input 3 5 2 2 5 2" xfId="46392" xr:uid="{00000000-0005-0000-0000-00006E6C0000}"/>
    <cellStyle name="Input 3 5 2 2 5 3" xfId="50298" xr:uid="{00000000-0005-0000-0000-00006F6C0000}"/>
    <cellStyle name="Input 3 5 2 2 5 4" xfId="38261" xr:uid="{00000000-0005-0000-0000-0000706C0000}"/>
    <cellStyle name="Input 3 5 2 2 6" xfId="21508" xr:uid="{00000000-0005-0000-0000-0000716C0000}"/>
    <cellStyle name="Input 3 5 2 2 6 2" xfId="47045" xr:uid="{00000000-0005-0000-0000-0000726C0000}"/>
    <cellStyle name="Input 3 5 2 2 6 3" xfId="50951" xr:uid="{00000000-0005-0000-0000-0000736C0000}"/>
    <cellStyle name="Input 3 5 2 2 7" xfId="40848" xr:uid="{00000000-0005-0000-0000-0000746C0000}"/>
    <cellStyle name="Input 3 5 2 2 8" xfId="40100" xr:uid="{00000000-0005-0000-0000-0000756C0000}"/>
    <cellStyle name="Input 3 5 2 3" xfId="10944" xr:uid="{00000000-0005-0000-0000-0000766C0000}"/>
    <cellStyle name="Input 3 5 2 3 2" xfId="18737" xr:uid="{00000000-0005-0000-0000-0000776C0000}"/>
    <cellStyle name="Input 3 5 2 3 2 2" xfId="44284" xr:uid="{00000000-0005-0000-0000-0000786C0000}"/>
    <cellStyle name="Input 3 5 2 3 2 3" xfId="48193" xr:uid="{00000000-0005-0000-0000-0000796C0000}"/>
    <cellStyle name="Input 3 5 2 3 2 4" xfId="36374" xr:uid="{00000000-0005-0000-0000-00007A6C0000}"/>
    <cellStyle name="Input 3 5 2 3 3" xfId="20139" xr:uid="{00000000-0005-0000-0000-00007B6C0000}"/>
    <cellStyle name="Input 3 5 2 3 3 2" xfId="45676" xr:uid="{00000000-0005-0000-0000-00007C6C0000}"/>
    <cellStyle name="Input 3 5 2 3 3 3" xfId="49582" xr:uid="{00000000-0005-0000-0000-00007D6C0000}"/>
    <cellStyle name="Input 3 5 2 3 3 4" xfId="37625" xr:uid="{00000000-0005-0000-0000-00007E6C0000}"/>
    <cellStyle name="Input 3 5 2 3 4" xfId="18948" xr:uid="{00000000-0005-0000-0000-00007F6C0000}"/>
    <cellStyle name="Input 3 5 2 3 4 2" xfId="44485" xr:uid="{00000000-0005-0000-0000-0000806C0000}"/>
    <cellStyle name="Input 3 5 2 3 4 3" xfId="48391" xr:uid="{00000000-0005-0000-0000-0000816C0000}"/>
    <cellStyle name="Input 3 5 2 3 4 4" xfId="36574" xr:uid="{00000000-0005-0000-0000-0000826C0000}"/>
    <cellStyle name="Input 3 5 2 3 5" xfId="21150" xr:uid="{00000000-0005-0000-0000-0000836C0000}"/>
    <cellStyle name="Input 3 5 2 3 5 2" xfId="46687" xr:uid="{00000000-0005-0000-0000-0000846C0000}"/>
    <cellStyle name="Input 3 5 2 3 5 3" xfId="50593" xr:uid="{00000000-0005-0000-0000-0000856C0000}"/>
    <cellStyle name="Input 3 5 2 3 5 4" xfId="38556" xr:uid="{00000000-0005-0000-0000-0000866C0000}"/>
    <cellStyle name="Input 3 5 2 3 6" xfId="21803" xr:uid="{00000000-0005-0000-0000-0000876C0000}"/>
    <cellStyle name="Input 3 5 2 3 6 2" xfId="47340" xr:uid="{00000000-0005-0000-0000-0000886C0000}"/>
    <cellStyle name="Input 3 5 2 3 6 3" xfId="51246" xr:uid="{00000000-0005-0000-0000-0000896C0000}"/>
    <cellStyle name="Input 3 5 2 3 7" xfId="41143" xr:uid="{00000000-0005-0000-0000-00008A6C0000}"/>
    <cellStyle name="Input 3 5 2 3 8" xfId="40234" xr:uid="{00000000-0005-0000-0000-00008B6C0000}"/>
    <cellStyle name="Input 3 5 2 4" xfId="14907" xr:uid="{00000000-0005-0000-0000-00008C6C0000}"/>
    <cellStyle name="Input 3 5 2 4 2" xfId="43023" xr:uid="{00000000-0005-0000-0000-00008D6C0000}"/>
    <cellStyle name="Input 3 5 2 4 3" xfId="40420" xr:uid="{00000000-0005-0000-0000-00008E6C0000}"/>
    <cellStyle name="Input 3 5 2 4 4" xfId="32542" xr:uid="{00000000-0005-0000-0000-00008F6C0000}"/>
    <cellStyle name="Input 3 5 2 5" xfId="13149" xr:uid="{00000000-0005-0000-0000-0000906C0000}"/>
    <cellStyle name="Input 3 5 2 5 2" xfId="42370" xr:uid="{00000000-0005-0000-0000-0000916C0000}"/>
    <cellStyle name="Input 3 5 2 5 3" xfId="39102" xr:uid="{00000000-0005-0000-0000-0000926C0000}"/>
    <cellStyle name="Input 3 5 2 5 4" xfId="30798" xr:uid="{00000000-0005-0000-0000-0000936C0000}"/>
    <cellStyle name="Input 3 5 2 6" xfId="20223" xr:uid="{00000000-0005-0000-0000-0000946C0000}"/>
    <cellStyle name="Input 3 5 2 6 2" xfId="45760" xr:uid="{00000000-0005-0000-0000-0000956C0000}"/>
    <cellStyle name="Input 3 5 2 6 3" xfId="49666" xr:uid="{00000000-0005-0000-0000-0000966C0000}"/>
    <cellStyle name="Input 3 5 2 6 4" xfId="37700" xr:uid="{00000000-0005-0000-0000-0000976C0000}"/>
    <cellStyle name="Input 3 5 2 7" xfId="19701" xr:uid="{00000000-0005-0000-0000-0000986C0000}"/>
    <cellStyle name="Input 3 5 2 7 2" xfId="45238" xr:uid="{00000000-0005-0000-0000-0000996C0000}"/>
    <cellStyle name="Input 3 5 2 7 3" xfId="49144" xr:uid="{00000000-0005-0000-0000-00009A6C0000}"/>
    <cellStyle name="Input 3 5 2 7 4" xfId="37230" xr:uid="{00000000-0005-0000-0000-00009B6C0000}"/>
    <cellStyle name="Input 3 5 2 8" xfId="20612" xr:uid="{00000000-0005-0000-0000-00009C6C0000}"/>
    <cellStyle name="Input 3 5 2 8 2" xfId="46149" xr:uid="{00000000-0005-0000-0000-00009D6C0000}"/>
    <cellStyle name="Input 3 5 2 8 3" xfId="50055" xr:uid="{00000000-0005-0000-0000-00009E6C0000}"/>
    <cellStyle name="Input 3 5 2 9" xfId="39883" xr:uid="{00000000-0005-0000-0000-00009F6C0000}"/>
    <cellStyle name="Input 3 5 3" xfId="22468" xr:uid="{00000000-0005-0000-0000-0000A06C0000}"/>
    <cellStyle name="Input 3 5 4" xfId="53129" xr:uid="{00000000-0005-0000-0000-0000A16C0000}"/>
    <cellStyle name="Input 3 50" xfId="52856" xr:uid="{00000000-0005-0000-0000-0000A26C0000}"/>
    <cellStyle name="Input 3 51" xfId="52894" xr:uid="{00000000-0005-0000-0000-0000A36C0000}"/>
    <cellStyle name="Input 3 52" xfId="52896" xr:uid="{00000000-0005-0000-0000-0000A46C0000}"/>
    <cellStyle name="Input 3 53" xfId="52885" xr:uid="{00000000-0005-0000-0000-0000A56C0000}"/>
    <cellStyle name="Input 3 54" xfId="52864" xr:uid="{00000000-0005-0000-0000-0000A66C0000}"/>
    <cellStyle name="Input 3 55" xfId="52886" xr:uid="{00000000-0005-0000-0000-0000A76C0000}"/>
    <cellStyle name="Input 3 56" xfId="52862" xr:uid="{00000000-0005-0000-0000-0000A86C0000}"/>
    <cellStyle name="Input 3 57" xfId="52883" xr:uid="{00000000-0005-0000-0000-0000A96C0000}"/>
    <cellStyle name="Input 3 58" xfId="52861" xr:uid="{00000000-0005-0000-0000-0000AA6C0000}"/>
    <cellStyle name="Input 3 59" xfId="53117" xr:uid="{00000000-0005-0000-0000-0000AB6C0000}"/>
    <cellStyle name="Input 3 6" xfId="1948" xr:uid="{00000000-0005-0000-0000-0000AC6C0000}"/>
    <cellStyle name="Input 3 6 2" xfId="7120" xr:uid="{00000000-0005-0000-0000-0000AD6C0000}"/>
    <cellStyle name="Input 3 6 2 10" xfId="43651" xr:uid="{00000000-0005-0000-0000-0000AE6C0000}"/>
    <cellStyle name="Input 3 6 2 2" xfId="10650" xr:uid="{00000000-0005-0000-0000-0000AF6C0000}"/>
    <cellStyle name="Input 3 6 2 2 2" xfId="18443" xr:uid="{00000000-0005-0000-0000-0000B06C0000}"/>
    <cellStyle name="Input 3 6 2 2 2 2" xfId="43990" xr:uid="{00000000-0005-0000-0000-0000B16C0000}"/>
    <cellStyle name="Input 3 6 2 2 2 3" xfId="47899" xr:uid="{00000000-0005-0000-0000-0000B26C0000}"/>
    <cellStyle name="Input 3 6 2 2 2 4" xfId="36080" xr:uid="{00000000-0005-0000-0000-0000B36C0000}"/>
    <cellStyle name="Input 3 6 2 2 3" xfId="13327" xr:uid="{00000000-0005-0000-0000-0000B46C0000}"/>
    <cellStyle name="Input 3 6 2 2 3 2" xfId="42497" xr:uid="{00000000-0005-0000-0000-0000B56C0000}"/>
    <cellStyle name="Input 3 6 2 2 3 3" xfId="42550" xr:uid="{00000000-0005-0000-0000-0000B66C0000}"/>
    <cellStyle name="Input 3 6 2 2 3 4" xfId="30967" xr:uid="{00000000-0005-0000-0000-0000B76C0000}"/>
    <cellStyle name="Input 3 6 2 2 4" xfId="12804" xr:uid="{00000000-0005-0000-0000-0000B86C0000}"/>
    <cellStyle name="Input 3 6 2 2 4 2" xfId="42219" xr:uid="{00000000-0005-0000-0000-0000B96C0000}"/>
    <cellStyle name="Input 3 6 2 2 4 3" xfId="40445" xr:uid="{00000000-0005-0000-0000-0000BA6C0000}"/>
    <cellStyle name="Input 3 6 2 2 4 4" xfId="30461" xr:uid="{00000000-0005-0000-0000-0000BB6C0000}"/>
    <cellStyle name="Input 3 6 2 2 5" xfId="20856" xr:uid="{00000000-0005-0000-0000-0000BC6C0000}"/>
    <cellStyle name="Input 3 6 2 2 5 2" xfId="46393" xr:uid="{00000000-0005-0000-0000-0000BD6C0000}"/>
    <cellStyle name="Input 3 6 2 2 5 3" xfId="50299" xr:uid="{00000000-0005-0000-0000-0000BE6C0000}"/>
    <cellStyle name="Input 3 6 2 2 5 4" xfId="38262" xr:uid="{00000000-0005-0000-0000-0000BF6C0000}"/>
    <cellStyle name="Input 3 6 2 2 6" xfId="21509" xr:uid="{00000000-0005-0000-0000-0000C06C0000}"/>
    <cellStyle name="Input 3 6 2 2 6 2" xfId="47046" xr:uid="{00000000-0005-0000-0000-0000C16C0000}"/>
    <cellStyle name="Input 3 6 2 2 6 3" xfId="50952" xr:uid="{00000000-0005-0000-0000-0000C26C0000}"/>
    <cellStyle name="Input 3 6 2 2 7" xfId="40849" xr:uid="{00000000-0005-0000-0000-0000C36C0000}"/>
    <cellStyle name="Input 3 6 2 2 8" xfId="42849" xr:uid="{00000000-0005-0000-0000-0000C46C0000}"/>
    <cellStyle name="Input 3 6 2 3" xfId="10945" xr:uid="{00000000-0005-0000-0000-0000C56C0000}"/>
    <cellStyle name="Input 3 6 2 3 2" xfId="18738" xr:uid="{00000000-0005-0000-0000-0000C66C0000}"/>
    <cellStyle name="Input 3 6 2 3 2 2" xfId="44285" xr:uid="{00000000-0005-0000-0000-0000C76C0000}"/>
    <cellStyle name="Input 3 6 2 3 2 3" xfId="48194" xr:uid="{00000000-0005-0000-0000-0000C86C0000}"/>
    <cellStyle name="Input 3 6 2 3 2 4" xfId="36375" xr:uid="{00000000-0005-0000-0000-0000C96C0000}"/>
    <cellStyle name="Input 3 6 2 3 3" xfId="19398" xr:uid="{00000000-0005-0000-0000-0000CA6C0000}"/>
    <cellStyle name="Input 3 6 2 3 3 2" xfId="44935" xr:uid="{00000000-0005-0000-0000-0000CB6C0000}"/>
    <cellStyle name="Input 3 6 2 3 3 3" xfId="48841" xr:uid="{00000000-0005-0000-0000-0000CC6C0000}"/>
    <cellStyle name="Input 3 6 2 3 3 4" xfId="36963" xr:uid="{00000000-0005-0000-0000-0000CD6C0000}"/>
    <cellStyle name="Input 3 6 2 3 4" xfId="20237" xr:uid="{00000000-0005-0000-0000-0000CE6C0000}"/>
    <cellStyle name="Input 3 6 2 3 4 2" xfId="45774" xr:uid="{00000000-0005-0000-0000-0000CF6C0000}"/>
    <cellStyle name="Input 3 6 2 3 4 3" xfId="49680" xr:uid="{00000000-0005-0000-0000-0000D06C0000}"/>
    <cellStyle name="Input 3 6 2 3 4 4" xfId="37710" xr:uid="{00000000-0005-0000-0000-0000D16C0000}"/>
    <cellStyle name="Input 3 6 2 3 5" xfId="21151" xr:uid="{00000000-0005-0000-0000-0000D26C0000}"/>
    <cellStyle name="Input 3 6 2 3 5 2" xfId="46688" xr:uid="{00000000-0005-0000-0000-0000D36C0000}"/>
    <cellStyle name="Input 3 6 2 3 5 3" xfId="50594" xr:uid="{00000000-0005-0000-0000-0000D46C0000}"/>
    <cellStyle name="Input 3 6 2 3 5 4" xfId="38557" xr:uid="{00000000-0005-0000-0000-0000D56C0000}"/>
    <cellStyle name="Input 3 6 2 3 6" xfId="21804" xr:uid="{00000000-0005-0000-0000-0000D66C0000}"/>
    <cellStyle name="Input 3 6 2 3 6 2" xfId="47341" xr:uid="{00000000-0005-0000-0000-0000D76C0000}"/>
    <cellStyle name="Input 3 6 2 3 6 3" xfId="51247" xr:uid="{00000000-0005-0000-0000-0000D86C0000}"/>
    <cellStyle name="Input 3 6 2 3 7" xfId="41144" xr:uid="{00000000-0005-0000-0000-0000D96C0000}"/>
    <cellStyle name="Input 3 6 2 3 8" xfId="42836" xr:uid="{00000000-0005-0000-0000-0000DA6C0000}"/>
    <cellStyle name="Input 3 6 2 4" xfId="14908" xr:uid="{00000000-0005-0000-0000-0000DB6C0000}"/>
    <cellStyle name="Input 3 6 2 4 2" xfId="43024" xr:uid="{00000000-0005-0000-0000-0000DC6C0000}"/>
    <cellStyle name="Input 3 6 2 4 3" xfId="39529" xr:uid="{00000000-0005-0000-0000-0000DD6C0000}"/>
    <cellStyle name="Input 3 6 2 4 4" xfId="32543" xr:uid="{00000000-0005-0000-0000-0000DE6C0000}"/>
    <cellStyle name="Input 3 6 2 5" xfId="13150" xr:uid="{00000000-0005-0000-0000-0000DF6C0000}"/>
    <cellStyle name="Input 3 6 2 5 2" xfId="42371" xr:uid="{00000000-0005-0000-0000-0000E06C0000}"/>
    <cellStyle name="Input 3 6 2 5 3" xfId="39101" xr:uid="{00000000-0005-0000-0000-0000E16C0000}"/>
    <cellStyle name="Input 3 6 2 5 4" xfId="30799" xr:uid="{00000000-0005-0000-0000-0000E26C0000}"/>
    <cellStyle name="Input 3 6 2 6" xfId="20203" xr:uid="{00000000-0005-0000-0000-0000E36C0000}"/>
    <cellStyle name="Input 3 6 2 6 2" xfId="45740" xr:uid="{00000000-0005-0000-0000-0000E46C0000}"/>
    <cellStyle name="Input 3 6 2 6 3" xfId="49646" xr:uid="{00000000-0005-0000-0000-0000E56C0000}"/>
    <cellStyle name="Input 3 6 2 6 4" xfId="37685" xr:uid="{00000000-0005-0000-0000-0000E66C0000}"/>
    <cellStyle name="Input 3 6 2 7" xfId="19069" xr:uid="{00000000-0005-0000-0000-0000E76C0000}"/>
    <cellStyle name="Input 3 6 2 7 2" xfId="44606" xr:uid="{00000000-0005-0000-0000-0000E86C0000}"/>
    <cellStyle name="Input 3 6 2 7 3" xfId="48512" xr:uid="{00000000-0005-0000-0000-0000E96C0000}"/>
    <cellStyle name="Input 3 6 2 7 4" xfId="36668" xr:uid="{00000000-0005-0000-0000-0000EA6C0000}"/>
    <cellStyle name="Input 3 6 2 8" xfId="19372" xr:uid="{00000000-0005-0000-0000-0000EB6C0000}"/>
    <cellStyle name="Input 3 6 2 8 2" xfId="44909" xr:uid="{00000000-0005-0000-0000-0000EC6C0000}"/>
    <cellStyle name="Input 3 6 2 8 3" xfId="48815" xr:uid="{00000000-0005-0000-0000-0000ED6C0000}"/>
    <cellStyle name="Input 3 6 2 9" xfId="39884" xr:uid="{00000000-0005-0000-0000-0000EE6C0000}"/>
    <cellStyle name="Input 3 6 3" xfId="53131" xr:uid="{00000000-0005-0000-0000-0000EF6C0000}"/>
    <cellStyle name="Input 3 7" xfId="1949" xr:uid="{00000000-0005-0000-0000-0000F06C0000}"/>
    <cellStyle name="Input 3 7 2" xfId="7121" xr:uid="{00000000-0005-0000-0000-0000F16C0000}"/>
    <cellStyle name="Input 3 7 2 10" xfId="39885" xr:uid="{00000000-0005-0000-0000-0000F26C0000}"/>
    <cellStyle name="Input 3 7 2 11" xfId="40509" xr:uid="{00000000-0005-0000-0000-0000F36C0000}"/>
    <cellStyle name="Input 3 7 2 2" xfId="10651" xr:uid="{00000000-0005-0000-0000-0000F46C0000}"/>
    <cellStyle name="Input 3 7 2 2 2" xfId="18444" xr:uid="{00000000-0005-0000-0000-0000F56C0000}"/>
    <cellStyle name="Input 3 7 2 2 2 2" xfId="43991" xr:uid="{00000000-0005-0000-0000-0000F66C0000}"/>
    <cellStyle name="Input 3 7 2 2 2 3" xfId="47900" xr:uid="{00000000-0005-0000-0000-0000F76C0000}"/>
    <cellStyle name="Input 3 7 2 2 2 4" xfId="36081" xr:uid="{00000000-0005-0000-0000-0000F86C0000}"/>
    <cellStyle name="Input 3 7 2 2 3" xfId="13921" xr:uid="{00000000-0005-0000-0000-0000F96C0000}"/>
    <cellStyle name="Input 3 7 2 2 3 2" xfId="42656" xr:uid="{00000000-0005-0000-0000-0000FA6C0000}"/>
    <cellStyle name="Input 3 7 2 2 3 3" xfId="40535" xr:uid="{00000000-0005-0000-0000-0000FB6C0000}"/>
    <cellStyle name="Input 3 7 2 2 3 4" xfId="31557" xr:uid="{00000000-0005-0000-0000-0000FC6C0000}"/>
    <cellStyle name="Input 3 7 2 2 4" xfId="20365" xr:uid="{00000000-0005-0000-0000-0000FD6C0000}"/>
    <cellStyle name="Input 3 7 2 2 4 2" xfId="45902" xr:uid="{00000000-0005-0000-0000-0000FE6C0000}"/>
    <cellStyle name="Input 3 7 2 2 4 3" xfId="49808" xr:uid="{00000000-0005-0000-0000-0000FF6C0000}"/>
    <cellStyle name="Input 3 7 2 2 4 4" xfId="37821" xr:uid="{00000000-0005-0000-0000-0000006D0000}"/>
    <cellStyle name="Input 3 7 2 2 5" xfId="20857" xr:uid="{00000000-0005-0000-0000-0000016D0000}"/>
    <cellStyle name="Input 3 7 2 2 5 2" xfId="46394" xr:uid="{00000000-0005-0000-0000-0000026D0000}"/>
    <cellStyle name="Input 3 7 2 2 5 3" xfId="50300" xr:uid="{00000000-0005-0000-0000-0000036D0000}"/>
    <cellStyle name="Input 3 7 2 2 5 4" xfId="38263" xr:uid="{00000000-0005-0000-0000-0000046D0000}"/>
    <cellStyle name="Input 3 7 2 2 6" xfId="21510" xr:uid="{00000000-0005-0000-0000-0000056D0000}"/>
    <cellStyle name="Input 3 7 2 2 6 2" xfId="47047" xr:uid="{00000000-0005-0000-0000-0000066D0000}"/>
    <cellStyle name="Input 3 7 2 2 6 3" xfId="50953" xr:uid="{00000000-0005-0000-0000-0000076D0000}"/>
    <cellStyle name="Input 3 7 2 2 7" xfId="40850" xr:uid="{00000000-0005-0000-0000-0000086D0000}"/>
    <cellStyle name="Input 3 7 2 2 8" xfId="43738" xr:uid="{00000000-0005-0000-0000-0000096D0000}"/>
    <cellStyle name="Input 3 7 2 3" xfId="10946" xr:uid="{00000000-0005-0000-0000-00000A6D0000}"/>
    <cellStyle name="Input 3 7 2 3 2" xfId="18739" xr:uid="{00000000-0005-0000-0000-00000B6D0000}"/>
    <cellStyle name="Input 3 7 2 3 2 2" xfId="44286" xr:uid="{00000000-0005-0000-0000-00000C6D0000}"/>
    <cellStyle name="Input 3 7 2 3 2 3" xfId="48195" xr:uid="{00000000-0005-0000-0000-00000D6D0000}"/>
    <cellStyle name="Input 3 7 2 3 2 4" xfId="36376" xr:uid="{00000000-0005-0000-0000-00000E6D0000}"/>
    <cellStyle name="Input 3 7 2 3 3" xfId="20005" xr:uid="{00000000-0005-0000-0000-00000F6D0000}"/>
    <cellStyle name="Input 3 7 2 3 3 2" xfId="45542" xr:uid="{00000000-0005-0000-0000-0000106D0000}"/>
    <cellStyle name="Input 3 7 2 3 3 3" xfId="49448" xr:uid="{00000000-0005-0000-0000-0000116D0000}"/>
    <cellStyle name="Input 3 7 2 3 3 4" xfId="37503" xr:uid="{00000000-0005-0000-0000-0000126D0000}"/>
    <cellStyle name="Input 3 7 2 3 4" xfId="19680" xr:uid="{00000000-0005-0000-0000-0000136D0000}"/>
    <cellStyle name="Input 3 7 2 3 4 2" xfId="45217" xr:uid="{00000000-0005-0000-0000-0000146D0000}"/>
    <cellStyle name="Input 3 7 2 3 4 3" xfId="49123" xr:uid="{00000000-0005-0000-0000-0000156D0000}"/>
    <cellStyle name="Input 3 7 2 3 4 4" xfId="37212" xr:uid="{00000000-0005-0000-0000-0000166D0000}"/>
    <cellStyle name="Input 3 7 2 3 5" xfId="21152" xr:uid="{00000000-0005-0000-0000-0000176D0000}"/>
    <cellStyle name="Input 3 7 2 3 5 2" xfId="46689" xr:uid="{00000000-0005-0000-0000-0000186D0000}"/>
    <cellStyle name="Input 3 7 2 3 5 3" xfId="50595" xr:uid="{00000000-0005-0000-0000-0000196D0000}"/>
    <cellStyle name="Input 3 7 2 3 5 4" xfId="38558" xr:uid="{00000000-0005-0000-0000-00001A6D0000}"/>
    <cellStyle name="Input 3 7 2 3 6" xfId="21805" xr:uid="{00000000-0005-0000-0000-00001B6D0000}"/>
    <cellStyle name="Input 3 7 2 3 6 2" xfId="47342" xr:uid="{00000000-0005-0000-0000-00001C6D0000}"/>
    <cellStyle name="Input 3 7 2 3 6 3" xfId="51248" xr:uid="{00000000-0005-0000-0000-00001D6D0000}"/>
    <cellStyle name="Input 3 7 2 3 7" xfId="41145" xr:uid="{00000000-0005-0000-0000-00001E6D0000}"/>
    <cellStyle name="Input 3 7 2 3 8" xfId="43725" xr:uid="{00000000-0005-0000-0000-00001F6D0000}"/>
    <cellStyle name="Input 3 7 2 4" xfId="14909" xr:uid="{00000000-0005-0000-0000-0000206D0000}"/>
    <cellStyle name="Input 3 7 2 4 2" xfId="43025" xr:uid="{00000000-0005-0000-0000-0000216D0000}"/>
    <cellStyle name="Input 3 7 2 4 3" xfId="42539" xr:uid="{00000000-0005-0000-0000-0000226D0000}"/>
    <cellStyle name="Input 3 7 2 4 4" xfId="32544" xr:uid="{00000000-0005-0000-0000-0000236D0000}"/>
    <cellStyle name="Input 3 7 2 5" xfId="13151" xr:uid="{00000000-0005-0000-0000-0000246D0000}"/>
    <cellStyle name="Input 3 7 2 5 2" xfId="42372" xr:uid="{00000000-0005-0000-0000-0000256D0000}"/>
    <cellStyle name="Input 3 7 2 5 3" xfId="47488" xr:uid="{00000000-0005-0000-0000-0000266D0000}"/>
    <cellStyle name="Input 3 7 2 5 4" xfId="30800" xr:uid="{00000000-0005-0000-0000-0000276D0000}"/>
    <cellStyle name="Input 3 7 2 6" xfId="11173" xr:uid="{00000000-0005-0000-0000-0000286D0000}"/>
    <cellStyle name="Input 3 7 2 6 2" xfId="41296" xr:uid="{00000000-0005-0000-0000-0000296D0000}"/>
    <cellStyle name="Input 3 7 2 6 3" xfId="43222" xr:uid="{00000000-0005-0000-0000-00002A6D0000}"/>
    <cellStyle name="Input 3 7 2 6 4" xfId="28901" xr:uid="{00000000-0005-0000-0000-00002B6D0000}"/>
    <cellStyle name="Input 3 7 2 7" xfId="11693" xr:uid="{00000000-0005-0000-0000-00002C6D0000}"/>
    <cellStyle name="Input 3 7 2 7 2" xfId="41700" xr:uid="{00000000-0005-0000-0000-00002D6D0000}"/>
    <cellStyle name="Input 3 7 2 7 3" xfId="42708" xr:uid="{00000000-0005-0000-0000-00002E6D0000}"/>
    <cellStyle name="Input 3 7 2 7 4" xfId="29386" xr:uid="{00000000-0005-0000-0000-00002F6D0000}"/>
    <cellStyle name="Input 3 7 2 8" xfId="11647" xr:uid="{00000000-0005-0000-0000-0000306D0000}"/>
    <cellStyle name="Input 3 7 2 8 2" xfId="41658" xr:uid="{00000000-0005-0000-0000-0000316D0000}"/>
    <cellStyle name="Input 3 7 2 8 3" xfId="42815" xr:uid="{00000000-0005-0000-0000-0000326D0000}"/>
    <cellStyle name="Input 3 7 2 9" xfId="22470" xr:uid="{00000000-0005-0000-0000-0000336D0000}"/>
    <cellStyle name="Input 3 7 3" xfId="22471" xr:uid="{00000000-0005-0000-0000-0000346D0000}"/>
    <cellStyle name="Input 3 7 3 2" xfId="22472" xr:uid="{00000000-0005-0000-0000-0000356D0000}"/>
    <cellStyle name="Input 3 7 4" xfId="22926" xr:uid="{00000000-0005-0000-0000-0000366D0000}"/>
    <cellStyle name="Input 3 7 4 2" xfId="23066" xr:uid="{00000000-0005-0000-0000-0000376D0000}"/>
    <cellStyle name="Input 3 7 4 2 2" xfId="47666" xr:uid="{00000000-0005-0000-0000-0000386D0000}"/>
    <cellStyle name="Input 3 7 4 2 3" xfId="51477" xr:uid="{00000000-0005-0000-0000-0000396D0000}"/>
    <cellStyle name="Input 3 7 4 3" xfId="47622" xr:uid="{00000000-0005-0000-0000-00003A6D0000}"/>
    <cellStyle name="Input 3 7 4 4" xfId="51437" xr:uid="{00000000-0005-0000-0000-00003B6D0000}"/>
    <cellStyle name="Input 3 7 4 5" xfId="53133" xr:uid="{00000000-0005-0000-0000-00003C6D0000}"/>
    <cellStyle name="Input 3 7 5" xfId="22469" xr:uid="{00000000-0005-0000-0000-00003D6D0000}"/>
    <cellStyle name="Input 3 7 6" xfId="53132" xr:uid="{00000000-0005-0000-0000-00003E6D0000}"/>
    <cellStyle name="Input 3 8" xfId="1950" xr:uid="{00000000-0005-0000-0000-00003F6D0000}"/>
    <cellStyle name="Input 3 8 2" xfId="7122" xr:uid="{00000000-0005-0000-0000-0000406D0000}"/>
    <cellStyle name="Input 3 8 2 10" xfId="39619" xr:uid="{00000000-0005-0000-0000-0000416D0000}"/>
    <cellStyle name="Input 3 8 2 2" xfId="10652" xr:uid="{00000000-0005-0000-0000-0000426D0000}"/>
    <cellStyle name="Input 3 8 2 2 2" xfId="18445" xr:uid="{00000000-0005-0000-0000-0000436D0000}"/>
    <cellStyle name="Input 3 8 2 2 2 2" xfId="43992" xr:uid="{00000000-0005-0000-0000-0000446D0000}"/>
    <cellStyle name="Input 3 8 2 2 2 3" xfId="47901" xr:uid="{00000000-0005-0000-0000-0000456D0000}"/>
    <cellStyle name="Input 3 8 2 2 2 4" xfId="36082" xr:uid="{00000000-0005-0000-0000-0000466D0000}"/>
    <cellStyle name="Input 3 8 2 2 3" xfId="19608" xr:uid="{00000000-0005-0000-0000-0000476D0000}"/>
    <cellStyle name="Input 3 8 2 2 3 2" xfId="45145" xr:uid="{00000000-0005-0000-0000-0000486D0000}"/>
    <cellStyle name="Input 3 8 2 2 3 3" xfId="49051" xr:uid="{00000000-0005-0000-0000-0000496D0000}"/>
    <cellStyle name="Input 3 8 2 2 3 4" xfId="37148" xr:uid="{00000000-0005-0000-0000-00004A6D0000}"/>
    <cellStyle name="Input 3 8 2 2 4" xfId="19247" xr:uid="{00000000-0005-0000-0000-00004B6D0000}"/>
    <cellStyle name="Input 3 8 2 2 4 2" xfId="44784" xr:uid="{00000000-0005-0000-0000-00004C6D0000}"/>
    <cellStyle name="Input 3 8 2 2 4 3" xfId="48690" xr:uid="{00000000-0005-0000-0000-00004D6D0000}"/>
    <cellStyle name="Input 3 8 2 2 4 4" xfId="36825" xr:uid="{00000000-0005-0000-0000-00004E6D0000}"/>
    <cellStyle name="Input 3 8 2 2 5" xfId="20858" xr:uid="{00000000-0005-0000-0000-00004F6D0000}"/>
    <cellStyle name="Input 3 8 2 2 5 2" xfId="46395" xr:uid="{00000000-0005-0000-0000-0000506D0000}"/>
    <cellStyle name="Input 3 8 2 2 5 3" xfId="50301" xr:uid="{00000000-0005-0000-0000-0000516D0000}"/>
    <cellStyle name="Input 3 8 2 2 5 4" xfId="38264" xr:uid="{00000000-0005-0000-0000-0000526D0000}"/>
    <cellStyle name="Input 3 8 2 2 6" xfId="21511" xr:uid="{00000000-0005-0000-0000-0000536D0000}"/>
    <cellStyle name="Input 3 8 2 2 6 2" xfId="47048" xr:uid="{00000000-0005-0000-0000-0000546D0000}"/>
    <cellStyle name="Input 3 8 2 2 6 3" xfId="50954" xr:uid="{00000000-0005-0000-0000-0000556D0000}"/>
    <cellStyle name="Input 3 8 2 2 7" xfId="40851" xr:uid="{00000000-0005-0000-0000-0000566D0000}"/>
    <cellStyle name="Input 3 8 2 2 8" xfId="40597" xr:uid="{00000000-0005-0000-0000-0000576D0000}"/>
    <cellStyle name="Input 3 8 2 3" xfId="10947" xr:uid="{00000000-0005-0000-0000-0000586D0000}"/>
    <cellStyle name="Input 3 8 2 3 2" xfId="18740" xr:uid="{00000000-0005-0000-0000-0000596D0000}"/>
    <cellStyle name="Input 3 8 2 3 2 2" xfId="44287" xr:uid="{00000000-0005-0000-0000-00005A6D0000}"/>
    <cellStyle name="Input 3 8 2 3 2 3" xfId="48196" xr:uid="{00000000-0005-0000-0000-00005B6D0000}"/>
    <cellStyle name="Input 3 8 2 3 2 4" xfId="36377" xr:uid="{00000000-0005-0000-0000-00005C6D0000}"/>
    <cellStyle name="Input 3 8 2 3 3" xfId="19271" xr:uid="{00000000-0005-0000-0000-00005D6D0000}"/>
    <cellStyle name="Input 3 8 2 3 3 2" xfId="44808" xr:uid="{00000000-0005-0000-0000-00005E6D0000}"/>
    <cellStyle name="Input 3 8 2 3 3 3" xfId="48714" xr:uid="{00000000-0005-0000-0000-00005F6D0000}"/>
    <cellStyle name="Input 3 8 2 3 3 4" xfId="36849" xr:uid="{00000000-0005-0000-0000-0000606D0000}"/>
    <cellStyle name="Input 3 8 2 3 4" xfId="11659" xr:uid="{00000000-0005-0000-0000-0000616D0000}"/>
    <cellStyle name="Input 3 8 2 3 4 2" xfId="41670" xr:uid="{00000000-0005-0000-0000-0000626D0000}"/>
    <cellStyle name="Input 3 8 2 3 4 3" xfId="42020" xr:uid="{00000000-0005-0000-0000-0000636D0000}"/>
    <cellStyle name="Input 3 8 2 3 4 4" xfId="29358" xr:uid="{00000000-0005-0000-0000-0000646D0000}"/>
    <cellStyle name="Input 3 8 2 3 5" xfId="21153" xr:uid="{00000000-0005-0000-0000-0000656D0000}"/>
    <cellStyle name="Input 3 8 2 3 5 2" xfId="46690" xr:uid="{00000000-0005-0000-0000-0000666D0000}"/>
    <cellStyle name="Input 3 8 2 3 5 3" xfId="50596" xr:uid="{00000000-0005-0000-0000-0000676D0000}"/>
    <cellStyle name="Input 3 8 2 3 5 4" xfId="38559" xr:uid="{00000000-0005-0000-0000-0000686D0000}"/>
    <cellStyle name="Input 3 8 2 3 6" xfId="21806" xr:uid="{00000000-0005-0000-0000-0000696D0000}"/>
    <cellStyle name="Input 3 8 2 3 6 2" xfId="47343" xr:uid="{00000000-0005-0000-0000-00006A6D0000}"/>
    <cellStyle name="Input 3 8 2 3 6 3" xfId="51249" xr:uid="{00000000-0005-0000-0000-00006B6D0000}"/>
    <cellStyle name="Input 3 8 2 3 7" xfId="41146" xr:uid="{00000000-0005-0000-0000-00006C6D0000}"/>
    <cellStyle name="Input 3 8 2 3 8" xfId="40584" xr:uid="{00000000-0005-0000-0000-00006D6D0000}"/>
    <cellStyle name="Input 3 8 2 4" xfId="14910" xr:uid="{00000000-0005-0000-0000-00006E6D0000}"/>
    <cellStyle name="Input 3 8 2 4 2" xfId="43026" xr:uid="{00000000-0005-0000-0000-00006F6D0000}"/>
    <cellStyle name="Input 3 8 2 4 3" xfId="43450" xr:uid="{00000000-0005-0000-0000-0000706D0000}"/>
    <cellStyle name="Input 3 8 2 4 4" xfId="32545" xr:uid="{00000000-0005-0000-0000-0000716D0000}"/>
    <cellStyle name="Input 3 8 2 5" xfId="11313" xr:uid="{00000000-0005-0000-0000-0000726D0000}"/>
    <cellStyle name="Input 3 8 2 5 2" xfId="41358" xr:uid="{00000000-0005-0000-0000-0000736D0000}"/>
    <cellStyle name="Input 3 8 2 5 3" xfId="40364" xr:uid="{00000000-0005-0000-0000-0000746D0000}"/>
    <cellStyle name="Input 3 8 2 5 4" xfId="29041" xr:uid="{00000000-0005-0000-0000-0000756D0000}"/>
    <cellStyle name="Input 3 8 2 6" xfId="19987" xr:uid="{00000000-0005-0000-0000-0000766D0000}"/>
    <cellStyle name="Input 3 8 2 6 2" xfId="45524" xr:uid="{00000000-0005-0000-0000-0000776D0000}"/>
    <cellStyle name="Input 3 8 2 6 3" xfId="49430" xr:uid="{00000000-0005-0000-0000-0000786D0000}"/>
    <cellStyle name="Input 3 8 2 6 4" xfId="37486" xr:uid="{00000000-0005-0000-0000-0000796D0000}"/>
    <cellStyle name="Input 3 8 2 7" xfId="11665" xr:uid="{00000000-0005-0000-0000-00007A6D0000}"/>
    <cellStyle name="Input 3 8 2 7 2" xfId="41676" xr:uid="{00000000-0005-0000-0000-00007B6D0000}"/>
    <cellStyle name="Input 3 8 2 7 3" xfId="41388" xr:uid="{00000000-0005-0000-0000-00007C6D0000}"/>
    <cellStyle name="Input 3 8 2 7 4" xfId="29363" xr:uid="{00000000-0005-0000-0000-00007D6D0000}"/>
    <cellStyle name="Input 3 8 2 8" xfId="19013" xr:uid="{00000000-0005-0000-0000-00007E6D0000}"/>
    <cellStyle name="Input 3 8 2 8 2" xfId="44550" xr:uid="{00000000-0005-0000-0000-00007F6D0000}"/>
    <cellStyle name="Input 3 8 2 8 3" xfId="48456" xr:uid="{00000000-0005-0000-0000-0000806D0000}"/>
    <cellStyle name="Input 3 8 2 9" xfId="39886" xr:uid="{00000000-0005-0000-0000-0000816D0000}"/>
    <cellStyle name="Input 3 8 3" xfId="53134" xr:uid="{00000000-0005-0000-0000-0000826D0000}"/>
    <cellStyle name="Input 3 9" xfId="1951" xr:uid="{00000000-0005-0000-0000-0000836D0000}"/>
    <cellStyle name="Input 3 9 2" xfId="7123" xr:uid="{00000000-0005-0000-0000-0000846D0000}"/>
    <cellStyle name="Input 3 9 2 10" xfId="42627" xr:uid="{00000000-0005-0000-0000-0000856D0000}"/>
    <cellStyle name="Input 3 9 2 2" xfId="10653" xr:uid="{00000000-0005-0000-0000-0000866D0000}"/>
    <cellStyle name="Input 3 9 2 2 2" xfId="18446" xr:uid="{00000000-0005-0000-0000-0000876D0000}"/>
    <cellStyle name="Input 3 9 2 2 2 2" xfId="43993" xr:uid="{00000000-0005-0000-0000-0000886D0000}"/>
    <cellStyle name="Input 3 9 2 2 2 3" xfId="47902" xr:uid="{00000000-0005-0000-0000-0000896D0000}"/>
    <cellStyle name="Input 3 9 2 2 2 4" xfId="36083" xr:uid="{00000000-0005-0000-0000-00008A6D0000}"/>
    <cellStyle name="Input 3 9 2 2 3" xfId="20162" xr:uid="{00000000-0005-0000-0000-00008B6D0000}"/>
    <cellStyle name="Input 3 9 2 2 3 2" xfId="45699" xr:uid="{00000000-0005-0000-0000-00008C6D0000}"/>
    <cellStyle name="Input 3 9 2 2 3 3" xfId="49605" xr:uid="{00000000-0005-0000-0000-00008D6D0000}"/>
    <cellStyle name="Input 3 9 2 2 3 4" xfId="37648" xr:uid="{00000000-0005-0000-0000-00008E6D0000}"/>
    <cellStyle name="Input 3 9 2 2 4" xfId="19087" xr:uid="{00000000-0005-0000-0000-00008F6D0000}"/>
    <cellStyle name="Input 3 9 2 2 4 2" xfId="44624" xr:uid="{00000000-0005-0000-0000-0000906D0000}"/>
    <cellStyle name="Input 3 9 2 2 4 3" xfId="48530" xr:uid="{00000000-0005-0000-0000-0000916D0000}"/>
    <cellStyle name="Input 3 9 2 2 4 4" xfId="36683" xr:uid="{00000000-0005-0000-0000-0000926D0000}"/>
    <cellStyle name="Input 3 9 2 2 5" xfId="20859" xr:uid="{00000000-0005-0000-0000-0000936D0000}"/>
    <cellStyle name="Input 3 9 2 2 5 2" xfId="46396" xr:uid="{00000000-0005-0000-0000-0000946D0000}"/>
    <cellStyle name="Input 3 9 2 2 5 3" xfId="50302" xr:uid="{00000000-0005-0000-0000-0000956D0000}"/>
    <cellStyle name="Input 3 9 2 2 5 4" xfId="38265" xr:uid="{00000000-0005-0000-0000-0000966D0000}"/>
    <cellStyle name="Input 3 9 2 2 6" xfId="21512" xr:uid="{00000000-0005-0000-0000-0000976D0000}"/>
    <cellStyle name="Input 3 9 2 2 6 2" xfId="47049" xr:uid="{00000000-0005-0000-0000-0000986D0000}"/>
    <cellStyle name="Input 3 9 2 2 6 3" xfId="50955" xr:uid="{00000000-0005-0000-0000-0000996D0000}"/>
    <cellStyle name="Input 3 9 2 2 7" xfId="40852" xr:uid="{00000000-0005-0000-0000-00009A6D0000}"/>
    <cellStyle name="Input 3 9 2 2 8" xfId="39708" xr:uid="{00000000-0005-0000-0000-00009B6D0000}"/>
    <cellStyle name="Input 3 9 2 3" xfId="10948" xr:uid="{00000000-0005-0000-0000-00009C6D0000}"/>
    <cellStyle name="Input 3 9 2 3 2" xfId="18741" xr:uid="{00000000-0005-0000-0000-00009D6D0000}"/>
    <cellStyle name="Input 3 9 2 3 2 2" xfId="44288" xr:uid="{00000000-0005-0000-0000-00009E6D0000}"/>
    <cellStyle name="Input 3 9 2 3 2 3" xfId="48197" xr:uid="{00000000-0005-0000-0000-00009F6D0000}"/>
    <cellStyle name="Input 3 9 2 3 2 4" xfId="36378" xr:uid="{00000000-0005-0000-0000-0000A06D0000}"/>
    <cellStyle name="Input 3 9 2 3 3" xfId="19880" xr:uid="{00000000-0005-0000-0000-0000A16D0000}"/>
    <cellStyle name="Input 3 9 2 3 3 2" xfId="45417" xr:uid="{00000000-0005-0000-0000-0000A26D0000}"/>
    <cellStyle name="Input 3 9 2 3 3 3" xfId="49323" xr:uid="{00000000-0005-0000-0000-0000A36D0000}"/>
    <cellStyle name="Input 3 9 2 3 3 4" xfId="37394" xr:uid="{00000000-0005-0000-0000-0000A46D0000}"/>
    <cellStyle name="Input 3 9 2 3 4" xfId="20289" xr:uid="{00000000-0005-0000-0000-0000A56D0000}"/>
    <cellStyle name="Input 3 9 2 3 4 2" xfId="45826" xr:uid="{00000000-0005-0000-0000-0000A66D0000}"/>
    <cellStyle name="Input 3 9 2 3 4 3" xfId="49732" xr:uid="{00000000-0005-0000-0000-0000A76D0000}"/>
    <cellStyle name="Input 3 9 2 3 4 4" xfId="37756" xr:uid="{00000000-0005-0000-0000-0000A86D0000}"/>
    <cellStyle name="Input 3 9 2 3 5" xfId="21154" xr:uid="{00000000-0005-0000-0000-0000A96D0000}"/>
    <cellStyle name="Input 3 9 2 3 5 2" xfId="46691" xr:uid="{00000000-0005-0000-0000-0000AA6D0000}"/>
    <cellStyle name="Input 3 9 2 3 5 3" xfId="50597" xr:uid="{00000000-0005-0000-0000-0000AB6D0000}"/>
    <cellStyle name="Input 3 9 2 3 5 4" xfId="38560" xr:uid="{00000000-0005-0000-0000-0000AC6D0000}"/>
    <cellStyle name="Input 3 9 2 3 6" xfId="21807" xr:uid="{00000000-0005-0000-0000-0000AD6D0000}"/>
    <cellStyle name="Input 3 9 2 3 6 2" xfId="47344" xr:uid="{00000000-0005-0000-0000-0000AE6D0000}"/>
    <cellStyle name="Input 3 9 2 3 6 3" xfId="51250" xr:uid="{00000000-0005-0000-0000-0000AF6D0000}"/>
    <cellStyle name="Input 3 9 2 3 7" xfId="41147" xr:uid="{00000000-0005-0000-0000-0000B06D0000}"/>
    <cellStyle name="Input 3 9 2 3 8" xfId="39695" xr:uid="{00000000-0005-0000-0000-0000B16D0000}"/>
    <cellStyle name="Input 3 9 2 4" xfId="14911" xr:uid="{00000000-0005-0000-0000-0000B26D0000}"/>
    <cellStyle name="Input 3 9 2 4 2" xfId="43027" xr:uid="{00000000-0005-0000-0000-0000B36D0000}"/>
    <cellStyle name="Input 3 9 2 4 3" xfId="40312" xr:uid="{00000000-0005-0000-0000-0000B46D0000}"/>
    <cellStyle name="Input 3 9 2 4 4" xfId="32546" xr:uid="{00000000-0005-0000-0000-0000B56D0000}"/>
    <cellStyle name="Input 3 9 2 5" xfId="12027" xr:uid="{00000000-0005-0000-0000-0000B66D0000}"/>
    <cellStyle name="Input 3 9 2 5 2" xfId="41784" xr:uid="{00000000-0005-0000-0000-0000B76D0000}"/>
    <cellStyle name="Input 3 9 2 5 3" xfId="43205" xr:uid="{00000000-0005-0000-0000-0000B86D0000}"/>
    <cellStyle name="Input 3 9 2 5 4" xfId="29709" xr:uid="{00000000-0005-0000-0000-0000B96D0000}"/>
    <cellStyle name="Input 3 9 2 6" xfId="19630" xr:uid="{00000000-0005-0000-0000-0000BA6D0000}"/>
    <cellStyle name="Input 3 9 2 6 2" xfId="45167" xr:uid="{00000000-0005-0000-0000-0000BB6D0000}"/>
    <cellStyle name="Input 3 9 2 6 3" xfId="49073" xr:uid="{00000000-0005-0000-0000-0000BC6D0000}"/>
    <cellStyle name="Input 3 9 2 6 4" xfId="37169" xr:uid="{00000000-0005-0000-0000-0000BD6D0000}"/>
    <cellStyle name="Input 3 9 2 7" xfId="20498" xr:uid="{00000000-0005-0000-0000-0000BE6D0000}"/>
    <cellStyle name="Input 3 9 2 7 2" xfId="46035" xr:uid="{00000000-0005-0000-0000-0000BF6D0000}"/>
    <cellStyle name="Input 3 9 2 7 3" xfId="49941" xr:uid="{00000000-0005-0000-0000-0000C06D0000}"/>
    <cellStyle name="Input 3 9 2 7 4" xfId="37942" xr:uid="{00000000-0005-0000-0000-0000C16D0000}"/>
    <cellStyle name="Input 3 9 2 8" xfId="20505" xr:uid="{00000000-0005-0000-0000-0000C26D0000}"/>
    <cellStyle name="Input 3 9 2 8 2" xfId="46042" xr:uid="{00000000-0005-0000-0000-0000C36D0000}"/>
    <cellStyle name="Input 3 9 2 8 3" xfId="49948" xr:uid="{00000000-0005-0000-0000-0000C46D0000}"/>
    <cellStyle name="Input 3 9 2 9" xfId="39887" xr:uid="{00000000-0005-0000-0000-0000C56D0000}"/>
    <cellStyle name="Input 3 9 3" xfId="53135" xr:uid="{00000000-0005-0000-0000-0000C66D0000}"/>
    <cellStyle name="Input 3_BallGrid" xfId="1952" xr:uid="{00000000-0005-0000-0000-0000C76D0000}"/>
    <cellStyle name="Input 30" xfId="1953" xr:uid="{00000000-0005-0000-0000-0000C86D0000}"/>
    <cellStyle name="Input 30 2" xfId="1954" xr:uid="{00000000-0005-0000-0000-0000C96D0000}"/>
    <cellStyle name="Input 30 2 2" xfId="1955" xr:uid="{00000000-0005-0000-0000-0000CA6D0000}"/>
    <cellStyle name="Input 30 2 2 2" xfId="7126" xr:uid="{00000000-0005-0000-0000-0000CB6D0000}"/>
    <cellStyle name="Input 30 2 2 2 10" xfId="39515" xr:uid="{00000000-0005-0000-0000-0000CC6D0000}"/>
    <cellStyle name="Input 30 2 2 2 2" xfId="10656" xr:uid="{00000000-0005-0000-0000-0000CD6D0000}"/>
    <cellStyle name="Input 30 2 2 2 2 2" xfId="18449" xr:uid="{00000000-0005-0000-0000-0000CE6D0000}"/>
    <cellStyle name="Input 30 2 2 2 2 2 2" xfId="43996" xr:uid="{00000000-0005-0000-0000-0000CF6D0000}"/>
    <cellStyle name="Input 30 2 2 2 2 2 3" xfId="47905" xr:uid="{00000000-0005-0000-0000-0000D06D0000}"/>
    <cellStyle name="Input 30 2 2 2 2 2 4" xfId="36086" xr:uid="{00000000-0005-0000-0000-0000D16D0000}"/>
    <cellStyle name="Input 30 2 2 2 2 3" xfId="19294" xr:uid="{00000000-0005-0000-0000-0000D26D0000}"/>
    <cellStyle name="Input 30 2 2 2 2 3 2" xfId="44831" xr:uid="{00000000-0005-0000-0000-0000D36D0000}"/>
    <cellStyle name="Input 30 2 2 2 2 3 3" xfId="48737" xr:uid="{00000000-0005-0000-0000-0000D46D0000}"/>
    <cellStyle name="Input 30 2 2 2 2 3 4" xfId="36872" xr:uid="{00000000-0005-0000-0000-0000D56D0000}"/>
    <cellStyle name="Input 30 2 2 2 2 4" xfId="12663" xr:uid="{00000000-0005-0000-0000-0000D66D0000}"/>
    <cellStyle name="Input 30 2 2 2 2 4 2" xfId="42142" xr:uid="{00000000-0005-0000-0000-0000D76D0000}"/>
    <cellStyle name="Input 30 2 2 2 2 4 3" xfId="39314" xr:uid="{00000000-0005-0000-0000-0000D86D0000}"/>
    <cellStyle name="Input 30 2 2 2 2 4 4" xfId="30327" xr:uid="{00000000-0005-0000-0000-0000D96D0000}"/>
    <cellStyle name="Input 30 2 2 2 2 5" xfId="20862" xr:uid="{00000000-0005-0000-0000-0000DA6D0000}"/>
    <cellStyle name="Input 30 2 2 2 2 5 2" xfId="46399" xr:uid="{00000000-0005-0000-0000-0000DB6D0000}"/>
    <cellStyle name="Input 30 2 2 2 2 5 3" xfId="50305" xr:uid="{00000000-0005-0000-0000-0000DC6D0000}"/>
    <cellStyle name="Input 30 2 2 2 2 5 4" xfId="38268" xr:uid="{00000000-0005-0000-0000-0000DD6D0000}"/>
    <cellStyle name="Input 30 2 2 2 2 6" xfId="21515" xr:uid="{00000000-0005-0000-0000-0000DE6D0000}"/>
    <cellStyle name="Input 30 2 2 2 2 6 2" xfId="47052" xr:uid="{00000000-0005-0000-0000-0000DF6D0000}"/>
    <cellStyle name="Input 30 2 2 2 2 6 3" xfId="50958" xr:uid="{00000000-0005-0000-0000-0000E06D0000}"/>
    <cellStyle name="Input 30 2 2 2 2 7" xfId="40855" xr:uid="{00000000-0005-0000-0000-0000E16D0000}"/>
    <cellStyle name="Input 30 2 2 2 2 8" xfId="40492" xr:uid="{00000000-0005-0000-0000-0000E26D0000}"/>
    <cellStyle name="Input 30 2 2 2 3" xfId="10951" xr:uid="{00000000-0005-0000-0000-0000E36D0000}"/>
    <cellStyle name="Input 30 2 2 2 3 2" xfId="18744" xr:uid="{00000000-0005-0000-0000-0000E46D0000}"/>
    <cellStyle name="Input 30 2 2 2 3 2 2" xfId="44291" xr:uid="{00000000-0005-0000-0000-0000E56D0000}"/>
    <cellStyle name="Input 30 2 2 2 3 2 3" xfId="48200" xr:uid="{00000000-0005-0000-0000-0000E66D0000}"/>
    <cellStyle name="Input 30 2 2 2 3 2 4" xfId="36381" xr:uid="{00000000-0005-0000-0000-0000E76D0000}"/>
    <cellStyle name="Input 30 2 2 2 3 3" xfId="11533" xr:uid="{00000000-0005-0000-0000-0000E86D0000}"/>
    <cellStyle name="Input 30 2 2 2 3 3 2" xfId="41544" xr:uid="{00000000-0005-0000-0000-0000E96D0000}"/>
    <cellStyle name="Input 30 2 2 2 3 3 3" xfId="39354" xr:uid="{00000000-0005-0000-0000-0000EA6D0000}"/>
    <cellStyle name="Input 30 2 2 2 3 3 4" xfId="29248" xr:uid="{00000000-0005-0000-0000-0000EB6D0000}"/>
    <cellStyle name="Input 30 2 2 2 3 4" xfId="12500" xr:uid="{00000000-0005-0000-0000-0000EC6D0000}"/>
    <cellStyle name="Input 30 2 2 2 3 4 2" xfId="42013" xr:uid="{00000000-0005-0000-0000-0000ED6D0000}"/>
    <cellStyle name="Input 30 2 2 2 3 4 3" xfId="43590" xr:uid="{00000000-0005-0000-0000-0000EE6D0000}"/>
    <cellStyle name="Input 30 2 2 2 3 4 4" xfId="30170" xr:uid="{00000000-0005-0000-0000-0000EF6D0000}"/>
    <cellStyle name="Input 30 2 2 2 3 5" xfId="21157" xr:uid="{00000000-0005-0000-0000-0000F06D0000}"/>
    <cellStyle name="Input 30 2 2 2 3 5 2" xfId="46694" xr:uid="{00000000-0005-0000-0000-0000F16D0000}"/>
    <cellStyle name="Input 30 2 2 2 3 5 3" xfId="50600" xr:uid="{00000000-0005-0000-0000-0000F26D0000}"/>
    <cellStyle name="Input 30 2 2 2 3 5 4" xfId="38563" xr:uid="{00000000-0005-0000-0000-0000F36D0000}"/>
    <cellStyle name="Input 30 2 2 2 3 6" xfId="21810" xr:uid="{00000000-0005-0000-0000-0000F46D0000}"/>
    <cellStyle name="Input 30 2 2 2 3 6 2" xfId="47347" xr:uid="{00000000-0005-0000-0000-0000F56D0000}"/>
    <cellStyle name="Input 30 2 2 2 3 6 3" xfId="51253" xr:uid="{00000000-0005-0000-0000-0000F66D0000}"/>
    <cellStyle name="Input 30 2 2 2 3 7" xfId="41150" xr:uid="{00000000-0005-0000-0000-0000F76D0000}"/>
    <cellStyle name="Input 30 2 2 2 3 8" xfId="40479" xr:uid="{00000000-0005-0000-0000-0000F86D0000}"/>
    <cellStyle name="Input 30 2 2 2 4" xfId="14914" xr:uid="{00000000-0005-0000-0000-0000F96D0000}"/>
    <cellStyle name="Input 30 2 2 2 4 2" xfId="43030" xr:uid="{00000000-0005-0000-0000-0000FA6D0000}"/>
    <cellStyle name="Input 30 2 2 2 4 3" xfId="41944" xr:uid="{00000000-0005-0000-0000-0000FB6D0000}"/>
    <cellStyle name="Input 30 2 2 2 4 4" xfId="32549" xr:uid="{00000000-0005-0000-0000-0000FC6D0000}"/>
    <cellStyle name="Input 30 2 2 2 5" xfId="13154" xr:uid="{00000000-0005-0000-0000-0000FD6D0000}"/>
    <cellStyle name="Input 30 2 2 2 5 2" xfId="42375" xr:uid="{00000000-0005-0000-0000-0000FE6D0000}"/>
    <cellStyle name="Input 30 2 2 2 5 3" xfId="39099" xr:uid="{00000000-0005-0000-0000-0000FF6D0000}"/>
    <cellStyle name="Input 30 2 2 2 5 4" xfId="30803" xr:uid="{00000000-0005-0000-0000-0000006E0000}"/>
    <cellStyle name="Input 30 2 2 2 6" xfId="19954" xr:uid="{00000000-0005-0000-0000-0000016E0000}"/>
    <cellStyle name="Input 30 2 2 2 6 2" xfId="45491" xr:uid="{00000000-0005-0000-0000-0000026E0000}"/>
    <cellStyle name="Input 30 2 2 2 6 3" xfId="49397" xr:uid="{00000000-0005-0000-0000-0000036E0000}"/>
    <cellStyle name="Input 30 2 2 2 6 4" xfId="37459" xr:uid="{00000000-0005-0000-0000-0000046E0000}"/>
    <cellStyle name="Input 30 2 2 2 7" xfId="20494" xr:uid="{00000000-0005-0000-0000-0000056E0000}"/>
    <cellStyle name="Input 30 2 2 2 7 2" xfId="46031" xr:uid="{00000000-0005-0000-0000-0000066E0000}"/>
    <cellStyle name="Input 30 2 2 2 7 3" xfId="49937" xr:uid="{00000000-0005-0000-0000-0000076E0000}"/>
    <cellStyle name="Input 30 2 2 2 7 4" xfId="37938" xr:uid="{00000000-0005-0000-0000-0000086E0000}"/>
    <cellStyle name="Input 30 2 2 2 8" xfId="19501" xr:uid="{00000000-0005-0000-0000-0000096E0000}"/>
    <cellStyle name="Input 30 2 2 2 8 2" xfId="45038" xr:uid="{00000000-0005-0000-0000-00000A6E0000}"/>
    <cellStyle name="Input 30 2 2 2 8 3" xfId="48944" xr:uid="{00000000-0005-0000-0000-00000B6E0000}"/>
    <cellStyle name="Input 30 2 2 2 9" xfId="39890" xr:uid="{00000000-0005-0000-0000-00000C6E0000}"/>
    <cellStyle name="Input 30 2 2 3" xfId="53138" xr:uid="{00000000-0005-0000-0000-00000D6E0000}"/>
    <cellStyle name="Input 30 2 3" xfId="7125" xr:uid="{00000000-0005-0000-0000-00000E6E0000}"/>
    <cellStyle name="Input 30 2 3 10" xfId="40403" xr:uid="{00000000-0005-0000-0000-00000F6E0000}"/>
    <cellStyle name="Input 30 2 3 2" xfId="10655" xr:uid="{00000000-0005-0000-0000-0000106E0000}"/>
    <cellStyle name="Input 30 2 3 2 2" xfId="18448" xr:uid="{00000000-0005-0000-0000-0000116E0000}"/>
    <cellStyle name="Input 30 2 3 2 2 2" xfId="43995" xr:uid="{00000000-0005-0000-0000-0000126E0000}"/>
    <cellStyle name="Input 30 2 3 2 2 3" xfId="47904" xr:uid="{00000000-0005-0000-0000-0000136E0000}"/>
    <cellStyle name="Input 30 2 3 2 2 4" xfId="36085" xr:uid="{00000000-0005-0000-0000-0000146E0000}"/>
    <cellStyle name="Input 30 2 3 2 3" xfId="20028" xr:uid="{00000000-0005-0000-0000-0000156E0000}"/>
    <cellStyle name="Input 30 2 3 2 3 2" xfId="45565" xr:uid="{00000000-0005-0000-0000-0000166E0000}"/>
    <cellStyle name="Input 30 2 3 2 3 3" xfId="49471" xr:uid="{00000000-0005-0000-0000-0000176E0000}"/>
    <cellStyle name="Input 30 2 3 2 3 4" xfId="37526" xr:uid="{00000000-0005-0000-0000-0000186E0000}"/>
    <cellStyle name="Input 30 2 3 2 4" xfId="20272" xr:uid="{00000000-0005-0000-0000-0000196E0000}"/>
    <cellStyle name="Input 30 2 3 2 4 2" xfId="45809" xr:uid="{00000000-0005-0000-0000-00001A6E0000}"/>
    <cellStyle name="Input 30 2 3 2 4 3" xfId="49715" xr:uid="{00000000-0005-0000-0000-00001B6E0000}"/>
    <cellStyle name="Input 30 2 3 2 4 4" xfId="37741" xr:uid="{00000000-0005-0000-0000-00001C6E0000}"/>
    <cellStyle name="Input 30 2 3 2 5" xfId="20861" xr:uid="{00000000-0005-0000-0000-00001D6E0000}"/>
    <cellStyle name="Input 30 2 3 2 5 2" xfId="46398" xr:uid="{00000000-0005-0000-0000-00001E6E0000}"/>
    <cellStyle name="Input 30 2 3 2 5 3" xfId="50304" xr:uid="{00000000-0005-0000-0000-00001F6E0000}"/>
    <cellStyle name="Input 30 2 3 2 5 4" xfId="38267" xr:uid="{00000000-0005-0000-0000-0000206E0000}"/>
    <cellStyle name="Input 30 2 3 2 6" xfId="21514" xr:uid="{00000000-0005-0000-0000-0000216E0000}"/>
    <cellStyle name="Input 30 2 3 2 6 2" xfId="47051" xr:uid="{00000000-0005-0000-0000-0000226E0000}"/>
    <cellStyle name="Input 30 2 3 2 6 3" xfId="50957" xr:uid="{00000000-0005-0000-0000-0000236E0000}"/>
    <cellStyle name="Input 30 2 3 2 7" xfId="40854" xr:uid="{00000000-0005-0000-0000-0000246E0000}"/>
    <cellStyle name="Input 30 2 3 2 8" xfId="43634" xr:uid="{00000000-0005-0000-0000-0000256E0000}"/>
    <cellStyle name="Input 30 2 3 3" xfId="10950" xr:uid="{00000000-0005-0000-0000-0000266E0000}"/>
    <cellStyle name="Input 30 2 3 3 2" xfId="18743" xr:uid="{00000000-0005-0000-0000-0000276E0000}"/>
    <cellStyle name="Input 30 2 3 3 2 2" xfId="44290" xr:uid="{00000000-0005-0000-0000-0000286E0000}"/>
    <cellStyle name="Input 30 2 3 3 2 3" xfId="48199" xr:uid="{00000000-0005-0000-0000-0000296E0000}"/>
    <cellStyle name="Input 30 2 3 3 2 4" xfId="36380" xr:uid="{00000000-0005-0000-0000-00002A6E0000}"/>
    <cellStyle name="Input 30 2 3 3 3" xfId="19712" xr:uid="{00000000-0005-0000-0000-00002B6E0000}"/>
    <cellStyle name="Input 30 2 3 3 3 2" xfId="45249" xr:uid="{00000000-0005-0000-0000-00002C6E0000}"/>
    <cellStyle name="Input 30 2 3 3 3 3" xfId="49155" xr:uid="{00000000-0005-0000-0000-00002D6E0000}"/>
    <cellStyle name="Input 30 2 3 3 3 4" xfId="37239" xr:uid="{00000000-0005-0000-0000-00002E6E0000}"/>
    <cellStyle name="Input 30 2 3 3 4" xfId="19253" xr:uid="{00000000-0005-0000-0000-00002F6E0000}"/>
    <cellStyle name="Input 30 2 3 3 4 2" xfId="44790" xr:uid="{00000000-0005-0000-0000-0000306E0000}"/>
    <cellStyle name="Input 30 2 3 3 4 3" xfId="48696" xr:uid="{00000000-0005-0000-0000-0000316E0000}"/>
    <cellStyle name="Input 30 2 3 3 4 4" xfId="36831" xr:uid="{00000000-0005-0000-0000-0000326E0000}"/>
    <cellStyle name="Input 30 2 3 3 5" xfId="21156" xr:uid="{00000000-0005-0000-0000-0000336E0000}"/>
    <cellStyle name="Input 30 2 3 3 5 2" xfId="46693" xr:uid="{00000000-0005-0000-0000-0000346E0000}"/>
    <cellStyle name="Input 30 2 3 3 5 3" xfId="50599" xr:uid="{00000000-0005-0000-0000-0000356E0000}"/>
    <cellStyle name="Input 30 2 3 3 5 4" xfId="38562" xr:uid="{00000000-0005-0000-0000-0000366E0000}"/>
    <cellStyle name="Input 30 2 3 3 6" xfId="21809" xr:uid="{00000000-0005-0000-0000-0000376E0000}"/>
    <cellStyle name="Input 30 2 3 3 6 2" xfId="47346" xr:uid="{00000000-0005-0000-0000-0000386E0000}"/>
    <cellStyle name="Input 30 2 3 3 6 3" xfId="51252" xr:uid="{00000000-0005-0000-0000-0000396E0000}"/>
    <cellStyle name="Input 30 2 3 3 7" xfId="41149" xr:uid="{00000000-0005-0000-0000-00003A6E0000}"/>
    <cellStyle name="Input 30 2 3 3 8" xfId="43621" xr:uid="{00000000-0005-0000-0000-00003B6E0000}"/>
    <cellStyle name="Input 30 2 3 4" xfId="14913" xr:uid="{00000000-0005-0000-0000-00003C6E0000}"/>
    <cellStyle name="Input 30 2 3 4 2" xfId="43029" xr:uid="{00000000-0005-0000-0000-00003D6E0000}"/>
    <cellStyle name="Input 30 2 3 4 3" xfId="47583" xr:uid="{00000000-0005-0000-0000-00003E6E0000}"/>
    <cellStyle name="Input 30 2 3 4 4" xfId="32548" xr:uid="{00000000-0005-0000-0000-00003F6E0000}"/>
    <cellStyle name="Input 30 2 3 5" xfId="13153" xr:uid="{00000000-0005-0000-0000-0000406E0000}"/>
    <cellStyle name="Input 30 2 3 5 2" xfId="42374" xr:uid="{00000000-0005-0000-0000-0000416E0000}"/>
    <cellStyle name="Input 30 2 3 5 3" xfId="47607" xr:uid="{00000000-0005-0000-0000-0000426E0000}"/>
    <cellStyle name="Input 30 2 3 5 4" xfId="30802" xr:uid="{00000000-0005-0000-0000-0000436E0000}"/>
    <cellStyle name="Input 30 2 3 6" xfId="19316" xr:uid="{00000000-0005-0000-0000-0000446E0000}"/>
    <cellStyle name="Input 30 2 3 6 2" xfId="44853" xr:uid="{00000000-0005-0000-0000-0000456E0000}"/>
    <cellStyle name="Input 30 2 3 6 3" xfId="48759" xr:uid="{00000000-0005-0000-0000-0000466E0000}"/>
    <cellStyle name="Input 30 2 3 6 4" xfId="36894" xr:uid="{00000000-0005-0000-0000-0000476E0000}"/>
    <cellStyle name="Input 30 2 3 7" xfId="11075" xr:uid="{00000000-0005-0000-0000-0000486E0000}"/>
    <cellStyle name="Input 30 2 3 7 2" xfId="41274" xr:uid="{00000000-0005-0000-0000-0000496E0000}"/>
    <cellStyle name="Input 30 2 3 7 3" xfId="40082" xr:uid="{00000000-0005-0000-0000-00004A6E0000}"/>
    <cellStyle name="Input 30 2 3 7 4" xfId="28805" xr:uid="{00000000-0005-0000-0000-00004B6E0000}"/>
    <cellStyle name="Input 30 2 3 8" xfId="13926" xr:uid="{00000000-0005-0000-0000-00004C6E0000}"/>
    <cellStyle name="Input 30 2 3 8 2" xfId="42661" xr:uid="{00000000-0005-0000-0000-00004D6E0000}"/>
    <cellStyle name="Input 30 2 3 8 3" xfId="39537" xr:uid="{00000000-0005-0000-0000-00004E6E0000}"/>
    <cellStyle name="Input 30 2 3 9" xfId="39889" xr:uid="{00000000-0005-0000-0000-00004F6E0000}"/>
    <cellStyle name="Input 30 2 4" xfId="53137" xr:uid="{00000000-0005-0000-0000-0000506E0000}"/>
    <cellStyle name="Input 30 2_Sheet1" xfId="1956" xr:uid="{00000000-0005-0000-0000-0000516E0000}"/>
    <cellStyle name="Input 30 3" xfId="1957" xr:uid="{00000000-0005-0000-0000-0000526E0000}"/>
    <cellStyle name="Input 30 3 2" xfId="7127" xr:uid="{00000000-0005-0000-0000-0000536E0000}"/>
    <cellStyle name="Input 30 3 2 10" xfId="42196" xr:uid="{00000000-0005-0000-0000-0000546E0000}"/>
    <cellStyle name="Input 30 3 2 2" xfId="10657" xr:uid="{00000000-0005-0000-0000-0000556E0000}"/>
    <cellStyle name="Input 30 3 2 2 2" xfId="18450" xr:uid="{00000000-0005-0000-0000-0000566E0000}"/>
    <cellStyle name="Input 30 3 2 2 2 2" xfId="43997" xr:uid="{00000000-0005-0000-0000-0000576E0000}"/>
    <cellStyle name="Input 30 3 2 2 2 3" xfId="47906" xr:uid="{00000000-0005-0000-0000-0000586E0000}"/>
    <cellStyle name="Input 30 3 2 2 2 4" xfId="36087" xr:uid="{00000000-0005-0000-0000-0000596E0000}"/>
    <cellStyle name="Input 30 3 2 2 3" xfId="19903" xr:uid="{00000000-0005-0000-0000-00005A6E0000}"/>
    <cellStyle name="Input 30 3 2 2 3 2" xfId="45440" xr:uid="{00000000-0005-0000-0000-00005B6E0000}"/>
    <cellStyle name="Input 30 3 2 2 3 3" xfId="49346" xr:uid="{00000000-0005-0000-0000-00005C6E0000}"/>
    <cellStyle name="Input 30 3 2 2 3 4" xfId="37417" xr:uid="{00000000-0005-0000-0000-00005D6E0000}"/>
    <cellStyle name="Input 30 3 2 2 4" xfId="18944" xr:uid="{00000000-0005-0000-0000-00005E6E0000}"/>
    <cellStyle name="Input 30 3 2 2 4 2" xfId="44481" xr:uid="{00000000-0005-0000-0000-00005F6E0000}"/>
    <cellStyle name="Input 30 3 2 2 4 3" xfId="48387" xr:uid="{00000000-0005-0000-0000-0000606E0000}"/>
    <cellStyle name="Input 30 3 2 2 4 4" xfId="36571" xr:uid="{00000000-0005-0000-0000-0000616E0000}"/>
    <cellStyle name="Input 30 3 2 2 5" xfId="20863" xr:uid="{00000000-0005-0000-0000-0000626E0000}"/>
    <cellStyle name="Input 30 3 2 2 5 2" xfId="46400" xr:uid="{00000000-0005-0000-0000-0000636E0000}"/>
    <cellStyle name="Input 30 3 2 2 5 3" xfId="50306" xr:uid="{00000000-0005-0000-0000-0000646E0000}"/>
    <cellStyle name="Input 30 3 2 2 5 4" xfId="38269" xr:uid="{00000000-0005-0000-0000-0000656E0000}"/>
    <cellStyle name="Input 30 3 2 2 6" xfId="21516" xr:uid="{00000000-0005-0000-0000-0000666E0000}"/>
    <cellStyle name="Input 30 3 2 2 6 2" xfId="47053" xr:uid="{00000000-0005-0000-0000-0000676E0000}"/>
    <cellStyle name="Input 30 3 2 2 6 3" xfId="50959" xr:uid="{00000000-0005-0000-0000-0000686E0000}"/>
    <cellStyle name="Input 30 3 2 2 7" xfId="40856" xr:uid="{00000000-0005-0000-0000-0000696E0000}"/>
    <cellStyle name="Input 30 3 2 2 8" xfId="39602" xr:uid="{00000000-0005-0000-0000-00006A6E0000}"/>
    <cellStyle name="Input 30 3 2 3" xfId="10952" xr:uid="{00000000-0005-0000-0000-00006B6E0000}"/>
    <cellStyle name="Input 30 3 2 3 2" xfId="18745" xr:uid="{00000000-0005-0000-0000-00006C6E0000}"/>
    <cellStyle name="Input 30 3 2 3 2 2" xfId="44292" xr:uid="{00000000-0005-0000-0000-00006D6E0000}"/>
    <cellStyle name="Input 30 3 2 3 2 3" xfId="48201" xr:uid="{00000000-0005-0000-0000-00006E6E0000}"/>
    <cellStyle name="Input 30 3 2 3 2 4" xfId="36382" xr:uid="{00000000-0005-0000-0000-00006F6E0000}"/>
    <cellStyle name="Input 30 3 2 3 3" xfId="13346" xr:uid="{00000000-0005-0000-0000-0000706E0000}"/>
    <cellStyle name="Input 30 3 2 3 3 2" xfId="42516" xr:uid="{00000000-0005-0000-0000-0000716E0000}"/>
    <cellStyle name="Input 30 3 2 3 3 3" xfId="39439" xr:uid="{00000000-0005-0000-0000-0000726E0000}"/>
    <cellStyle name="Input 30 3 2 3 3 4" xfId="30986" xr:uid="{00000000-0005-0000-0000-0000736E0000}"/>
    <cellStyle name="Input 30 3 2 3 4" xfId="11618" xr:uid="{00000000-0005-0000-0000-0000746E0000}"/>
    <cellStyle name="Input 30 3 2 3 4 2" xfId="41629" xr:uid="{00000000-0005-0000-0000-0000756E0000}"/>
    <cellStyle name="Input 30 3 2 3 4 3" xfId="39674" xr:uid="{00000000-0005-0000-0000-0000766E0000}"/>
    <cellStyle name="Input 30 3 2 3 4 4" xfId="29321" xr:uid="{00000000-0005-0000-0000-0000776E0000}"/>
    <cellStyle name="Input 30 3 2 3 5" xfId="21158" xr:uid="{00000000-0005-0000-0000-0000786E0000}"/>
    <cellStyle name="Input 30 3 2 3 5 2" xfId="46695" xr:uid="{00000000-0005-0000-0000-0000796E0000}"/>
    <cellStyle name="Input 30 3 2 3 5 3" xfId="50601" xr:uid="{00000000-0005-0000-0000-00007A6E0000}"/>
    <cellStyle name="Input 30 3 2 3 5 4" xfId="38564" xr:uid="{00000000-0005-0000-0000-00007B6E0000}"/>
    <cellStyle name="Input 30 3 2 3 6" xfId="21811" xr:uid="{00000000-0005-0000-0000-00007C6E0000}"/>
    <cellStyle name="Input 30 3 2 3 6 2" xfId="47348" xr:uid="{00000000-0005-0000-0000-00007D6E0000}"/>
    <cellStyle name="Input 30 3 2 3 6 3" xfId="51254" xr:uid="{00000000-0005-0000-0000-00007E6E0000}"/>
    <cellStyle name="Input 30 3 2 3 7" xfId="41151" xr:uid="{00000000-0005-0000-0000-00007F6E0000}"/>
    <cellStyle name="Input 30 3 2 3 8" xfId="39589" xr:uid="{00000000-0005-0000-0000-0000806E0000}"/>
    <cellStyle name="Input 30 3 2 4" xfId="14915" xr:uid="{00000000-0005-0000-0000-0000816E0000}"/>
    <cellStyle name="Input 30 3 2 4 2" xfId="43031" xr:uid="{00000000-0005-0000-0000-0000826E0000}"/>
    <cellStyle name="Input 30 3 2 4 3" xfId="43298" xr:uid="{00000000-0005-0000-0000-0000836E0000}"/>
    <cellStyle name="Input 30 3 2 4 4" xfId="32550" xr:uid="{00000000-0005-0000-0000-0000846E0000}"/>
    <cellStyle name="Input 30 3 2 5" xfId="11314" xr:uid="{00000000-0005-0000-0000-0000856E0000}"/>
    <cellStyle name="Input 30 3 2 5 2" xfId="41359" xr:uid="{00000000-0005-0000-0000-0000866E0000}"/>
    <cellStyle name="Input 30 3 2 5 3" xfId="39476" xr:uid="{00000000-0005-0000-0000-0000876E0000}"/>
    <cellStyle name="Input 30 3 2 5 4" xfId="29042" xr:uid="{00000000-0005-0000-0000-0000886E0000}"/>
    <cellStyle name="Input 30 3 2 6" xfId="19202" xr:uid="{00000000-0005-0000-0000-0000896E0000}"/>
    <cellStyle name="Input 30 3 2 6 2" xfId="44739" xr:uid="{00000000-0005-0000-0000-00008A6E0000}"/>
    <cellStyle name="Input 30 3 2 6 3" xfId="48645" xr:uid="{00000000-0005-0000-0000-00008B6E0000}"/>
    <cellStyle name="Input 30 3 2 6 4" xfId="36787" xr:uid="{00000000-0005-0000-0000-00008C6E0000}"/>
    <cellStyle name="Input 30 3 2 7" xfId="19696" xr:uid="{00000000-0005-0000-0000-00008D6E0000}"/>
    <cellStyle name="Input 30 3 2 7 2" xfId="45233" xr:uid="{00000000-0005-0000-0000-00008E6E0000}"/>
    <cellStyle name="Input 30 3 2 7 3" xfId="49139" xr:uid="{00000000-0005-0000-0000-00008F6E0000}"/>
    <cellStyle name="Input 30 3 2 7 4" xfId="37225" xr:uid="{00000000-0005-0000-0000-0000906E0000}"/>
    <cellStyle name="Input 30 3 2 8" xfId="11583" xr:uid="{00000000-0005-0000-0000-0000916E0000}"/>
    <cellStyle name="Input 30 3 2 8 2" xfId="41594" xr:uid="{00000000-0005-0000-0000-0000926E0000}"/>
    <cellStyle name="Input 30 3 2 8 3" xfId="40355" xr:uid="{00000000-0005-0000-0000-0000936E0000}"/>
    <cellStyle name="Input 30 3 2 9" xfId="39891" xr:uid="{00000000-0005-0000-0000-0000946E0000}"/>
    <cellStyle name="Input 30 3 3" xfId="53139" xr:uid="{00000000-0005-0000-0000-0000956E0000}"/>
    <cellStyle name="Input 30 4" xfId="7124" xr:uid="{00000000-0005-0000-0000-0000966E0000}"/>
    <cellStyle name="Input 30 4 10" xfId="43540" xr:uid="{00000000-0005-0000-0000-0000976E0000}"/>
    <cellStyle name="Input 30 4 11" xfId="53140" xr:uid="{00000000-0005-0000-0000-0000986E0000}"/>
    <cellStyle name="Input 30 4 2" xfId="10654" xr:uid="{00000000-0005-0000-0000-0000996E0000}"/>
    <cellStyle name="Input 30 4 2 2" xfId="18447" xr:uid="{00000000-0005-0000-0000-00009A6E0000}"/>
    <cellStyle name="Input 30 4 2 2 2" xfId="43994" xr:uid="{00000000-0005-0000-0000-00009B6E0000}"/>
    <cellStyle name="Input 30 4 2 2 3" xfId="47903" xr:uid="{00000000-0005-0000-0000-00009C6E0000}"/>
    <cellStyle name="Input 30 4 2 2 4" xfId="36084" xr:uid="{00000000-0005-0000-0000-00009D6E0000}"/>
    <cellStyle name="Input 30 4 2 3" xfId="19421" xr:uid="{00000000-0005-0000-0000-00009E6E0000}"/>
    <cellStyle name="Input 30 4 2 3 2" xfId="44958" xr:uid="{00000000-0005-0000-0000-00009F6E0000}"/>
    <cellStyle name="Input 30 4 2 3 3" xfId="48864" xr:uid="{00000000-0005-0000-0000-0000A06E0000}"/>
    <cellStyle name="Input 30 4 2 3 4" xfId="36986" xr:uid="{00000000-0005-0000-0000-0000A16E0000}"/>
    <cellStyle name="Input 30 4 2 4" xfId="20383" xr:uid="{00000000-0005-0000-0000-0000A26E0000}"/>
    <cellStyle name="Input 30 4 2 4 2" xfId="45920" xr:uid="{00000000-0005-0000-0000-0000A36E0000}"/>
    <cellStyle name="Input 30 4 2 4 3" xfId="49826" xr:uid="{00000000-0005-0000-0000-0000A46E0000}"/>
    <cellStyle name="Input 30 4 2 4 4" xfId="37837" xr:uid="{00000000-0005-0000-0000-0000A56E0000}"/>
    <cellStyle name="Input 30 4 2 5" xfId="20860" xr:uid="{00000000-0005-0000-0000-0000A66E0000}"/>
    <cellStyle name="Input 30 4 2 5 2" xfId="46397" xr:uid="{00000000-0005-0000-0000-0000A76E0000}"/>
    <cellStyle name="Input 30 4 2 5 3" xfId="50303" xr:uid="{00000000-0005-0000-0000-0000A86E0000}"/>
    <cellStyle name="Input 30 4 2 5 4" xfId="38266" xr:uid="{00000000-0005-0000-0000-0000A96E0000}"/>
    <cellStyle name="Input 30 4 2 6" xfId="21513" xr:uid="{00000000-0005-0000-0000-0000AA6E0000}"/>
    <cellStyle name="Input 30 4 2 6 2" xfId="47050" xr:uid="{00000000-0005-0000-0000-0000AB6E0000}"/>
    <cellStyle name="Input 30 4 2 6 3" xfId="50956" xr:uid="{00000000-0005-0000-0000-0000AC6E0000}"/>
    <cellStyle name="Input 30 4 2 7" xfId="40853" xr:uid="{00000000-0005-0000-0000-0000AD6E0000}"/>
    <cellStyle name="Input 30 4 2 8" xfId="42745" xr:uid="{00000000-0005-0000-0000-0000AE6E0000}"/>
    <cellStyle name="Input 30 4 3" xfId="10949" xr:uid="{00000000-0005-0000-0000-0000AF6E0000}"/>
    <cellStyle name="Input 30 4 3 2" xfId="18742" xr:uid="{00000000-0005-0000-0000-0000B06E0000}"/>
    <cellStyle name="Input 30 4 3 2 2" xfId="44289" xr:uid="{00000000-0005-0000-0000-0000B16E0000}"/>
    <cellStyle name="Input 30 4 3 2 3" xfId="48198" xr:uid="{00000000-0005-0000-0000-0000B26E0000}"/>
    <cellStyle name="Input 30 4 3 2 4" xfId="36379" xr:uid="{00000000-0005-0000-0000-0000B36E0000}"/>
    <cellStyle name="Input 30 4 3 3" xfId="19103" xr:uid="{00000000-0005-0000-0000-0000B46E0000}"/>
    <cellStyle name="Input 30 4 3 3 2" xfId="44640" xr:uid="{00000000-0005-0000-0000-0000B56E0000}"/>
    <cellStyle name="Input 30 4 3 3 3" xfId="48546" xr:uid="{00000000-0005-0000-0000-0000B66E0000}"/>
    <cellStyle name="Input 30 4 3 3 4" xfId="36698" xr:uid="{00000000-0005-0000-0000-0000B76E0000}"/>
    <cellStyle name="Input 30 4 3 4" xfId="19226" xr:uid="{00000000-0005-0000-0000-0000B86E0000}"/>
    <cellStyle name="Input 30 4 3 4 2" xfId="44763" xr:uid="{00000000-0005-0000-0000-0000B96E0000}"/>
    <cellStyle name="Input 30 4 3 4 3" xfId="48669" xr:uid="{00000000-0005-0000-0000-0000BA6E0000}"/>
    <cellStyle name="Input 30 4 3 4 4" xfId="36809" xr:uid="{00000000-0005-0000-0000-0000BB6E0000}"/>
    <cellStyle name="Input 30 4 3 5" xfId="21155" xr:uid="{00000000-0005-0000-0000-0000BC6E0000}"/>
    <cellStyle name="Input 30 4 3 5 2" xfId="46692" xr:uid="{00000000-0005-0000-0000-0000BD6E0000}"/>
    <cellStyle name="Input 30 4 3 5 3" xfId="50598" xr:uid="{00000000-0005-0000-0000-0000BE6E0000}"/>
    <cellStyle name="Input 30 4 3 5 4" xfId="38561" xr:uid="{00000000-0005-0000-0000-0000BF6E0000}"/>
    <cellStyle name="Input 30 4 3 6" xfId="21808" xr:uid="{00000000-0005-0000-0000-0000C06E0000}"/>
    <cellStyle name="Input 30 4 3 6 2" xfId="47345" xr:uid="{00000000-0005-0000-0000-0000C16E0000}"/>
    <cellStyle name="Input 30 4 3 6 3" xfId="51251" xr:uid="{00000000-0005-0000-0000-0000C26E0000}"/>
    <cellStyle name="Input 30 4 3 7" xfId="41148" xr:uid="{00000000-0005-0000-0000-0000C36E0000}"/>
    <cellStyle name="Input 30 4 3 8" xfId="42732" xr:uid="{00000000-0005-0000-0000-0000C46E0000}"/>
    <cellStyle name="Input 30 4 4" xfId="14912" xr:uid="{00000000-0005-0000-0000-0000C56E0000}"/>
    <cellStyle name="Input 30 4 4 2" xfId="43028" xr:uid="{00000000-0005-0000-0000-0000C66E0000}"/>
    <cellStyle name="Input 30 4 4 3" xfId="39429" xr:uid="{00000000-0005-0000-0000-0000C76E0000}"/>
    <cellStyle name="Input 30 4 4 4" xfId="32547" xr:uid="{00000000-0005-0000-0000-0000C86E0000}"/>
    <cellStyle name="Input 30 4 5" xfId="13152" xr:uid="{00000000-0005-0000-0000-0000C96E0000}"/>
    <cellStyle name="Input 30 4 5 2" xfId="42373" xr:uid="{00000000-0005-0000-0000-0000CA6E0000}"/>
    <cellStyle name="Input 30 4 5 3" xfId="39100" xr:uid="{00000000-0005-0000-0000-0000CB6E0000}"/>
    <cellStyle name="Input 30 4 5 4" xfId="30801" xr:uid="{00000000-0005-0000-0000-0000CC6E0000}"/>
    <cellStyle name="Input 30 4 6" xfId="12526" xr:uid="{00000000-0005-0000-0000-0000CD6E0000}"/>
    <cellStyle name="Input 30 4 6 2" xfId="42034" xr:uid="{00000000-0005-0000-0000-0000CE6E0000}"/>
    <cellStyle name="Input 30 4 6 3" xfId="39317" xr:uid="{00000000-0005-0000-0000-0000CF6E0000}"/>
    <cellStyle name="Input 30 4 6 4" xfId="30194" xr:uid="{00000000-0005-0000-0000-0000D06E0000}"/>
    <cellStyle name="Input 30 4 7" xfId="11380" xr:uid="{00000000-0005-0000-0000-0000D16E0000}"/>
    <cellStyle name="Input 30 4 7 2" xfId="41416" xr:uid="{00000000-0005-0000-0000-0000D26E0000}"/>
    <cellStyle name="Input 30 4 7 3" xfId="43358" xr:uid="{00000000-0005-0000-0000-0000D36E0000}"/>
    <cellStyle name="Input 30 4 7 4" xfId="29102" xr:uid="{00000000-0005-0000-0000-0000D46E0000}"/>
    <cellStyle name="Input 30 4 8" xfId="12677" xr:uid="{00000000-0005-0000-0000-0000D56E0000}"/>
    <cellStyle name="Input 30 4 8 2" xfId="42156" xr:uid="{00000000-0005-0000-0000-0000D66E0000}"/>
    <cellStyle name="Input 30 4 8 3" xfId="43475" xr:uid="{00000000-0005-0000-0000-0000D76E0000}"/>
    <cellStyle name="Input 30 4 9" xfId="39888" xr:uid="{00000000-0005-0000-0000-0000D86E0000}"/>
    <cellStyle name="Input 30 5" xfId="22473" xr:uid="{00000000-0005-0000-0000-0000D96E0000}"/>
    <cellStyle name="Input 30 5 2" xfId="23037" xr:uid="{00000000-0005-0000-0000-0000DA6E0000}"/>
    <cellStyle name="Input 30 5 2 2" xfId="47638" xr:uid="{00000000-0005-0000-0000-0000DB6E0000}"/>
    <cellStyle name="Input 30 5 2 3" xfId="51449" xr:uid="{00000000-0005-0000-0000-0000DC6E0000}"/>
    <cellStyle name="Input 30 5 3" xfId="47531" xr:uid="{00000000-0005-0000-0000-0000DD6E0000}"/>
    <cellStyle name="Input 30 5 4" xfId="51385" xr:uid="{00000000-0005-0000-0000-0000DE6E0000}"/>
    <cellStyle name="Input 30 5 5" xfId="53141" xr:uid="{00000000-0005-0000-0000-0000DF6E0000}"/>
    <cellStyle name="Input 30 6" xfId="22914" xr:uid="{00000000-0005-0000-0000-0000E06E0000}"/>
    <cellStyle name="Input 30 6 2" xfId="23062" xr:uid="{00000000-0005-0000-0000-0000E16E0000}"/>
    <cellStyle name="Input 30 6 2 2" xfId="47662" xr:uid="{00000000-0005-0000-0000-0000E26E0000}"/>
    <cellStyle name="Input 30 6 2 3" xfId="51473" xr:uid="{00000000-0005-0000-0000-0000E36E0000}"/>
    <cellStyle name="Input 30 6 3" xfId="47618" xr:uid="{00000000-0005-0000-0000-0000E46E0000}"/>
    <cellStyle name="Input 30 6 4" xfId="51433" xr:uid="{00000000-0005-0000-0000-0000E56E0000}"/>
    <cellStyle name="Input 30 6 5" xfId="53142" xr:uid="{00000000-0005-0000-0000-0000E66E0000}"/>
    <cellStyle name="Input 30 7" xfId="53136" xr:uid="{00000000-0005-0000-0000-0000E76E0000}"/>
    <cellStyle name="Input 30_Sheet1" xfId="1958" xr:uid="{00000000-0005-0000-0000-0000E86E0000}"/>
    <cellStyle name="Input 31" xfId="1959" xr:uid="{00000000-0005-0000-0000-0000E96E0000}"/>
    <cellStyle name="Input 31 2" xfId="1960" xr:uid="{00000000-0005-0000-0000-0000EA6E0000}"/>
    <cellStyle name="Input 31 2 2" xfId="1961" xr:uid="{00000000-0005-0000-0000-0000EB6E0000}"/>
    <cellStyle name="Input 31 2 2 2" xfId="7130" xr:uid="{00000000-0005-0000-0000-0000EC6E0000}"/>
    <cellStyle name="Input 31 2 2 2 10" xfId="39413" xr:uid="{00000000-0005-0000-0000-0000ED6E0000}"/>
    <cellStyle name="Input 31 2 2 2 2" xfId="10660" xr:uid="{00000000-0005-0000-0000-0000EE6E0000}"/>
    <cellStyle name="Input 31 2 2 2 2 2" xfId="18453" xr:uid="{00000000-0005-0000-0000-0000EF6E0000}"/>
    <cellStyle name="Input 31 2 2 2 2 2 2" xfId="44000" xr:uid="{00000000-0005-0000-0000-0000F06E0000}"/>
    <cellStyle name="Input 31 2 2 2 2 2 3" xfId="47909" xr:uid="{00000000-0005-0000-0000-0000F16E0000}"/>
    <cellStyle name="Input 31 2 2 2 2 2 4" xfId="36090" xr:uid="{00000000-0005-0000-0000-0000F26E0000}"/>
    <cellStyle name="Input 31 2 2 2 2 3" xfId="11500" xr:uid="{00000000-0005-0000-0000-0000F36E0000}"/>
    <cellStyle name="Input 31 2 2 2 2 3 2" xfId="41511" xr:uid="{00000000-0005-0000-0000-0000F46E0000}"/>
    <cellStyle name="Input 31 2 2 2 2 3 3" xfId="40569" xr:uid="{00000000-0005-0000-0000-0000F56E0000}"/>
    <cellStyle name="Input 31 2 2 2 2 3 4" xfId="29215" xr:uid="{00000000-0005-0000-0000-0000F66E0000}"/>
    <cellStyle name="Input 31 2 2 2 2 4" xfId="19668" xr:uid="{00000000-0005-0000-0000-0000F76E0000}"/>
    <cellStyle name="Input 31 2 2 2 2 4 2" xfId="45205" xr:uid="{00000000-0005-0000-0000-0000F86E0000}"/>
    <cellStyle name="Input 31 2 2 2 2 4 3" xfId="49111" xr:uid="{00000000-0005-0000-0000-0000F96E0000}"/>
    <cellStyle name="Input 31 2 2 2 2 4 4" xfId="37202" xr:uid="{00000000-0005-0000-0000-0000FA6E0000}"/>
    <cellStyle name="Input 31 2 2 2 2 5" xfId="20866" xr:uid="{00000000-0005-0000-0000-0000FB6E0000}"/>
    <cellStyle name="Input 31 2 2 2 2 5 2" xfId="46403" xr:uid="{00000000-0005-0000-0000-0000FC6E0000}"/>
    <cellStyle name="Input 31 2 2 2 2 5 3" xfId="50309" xr:uid="{00000000-0005-0000-0000-0000FD6E0000}"/>
    <cellStyle name="Input 31 2 2 2 2 5 4" xfId="38272" xr:uid="{00000000-0005-0000-0000-0000FE6E0000}"/>
    <cellStyle name="Input 31 2 2 2 2 6" xfId="21519" xr:uid="{00000000-0005-0000-0000-0000FF6E0000}"/>
    <cellStyle name="Input 31 2 2 2 2 6 2" xfId="47056" xr:uid="{00000000-0005-0000-0000-0000006F0000}"/>
    <cellStyle name="Input 31 2 2 2 2 6 3" xfId="50962" xr:uid="{00000000-0005-0000-0000-0000016F0000}"/>
    <cellStyle name="Input 31 2 2 2 2 7" xfId="40859" xr:uid="{00000000-0005-0000-0000-0000026F0000}"/>
    <cellStyle name="Input 31 2 2 2 2 8" xfId="40386" xr:uid="{00000000-0005-0000-0000-0000036F0000}"/>
    <cellStyle name="Input 31 2 2 2 3" xfId="10955" xr:uid="{00000000-0005-0000-0000-0000046F0000}"/>
    <cellStyle name="Input 31 2 2 2 3 2" xfId="18748" xr:uid="{00000000-0005-0000-0000-0000056F0000}"/>
    <cellStyle name="Input 31 2 2 2 3 2 2" xfId="44295" xr:uid="{00000000-0005-0000-0000-0000066F0000}"/>
    <cellStyle name="Input 31 2 2 2 3 2 3" xfId="48204" xr:uid="{00000000-0005-0000-0000-0000076F0000}"/>
    <cellStyle name="Input 31 2 2 2 3 2 4" xfId="36385" xr:uid="{00000000-0005-0000-0000-0000086F0000}"/>
    <cellStyle name="Input 31 2 2 2 3 3" xfId="19395" xr:uid="{00000000-0005-0000-0000-0000096F0000}"/>
    <cellStyle name="Input 31 2 2 2 3 3 2" xfId="44932" xr:uid="{00000000-0005-0000-0000-00000A6F0000}"/>
    <cellStyle name="Input 31 2 2 2 3 3 3" xfId="48838" xr:uid="{00000000-0005-0000-0000-00000B6F0000}"/>
    <cellStyle name="Input 31 2 2 2 3 3 4" xfId="36960" xr:uid="{00000000-0005-0000-0000-00000C6F0000}"/>
    <cellStyle name="Input 31 2 2 2 3 4" xfId="13301" xr:uid="{00000000-0005-0000-0000-00000D6F0000}"/>
    <cellStyle name="Input 31 2 2 2 3 4 2" xfId="42471" xr:uid="{00000000-0005-0000-0000-00000E6F0000}"/>
    <cellStyle name="Input 31 2 2 2 3 4 3" xfId="43678" xr:uid="{00000000-0005-0000-0000-00000F6F0000}"/>
    <cellStyle name="Input 31 2 2 2 3 4 4" xfId="30945" xr:uid="{00000000-0005-0000-0000-0000106F0000}"/>
    <cellStyle name="Input 31 2 2 2 3 5" xfId="21161" xr:uid="{00000000-0005-0000-0000-0000116F0000}"/>
    <cellStyle name="Input 31 2 2 2 3 5 2" xfId="46698" xr:uid="{00000000-0005-0000-0000-0000126F0000}"/>
    <cellStyle name="Input 31 2 2 2 3 5 3" xfId="50604" xr:uid="{00000000-0005-0000-0000-0000136F0000}"/>
    <cellStyle name="Input 31 2 2 2 3 5 4" xfId="38567" xr:uid="{00000000-0005-0000-0000-0000146F0000}"/>
    <cellStyle name="Input 31 2 2 2 3 6" xfId="21814" xr:uid="{00000000-0005-0000-0000-0000156F0000}"/>
    <cellStyle name="Input 31 2 2 2 3 6 2" xfId="47351" xr:uid="{00000000-0005-0000-0000-0000166F0000}"/>
    <cellStyle name="Input 31 2 2 2 3 6 3" xfId="51257" xr:uid="{00000000-0005-0000-0000-0000176F0000}"/>
    <cellStyle name="Input 31 2 2 2 3 7" xfId="41154" xr:uid="{00000000-0005-0000-0000-0000186F0000}"/>
    <cellStyle name="Input 31 2 2 2 3 8" xfId="40373" xr:uid="{00000000-0005-0000-0000-0000196F0000}"/>
    <cellStyle name="Input 31 2 2 2 4" xfId="14918" xr:uid="{00000000-0005-0000-0000-00001A6F0000}"/>
    <cellStyle name="Input 31 2 2 2 4 2" xfId="43034" xr:uid="{00000000-0005-0000-0000-00001B6F0000}"/>
    <cellStyle name="Input 31 2 2 2 4 3" xfId="39059" xr:uid="{00000000-0005-0000-0000-00001C6F0000}"/>
    <cellStyle name="Input 31 2 2 2 4 4" xfId="32553" xr:uid="{00000000-0005-0000-0000-00001D6F0000}"/>
    <cellStyle name="Input 31 2 2 2 5" xfId="11316" xr:uid="{00000000-0005-0000-0000-00001E6F0000}"/>
    <cellStyle name="Input 31 2 2 2 5 2" xfId="41361" xr:uid="{00000000-0005-0000-0000-00001F6F0000}"/>
    <cellStyle name="Input 31 2 2 2 5 3" xfId="41418" xr:uid="{00000000-0005-0000-0000-0000206F0000}"/>
    <cellStyle name="Input 31 2 2 2 5 4" xfId="29044" xr:uid="{00000000-0005-0000-0000-0000216F0000}"/>
    <cellStyle name="Input 31 2 2 2 6" xfId="19829" xr:uid="{00000000-0005-0000-0000-0000226F0000}"/>
    <cellStyle name="Input 31 2 2 2 6 2" xfId="45366" xr:uid="{00000000-0005-0000-0000-0000236F0000}"/>
    <cellStyle name="Input 31 2 2 2 6 3" xfId="49272" xr:uid="{00000000-0005-0000-0000-0000246F0000}"/>
    <cellStyle name="Input 31 2 2 2 6 4" xfId="37347" xr:uid="{00000000-0005-0000-0000-0000256F0000}"/>
    <cellStyle name="Input 31 2 2 2 7" xfId="20130" xr:uid="{00000000-0005-0000-0000-0000266F0000}"/>
    <cellStyle name="Input 31 2 2 2 7 2" xfId="45667" xr:uid="{00000000-0005-0000-0000-0000276F0000}"/>
    <cellStyle name="Input 31 2 2 2 7 3" xfId="49573" xr:uid="{00000000-0005-0000-0000-0000286F0000}"/>
    <cellStyle name="Input 31 2 2 2 7 4" xfId="37616" xr:uid="{00000000-0005-0000-0000-0000296F0000}"/>
    <cellStyle name="Input 31 2 2 2 8" xfId="20509" xr:uid="{00000000-0005-0000-0000-00002A6F0000}"/>
    <cellStyle name="Input 31 2 2 2 8 2" xfId="46046" xr:uid="{00000000-0005-0000-0000-00002B6F0000}"/>
    <cellStyle name="Input 31 2 2 2 8 3" xfId="49952" xr:uid="{00000000-0005-0000-0000-00002C6F0000}"/>
    <cellStyle name="Input 31 2 2 2 9" xfId="39894" xr:uid="{00000000-0005-0000-0000-00002D6F0000}"/>
    <cellStyle name="Input 31 2 2 3" xfId="53145" xr:uid="{00000000-0005-0000-0000-00002E6F0000}"/>
    <cellStyle name="Input 31 2 3" xfId="7129" xr:uid="{00000000-0005-0000-0000-00002F6F0000}"/>
    <cellStyle name="Input 31 2 3 10" xfId="40285" xr:uid="{00000000-0005-0000-0000-0000306F0000}"/>
    <cellStyle name="Input 31 2 3 2" xfId="10659" xr:uid="{00000000-0005-0000-0000-0000316F0000}"/>
    <cellStyle name="Input 31 2 3 2 2" xfId="18452" xr:uid="{00000000-0005-0000-0000-0000326F0000}"/>
    <cellStyle name="Input 31 2 3 2 2 2" xfId="43999" xr:uid="{00000000-0005-0000-0000-0000336F0000}"/>
    <cellStyle name="Input 31 2 3 2 2 3" xfId="47908" xr:uid="{00000000-0005-0000-0000-0000346F0000}"/>
    <cellStyle name="Input 31 2 3 2 2 4" xfId="36089" xr:uid="{00000000-0005-0000-0000-0000356F0000}"/>
    <cellStyle name="Input 31 2 3 2 3" xfId="19745" xr:uid="{00000000-0005-0000-0000-0000366F0000}"/>
    <cellStyle name="Input 31 2 3 2 3 2" xfId="45282" xr:uid="{00000000-0005-0000-0000-0000376F0000}"/>
    <cellStyle name="Input 31 2 3 2 3 3" xfId="49188" xr:uid="{00000000-0005-0000-0000-0000386F0000}"/>
    <cellStyle name="Input 31 2 3 2 3 4" xfId="37272" xr:uid="{00000000-0005-0000-0000-0000396F0000}"/>
    <cellStyle name="Input 31 2 3 2 4" xfId="19677" xr:uid="{00000000-0005-0000-0000-00003A6F0000}"/>
    <cellStyle name="Input 31 2 3 2 4 2" xfId="45214" xr:uid="{00000000-0005-0000-0000-00003B6F0000}"/>
    <cellStyle name="Input 31 2 3 2 4 3" xfId="49120" xr:uid="{00000000-0005-0000-0000-00003C6F0000}"/>
    <cellStyle name="Input 31 2 3 2 4 4" xfId="37209" xr:uid="{00000000-0005-0000-0000-00003D6F0000}"/>
    <cellStyle name="Input 31 2 3 2 5" xfId="20865" xr:uid="{00000000-0005-0000-0000-00003E6F0000}"/>
    <cellStyle name="Input 31 2 3 2 5 2" xfId="46402" xr:uid="{00000000-0005-0000-0000-00003F6F0000}"/>
    <cellStyle name="Input 31 2 3 2 5 3" xfId="50308" xr:uid="{00000000-0005-0000-0000-0000406F0000}"/>
    <cellStyle name="Input 31 2 3 2 5 4" xfId="38271" xr:uid="{00000000-0005-0000-0000-0000416F0000}"/>
    <cellStyle name="Input 31 2 3 2 6" xfId="21518" xr:uid="{00000000-0005-0000-0000-0000426F0000}"/>
    <cellStyle name="Input 31 2 3 2 6 2" xfId="47055" xr:uid="{00000000-0005-0000-0000-0000436F0000}"/>
    <cellStyle name="Input 31 2 3 2 6 3" xfId="50961" xr:uid="{00000000-0005-0000-0000-0000446F0000}"/>
    <cellStyle name="Input 31 2 3 2 7" xfId="40858" xr:uid="{00000000-0005-0000-0000-0000456F0000}"/>
    <cellStyle name="Input 31 2 3 2 8" xfId="43523" xr:uid="{00000000-0005-0000-0000-0000466F0000}"/>
    <cellStyle name="Input 31 2 3 3" xfId="10954" xr:uid="{00000000-0005-0000-0000-0000476F0000}"/>
    <cellStyle name="Input 31 2 3 3 2" xfId="18747" xr:uid="{00000000-0005-0000-0000-0000486F0000}"/>
    <cellStyle name="Input 31 2 3 3 2 2" xfId="44294" xr:uid="{00000000-0005-0000-0000-0000496F0000}"/>
    <cellStyle name="Input 31 2 3 3 2 3" xfId="48203" xr:uid="{00000000-0005-0000-0000-00004A6F0000}"/>
    <cellStyle name="Input 31 2 3 3 2 4" xfId="36384" xr:uid="{00000000-0005-0000-0000-00004B6F0000}"/>
    <cellStyle name="Input 31 2 3 3 3" xfId="20136" xr:uid="{00000000-0005-0000-0000-00004C6F0000}"/>
    <cellStyle name="Input 31 2 3 3 3 2" xfId="45673" xr:uid="{00000000-0005-0000-0000-00004D6F0000}"/>
    <cellStyle name="Input 31 2 3 3 3 3" xfId="49579" xr:uid="{00000000-0005-0000-0000-00004E6F0000}"/>
    <cellStyle name="Input 31 2 3 3 3 4" xfId="37622" xr:uid="{00000000-0005-0000-0000-00004F6F0000}"/>
    <cellStyle name="Input 31 2 3 3 4" xfId="19185" xr:uid="{00000000-0005-0000-0000-0000506F0000}"/>
    <cellStyle name="Input 31 2 3 3 4 2" xfId="44722" xr:uid="{00000000-0005-0000-0000-0000516F0000}"/>
    <cellStyle name="Input 31 2 3 3 4 3" xfId="48628" xr:uid="{00000000-0005-0000-0000-0000526F0000}"/>
    <cellStyle name="Input 31 2 3 3 4 4" xfId="36772" xr:uid="{00000000-0005-0000-0000-0000536F0000}"/>
    <cellStyle name="Input 31 2 3 3 5" xfId="21160" xr:uid="{00000000-0005-0000-0000-0000546F0000}"/>
    <cellStyle name="Input 31 2 3 3 5 2" xfId="46697" xr:uid="{00000000-0005-0000-0000-0000556F0000}"/>
    <cellStyle name="Input 31 2 3 3 5 3" xfId="50603" xr:uid="{00000000-0005-0000-0000-0000566F0000}"/>
    <cellStyle name="Input 31 2 3 3 5 4" xfId="38566" xr:uid="{00000000-0005-0000-0000-0000576F0000}"/>
    <cellStyle name="Input 31 2 3 3 6" xfId="21813" xr:uid="{00000000-0005-0000-0000-0000586F0000}"/>
    <cellStyle name="Input 31 2 3 3 6 2" xfId="47350" xr:uid="{00000000-0005-0000-0000-0000596F0000}"/>
    <cellStyle name="Input 31 2 3 3 6 3" xfId="51256" xr:uid="{00000000-0005-0000-0000-00005A6F0000}"/>
    <cellStyle name="Input 31 2 3 3 7" xfId="41153" xr:uid="{00000000-0005-0000-0000-00005B6F0000}"/>
    <cellStyle name="Input 31 2 3 3 8" xfId="43510" xr:uid="{00000000-0005-0000-0000-00005C6F0000}"/>
    <cellStyle name="Input 31 2 3 4" xfId="14917" xr:uid="{00000000-0005-0000-0000-00005D6F0000}"/>
    <cellStyle name="Input 31 2 3 4 2" xfId="43033" xr:uid="{00000000-0005-0000-0000-00005E6F0000}"/>
    <cellStyle name="Input 31 2 3 4 3" xfId="39271" xr:uid="{00000000-0005-0000-0000-00005F6F0000}"/>
    <cellStyle name="Input 31 2 3 4 4" xfId="32552" xr:uid="{00000000-0005-0000-0000-0000606F0000}"/>
    <cellStyle name="Input 31 2 3 5" xfId="11317" xr:uid="{00000000-0005-0000-0000-0000616F0000}"/>
    <cellStyle name="Input 31 2 3 5 2" xfId="41362" xr:uid="{00000000-0005-0000-0000-0000626F0000}"/>
    <cellStyle name="Input 31 2 3 5 3" xfId="43221" xr:uid="{00000000-0005-0000-0000-0000636F0000}"/>
    <cellStyle name="Input 31 2 3 5 4" xfId="29045" xr:uid="{00000000-0005-0000-0000-0000646F0000}"/>
    <cellStyle name="Input 31 2 3 6" xfId="12133" xr:uid="{00000000-0005-0000-0000-0000656F0000}"/>
    <cellStyle name="Input 31 2 3 6 2" xfId="41878" xr:uid="{00000000-0005-0000-0000-0000666F0000}"/>
    <cellStyle name="Input 31 2 3 6 3" xfId="47580" xr:uid="{00000000-0005-0000-0000-0000676F0000}"/>
    <cellStyle name="Input 31 2 3 6 4" xfId="29806" xr:uid="{00000000-0005-0000-0000-0000686F0000}"/>
    <cellStyle name="Input 31 2 3 7" xfId="18913" xr:uid="{00000000-0005-0000-0000-0000696F0000}"/>
    <cellStyle name="Input 31 2 3 7 2" xfId="44450" xr:uid="{00000000-0005-0000-0000-00006A6F0000}"/>
    <cellStyle name="Input 31 2 3 7 3" xfId="48356" xr:uid="{00000000-0005-0000-0000-00006B6F0000}"/>
    <cellStyle name="Input 31 2 3 7 4" xfId="36545" xr:uid="{00000000-0005-0000-0000-00006C6F0000}"/>
    <cellStyle name="Input 31 2 3 8" xfId="20611" xr:uid="{00000000-0005-0000-0000-00006D6F0000}"/>
    <cellStyle name="Input 31 2 3 8 2" xfId="46148" xr:uid="{00000000-0005-0000-0000-00006E6F0000}"/>
    <cellStyle name="Input 31 2 3 8 3" xfId="50054" xr:uid="{00000000-0005-0000-0000-00006F6F0000}"/>
    <cellStyle name="Input 31 2 3 9" xfId="39893" xr:uid="{00000000-0005-0000-0000-0000706F0000}"/>
    <cellStyle name="Input 31 2 4" xfId="53144" xr:uid="{00000000-0005-0000-0000-0000716F0000}"/>
    <cellStyle name="Input 31 2_Sheet1" xfId="1962" xr:uid="{00000000-0005-0000-0000-0000726F0000}"/>
    <cellStyle name="Input 31 3" xfId="1963" xr:uid="{00000000-0005-0000-0000-0000736F0000}"/>
    <cellStyle name="Input 31 3 2" xfId="7131" xr:uid="{00000000-0005-0000-0000-0000746F0000}"/>
    <cellStyle name="Input 31 3 2 10" xfId="39242" xr:uid="{00000000-0005-0000-0000-0000756F0000}"/>
    <cellStyle name="Input 31 3 2 2" xfId="10661" xr:uid="{00000000-0005-0000-0000-0000766F0000}"/>
    <cellStyle name="Input 31 3 2 2 2" xfId="18454" xr:uid="{00000000-0005-0000-0000-0000776F0000}"/>
    <cellStyle name="Input 31 3 2 2 2 2" xfId="44001" xr:uid="{00000000-0005-0000-0000-0000786F0000}"/>
    <cellStyle name="Input 31 3 2 2 2 3" xfId="47910" xr:uid="{00000000-0005-0000-0000-0000796F0000}"/>
    <cellStyle name="Input 31 3 2 2 2 4" xfId="36091" xr:uid="{00000000-0005-0000-0000-00007A6F0000}"/>
    <cellStyle name="Input 31 3 2 2 3" xfId="13328" xr:uid="{00000000-0005-0000-0000-00007B6F0000}"/>
    <cellStyle name="Input 31 3 2 2 3 2" xfId="42498" xr:uid="{00000000-0005-0000-0000-00007C6F0000}"/>
    <cellStyle name="Input 31 3 2 2 3 3" xfId="43461" xr:uid="{00000000-0005-0000-0000-00007D6F0000}"/>
    <cellStyle name="Input 31 3 2 2 3 4" xfId="30968" xr:uid="{00000000-0005-0000-0000-00007E6F0000}"/>
    <cellStyle name="Input 31 3 2 2 4" xfId="11798" xr:uid="{00000000-0005-0000-0000-00007F6F0000}"/>
    <cellStyle name="Input 31 3 2 2 4 2" xfId="41748" xr:uid="{00000000-0005-0000-0000-0000806F0000}"/>
    <cellStyle name="Input 31 3 2 2 4 3" xfId="39151" xr:uid="{00000000-0005-0000-0000-0000816F0000}"/>
    <cellStyle name="Input 31 3 2 2 4 4" xfId="29484" xr:uid="{00000000-0005-0000-0000-0000826F0000}"/>
    <cellStyle name="Input 31 3 2 2 5" xfId="20867" xr:uid="{00000000-0005-0000-0000-0000836F0000}"/>
    <cellStyle name="Input 31 3 2 2 5 2" xfId="46404" xr:uid="{00000000-0005-0000-0000-0000846F0000}"/>
    <cellStyle name="Input 31 3 2 2 5 3" xfId="50310" xr:uid="{00000000-0005-0000-0000-0000856F0000}"/>
    <cellStyle name="Input 31 3 2 2 5 4" xfId="38273" xr:uid="{00000000-0005-0000-0000-0000866F0000}"/>
    <cellStyle name="Input 31 3 2 2 6" xfId="21520" xr:uid="{00000000-0005-0000-0000-0000876F0000}"/>
    <cellStyle name="Input 31 3 2 2 6 2" xfId="47057" xr:uid="{00000000-0005-0000-0000-0000886F0000}"/>
    <cellStyle name="Input 31 3 2 2 6 3" xfId="50963" xr:uid="{00000000-0005-0000-0000-0000896F0000}"/>
    <cellStyle name="Input 31 3 2 2 7" xfId="40860" xr:uid="{00000000-0005-0000-0000-00008A6F0000}"/>
    <cellStyle name="Input 31 3 2 2 8" xfId="39498" xr:uid="{00000000-0005-0000-0000-00008B6F0000}"/>
    <cellStyle name="Input 31 3 2 3" xfId="10956" xr:uid="{00000000-0005-0000-0000-00008C6F0000}"/>
    <cellStyle name="Input 31 3 2 3 2" xfId="18749" xr:uid="{00000000-0005-0000-0000-00008D6F0000}"/>
    <cellStyle name="Input 31 3 2 3 2 2" xfId="44296" xr:uid="{00000000-0005-0000-0000-00008E6F0000}"/>
    <cellStyle name="Input 31 3 2 3 2 3" xfId="48205" xr:uid="{00000000-0005-0000-0000-00008F6F0000}"/>
    <cellStyle name="Input 31 3 2 3 2 4" xfId="36386" xr:uid="{00000000-0005-0000-0000-0000906F0000}"/>
    <cellStyle name="Input 31 3 2 3 3" xfId="20002" xr:uid="{00000000-0005-0000-0000-0000916F0000}"/>
    <cellStyle name="Input 31 3 2 3 3 2" xfId="45539" xr:uid="{00000000-0005-0000-0000-0000926F0000}"/>
    <cellStyle name="Input 31 3 2 3 3 3" xfId="49445" xr:uid="{00000000-0005-0000-0000-0000936F0000}"/>
    <cellStyle name="Input 31 3 2 3 3 4" xfId="37500" xr:uid="{00000000-0005-0000-0000-0000946F0000}"/>
    <cellStyle name="Input 31 3 2 3 4" xfId="13907" xr:uid="{00000000-0005-0000-0000-0000956F0000}"/>
    <cellStyle name="Input 31 3 2 3 4 2" xfId="42642" xr:uid="{00000000-0005-0000-0000-0000966F0000}"/>
    <cellStyle name="Input 31 3 2 3 4 3" xfId="40320" xr:uid="{00000000-0005-0000-0000-0000976F0000}"/>
    <cellStyle name="Input 31 3 2 3 4 4" xfId="31546" xr:uid="{00000000-0005-0000-0000-0000986F0000}"/>
    <cellStyle name="Input 31 3 2 3 5" xfId="21162" xr:uid="{00000000-0005-0000-0000-0000996F0000}"/>
    <cellStyle name="Input 31 3 2 3 5 2" xfId="46699" xr:uid="{00000000-0005-0000-0000-00009A6F0000}"/>
    <cellStyle name="Input 31 3 2 3 5 3" xfId="50605" xr:uid="{00000000-0005-0000-0000-00009B6F0000}"/>
    <cellStyle name="Input 31 3 2 3 5 4" xfId="38568" xr:uid="{00000000-0005-0000-0000-00009C6F0000}"/>
    <cellStyle name="Input 31 3 2 3 6" xfId="21815" xr:uid="{00000000-0005-0000-0000-00009D6F0000}"/>
    <cellStyle name="Input 31 3 2 3 6 2" xfId="47352" xr:uid="{00000000-0005-0000-0000-00009E6F0000}"/>
    <cellStyle name="Input 31 3 2 3 6 3" xfId="51258" xr:uid="{00000000-0005-0000-0000-00009F6F0000}"/>
    <cellStyle name="Input 31 3 2 3 7" xfId="41155" xr:uid="{00000000-0005-0000-0000-0000A06F0000}"/>
    <cellStyle name="Input 31 3 2 3 8" xfId="39485" xr:uid="{00000000-0005-0000-0000-0000A16F0000}"/>
    <cellStyle name="Input 31 3 2 4" xfId="14919" xr:uid="{00000000-0005-0000-0000-0000A26F0000}"/>
    <cellStyle name="Input 31 3 2 4 2" xfId="43035" xr:uid="{00000000-0005-0000-0000-0000A36F0000}"/>
    <cellStyle name="Input 31 3 2 4 3" xfId="47481" xr:uid="{00000000-0005-0000-0000-0000A46F0000}"/>
    <cellStyle name="Input 31 3 2 4 4" xfId="32554" xr:uid="{00000000-0005-0000-0000-0000A56F0000}"/>
    <cellStyle name="Input 31 3 2 5" xfId="13155" xr:uid="{00000000-0005-0000-0000-0000A66F0000}"/>
    <cellStyle name="Input 31 3 2 5 2" xfId="42376" xr:uid="{00000000-0005-0000-0000-0000A76F0000}"/>
    <cellStyle name="Input 31 3 2 5 3" xfId="39098" xr:uid="{00000000-0005-0000-0000-0000A86F0000}"/>
    <cellStyle name="Input 31 3 2 5 4" xfId="30804" xr:uid="{00000000-0005-0000-0000-0000A96F0000}"/>
    <cellStyle name="Input 31 3 2 6" xfId="11602" xr:uid="{00000000-0005-0000-0000-0000AA6F0000}"/>
    <cellStyle name="Input 31 3 2 6 2" xfId="41613" xr:uid="{00000000-0005-0000-0000-0000AB6F0000}"/>
    <cellStyle name="Input 31 3 2 6 3" xfId="42578" xr:uid="{00000000-0005-0000-0000-0000AC6F0000}"/>
    <cellStyle name="Input 31 3 2 6 4" xfId="29307" xr:uid="{00000000-0005-0000-0000-0000AD6F0000}"/>
    <cellStyle name="Input 31 3 2 7" xfId="18894" xr:uid="{00000000-0005-0000-0000-0000AE6F0000}"/>
    <cellStyle name="Input 31 3 2 7 2" xfId="44431" xr:uid="{00000000-0005-0000-0000-0000AF6F0000}"/>
    <cellStyle name="Input 31 3 2 7 3" xfId="48337" xr:uid="{00000000-0005-0000-0000-0000B06F0000}"/>
    <cellStyle name="Input 31 3 2 7 4" xfId="36530" xr:uid="{00000000-0005-0000-0000-0000B16F0000}"/>
    <cellStyle name="Input 31 3 2 8" xfId="19177" xr:uid="{00000000-0005-0000-0000-0000B26F0000}"/>
    <cellStyle name="Input 31 3 2 8 2" xfId="44714" xr:uid="{00000000-0005-0000-0000-0000B36F0000}"/>
    <cellStyle name="Input 31 3 2 8 3" xfId="48620" xr:uid="{00000000-0005-0000-0000-0000B46F0000}"/>
    <cellStyle name="Input 31 3 2 9" xfId="39895" xr:uid="{00000000-0005-0000-0000-0000B56F0000}"/>
    <cellStyle name="Input 31 3 3" xfId="53146" xr:uid="{00000000-0005-0000-0000-0000B66F0000}"/>
    <cellStyle name="Input 31 4" xfId="7128" xr:uid="{00000000-0005-0000-0000-0000B76F0000}"/>
    <cellStyle name="Input 31 4 10" xfId="43423" xr:uid="{00000000-0005-0000-0000-0000B86F0000}"/>
    <cellStyle name="Input 31 4 11" xfId="53147" xr:uid="{00000000-0005-0000-0000-0000B96F0000}"/>
    <cellStyle name="Input 31 4 2" xfId="10658" xr:uid="{00000000-0005-0000-0000-0000BA6F0000}"/>
    <cellStyle name="Input 31 4 2 2" xfId="18451" xr:uid="{00000000-0005-0000-0000-0000BB6F0000}"/>
    <cellStyle name="Input 31 4 2 2 2" xfId="43998" xr:uid="{00000000-0005-0000-0000-0000BC6F0000}"/>
    <cellStyle name="Input 31 4 2 2 3" xfId="47907" xr:uid="{00000000-0005-0000-0000-0000BD6F0000}"/>
    <cellStyle name="Input 31 4 2 2 4" xfId="36088" xr:uid="{00000000-0005-0000-0000-0000BE6F0000}"/>
    <cellStyle name="Input 31 4 2 3" xfId="19126" xr:uid="{00000000-0005-0000-0000-0000BF6F0000}"/>
    <cellStyle name="Input 31 4 2 3 2" xfId="44663" xr:uid="{00000000-0005-0000-0000-0000C06F0000}"/>
    <cellStyle name="Input 31 4 2 3 3" xfId="48569" xr:uid="{00000000-0005-0000-0000-0000C16F0000}"/>
    <cellStyle name="Input 31 4 2 3 4" xfId="36721" xr:uid="{00000000-0005-0000-0000-0000C26F0000}"/>
    <cellStyle name="Input 31 4 2 4" xfId="19228" xr:uid="{00000000-0005-0000-0000-0000C36F0000}"/>
    <cellStyle name="Input 31 4 2 4 2" xfId="44765" xr:uid="{00000000-0005-0000-0000-0000C46F0000}"/>
    <cellStyle name="Input 31 4 2 4 3" xfId="48671" xr:uid="{00000000-0005-0000-0000-0000C56F0000}"/>
    <cellStyle name="Input 31 4 2 4 4" xfId="36811" xr:uid="{00000000-0005-0000-0000-0000C66F0000}"/>
    <cellStyle name="Input 31 4 2 5" xfId="20864" xr:uid="{00000000-0005-0000-0000-0000C76F0000}"/>
    <cellStyle name="Input 31 4 2 5 2" xfId="46401" xr:uid="{00000000-0005-0000-0000-0000C86F0000}"/>
    <cellStyle name="Input 31 4 2 5 3" xfId="50307" xr:uid="{00000000-0005-0000-0000-0000C96F0000}"/>
    <cellStyle name="Input 31 4 2 5 4" xfId="38270" xr:uid="{00000000-0005-0000-0000-0000CA6F0000}"/>
    <cellStyle name="Input 31 4 2 6" xfId="21517" xr:uid="{00000000-0005-0000-0000-0000CB6F0000}"/>
    <cellStyle name="Input 31 4 2 6 2" xfId="47054" xr:uid="{00000000-0005-0000-0000-0000CC6F0000}"/>
    <cellStyle name="Input 31 4 2 6 3" xfId="50960" xr:uid="{00000000-0005-0000-0000-0000CD6F0000}"/>
    <cellStyle name="Input 31 4 2 7" xfId="40857" xr:uid="{00000000-0005-0000-0000-0000CE6F0000}"/>
    <cellStyle name="Input 31 4 2 8" xfId="42610" xr:uid="{00000000-0005-0000-0000-0000CF6F0000}"/>
    <cellStyle name="Input 31 4 3" xfId="10953" xr:uid="{00000000-0005-0000-0000-0000D06F0000}"/>
    <cellStyle name="Input 31 4 3 2" xfId="18746" xr:uid="{00000000-0005-0000-0000-0000D16F0000}"/>
    <cellStyle name="Input 31 4 3 2 2" xfId="44293" xr:uid="{00000000-0005-0000-0000-0000D26F0000}"/>
    <cellStyle name="Input 31 4 3 2 3" xfId="48202" xr:uid="{00000000-0005-0000-0000-0000D36F0000}"/>
    <cellStyle name="Input 31 4 3 2 4" xfId="36383" xr:uid="{00000000-0005-0000-0000-0000D46F0000}"/>
    <cellStyle name="Input 31 4 3 3" xfId="19587" xr:uid="{00000000-0005-0000-0000-0000D56F0000}"/>
    <cellStyle name="Input 31 4 3 3 2" xfId="45124" xr:uid="{00000000-0005-0000-0000-0000D66F0000}"/>
    <cellStyle name="Input 31 4 3 3 3" xfId="49030" xr:uid="{00000000-0005-0000-0000-0000D76F0000}"/>
    <cellStyle name="Input 31 4 3 3 4" xfId="37127" xr:uid="{00000000-0005-0000-0000-0000D86F0000}"/>
    <cellStyle name="Input 31 4 3 4" xfId="19053" xr:uid="{00000000-0005-0000-0000-0000D96F0000}"/>
    <cellStyle name="Input 31 4 3 4 2" xfId="44590" xr:uid="{00000000-0005-0000-0000-0000DA6F0000}"/>
    <cellStyle name="Input 31 4 3 4 3" xfId="48496" xr:uid="{00000000-0005-0000-0000-0000DB6F0000}"/>
    <cellStyle name="Input 31 4 3 4 4" xfId="36653" xr:uid="{00000000-0005-0000-0000-0000DC6F0000}"/>
    <cellStyle name="Input 31 4 3 5" xfId="21159" xr:uid="{00000000-0005-0000-0000-0000DD6F0000}"/>
    <cellStyle name="Input 31 4 3 5 2" xfId="46696" xr:uid="{00000000-0005-0000-0000-0000DE6F0000}"/>
    <cellStyle name="Input 31 4 3 5 3" xfId="50602" xr:uid="{00000000-0005-0000-0000-0000DF6F0000}"/>
    <cellStyle name="Input 31 4 3 5 4" xfId="38565" xr:uid="{00000000-0005-0000-0000-0000E06F0000}"/>
    <cellStyle name="Input 31 4 3 6" xfId="21812" xr:uid="{00000000-0005-0000-0000-0000E16F0000}"/>
    <cellStyle name="Input 31 4 3 6 2" xfId="47349" xr:uid="{00000000-0005-0000-0000-0000E26F0000}"/>
    <cellStyle name="Input 31 4 3 6 3" xfId="51255" xr:uid="{00000000-0005-0000-0000-0000E36F0000}"/>
    <cellStyle name="Input 31 4 3 7" xfId="41152" xr:uid="{00000000-0005-0000-0000-0000E46F0000}"/>
    <cellStyle name="Input 31 4 3 8" xfId="42597" xr:uid="{00000000-0005-0000-0000-0000E56F0000}"/>
    <cellStyle name="Input 31 4 4" xfId="14916" xr:uid="{00000000-0005-0000-0000-0000E66F0000}"/>
    <cellStyle name="Input 31 4 4 2" xfId="43032" xr:uid="{00000000-0005-0000-0000-0000E76F0000}"/>
    <cellStyle name="Input 31 4 4 3" xfId="40157" xr:uid="{00000000-0005-0000-0000-0000E86F0000}"/>
    <cellStyle name="Input 31 4 4 4" xfId="32551" xr:uid="{00000000-0005-0000-0000-0000E96F0000}"/>
    <cellStyle name="Input 31 4 5" xfId="11315" xr:uid="{00000000-0005-0000-0000-0000EA6F0000}"/>
    <cellStyle name="Input 31 4 5 2" xfId="41360" xr:uid="{00000000-0005-0000-0000-0000EB6F0000}"/>
    <cellStyle name="Input 31 4 5 3" xfId="39363" xr:uid="{00000000-0005-0000-0000-0000EC6F0000}"/>
    <cellStyle name="Input 31 4 5 4" xfId="29043" xr:uid="{00000000-0005-0000-0000-0000ED6F0000}"/>
    <cellStyle name="Input 31 4 6" xfId="19222" xr:uid="{00000000-0005-0000-0000-0000EE6F0000}"/>
    <cellStyle name="Input 31 4 6 2" xfId="44759" xr:uid="{00000000-0005-0000-0000-0000EF6F0000}"/>
    <cellStyle name="Input 31 4 6 3" xfId="48665" xr:uid="{00000000-0005-0000-0000-0000F06F0000}"/>
    <cellStyle name="Input 31 4 6 4" xfId="36807" xr:uid="{00000000-0005-0000-0000-0000F16F0000}"/>
    <cellStyle name="Input 31 4 7" xfId="19573" xr:uid="{00000000-0005-0000-0000-0000F26F0000}"/>
    <cellStyle name="Input 31 4 7 2" xfId="45110" xr:uid="{00000000-0005-0000-0000-0000F36F0000}"/>
    <cellStyle name="Input 31 4 7 3" xfId="49016" xr:uid="{00000000-0005-0000-0000-0000F46F0000}"/>
    <cellStyle name="Input 31 4 7 4" xfId="37114" xr:uid="{00000000-0005-0000-0000-0000F56F0000}"/>
    <cellStyle name="Input 31 4 8" xfId="20352" xr:uid="{00000000-0005-0000-0000-0000F66F0000}"/>
    <cellStyle name="Input 31 4 8 2" xfId="45889" xr:uid="{00000000-0005-0000-0000-0000F76F0000}"/>
    <cellStyle name="Input 31 4 8 3" xfId="49795" xr:uid="{00000000-0005-0000-0000-0000F86F0000}"/>
    <cellStyle name="Input 31 4 9" xfId="39892" xr:uid="{00000000-0005-0000-0000-0000F96F0000}"/>
    <cellStyle name="Input 31 5" xfId="22474" xr:uid="{00000000-0005-0000-0000-0000FA6F0000}"/>
    <cellStyle name="Input 31 5 2" xfId="23038" xr:uid="{00000000-0005-0000-0000-0000FB6F0000}"/>
    <cellStyle name="Input 31 5 2 2" xfId="47639" xr:uid="{00000000-0005-0000-0000-0000FC6F0000}"/>
    <cellStyle name="Input 31 5 2 3" xfId="51450" xr:uid="{00000000-0005-0000-0000-0000FD6F0000}"/>
    <cellStyle name="Input 31 5 3" xfId="47532" xr:uid="{00000000-0005-0000-0000-0000FE6F0000}"/>
    <cellStyle name="Input 31 5 4" xfId="51386" xr:uid="{00000000-0005-0000-0000-0000FF6F0000}"/>
    <cellStyle name="Input 31 5 5" xfId="53148" xr:uid="{00000000-0005-0000-0000-000000700000}"/>
    <cellStyle name="Input 31 6" xfId="22913" xr:uid="{00000000-0005-0000-0000-000001700000}"/>
    <cellStyle name="Input 31 6 2" xfId="23061" xr:uid="{00000000-0005-0000-0000-000002700000}"/>
    <cellStyle name="Input 31 6 2 2" xfId="47661" xr:uid="{00000000-0005-0000-0000-000003700000}"/>
    <cellStyle name="Input 31 6 2 3" xfId="51472" xr:uid="{00000000-0005-0000-0000-000004700000}"/>
    <cellStyle name="Input 31 6 3" xfId="47617" xr:uid="{00000000-0005-0000-0000-000005700000}"/>
    <cellStyle name="Input 31 6 4" xfId="51432" xr:uid="{00000000-0005-0000-0000-000006700000}"/>
    <cellStyle name="Input 31 6 5" xfId="53149" xr:uid="{00000000-0005-0000-0000-000007700000}"/>
    <cellStyle name="Input 31 7" xfId="53143" xr:uid="{00000000-0005-0000-0000-000008700000}"/>
    <cellStyle name="Input 31_Sheet1" xfId="1964" xr:uid="{00000000-0005-0000-0000-000009700000}"/>
    <cellStyle name="Input 32" xfId="1965" xr:uid="{00000000-0005-0000-0000-00000A700000}"/>
    <cellStyle name="Input 32 2" xfId="1966" xr:uid="{00000000-0005-0000-0000-00000B700000}"/>
    <cellStyle name="Input 32 2 2" xfId="1967" xr:uid="{00000000-0005-0000-0000-00000C700000}"/>
    <cellStyle name="Input 32 2 2 2" xfId="7134" xr:uid="{00000000-0005-0000-0000-00000D700000}"/>
    <cellStyle name="Input 32 2 2 2 10" xfId="47600" xr:uid="{00000000-0005-0000-0000-00000E700000}"/>
    <cellStyle name="Input 32 2 2 2 2" xfId="10664" xr:uid="{00000000-0005-0000-0000-00000F700000}"/>
    <cellStyle name="Input 32 2 2 2 2 2" xfId="18457" xr:uid="{00000000-0005-0000-0000-000010700000}"/>
    <cellStyle name="Input 32 2 2 2 2 2 2" xfId="44004" xr:uid="{00000000-0005-0000-0000-000011700000}"/>
    <cellStyle name="Input 32 2 2 2 2 2 3" xfId="47913" xr:uid="{00000000-0005-0000-0000-000012700000}"/>
    <cellStyle name="Input 32 2 2 2 2 2 4" xfId="36094" xr:uid="{00000000-0005-0000-0000-000013700000}"/>
    <cellStyle name="Input 32 2 2 2 2 3" xfId="19420" xr:uid="{00000000-0005-0000-0000-000014700000}"/>
    <cellStyle name="Input 32 2 2 2 2 3 2" xfId="44957" xr:uid="{00000000-0005-0000-0000-000015700000}"/>
    <cellStyle name="Input 32 2 2 2 2 3 3" xfId="48863" xr:uid="{00000000-0005-0000-0000-000016700000}"/>
    <cellStyle name="Input 32 2 2 2 2 3 4" xfId="36985" xr:uid="{00000000-0005-0000-0000-000017700000}"/>
    <cellStyle name="Input 32 2 2 2 2 4" xfId="20324" xr:uid="{00000000-0005-0000-0000-000018700000}"/>
    <cellStyle name="Input 32 2 2 2 2 4 2" xfId="45861" xr:uid="{00000000-0005-0000-0000-000019700000}"/>
    <cellStyle name="Input 32 2 2 2 2 4 3" xfId="49767" xr:uid="{00000000-0005-0000-0000-00001A700000}"/>
    <cellStyle name="Input 32 2 2 2 2 4 4" xfId="37788" xr:uid="{00000000-0005-0000-0000-00001B700000}"/>
    <cellStyle name="Input 32 2 2 2 2 5" xfId="20870" xr:uid="{00000000-0005-0000-0000-00001C700000}"/>
    <cellStyle name="Input 32 2 2 2 2 5 2" xfId="46407" xr:uid="{00000000-0005-0000-0000-00001D700000}"/>
    <cellStyle name="Input 32 2 2 2 2 5 3" xfId="50313" xr:uid="{00000000-0005-0000-0000-00001E700000}"/>
    <cellStyle name="Input 32 2 2 2 2 5 4" xfId="38276" xr:uid="{00000000-0005-0000-0000-00001F700000}"/>
    <cellStyle name="Input 32 2 2 2 2 6" xfId="21523" xr:uid="{00000000-0005-0000-0000-000020700000}"/>
    <cellStyle name="Input 32 2 2 2 2 6 2" xfId="47060" xr:uid="{00000000-0005-0000-0000-000021700000}"/>
    <cellStyle name="Input 32 2 2 2 2 6 3" xfId="50966" xr:uid="{00000000-0005-0000-0000-000022700000}"/>
    <cellStyle name="Input 32 2 2 2 2 7" xfId="40863" xr:uid="{00000000-0005-0000-0000-000023700000}"/>
    <cellStyle name="Input 32 2 2 2 2 8" xfId="40250" xr:uid="{00000000-0005-0000-0000-000024700000}"/>
    <cellStyle name="Input 32 2 2 2 3" xfId="10959" xr:uid="{00000000-0005-0000-0000-000025700000}"/>
    <cellStyle name="Input 32 2 2 2 3 2" xfId="18752" xr:uid="{00000000-0005-0000-0000-000026700000}"/>
    <cellStyle name="Input 32 2 2 2 3 2 2" xfId="44299" xr:uid="{00000000-0005-0000-0000-000027700000}"/>
    <cellStyle name="Input 32 2 2 2 3 2 3" xfId="48208" xr:uid="{00000000-0005-0000-0000-000028700000}"/>
    <cellStyle name="Input 32 2 2 2 3 2 4" xfId="36389" xr:uid="{00000000-0005-0000-0000-000029700000}"/>
    <cellStyle name="Input 32 2 2 2 3 3" xfId="19100" xr:uid="{00000000-0005-0000-0000-00002A700000}"/>
    <cellStyle name="Input 32 2 2 2 3 3 2" xfId="44637" xr:uid="{00000000-0005-0000-0000-00002B700000}"/>
    <cellStyle name="Input 32 2 2 2 3 3 3" xfId="48543" xr:uid="{00000000-0005-0000-0000-00002C700000}"/>
    <cellStyle name="Input 32 2 2 2 3 3 4" xfId="36695" xr:uid="{00000000-0005-0000-0000-00002D700000}"/>
    <cellStyle name="Input 32 2 2 2 3 4" xfId="20256" xr:uid="{00000000-0005-0000-0000-00002E700000}"/>
    <cellStyle name="Input 32 2 2 2 3 4 2" xfId="45793" xr:uid="{00000000-0005-0000-0000-00002F700000}"/>
    <cellStyle name="Input 32 2 2 2 3 4 3" xfId="49699" xr:uid="{00000000-0005-0000-0000-000030700000}"/>
    <cellStyle name="Input 32 2 2 2 3 4 4" xfId="37727" xr:uid="{00000000-0005-0000-0000-000031700000}"/>
    <cellStyle name="Input 32 2 2 2 3 5" xfId="21165" xr:uid="{00000000-0005-0000-0000-000032700000}"/>
    <cellStyle name="Input 32 2 2 2 3 5 2" xfId="46702" xr:uid="{00000000-0005-0000-0000-000033700000}"/>
    <cellStyle name="Input 32 2 2 2 3 5 3" xfId="50608" xr:uid="{00000000-0005-0000-0000-000034700000}"/>
    <cellStyle name="Input 32 2 2 2 3 5 4" xfId="38571" xr:uid="{00000000-0005-0000-0000-000035700000}"/>
    <cellStyle name="Input 32 2 2 2 3 6" xfId="21818" xr:uid="{00000000-0005-0000-0000-000036700000}"/>
    <cellStyle name="Input 32 2 2 2 3 6 2" xfId="47355" xr:uid="{00000000-0005-0000-0000-000037700000}"/>
    <cellStyle name="Input 32 2 2 2 3 6 3" xfId="51261" xr:uid="{00000000-0005-0000-0000-000038700000}"/>
    <cellStyle name="Input 32 2 2 2 3 7" xfId="41158" xr:uid="{00000000-0005-0000-0000-000039700000}"/>
    <cellStyle name="Input 32 2 2 2 3 8" xfId="43229" xr:uid="{00000000-0005-0000-0000-00003A700000}"/>
    <cellStyle name="Input 32 2 2 2 4" xfId="14922" xr:uid="{00000000-0005-0000-0000-00003B700000}"/>
    <cellStyle name="Input 32 2 2 2 4 2" xfId="43038" xr:uid="{00000000-0005-0000-0000-00003C700000}"/>
    <cellStyle name="Input 32 2 2 2 4 3" xfId="40039" xr:uid="{00000000-0005-0000-0000-00003D700000}"/>
    <cellStyle name="Input 32 2 2 2 4 4" xfId="32557" xr:uid="{00000000-0005-0000-0000-00003E700000}"/>
    <cellStyle name="Input 32 2 2 2 5" xfId="13158" xr:uid="{00000000-0005-0000-0000-00003F700000}"/>
    <cellStyle name="Input 32 2 2 2 5 2" xfId="42379" xr:uid="{00000000-0005-0000-0000-000040700000}"/>
    <cellStyle name="Input 32 2 2 2 5 3" xfId="39295" xr:uid="{00000000-0005-0000-0000-000041700000}"/>
    <cellStyle name="Input 32 2 2 2 5 4" xfId="30807" xr:uid="{00000000-0005-0000-0000-000042700000}"/>
    <cellStyle name="Input 32 2 2 2 6" xfId="19686" xr:uid="{00000000-0005-0000-0000-000043700000}"/>
    <cellStyle name="Input 32 2 2 2 6 2" xfId="45223" xr:uid="{00000000-0005-0000-0000-000044700000}"/>
    <cellStyle name="Input 32 2 2 2 6 3" xfId="49129" xr:uid="{00000000-0005-0000-0000-000045700000}"/>
    <cellStyle name="Input 32 2 2 2 6 4" xfId="37218" xr:uid="{00000000-0005-0000-0000-000046700000}"/>
    <cellStyle name="Input 32 2 2 2 7" xfId="13298" xr:uid="{00000000-0005-0000-0000-000047700000}"/>
    <cellStyle name="Input 32 2 2 2 7 2" xfId="42468" xr:uid="{00000000-0005-0000-0000-000048700000}"/>
    <cellStyle name="Input 32 2 2 2 7 3" xfId="43190" xr:uid="{00000000-0005-0000-0000-000049700000}"/>
    <cellStyle name="Input 32 2 2 2 7 4" xfId="30942" xr:uid="{00000000-0005-0000-0000-00004A700000}"/>
    <cellStyle name="Input 32 2 2 2 8" xfId="19178" xr:uid="{00000000-0005-0000-0000-00004B700000}"/>
    <cellStyle name="Input 32 2 2 2 8 2" xfId="44715" xr:uid="{00000000-0005-0000-0000-00004C700000}"/>
    <cellStyle name="Input 32 2 2 2 8 3" xfId="48621" xr:uid="{00000000-0005-0000-0000-00004D700000}"/>
    <cellStyle name="Input 32 2 2 2 9" xfId="39898" xr:uid="{00000000-0005-0000-0000-00004E700000}"/>
    <cellStyle name="Input 32 2 2 3" xfId="53152" xr:uid="{00000000-0005-0000-0000-00004F700000}"/>
    <cellStyle name="Input 32 2 3" xfId="7133" xr:uid="{00000000-0005-0000-0000-000050700000}"/>
    <cellStyle name="Input 32 2 3 10" xfId="39241" xr:uid="{00000000-0005-0000-0000-000051700000}"/>
    <cellStyle name="Input 32 2 3 2" xfId="10663" xr:uid="{00000000-0005-0000-0000-000052700000}"/>
    <cellStyle name="Input 32 2 3 2 2" xfId="18456" xr:uid="{00000000-0005-0000-0000-000053700000}"/>
    <cellStyle name="Input 32 2 3 2 2 2" xfId="44003" xr:uid="{00000000-0005-0000-0000-000054700000}"/>
    <cellStyle name="Input 32 2 3 2 2 3" xfId="47912" xr:uid="{00000000-0005-0000-0000-000055700000}"/>
    <cellStyle name="Input 32 2 3 2 2 4" xfId="36093" xr:uid="{00000000-0005-0000-0000-000056700000}"/>
    <cellStyle name="Input 32 2 3 2 3" xfId="20161" xr:uid="{00000000-0005-0000-0000-000057700000}"/>
    <cellStyle name="Input 32 2 3 2 3 2" xfId="45698" xr:uid="{00000000-0005-0000-0000-000058700000}"/>
    <cellStyle name="Input 32 2 3 2 3 3" xfId="49604" xr:uid="{00000000-0005-0000-0000-000059700000}"/>
    <cellStyle name="Input 32 2 3 2 3 4" xfId="37647" xr:uid="{00000000-0005-0000-0000-00005A700000}"/>
    <cellStyle name="Input 32 2 3 2 4" xfId="19086" xr:uid="{00000000-0005-0000-0000-00005B700000}"/>
    <cellStyle name="Input 32 2 3 2 4 2" xfId="44623" xr:uid="{00000000-0005-0000-0000-00005C700000}"/>
    <cellStyle name="Input 32 2 3 2 4 3" xfId="48529" xr:uid="{00000000-0005-0000-0000-00005D700000}"/>
    <cellStyle name="Input 32 2 3 2 4 4" xfId="36682" xr:uid="{00000000-0005-0000-0000-00005E700000}"/>
    <cellStyle name="Input 32 2 3 2 5" xfId="20869" xr:uid="{00000000-0005-0000-0000-00005F700000}"/>
    <cellStyle name="Input 32 2 3 2 5 2" xfId="46406" xr:uid="{00000000-0005-0000-0000-000060700000}"/>
    <cellStyle name="Input 32 2 3 2 5 3" xfId="50312" xr:uid="{00000000-0005-0000-0000-000061700000}"/>
    <cellStyle name="Input 32 2 3 2 5 4" xfId="38275" xr:uid="{00000000-0005-0000-0000-000062700000}"/>
    <cellStyle name="Input 32 2 3 2 6" xfId="21522" xr:uid="{00000000-0005-0000-0000-000063700000}"/>
    <cellStyle name="Input 32 2 3 2 6 2" xfId="47059" xr:uid="{00000000-0005-0000-0000-000064700000}"/>
    <cellStyle name="Input 32 2 3 2 6 3" xfId="50965" xr:uid="{00000000-0005-0000-0000-000065700000}"/>
    <cellStyle name="Input 32 2 3 2 7" xfId="40862" xr:uid="{00000000-0005-0000-0000-000066700000}"/>
    <cellStyle name="Input 32 2 3 2 8" xfId="43388" xr:uid="{00000000-0005-0000-0000-000067700000}"/>
    <cellStyle name="Input 32 2 3 3" xfId="10958" xr:uid="{00000000-0005-0000-0000-000068700000}"/>
    <cellStyle name="Input 32 2 3 3 2" xfId="18751" xr:uid="{00000000-0005-0000-0000-000069700000}"/>
    <cellStyle name="Input 32 2 3 3 2 2" xfId="44298" xr:uid="{00000000-0005-0000-0000-00006A700000}"/>
    <cellStyle name="Input 32 2 3 3 2 3" xfId="48207" xr:uid="{00000000-0005-0000-0000-00006B700000}"/>
    <cellStyle name="Input 32 2 3 3 2 4" xfId="36388" xr:uid="{00000000-0005-0000-0000-00006C700000}"/>
    <cellStyle name="Input 32 2 3 3 3" xfId="19877" xr:uid="{00000000-0005-0000-0000-00006D700000}"/>
    <cellStyle name="Input 32 2 3 3 3 2" xfId="45414" xr:uid="{00000000-0005-0000-0000-00006E700000}"/>
    <cellStyle name="Input 32 2 3 3 3 3" xfId="49320" xr:uid="{00000000-0005-0000-0000-00006F700000}"/>
    <cellStyle name="Input 32 2 3 3 3 4" xfId="37391" xr:uid="{00000000-0005-0000-0000-000070700000}"/>
    <cellStyle name="Input 32 2 3 3 4" xfId="20200" xr:uid="{00000000-0005-0000-0000-000071700000}"/>
    <cellStyle name="Input 32 2 3 3 4 2" xfId="45737" xr:uid="{00000000-0005-0000-0000-000072700000}"/>
    <cellStyle name="Input 32 2 3 3 4 3" xfId="49643" xr:uid="{00000000-0005-0000-0000-000073700000}"/>
    <cellStyle name="Input 32 2 3 3 4 4" xfId="37682" xr:uid="{00000000-0005-0000-0000-000074700000}"/>
    <cellStyle name="Input 32 2 3 3 5" xfId="21164" xr:uid="{00000000-0005-0000-0000-000075700000}"/>
    <cellStyle name="Input 32 2 3 3 5 2" xfId="46701" xr:uid="{00000000-0005-0000-0000-000076700000}"/>
    <cellStyle name="Input 32 2 3 3 5 3" xfId="50607" xr:uid="{00000000-0005-0000-0000-000077700000}"/>
    <cellStyle name="Input 32 2 3 3 5 4" xfId="38570" xr:uid="{00000000-0005-0000-0000-000078700000}"/>
    <cellStyle name="Input 32 2 3 3 6" xfId="21817" xr:uid="{00000000-0005-0000-0000-000079700000}"/>
    <cellStyle name="Input 32 2 3 3 6 2" xfId="47354" xr:uid="{00000000-0005-0000-0000-00007A700000}"/>
    <cellStyle name="Input 32 2 3 3 6 3" xfId="51260" xr:uid="{00000000-0005-0000-0000-00007B700000}"/>
    <cellStyle name="Input 32 2 3 3 7" xfId="41157" xr:uid="{00000000-0005-0000-0000-00007C700000}"/>
    <cellStyle name="Input 32 2 3 3 8" xfId="41426" xr:uid="{00000000-0005-0000-0000-00007D700000}"/>
    <cellStyle name="Input 32 2 3 4" xfId="14921" xr:uid="{00000000-0005-0000-0000-00007E700000}"/>
    <cellStyle name="Input 32 2 3 4 2" xfId="43037" xr:uid="{00000000-0005-0000-0000-00007F700000}"/>
    <cellStyle name="Input 32 2 3 4 3" xfId="43180" xr:uid="{00000000-0005-0000-0000-000080700000}"/>
    <cellStyle name="Input 32 2 3 4 4" xfId="32556" xr:uid="{00000000-0005-0000-0000-000081700000}"/>
    <cellStyle name="Input 32 2 3 5" xfId="13157" xr:uid="{00000000-0005-0000-0000-000082700000}"/>
    <cellStyle name="Input 32 2 3 5 2" xfId="42378" xr:uid="{00000000-0005-0000-0000-000083700000}"/>
    <cellStyle name="Input 32 2 3 5 3" xfId="39296" xr:uid="{00000000-0005-0000-0000-000084700000}"/>
    <cellStyle name="Input 32 2 3 5 4" xfId="30806" xr:uid="{00000000-0005-0000-0000-000085700000}"/>
    <cellStyle name="Input 32 2 3 6" xfId="11603" xr:uid="{00000000-0005-0000-0000-000086700000}"/>
    <cellStyle name="Input 32 2 3 6 2" xfId="41614" xr:uid="{00000000-0005-0000-0000-000087700000}"/>
    <cellStyle name="Input 32 2 3 6 3" xfId="43492" xr:uid="{00000000-0005-0000-0000-000088700000}"/>
    <cellStyle name="Input 32 2 3 6 4" xfId="29308" xr:uid="{00000000-0005-0000-0000-000089700000}"/>
    <cellStyle name="Input 32 2 3 7" xfId="20521" xr:uid="{00000000-0005-0000-0000-00008A700000}"/>
    <cellStyle name="Input 32 2 3 7 2" xfId="46058" xr:uid="{00000000-0005-0000-0000-00008B700000}"/>
    <cellStyle name="Input 32 2 3 7 3" xfId="49964" xr:uid="{00000000-0005-0000-0000-00008C700000}"/>
    <cellStyle name="Input 32 2 3 7 4" xfId="37954" xr:uid="{00000000-0005-0000-0000-00008D700000}"/>
    <cellStyle name="Input 32 2 3 8" xfId="20261" xr:uid="{00000000-0005-0000-0000-00008E700000}"/>
    <cellStyle name="Input 32 2 3 8 2" xfId="45798" xr:uid="{00000000-0005-0000-0000-00008F700000}"/>
    <cellStyle name="Input 32 2 3 8 3" xfId="49704" xr:uid="{00000000-0005-0000-0000-000090700000}"/>
    <cellStyle name="Input 32 2 3 9" xfId="39897" xr:uid="{00000000-0005-0000-0000-000091700000}"/>
    <cellStyle name="Input 32 2 4" xfId="53151" xr:uid="{00000000-0005-0000-0000-000092700000}"/>
    <cellStyle name="Input 32 2_Sheet1" xfId="1968" xr:uid="{00000000-0005-0000-0000-000093700000}"/>
    <cellStyle name="Input 32 3" xfId="1969" xr:uid="{00000000-0005-0000-0000-000094700000}"/>
    <cellStyle name="Input 32 3 2" xfId="7135" xr:uid="{00000000-0005-0000-0000-000095700000}"/>
    <cellStyle name="Input 32 3 2 10" xfId="41722" xr:uid="{00000000-0005-0000-0000-000096700000}"/>
    <cellStyle name="Input 32 3 2 2" xfId="10665" xr:uid="{00000000-0005-0000-0000-000097700000}"/>
    <cellStyle name="Input 32 3 2 2 2" xfId="18458" xr:uid="{00000000-0005-0000-0000-000098700000}"/>
    <cellStyle name="Input 32 3 2 2 2 2" xfId="44005" xr:uid="{00000000-0005-0000-0000-000099700000}"/>
    <cellStyle name="Input 32 3 2 2 2 3" xfId="47914" xr:uid="{00000000-0005-0000-0000-00009A700000}"/>
    <cellStyle name="Input 32 3 2 2 2 4" xfId="36095" xr:uid="{00000000-0005-0000-0000-00009B700000}"/>
    <cellStyle name="Input 32 3 2 2 3" xfId="20027" xr:uid="{00000000-0005-0000-0000-00009C700000}"/>
    <cellStyle name="Input 32 3 2 2 3 2" xfId="45564" xr:uid="{00000000-0005-0000-0000-00009D700000}"/>
    <cellStyle name="Input 32 3 2 2 3 3" xfId="49470" xr:uid="{00000000-0005-0000-0000-00009E700000}"/>
    <cellStyle name="Input 32 3 2 2 3 4" xfId="37525" xr:uid="{00000000-0005-0000-0000-00009F700000}"/>
    <cellStyle name="Input 32 3 2 2 4" xfId="18946" xr:uid="{00000000-0005-0000-0000-0000A0700000}"/>
    <cellStyle name="Input 32 3 2 2 4 2" xfId="44483" xr:uid="{00000000-0005-0000-0000-0000A1700000}"/>
    <cellStyle name="Input 32 3 2 2 4 3" xfId="48389" xr:uid="{00000000-0005-0000-0000-0000A2700000}"/>
    <cellStyle name="Input 32 3 2 2 4 4" xfId="36573" xr:uid="{00000000-0005-0000-0000-0000A3700000}"/>
    <cellStyle name="Input 32 3 2 2 5" xfId="20871" xr:uid="{00000000-0005-0000-0000-0000A4700000}"/>
    <cellStyle name="Input 32 3 2 2 5 2" xfId="46408" xr:uid="{00000000-0005-0000-0000-0000A5700000}"/>
    <cellStyle name="Input 32 3 2 2 5 3" xfId="50314" xr:uid="{00000000-0005-0000-0000-0000A6700000}"/>
    <cellStyle name="Input 32 3 2 2 5 4" xfId="38277" xr:uid="{00000000-0005-0000-0000-0000A7700000}"/>
    <cellStyle name="Input 32 3 2 2 6" xfId="21524" xr:uid="{00000000-0005-0000-0000-0000A8700000}"/>
    <cellStyle name="Input 32 3 2 2 6 2" xfId="47061" xr:uid="{00000000-0005-0000-0000-0000A9700000}"/>
    <cellStyle name="Input 32 3 2 2 6 3" xfId="50967" xr:uid="{00000000-0005-0000-0000-0000AA700000}"/>
    <cellStyle name="Input 32 3 2 2 7" xfId="40864" xr:uid="{00000000-0005-0000-0000-0000AB700000}"/>
    <cellStyle name="Input 32 3 2 2 8" xfId="39390" xr:uid="{00000000-0005-0000-0000-0000AC700000}"/>
    <cellStyle name="Input 32 3 2 3" xfId="10960" xr:uid="{00000000-0005-0000-0000-0000AD700000}"/>
    <cellStyle name="Input 32 3 2 3 2" xfId="18753" xr:uid="{00000000-0005-0000-0000-0000AE700000}"/>
    <cellStyle name="Input 32 3 2 3 2 2" xfId="44300" xr:uid="{00000000-0005-0000-0000-0000AF700000}"/>
    <cellStyle name="Input 32 3 2 3 2 3" xfId="48209" xr:uid="{00000000-0005-0000-0000-0000B0700000}"/>
    <cellStyle name="Input 32 3 2 3 2 4" xfId="36390" xr:uid="{00000000-0005-0000-0000-0000B1700000}"/>
    <cellStyle name="Input 32 3 2 3 3" xfId="19709" xr:uid="{00000000-0005-0000-0000-0000B2700000}"/>
    <cellStyle name="Input 32 3 2 3 3 2" xfId="45246" xr:uid="{00000000-0005-0000-0000-0000B3700000}"/>
    <cellStyle name="Input 32 3 2 3 3 3" xfId="49152" xr:uid="{00000000-0005-0000-0000-0000B4700000}"/>
    <cellStyle name="Input 32 3 2 3 3 4" xfId="37236" xr:uid="{00000000-0005-0000-0000-0000B5700000}"/>
    <cellStyle name="Input 32 3 2 3 4" xfId="20345" xr:uid="{00000000-0005-0000-0000-0000B6700000}"/>
    <cellStyle name="Input 32 3 2 3 4 2" xfId="45882" xr:uid="{00000000-0005-0000-0000-0000B7700000}"/>
    <cellStyle name="Input 32 3 2 3 4 3" xfId="49788" xr:uid="{00000000-0005-0000-0000-0000B8700000}"/>
    <cellStyle name="Input 32 3 2 3 4 4" xfId="37805" xr:uid="{00000000-0005-0000-0000-0000B9700000}"/>
    <cellStyle name="Input 32 3 2 3 5" xfId="21166" xr:uid="{00000000-0005-0000-0000-0000BA700000}"/>
    <cellStyle name="Input 32 3 2 3 5 2" xfId="46703" xr:uid="{00000000-0005-0000-0000-0000BB700000}"/>
    <cellStyle name="Input 32 3 2 3 5 3" xfId="50609" xr:uid="{00000000-0005-0000-0000-0000BC700000}"/>
    <cellStyle name="Input 32 3 2 3 5 4" xfId="38572" xr:uid="{00000000-0005-0000-0000-0000BD700000}"/>
    <cellStyle name="Input 32 3 2 3 6" xfId="21819" xr:uid="{00000000-0005-0000-0000-0000BE700000}"/>
    <cellStyle name="Input 32 3 2 3 6 2" xfId="47356" xr:uid="{00000000-0005-0000-0000-0000BF700000}"/>
    <cellStyle name="Input 32 3 2 3 6 3" xfId="51262" xr:uid="{00000000-0005-0000-0000-0000C0700000}"/>
    <cellStyle name="Input 32 3 2 3 7" xfId="41159" xr:uid="{00000000-0005-0000-0000-0000C1700000}"/>
    <cellStyle name="Input 32 3 2 3 8" xfId="40088" xr:uid="{00000000-0005-0000-0000-0000C2700000}"/>
    <cellStyle name="Input 32 3 2 4" xfId="14923" xr:uid="{00000000-0005-0000-0000-0000C3700000}"/>
    <cellStyle name="Input 32 3 2 4 2" xfId="43039" xr:uid="{00000000-0005-0000-0000-0000C4700000}"/>
    <cellStyle name="Input 32 3 2 4 3" xfId="42780" xr:uid="{00000000-0005-0000-0000-0000C5700000}"/>
    <cellStyle name="Input 32 3 2 4 4" xfId="32558" xr:uid="{00000000-0005-0000-0000-0000C6700000}"/>
    <cellStyle name="Input 32 3 2 5" xfId="11318" xr:uid="{00000000-0005-0000-0000-0000C7700000}"/>
    <cellStyle name="Input 32 3 2 5 2" xfId="41363" xr:uid="{00000000-0005-0000-0000-0000C8700000}"/>
    <cellStyle name="Input 32 3 2 5 3" xfId="40080" xr:uid="{00000000-0005-0000-0000-0000C9700000}"/>
    <cellStyle name="Input 32 3 2 5 4" xfId="29046" xr:uid="{00000000-0005-0000-0000-0000CA700000}"/>
    <cellStyle name="Input 32 3 2 6" xfId="12791" xr:uid="{00000000-0005-0000-0000-0000CB700000}"/>
    <cellStyle name="Input 32 3 2 6 2" xfId="42213" xr:uid="{00000000-0005-0000-0000-0000CC700000}"/>
    <cellStyle name="Input 32 3 2 6 3" xfId="43326" xr:uid="{00000000-0005-0000-0000-0000CD700000}"/>
    <cellStyle name="Input 32 3 2 6 4" xfId="30449" xr:uid="{00000000-0005-0000-0000-0000CE700000}"/>
    <cellStyle name="Input 32 3 2 7" xfId="11461" xr:uid="{00000000-0005-0000-0000-0000CF700000}"/>
    <cellStyle name="Input 32 3 2 7 2" xfId="41472" xr:uid="{00000000-0005-0000-0000-0000D0700000}"/>
    <cellStyle name="Input 32 3 2 7 3" xfId="39578" xr:uid="{00000000-0005-0000-0000-0000D1700000}"/>
    <cellStyle name="Input 32 3 2 7 4" xfId="29180" xr:uid="{00000000-0005-0000-0000-0000D2700000}"/>
    <cellStyle name="Input 32 3 2 8" xfId="11464" xr:uid="{00000000-0005-0000-0000-0000D3700000}"/>
    <cellStyle name="Input 32 3 2 8 2" xfId="41475" xr:uid="{00000000-0005-0000-0000-0000D4700000}"/>
    <cellStyle name="Input 32 3 2 8 3" xfId="40360" xr:uid="{00000000-0005-0000-0000-0000D5700000}"/>
    <cellStyle name="Input 32 3 2 9" xfId="39899" xr:uid="{00000000-0005-0000-0000-0000D6700000}"/>
    <cellStyle name="Input 32 3 3" xfId="53153" xr:uid="{00000000-0005-0000-0000-0000D7700000}"/>
    <cellStyle name="Input 32 4" xfId="7132" xr:uid="{00000000-0005-0000-0000-0000D8700000}"/>
    <cellStyle name="Input 32 4 10" xfId="39412" xr:uid="{00000000-0005-0000-0000-0000D9700000}"/>
    <cellStyle name="Input 32 4 11" xfId="53154" xr:uid="{00000000-0005-0000-0000-0000DA700000}"/>
    <cellStyle name="Input 32 4 2" xfId="10662" xr:uid="{00000000-0005-0000-0000-0000DB700000}"/>
    <cellStyle name="Input 32 4 2 2" xfId="18455" xr:uid="{00000000-0005-0000-0000-0000DC700000}"/>
    <cellStyle name="Input 32 4 2 2 2" xfId="44002" xr:uid="{00000000-0005-0000-0000-0000DD700000}"/>
    <cellStyle name="Input 32 4 2 2 3" xfId="47911" xr:uid="{00000000-0005-0000-0000-0000DE700000}"/>
    <cellStyle name="Input 32 4 2 2 4" xfId="36092" xr:uid="{00000000-0005-0000-0000-0000DF700000}"/>
    <cellStyle name="Input 32 4 2 3" xfId="19607" xr:uid="{00000000-0005-0000-0000-0000E0700000}"/>
    <cellStyle name="Input 32 4 2 3 2" xfId="45144" xr:uid="{00000000-0005-0000-0000-0000E1700000}"/>
    <cellStyle name="Input 32 4 2 3 3" xfId="49050" xr:uid="{00000000-0005-0000-0000-0000E2700000}"/>
    <cellStyle name="Input 32 4 2 3 4" xfId="37147" xr:uid="{00000000-0005-0000-0000-0000E3700000}"/>
    <cellStyle name="Input 32 4 2 4" xfId="18939" xr:uid="{00000000-0005-0000-0000-0000E4700000}"/>
    <cellStyle name="Input 32 4 2 4 2" xfId="44476" xr:uid="{00000000-0005-0000-0000-0000E5700000}"/>
    <cellStyle name="Input 32 4 2 4 3" xfId="48382" xr:uid="{00000000-0005-0000-0000-0000E6700000}"/>
    <cellStyle name="Input 32 4 2 4 4" xfId="36566" xr:uid="{00000000-0005-0000-0000-0000E7700000}"/>
    <cellStyle name="Input 32 4 2 5" xfId="20868" xr:uid="{00000000-0005-0000-0000-0000E8700000}"/>
    <cellStyle name="Input 32 4 2 5 2" xfId="46405" xr:uid="{00000000-0005-0000-0000-0000E9700000}"/>
    <cellStyle name="Input 32 4 2 5 3" xfId="50311" xr:uid="{00000000-0005-0000-0000-0000EA700000}"/>
    <cellStyle name="Input 32 4 2 5 4" xfId="38274" xr:uid="{00000000-0005-0000-0000-0000EB700000}"/>
    <cellStyle name="Input 32 4 2 6" xfId="21521" xr:uid="{00000000-0005-0000-0000-0000EC700000}"/>
    <cellStyle name="Input 32 4 2 6 2" xfId="47058" xr:uid="{00000000-0005-0000-0000-0000ED700000}"/>
    <cellStyle name="Input 32 4 2 6 3" xfId="50964" xr:uid="{00000000-0005-0000-0000-0000EE700000}"/>
    <cellStyle name="Input 32 4 2 7" xfId="40861" xr:uid="{00000000-0005-0000-0000-0000EF700000}"/>
    <cellStyle name="Input 32 4 2 8" xfId="42069" xr:uid="{00000000-0005-0000-0000-0000F0700000}"/>
    <cellStyle name="Input 32 4 3" xfId="10957" xr:uid="{00000000-0005-0000-0000-0000F1700000}"/>
    <cellStyle name="Input 32 4 3 2" xfId="18750" xr:uid="{00000000-0005-0000-0000-0000F2700000}"/>
    <cellStyle name="Input 32 4 3 2 2" xfId="44297" xr:uid="{00000000-0005-0000-0000-0000F3700000}"/>
    <cellStyle name="Input 32 4 3 2 3" xfId="48206" xr:uid="{00000000-0005-0000-0000-0000F4700000}"/>
    <cellStyle name="Input 32 4 3 2 4" xfId="36387" xr:uid="{00000000-0005-0000-0000-0000F5700000}"/>
    <cellStyle name="Input 32 4 3 3" xfId="19268" xr:uid="{00000000-0005-0000-0000-0000F6700000}"/>
    <cellStyle name="Input 32 4 3 3 2" xfId="44805" xr:uid="{00000000-0005-0000-0000-0000F7700000}"/>
    <cellStyle name="Input 32 4 3 3 3" xfId="48711" xr:uid="{00000000-0005-0000-0000-0000F8700000}"/>
    <cellStyle name="Input 32 4 3 3 4" xfId="36846" xr:uid="{00000000-0005-0000-0000-0000F9700000}"/>
    <cellStyle name="Input 32 4 3 4" xfId="12060" xr:uid="{00000000-0005-0000-0000-0000FA700000}"/>
    <cellStyle name="Input 32 4 3 4 2" xfId="41814" xr:uid="{00000000-0005-0000-0000-0000FB700000}"/>
    <cellStyle name="Input 32 4 3 4 3" xfId="39259" xr:uid="{00000000-0005-0000-0000-0000FC700000}"/>
    <cellStyle name="Input 32 4 3 4 4" xfId="29739" xr:uid="{00000000-0005-0000-0000-0000FD700000}"/>
    <cellStyle name="Input 32 4 3 5" xfId="21163" xr:uid="{00000000-0005-0000-0000-0000FE700000}"/>
    <cellStyle name="Input 32 4 3 5 2" xfId="46700" xr:uid="{00000000-0005-0000-0000-0000FF700000}"/>
    <cellStyle name="Input 32 4 3 5 3" xfId="50606" xr:uid="{00000000-0005-0000-0000-000000710000}"/>
    <cellStyle name="Input 32 4 3 5 4" xfId="38569" xr:uid="{00000000-0005-0000-0000-000001710000}"/>
    <cellStyle name="Input 32 4 3 6" xfId="21816" xr:uid="{00000000-0005-0000-0000-000002710000}"/>
    <cellStyle name="Input 32 4 3 6 2" xfId="47353" xr:uid="{00000000-0005-0000-0000-000003710000}"/>
    <cellStyle name="Input 32 4 3 6 3" xfId="51259" xr:uid="{00000000-0005-0000-0000-000004710000}"/>
    <cellStyle name="Input 32 4 3 7" xfId="41156" xr:uid="{00000000-0005-0000-0000-000005710000}"/>
    <cellStyle name="Input 32 4 3 8" xfId="39374" xr:uid="{00000000-0005-0000-0000-000006710000}"/>
    <cellStyle name="Input 32 4 4" xfId="14920" xr:uid="{00000000-0005-0000-0000-000007710000}"/>
    <cellStyle name="Input 32 4 4 2" xfId="43036" xr:uid="{00000000-0005-0000-0000-000008710000}"/>
    <cellStyle name="Input 32 4 4 3" xfId="41287" xr:uid="{00000000-0005-0000-0000-000009710000}"/>
    <cellStyle name="Input 32 4 4 4" xfId="32555" xr:uid="{00000000-0005-0000-0000-00000A710000}"/>
    <cellStyle name="Input 32 4 5" xfId="13156" xr:uid="{00000000-0005-0000-0000-00000B710000}"/>
    <cellStyle name="Input 32 4 5 2" xfId="42377" xr:uid="{00000000-0005-0000-0000-00000C710000}"/>
    <cellStyle name="Input 32 4 5 3" xfId="39097" xr:uid="{00000000-0005-0000-0000-00000D710000}"/>
    <cellStyle name="Input 32 4 5 4" xfId="30805" xr:uid="{00000000-0005-0000-0000-00000E710000}"/>
    <cellStyle name="Input 32 4 6" xfId="18978" xr:uid="{00000000-0005-0000-0000-00000F710000}"/>
    <cellStyle name="Input 32 4 6 2" xfId="44515" xr:uid="{00000000-0005-0000-0000-000010710000}"/>
    <cellStyle name="Input 32 4 6 3" xfId="48421" xr:uid="{00000000-0005-0000-0000-000011710000}"/>
    <cellStyle name="Input 32 4 6 4" xfId="36602" xr:uid="{00000000-0005-0000-0000-000012710000}"/>
    <cellStyle name="Input 32 4 7" xfId="19171" xr:uid="{00000000-0005-0000-0000-000013710000}"/>
    <cellStyle name="Input 32 4 7 2" xfId="44708" xr:uid="{00000000-0005-0000-0000-000014710000}"/>
    <cellStyle name="Input 32 4 7 3" xfId="48614" xr:uid="{00000000-0005-0000-0000-000015710000}"/>
    <cellStyle name="Input 32 4 7 4" xfId="36762" xr:uid="{00000000-0005-0000-0000-000016710000}"/>
    <cellStyle name="Input 32 4 8" xfId="19012" xr:uid="{00000000-0005-0000-0000-000017710000}"/>
    <cellStyle name="Input 32 4 8 2" xfId="44549" xr:uid="{00000000-0005-0000-0000-000018710000}"/>
    <cellStyle name="Input 32 4 8 3" xfId="48455" xr:uid="{00000000-0005-0000-0000-000019710000}"/>
    <cellStyle name="Input 32 4 9" xfId="39896" xr:uid="{00000000-0005-0000-0000-00001A710000}"/>
    <cellStyle name="Input 32 5" xfId="22475" xr:uid="{00000000-0005-0000-0000-00001B710000}"/>
    <cellStyle name="Input 32 5 2" xfId="23039" xr:uid="{00000000-0005-0000-0000-00001C710000}"/>
    <cellStyle name="Input 32 5 2 2" xfId="47640" xr:uid="{00000000-0005-0000-0000-00001D710000}"/>
    <cellStyle name="Input 32 5 2 3" xfId="51451" xr:uid="{00000000-0005-0000-0000-00001E710000}"/>
    <cellStyle name="Input 32 5 3" xfId="47533" xr:uid="{00000000-0005-0000-0000-00001F710000}"/>
    <cellStyle name="Input 32 5 4" xfId="51387" xr:uid="{00000000-0005-0000-0000-000020710000}"/>
    <cellStyle name="Input 32 5 5" xfId="53155" xr:uid="{00000000-0005-0000-0000-000021710000}"/>
    <cellStyle name="Input 32 6" xfId="22912" xr:uid="{00000000-0005-0000-0000-000022710000}"/>
    <cellStyle name="Input 32 6 2" xfId="23060" xr:uid="{00000000-0005-0000-0000-000023710000}"/>
    <cellStyle name="Input 32 6 2 2" xfId="47660" xr:uid="{00000000-0005-0000-0000-000024710000}"/>
    <cellStyle name="Input 32 6 2 3" xfId="51471" xr:uid="{00000000-0005-0000-0000-000025710000}"/>
    <cellStyle name="Input 32 6 3" xfId="47616" xr:uid="{00000000-0005-0000-0000-000026710000}"/>
    <cellStyle name="Input 32 6 4" xfId="51431" xr:uid="{00000000-0005-0000-0000-000027710000}"/>
    <cellStyle name="Input 32 6 5" xfId="53156" xr:uid="{00000000-0005-0000-0000-000028710000}"/>
    <cellStyle name="Input 32 7" xfId="53150" xr:uid="{00000000-0005-0000-0000-000029710000}"/>
    <cellStyle name="Input 32_Sheet1" xfId="1970" xr:uid="{00000000-0005-0000-0000-00002A710000}"/>
    <cellStyle name="Input 33" xfId="1971" xr:uid="{00000000-0005-0000-0000-00002B710000}"/>
    <cellStyle name="Input 33 2" xfId="1972" xr:uid="{00000000-0005-0000-0000-00002C710000}"/>
    <cellStyle name="Input 33 2 2" xfId="1973" xr:uid="{00000000-0005-0000-0000-00002D710000}"/>
    <cellStyle name="Input 33 2 2 2" xfId="7138" xr:uid="{00000000-0005-0000-0000-00002E710000}"/>
    <cellStyle name="Input 33 2 2 2 10" xfId="43102" xr:uid="{00000000-0005-0000-0000-00002F710000}"/>
    <cellStyle name="Input 33 2 2 2 2" xfId="10668" xr:uid="{00000000-0005-0000-0000-000030710000}"/>
    <cellStyle name="Input 33 2 2 2 2 2" xfId="18461" xr:uid="{00000000-0005-0000-0000-000031710000}"/>
    <cellStyle name="Input 33 2 2 2 2 2 2" xfId="44008" xr:uid="{00000000-0005-0000-0000-000032710000}"/>
    <cellStyle name="Input 33 2 2 2 2 2 3" xfId="47917" xr:uid="{00000000-0005-0000-0000-000033710000}"/>
    <cellStyle name="Input 33 2 2 2 2 2 4" xfId="36098" xr:uid="{00000000-0005-0000-0000-000034710000}"/>
    <cellStyle name="Input 33 2 2 2 2 3" xfId="19125" xr:uid="{00000000-0005-0000-0000-000035710000}"/>
    <cellStyle name="Input 33 2 2 2 2 3 2" xfId="44662" xr:uid="{00000000-0005-0000-0000-000036710000}"/>
    <cellStyle name="Input 33 2 2 2 2 3 3" xfId="48568" xr:uid="{00000000-0005-0000-0000-000037710000}"/>
    <cellStyle name="Input 33 2 2 2 2 3 4" xfId="36720" xr:uid="{00000000-0005-0000-0000-000038710000}"/>
    <cellStyle name="Input 33 2 2 2 2 4" xfId="11668" xr:uid="{00000000-0005-0000-0000-000039710000}"/>
    <cellStyle name="Input 33 2 2 2 2 4 2" xfId="41679" xr:uid="{00000000-0005-0000-0000-00003A710000}"/>
    <cellStyle name="Input 33 2 2 2 2 4 3" xfId="42814" xr:uid="{00000000-0005-0000-0000-00003B710000}"/>
    <cellStyle name="Input 33 2 2 2 2 4 4" xfId="29364" xr:uid="{00000000-0005-0000-0000-00003C710000}"/>
    <cellStyle name="Input 33 2 2 2 2 5" xfId="20874" xr:uid="{00000000-0005-0000-0000-00003D710000}"/>
    <cellStyle name="Input 33 2 2 2 2 5 2" xfId="46411" xr:uid="{00000000-0005-0000-0000-00003E710000}"/>
    <cellStyle name="Input 33 2 2 2 2 5 3" xfId="50317" xr:uid="{00000000-0005-0000-0000-00003F710000}"/>
    <cellStyle name="Input 33 2 2 2 2 5 4" xfId="38280" xr:uid="{00000000-0005-0000-0000-000040710000}"/>
    <cellStyle name="Input 33 2 2 2 2 6" xfId="21527" xr:uid="{00000000-0005-0000-0000-000041710000}"/>
    <cellStyle name="Input 33 2 2 2 2 6 2" xfId="47064" xr:uid="{00000000-0005-0000-0000-000042710000}"/>
    <cellStyle name="Input 33 2 2 2 2 6 3" xfId="50970" xr:uid="{00000000-0005-0000-0000-000043710000}"/>
    <cellStyle name="Input 33 2 2 2 2 7" xfId="40867" xr:uid="{00000000-0005-0000-0000-000044710000}"/>
    <cellStyle name="Input 33 2 2 2 2 8" xfId="40251" xr:uid="{00000000-0005-0000-0000-000045710000}"/>
    <cellStyle name="Input 33 2 2 2 3" xfId="10963" xr:uid="{00000000-0005-0000-0000-000046710000}"/>
    <cellStyle name="Input 33 2 2 2 3 2" xfId="18756" xr:uid="{00000000-0005-0000-0000-000047710000}"/>
    <cellStyle name="Input 33 2 2 2 3 2 2" xfId="44303" xr:uid="{00000000-0005-0000-0000-000048710000}"/>
    <cellStyle name="Input 33 2 2 2 3 2 3" xfId="48212" xr:uid="{00000000-0005-0000-0000-000049710000}"/>
    <cellStyle name="Input 33 2 2 2 3 2 4" xfId="36393" xr:uid="{00000000-0005-0000-0000-00004A710000}"/>
    <cellStyle name="Input 33 2 2 2 3 3" xfId="20138" xr:uid="{00000000-0005-0000-0000-00004B710000}"/>
    <cellStyle name="Input 33 2 2 2 3 3 2" xfId="45675" xr:uid="{00000000-0005-0000-0000-00004C710000}"/>
    <cellStyle name="Input 33 2 2 2 3 3 3" xfId="49581" xr:uid="{00000000-0005-0000-0000-00004D710000}"/>
    <cellStyle name="Input 33 2 2 2 3 3 4" xfId="37624" xr:uid="{00000000-0005-0000-0000-00004E710000}"/>
    <cellStyle name="Input 33 2 2 2 3 4" xfId="19805" xr:uid="{00000000-0005-0000-0000-00004F710000}"/>
    <cellStyle name="Input 33 2 2 2 3 4 2" xfId="45342" xr:uid="{00000000-0005-0000-0000-000050710000}"/>
    <cellStyle name="Input 33 2 2 2 3 4 3" xfId="49248" xr:uid="{00000000-0005-0000-0000-000051710000}"/>
    <cellStyle name="Input 33 2 2 2 3 4 4" xfId="37327" xr:uid="{00000000-0005-0000-0000-000052710000}"/>
    <cellStyle name="Input 33 2 2 2 3 5" xfId="21169" xr:uid="{00000000-0005-0000-0000-000053710000}"/>
    <cellStyle name="Input 33 2 2 2 3 5 2" xfId="46706" xr:uid="{00000000-0005-0000-0000-000054710000}"/>
    <cellStyle name="Input 33 2 2 2 3 5 3" xfId="50612" xr:uid="{00000000-0005-0000-0000-000055710000}"/>
    <cellStyle name="Input 33 2 2 2 3 5 4" xfId="38575" xr:uid="{00000000-0005-0000-0000-000056710000}"/>
    <cellStyle name="Input 33 2 2 2 3 6" xfId="21822" xr:uid="{00000000-0005-0000-0000-000057710000}"/>
    <cellStyle name="Input 33 2 2 2 3 6 2" xfId="47359" xr:uid="{00000000-0005-0000-0000-000058710000}"/>
    <cellStyle name="Input 33 2 2 2 3 6 3" xfId="51265" xr:uid="{00000000-0005-0000-0000-000059710000}"/>
    <cellStyle name="Input 33 2 2 2 3 7" xfId="41162" xr:uid="{00000000-0005-0000-0000-00005A710000}"/>
    <cellStyle name="Input 33 2 2 2 3 8" xfId="40583" xr:uid="{00000000-0005-0000-0000-00005B710000}"/>
    <cellStyle name="Input 33 2 2 2 4" xfId="14926" xr:uid="{00000000-0005-0000-0000-00005C710000}"/>
    <cellStyle name="Input 33 2 2 2 4 2" xfId="43042" xr:uid="{00000000-0005-0000-0000-00005D710000}"/>
    <cellStyle name="Input 33 2 2 2 4 3" xfId="39634" xr:uid="{00000000-0005-0000-0000-00005E710000}"/>
    <cellStyle name="Input 33 2 2 2 4 4" xfId="32561" xr:uid="{00000000-0005-0000-0000-00005F710000}"/>
    <cellStyle name="Input 33 2 2 2 5" xfId="13161" xr:uid="{00000000-0005-0000-0000-000060710000}"/>
    <cellStyle name="Input 33 2 2 2 5 2" xfId="42382" xr:uid="{00000000-0005-0000-0000-000061710000}"/>
    <cellStyle name="Input 33 2 2 2 5 3" xfId="39095" xr:uid="{00000000-0005-0000-0000-000062710000}"/>
    <cellStyle name="Input 33 2 2 2 5 4" xfId="30810" xr:uid="{00000000-0005-0000-0000-000063710000}"/>
    <cellStyle name="Input 33 2 2 2 6" xfId="20334" xr:uid="{00000000-0005-0000-0000-000064710000}"/>
    <cellStyle name="Input 33 2 2 2 6 2" xfId="45871" xr:uid="{00000000-0005-0000-0000-000065710000}"/>
    <cellStyle name="Input 33 2 2 2 6 3" xfId="49777" xr:uid="{00000000-0005-0000-0000-000066710000}"/>
    <cellStyle name="Input 33 2 2 2 6 4" xfId="37798" xr:uid="{00000000-0005-0000-0000-000067710000}"/>
    <cellStyle name="Input 33 2 2 2 7" xfId="12499" xr:uid="{00000000-0005-0000-0000-000068710000}"/>
    <cellStyle name="Input 33 2 2 2 7 2" xfId="42012" xr:uid="{00000000-0005-0000-0000-000069710000}"/>
    <cellStyle name="Input 33 2 2 2 7 3" xfId="42701" xr:uid="{00000000-0005-0000-0000-00006A710000}"/>
    <cellStyle name="Input 33 2 2 2 7 4" xfId="30169" xr:uid="{00000000-0005-0000-0000-00006B710000}"/>
    <cellStyle name="Input 33 2 2 2 8" xfId="12704" xr:uid="{00000000-0005-0000-0000-00006C710000}"/>
    <cellStyle name="Input 33 2 2 2 8 2" xfId="42179" xr:uid="{00000000-0005-0000-0000-00006D710000}"/>
    <cellStyle name="Input 33 2 2 2 8 3" xfId="43690" xr:uid="{00000000-0005-0000-0000-00006E710000}"/>
    <cellStyle name="Input 33 2 2 2 9" xfId="39902" xr:uid="{00000000-0005-0000-0000-00006F710000}"/>
    <cellStyle name="Input 33 2 2 3" xfId="53159" xr:uid="{00000000-0005-0000-0000-000070710000}"/>
    <cellStyle name="Input 33 2 3" xfId="7137" xr:uid="{00000000-0005-0000-0000-000071710000}"/>
    <cellStyle name="Input 33 2 3 10" xfId="40133" xr:uid="{00000000-0005-0000-0000-000072710000}"/>
    <cellStyle name="Input 33 2 3 2" xfId="10667" xr:uid="{00000000-0005-0000-0000-000073710000}"/>
    <cellStyle name="Input 33 2 3 2 2" xfId="18460" xr:uid="{00000000-0005-0000-0000-000074710000}"/>
    <cellStyle name="Input 33 2 3 2 2 2" xfId="44007" xr:uid="{00000000-0005-0000-0000-000075710000}"/>
    <cellStyle name="Input 33 2 3 2 2 3" xfId="47916" xr:uid="{00000000-0005-0000-0000-000076710000}"/>
    <cellStyle name="Input 33 2 3 2 2 4" xfId="36097" xr:uid="{00000000-0005-0000-0000-000077710000}"/>
    <cellStyle name="Input 33 2 3 2 3" xfId="19902" xr:uid="{00000000-0005-0000-0000-000078710000}"/>
    <cellStyle name="Input 33 2 3 2 3 2" xfId="45439" xr:uid="{00000000-0005-0000-0000-000079710000}"/>
    <cellStyle name="Input 33 2 3 2 3 3" xfId="49345" xr:uid="{00000000-0005-0000-0000-00007A710000}"/>
    <cellStyle name="Input 33 2 3 2 3 4" xfId="37416" xr:uid="{00000000-0005-0000-0000-00007B710000}"/>
    <cellStyle name="Input 33 2 3 2 4" xfId="12091" xr:uid="{00000000-0005-0000-0000-00007C710000}"/>
    <cellStyle name="Input 33 2 3 2 4 2" xfId="41836" xr:uid="{00000000-0005-0000-0000-00007D710000}"/>
    <cellStyle name="Input 33 2 3 2 4 3" xfId="39140" xr:uid="{00000000-0005-0000-0000-00007E710000}"/>
    <cellStyle name="Input 33 2 3 2 4 4" xfId="29766" xr:uid="{00000000-0005-0000-0000-00007F710000}"/>
    <cellStyle name="Input 33 2 3 2 5" xfId="20873" xr:uid="{00000000-0005-0000-0000-000080710000}"/>
    <cellStyle name="Input 33 2 3 2 5 2" xfId="46410" xr:uid="{00000000-0005-0000-0000-000081710000}"/>
    <cellStyle name="Input 33 2 3 2 5 3" xfId="50316" xr:uid="{00000000-0005-0000-0000-000082710000}"/>
    <cellStyle name="Input 33 2 3 2 5 4" xfId="38279" xr:uid="{00000000-0005-0000-0000-000083710000}"/>
    <cellStyle name="Input 33 2 3 2 6" xfId="21526" xr:uid="{00000000-0005-0000-0000-000084710000}"/>
    <cellStyle name="Input 33 2 3 2 6 2" xfId="47063" xr:uid="{00000000-0005-0000-0000-000085710000}"/>
    <cellStyle name="Input 33 2 3 2 6 3" xfId="50969" xr:uid="{00000000-0005-0000-0000-000086710000}"/>
    <cellStyle name="Input 33 2 3 2 7" xfId="40866" xr:uid="{00000000-0005-0000-0000-000087710000}"/>
    <cellStyle name="Input 33 2 3 2 8" xfId="43389" xr:uid="{00000000-0005-0000-0000-000088710000}"/>
    <cellStyle name="Input 33 2 3 3" xfId="10962" xr:uid="{00000000-0005-0000-0000-000089710000}"/>
    <cellStyle name="Input 33 2 3 3 2" xfId="18755" xr:uid="{00000000-0005-0000-0000-00008A710000}"/>
    <cellStyle name="Input 33 2 3 3 2 2" xfId="44302" xr:uid="{00000000-0005-0000-0000-00008B710000}"/>
    <cellStyle name="Input 33 2 3 3 2 3" xfId="48211" xr:uid="{00000000-0005-0000-0000-00008C710000}"/>
    <cellStyle name="Input 33 2 3 3 2 4" xfId="36392" xr:uid="{00000000-0005-0000-0000-00008D710000}"/>
    <cellStyle name="Input 33 2 3 3 3" xfId="19711" xr:uid="{00000000-0005-0000-0000-00008E710000}"/>
    <cellStyle name="Input 33 2 3 3 3 2" xfId="45248" xr:uid="{00000000-0005-0000-0000-00008F710000}"/>
    <cellStyle name="Input 33 2 3 3 3 3" xfId="49154" xr:uid="{00000000-0005-0000-0000-000090710000}"/>
    <cellStyle name="Input 33 2 3 3 3 4" xfId="37238" xr:uid="{00000000-0005-0000-0000-000091710000}"/>
    <cellStyle name="Input 33 2 3 3 4" xfId="18942" xr:uid="{00000000-0005-0000-0000-000092710000}"/>
    <cellStyle name="Input 33 2 3 3 4 2" xfId="44479" xr:uid="{00000000-0005-0000-0000-000093710000}"/>
    <cellStyle name="Input 33 2 3 3 4 3" xfId="48385" xr:uid="{00000000-0005-0000-0000-000094710000}"/>
    <cellStyle name="Input 33 2 3 3 4 4" xfId="36569" xr:uid="{00000000-0005-0000-0000-000095710000}"/>
    <cellStyle name="Input 33 2 3 3 5" xfId="21168" xr:uid="{00000000-0005-0000-0000-000096710000}"/>
    <cellStyle name="Input 33 2 3 3 5 2" xfId="46705" xr:uid="{00000000-0005-0000-0000-000097710000}"/>
    <cellStyle name="Input 33 2 3 3 5 3" xfId="50611" xr:uid="{00000000-0005-0000-0000-000098710000}"/>
    <cellStyle name="Input 33 2 3 3 5 4" xfId="38574" xr:uid="{00000000-0005-0000-0000-000099710000}"/>
    <cellStyle name="Input 33 2 3 3 6" xfId="21821" xr:uid="{00000000-0005-0000-0000-00009A710000}"/>
    <cellStyle name="Input 33 2 3 3 6 2" xfId="47358" xr:uid="{00000000-0005-0000-0000-00009B710000}"/>
    <cellStyle name="Input 33 2 3 3 6 3" xfId="51264" xr:uid="{00000000-0005-0000-0000-00009C710000}"/>
    <cellStyle name="Input 33 2 3 3 7" xfId="41161" xr:uid="{00000000-0005-0000-0000-00009D710000}"/>
    <cellStyle name="Input 33 2 3 3 8" xfId="43724" xr:uid="{00000000-0005-0000-0000-00009E710000}"/>
    <cellStyle name="Input 33 2 3 4" xfId="14925" xr:uid="{00000000-0005-0000-0000-00009F710000}"/>
    <cellStyle name="Input 33 2 3 4 2" xfId="43041" xr:uid="{00000000-0005-0000-0000-0000A0710000}"/>
    <cellStyle name="Input 33 2 3 4 3" xfId="40526" xr:uid="{00000000-0005-0000-0000-0000A1710000}"/>
    <cellStyle name="Input 33 2 3 4 4" xfId="32560" xr:uid="{00000000-0005-0000-0000-0000A2710000}"/>
    <cellStyle name="Input 33 2 3 5" xfId="13160" xr:uid="{00000000-0005-0000-0000-0000A3710000}"/>
    <cellStyle name="Input 33 2 3 5 2" xfId="42381" xr:uid="{00000000-0005-0000-0000-0000A4710000}"/>
    <cellStyle name="Input 33 2 3 5 3" xfId="39096" xr:uid="{00000000-0005-0000-0000-0000A5710000}"/>
    <cellStyle name="Input 33 2 3 5 4" xfId="30809" xr:uid="{00000000-0005-0000-0000-0000A6710000}"/>
    <cellStyle name="Input 33 2 3 6" xfId="20318" xr:uid="{00000000-0005-0000-0000-0000A7710000}"/>
    <cellStyle name="Input 33 2 3 6 2" xfId="45855" xr:uid="{00000000-0005-0000-0000-0000A8710000}"/>
    <cellStyle name="Input 33 2 3 6 3" xfId="49761" xr:uid="{00000000-0005-0000-0000-0000A9710000}"/>
    <cellStyle name="Input 33 2 3 6 4" xfId="37782" xr:uid="{00000000-0005-0000-0000-0000AA710000}"/>
    <cellStyle name="Input 33 2 3 7" xfId="19036" xr:uid="{00000000-0005-0000-0000-0000AB710000}"/>
    <cellStyle name="Input 33 2 3 7 2" xfId="44573" xr:uid="{00000000-0005-0000-0000-0000AC710000}"/>
    <cellStyle name="Input 33 2 3 7 3" xfId="48479" xr:uid="{00000000-0005-0000-0000-0000AD710000}"/>
    <cellStyle name="Input 33 2 3 7 4" xfId="36642" xr:uid="{00000000-0005-0000-0000-0000AE710000}"/>
    <cellStyle name="Input 33 2 3 8" xfId="20347" xr:uid="{00000000-0005-0000-0000-0000AF710000}"/>
    <cellStyle name="Input 33 2 3 8 2" xfId="45884" xr:uid="{00000000-0005-0000-0000-0000B0710000}"/>
    <cellStyle name="Input 33 2 3 8 3" xfId="49790" xr:uid="{00000000-0005-0000-0000-0000B1710000}"/>
    <cellStyle name="Input 33 2 3 9" xfId="39901" xr:uid="{00000000-0005-0000-0000-0000B2710000}"/>
    <cellStyle name="Input 33 2 4" xfId="53158" xr:uid="{00000000-0005-0000-0000-0000B3710000}"/>
    <cellStyle name="Input 33 2_Sheet1" xfId="1974" xr:uid="{00000000-0005-0000-0000-0000B4710000}"/>
    <cellStyle name="Input 33 3" xfId="1975" xr:uid="{00000000-0005-0000-0000-0000B5710000}"/>
    <cellStyle name="Input 33 3 2" xfId="7139" xr:uid="{00000000-0005-0000-0000-0000B6710000}"/>
    <cellStyle name="Input 33 3 2 10" xfId="43769" xr:uid="{00000000-0005-0000-0000-0000B7710000}"/>
    <cellStyle name="Input 33 3 2 2" xfId="10669" xr:uid="{00000000-0005-0000-0000-0000B8710000}"/>
    <cellStyle name="Input 33 3 2 2 2" xfId="18462" xr:uid="{00000000-0005-0000-0000-0000B9710000}"/>
    <cellStyle name="Input 33 3 2 2 2 2" xfId="44009" xr:uid="{00000000-0005-0000-0000-0000BA710000}"/>
    <cellStyle name="Input 33 3 2 2 2 3" xfId="47918" xr:uid="{00000000-0005-0000-0000-0000BB710000}"/>
    <cellStyle name="Input 33 3 2 2 2 4" xfId="36099" xr:uid="{00000000-0005-0000-0000-0000BC710000}"/>
    <cellStyle name="Input 33 3 2 2 3" xfId="19744" xr:uid="{00000000-0005-0000-0000-0000BD710000}"/>
    <cellStyle name="Input 33 3 2 2 3 2" xfId="45281" xr:uid="{00000000-0005-0000-0000-0000BE710000}"/>
    <cellStyle name="Input 33 3 2 2 3 3" xfId="49187" xr:uid="{00000000-0005-0000-0000-0000BF710000}"/>
    <cellStyle name="Input 33 3 2 2 3 4" xfId="37271" xr:uid="{00000000-0005-0000-0000-0000C0710000}"/>
    <cellStyle name="Input 33 3 2 2 4" xfId="19063" xr:uid="{00000000-0005-0000-0000-0000C1710000}"/>
    <cellStyle name="Input 33 3 2 2 4 2" xfId="44600" xr:uid="{00000000-0005-0000-0000-0000C2710000}"/>
    <cellStyle name="Input 33 3 2 2 4 3" xfId="48506" xr:uid="{00000000-0005-0000-0000-0000C3710000}"/>
    <cellStyle name="Input 33 3 2 2 4 4" xfId="36662" xr:uid="{00000000-0005-0000-0000-0000C4710000}"/>
    <cellStyle name="Input 33 3 2 2 5" xfId="20875" xr:uid="{00000000-0005-0000-0000-0000C5710000}"/>
    <cellStyle name="Input 33 3 2 2 5 2" xfId="46412" xr:uid="{00000000-0005-0000-0000-0000C6710000}"/>
    <cellStyle name="Input 33 3 2 2 5 3" xfId="50318" xr:uid="{00000000-0005-0000-0000-0000C7710000}"/>
    <cellStyle name="Input 33 3 2 2 5 4" xfId="38281" xr:uid="{00000000-0005-0000-0000-0000C8710000}"/>
    <cellStyle name="Input 33 3 2 2 6" xfId="21528" xr:uid="{00000000-0005-0000-0000-0000C9710000}"/>
    <cellStyle name="Input 33 3 2 2 6 2" xfId="47065" xr:uid="{00000000-0005-0000-0000-0000CA710000}"/>
    <cellStyle name="Input 33 3 2 2 6 3" xfId="50971" xr:uid="{00000000-0005-0000-0000-0000CB710000}"/>
    <cellStyle name="Input 33 3 2 2 7" xfId="40868" xr:uid="{00000000-0005-0000-0000-0000CC710000}"/>
    <cellStyle name="Input 33 3 2 2 8" xfId="39391" xr:uid="{00000000-0005-0000-0000-0000CD710000}"/>
    <cellStyle name="Input 33 3 2 3" xfId="10964" xr:uid="{00000000-0005-0000-0000-0000CE710000}"/>
    <cellStyle name="Input 33 3 2 3 2" xfId="18757" xr:uid="{00000000-0005-0000-0000-0000CF710000}"/>
    <cellStyle name="Input 33 3 2 3 2 2" xfId="44304" xr:uid="{00000000-0005-0000-0000-0000D0710000}"/>
    <cellStyle name="Input 33 3 2 3 2 3" xfId="48213" xr:uid="{00000000-0005-0000-0000-0000D1710000}"/>
    <cellStyle name="Input 33 3 2 3 2 4" xfId="36394" xr:uid="{00000000-0005-0000-0000-0000D2710000}"/>
    <cellStyle name="Input 33 3 2 3 3" xfId="19397" xr:uid="{00000000-0005-0000-0000-0000D3710000}"/>
    <cellStyle name="Input 33 3 2 3 3 2" xfId="44934" xr:uid="{00000000-0005-0000-0000-0000D4710000}"/>
    <cellStyle name="Input 33 3 2 3 3 3" xfId="48840" xr:uid="{00000000-0005-0000-0000-0000D5710000}"/>
    <cellStyle name="Input 33 3 2 3 3 4" xfId="36962" xr:uid="{00000000-0005-0000-0000-0000D6710000}"/>
    <cellStyle name="Input 33 3 2 3 4" xfId="13291" xr:uid="{00000000-0005-0000-0000-0000D7710000}"/>
    <cellStyle name="Input 33 3 2 3 4 2" xfId="42461" xr:uid="{00000000-0005-0000-0000-0000D8710000}"/>
    <cellStyle name="Input 33 3 2 3 4 3" xfId="39441" xr:uid="{00000000-0005-0000-0000-0000D9710000}"/>
    <cellStyle name="Input 33 3 2 3 4 4" xfId="30936" xr:uid="{00000000-0005-0000-0000-0000DA710000}"/>
    <cellStyle name="Input 33 3 2 3 5" xfId="21170" xr:uid="{00000000-0005-0000-0000-0000DB710000}"/>
    <cellStyle name="Input 33 3 2 3 5 2" xfId="46707" xr:uid="{00000000-0005-0000-0000-0000DC710000}"/>
    <cellStyle name="Input 33 3 2 3 5 3" xfId="50613" xr:uid="{00000000-0005-0000-0000-0000DD710000}"/>
    <cellStyle name="Input 33 3 2 3 5 4" xfId="38576" xr:uid="{00000000-0005-0000-0000-0000DE710000}"/>
    <cellStyle name="Input 33 3 2 3 6" xfId="21823" xr:uid="{00000000-0005-0000-0000-0000DF710000}"/>
    <cellStyle name="Input 33 3 2 3 6 2" xfId="47360" xr:uid="{00000000-0005-0000-0000-0000E0710000}"/>
    <cellStyle name="Input 33 3 2 3 6 3" xfId="51266" xr:uid="{00000000-0005-0000-0000-0000E1710000}"/>
    <cellStyle name="Input 33 3 2 3 7" xfId="41163" xr:uid="{00000000-0005-0000-0000-0000E2710000}"/>
    <cellStyle name="Input 33 3 2 3 8" xfId="39694" xr:uid="{00000000-0005-0000-0000-0000E3710000}"/>
    <cellStyle name="Input 33 3 2 4" xfId="14927" xr:uid="{00000000-0005-0000-0000-0000E4710000}"/>
    <cellStyle name="Input 33 3 2 4 2" xfId="43043" xr:uid="{00000000-0005-0000-0000-0000E5710000}"/>
    <cellStyle name="Input 33 3 2 4 3" xfId="42670" xr:uid="{00000000-0005-0000-0000-0000E6710000}"/>
    <cellStyle name="Input 33 3 2 4 4" xfId="32562" xr:uid="{00000000-0005-0000-0000-0000E7710000}"/>
    <cellStyle name="Input 33 3 2 5" xfId="13162" xr:uid="{00000000-0005-0000-0000-0000E8710000}"/>
    <cellStyle name="Input 33 3 2 5 2" xfId="42383" xr:uid="{00000000-0005-0000-0000-0000E9710000}"/>
    <cellStyle name="Input 33 3 2 5 3" xfId="39094" xr:uid="{00000000-0005-0000-0000-0000EA710000}"/>
    <cellStyle name="Input 33 3 2 5 4" xfId="30811" xr:uid="{00000000-0005-0000-0000-0000EB710000}"/>
    <cellStyle name="Input 33 3 2 6" xfId="19464" xr:uid="{00000000-0005-0000-0000-0000EC710000}"/>
    <cellStyle name="Input 33 3 2 6 2" xfId="45001" xr:uid="{00000000-0005-0000-0000-0000ED710000}"/>
    <cellStyle name="Input 33 3 2 6 3" xfId="48907" xr:uid="{00000000-0005-0000-0000-0000EE710000}"/>
    <cellStyle name="Input 33 3 2 6 4" xfId="37022" xr:uid="{00000000-0005-0000-0000-0000EF710000}"/>
    <cellStyle name="Input 33 3 2 7" xfId="11849" xr:uid="{00000000-0005-0000-0000-0000F0710000}"/>
    <cellStyle name="Input 33 3 2 7 2" xfId="41767" xr:uid="{00000000-0005-0000-0000-0000F1710000}"/>
    <cellStyle name="Input 33 3 2 7 3" xfId="39460" xr:uid="{00000000-0005-0000-0000-0000F2710000}"/>
    <cellStyle name="Input 33 3 2 7 4" xfId="29533" xr:uid="{00000000-0005-0000-0000-0000F3710000}"/>
    <cellStyle name="Input 33 3 2 8" xfId="20610" xr:uid="{00000000-0005-0000-0000-0000F4710000}"/>
    <cellStyle name="Input 33 3 2 8 2" xfId="46147" xr:uid="{00000000-0005-0000-0000-0000F5710000}"/>
    <cellStyle name="Input 33 3 2 8 3" xfId="50053" xr:uid="{00000000-0005-0000-0000-0000F6710000}"/>
    <cellStyle name="Input 33 3 2 9" xfId="39903" xr:uid="{00000000-0005-0000-0000-0000F7710000}"/>
    <cellStyle name="Input 33 3 3" xfId="53160" xr:uid="{00000000-0005-0000-0000-0000F8710000}"/>
    <cellStyle name="Input 33 4" xfId="7136" xr:uid="{00000000-0005-0000-0000-0000F9710000}"/>
    <cellStyle name="Input 33 4 10" xfId="43274" xr:uid="{00000000-0005-0000-0000-0000FA710000}"/>
    <cellStyle name="Input 33 4 11" xfId="53161" xr:uid="{00000000-0005-0000-0000-0000FB710000}"/>
    <cellStyle name="Input 33 4 2" xfId="10666" xr:uid="{00000000-0005-0000-0000-0000FC710000}"/>
    <cellStyle name="Input 33 4 2 2" xfId="18459" xr:uid="{00000000-0005-0000-0000-0000FD710000}"/>
    <cellStyle name="Input 33 4 2 2 2" xfId="44006" xr:uid="{00000000-0005-0000-0000-0000FE710000}"/>
    <cellStyle name="Input 33 4 2 2 3" xfId="47915" xr:uid="{00000000-0005-0000-0000-0000FF710000}"/>
    <cellStyle name="Input 33 4 2 2 4" xfId="36096" xr:uid="{00000000-0005-0000-0000-000000720000}"/>
    <cellStyle name="Input 33 4 2 3" xfId="19293" xr:uid="{00000000-0005-0000-0000-000001720000}"/>
    <cellStyle name="Input 33 4 2 3 2" xfId="44830" xr:uid="{00000000-0005-0000-0000-000002720000}"/>
    <cellStyle name="Input 33 4 2 3 3" xfId="48736" xr:uid="{00000000-0005-0000-0000-000003720000}"/>
    <cellStyle name="Input 33 4 2 3 4" xfId="36871" xr:uid="{00000000-0005-0000-0000-000004720000}"/>
    <cellStyle name="Input 33 4 2 4" xfId="12664" xr:uid="{00000000-0005-0000-0000-000005720000}"/>
    <cellStyle name="Input 33 4 2 4 2" xfId="42143" xr:uid="{00000000-0005-0000-0000-000006720000}"/>
    <cellStyle name="Input 33 4 2 4 3" xfId="39110" xr:uid="{00000000-0005-0000-0000-000007720000}"/>
    <cellStyle name="Input 33 4 2 4 4" xfId="30328" xr:uid="{00000000-0005-0000-0000-000008720000}"/>
    <cellStyle name="Input 33 4 2 5" xfId="20872" xr:uid="{00000000-0005-0000-0000-000009720000}"/>
    <cellStyle name="Input 33 4 2 5 2" xfId="46409" xr:uid="{00000000-0005-0000-0000-00000A720000}"/>
    <cellStyle name="Input 33 4 2 5 3" xfId="50315" xr:uid="{00000000-0005-0000-0000-00000B720000}"/>
    <cellStyle name="Input 33 4 2 5 4" xfId="38278" xr:uid="{00000000-0005-0000-0000-00000C720000}"/>
    <cellStyle name="Input 33 4 2 6" xfId="21525" xr:uid="{00000000-0005-0000-0000-00000D720000}"/>
    <cellStyle name="Input 33 4 2 6 2" xfId="47062" xr:uid="{00000000-0005-0000-0000-00000E720000}"/>
    <cellStyle name="Input 33 4 2 6 3" xfId="50968" xr:uid="{00000000-0005-0000-0000-00000F720000}"/>
    <cellStyle name="Input 33 4 2 7" xfId="40865" xr:uid="{00000000-0005-0000-0000-000010720000}"/>
    <cellStyle name="Input 33 4 2 8" xfId="42070" xr:uid="{00000000-0005-0000-0000-000011720000}"/>
    <cellStyle name="Input 33 4 3" xfId="10961" xr:uid="{00000000-0005-0000-0000-000012720000}"/>
    <cellStyle name="Input 33 4 3 2" xfId="18754" xr:uid="{00000000-0005-0000-0000-000013720000}"/>
    <cellStyle name="Input 33 4 3 2 2" xfId="44301" xr:uid="{00000000-0005-0000-0000-000014720000}"/>
    <cellStyle name="Input 33 4 3 2 3" xfId="48210" xr:uid="{00000000-0005-0000-0000-000015720000}"/>
    <cellStyle name="Input 33 4 3 2 4" xfId="36391" xr:uid="{00000000-0005-0000-0000-000016720000}"/>
    <cellStyle name="Input 33 4 3 3" xfId="12643" xr:uid="{00000000-0005-0000-0000-000017720000}"/>
    <cellStyle name="Input 33 4 3 3 2" xfId="42122" xr:uid="{00000000-0005-0000-0000-000018720000}"/>
    <cellStyle name="Input 33 4 3 3 3" xfId="39315" xr:uid="{00000000-0005-0000-0000-000019720000}"/>
    <cellStyle name="Input 33 4 3 3 4" xfId="30308" xr:uid="{00000000-0005-0000-0000-00001A720000}"/>
    <cellStyle name="Input 33 4 3 4" xfId="19550" xr:uid="{00000000-0005-0000-0000-00001B720000}"/>
    <cellStyle name="Input 33 4 3 4 2" xfId="45087" xr:uid="{00000000-0005-0000-0000-00001C720000}"/>
    <cellStyle name="Input 33 4 3 4 3" xfId="48993" xr:uid="{00000000-0005-0000-0000-00001D720000}"/>
    <cellStyle name="Input 33 4 3 4 4" xfId="37092" xr:uid="{00000000-0005-0000-0000-00001E720000}"/>
    <cellStyle name="Input 33 4 3 5" xfId="21167" xr:uid="{00000000-0005-0000-0000-00001F720000}"/>
    <cellStyle name="Input 33 4 3 5 2" xfId="46704" xr:uid="{00000000-0005-0000-0000-000020720000}"/>
    <cellStyle name="Input 33 4 3 5 3" xfId="50610" xr:uid="{00000000-0005-0000-0000-000021720000}"/>
    <cellStyle name="Input 33 4 3 5 4" xfId="38573" xr:uid="{00000000-0005-0000-0000-000022720000}"/>
    <cellStyle name="Input 33 4 3 6" xfId="21820" xr:uid="{00000000-0005-0000-0000-000023720000}"/>
    <cellStyle name="Input 33 4 3 6 2" xfId="47357" xr:uid="{00000000-0005-0000-0000-000024720000}"/>
    <cellStyle name="Input 33 4 3 6 3" xfId="51263" xr:uid="{00000000-0005-0000-0000-000025720000}"/>
    <cellStyle name="Input 33 4 3 7" xfId="41160" xr:uid="{00000000-0005-0000-0000-000026720000}"/>
    <cellStyle name="Input 33 4 3 8" xfId="42835" xr:uid="{00000000-0005-0000-0000-000027720000}"/>
    <cellStyle name="Input 33 4 4" xfId="14924" xr:uid="{00000000-0005-0000-0000-000028720000}"/>
    <cellStyle name="Input 33 4 4 2" xfId="43040" xr:uid="{00000000-0005-0000-0000-000029720000}"/>
    <cellStyle name="Input 33 4 4 3" xfId="43667" xr:uid="{00000000-0005-0000-0000-00002A720000}"/>
    <cellStyle name="Input 33 4 4 4" xfId="32559" xr:uid="{00000000-0005-0000-0000-00002B720000}"/>
    <cellStyle name="Input 33 4 5" xfId="13159" xr:uid="{00000000-0005-0000-0000-00002C720000}"/>
    <cellStyle name="Input 33 4 5 2" xfId="42380" xr:uid="{00000000-0005-0000-0000-00002D720000}"/>
    <cellStyle name="Input 33 4 5 3" xfId="39294" xr:uid="{00000000-0005-0000-0000-00002E720000}"/>
    <cellStyle name="Input 33 4 5 4" xfId="30808" xr:uid="{00000000-0005-0000-0000-00002F720000}"/>
    <cellStyle name="Input 33 4 6" xfId="20248" xr:uid="{00000000-0005-0000-0000-000030720000}"/>
    <cellStyle name="Input 33 4 6 2" xfId="45785" xr:uid="{00000000-0005-0000-0000-000031720000}"/>
    <cellStyle name="Input 33 4 6 3" xfId="49691" xr:uid="{00000000-0005-0000-0000-000032720000}"/>
    <cellStyle name="Input 33 4 6 4" xfId="37720" xr:uid="{00000000-0005-0000-0000-000033720000}"/>
    <cellStyle name="Input 33 4 7" xfId="19505" xr:uid="{00000000-0005-0000-0000-000034720000}"/>
    <cellStyle name="Input 33 4 7 2" xfId="45042" xr:uid="{00000000-0005-0000-0000-000035720000}"/>
    <cellStyle name="Input 33 4 7 3" xfId="48948" xr:uid="{00000000-0005-0000-0000-000036720000}"/>
    <cellStyle name="Input 33 4 7 4" xfId="37054" xr:uid="{00000000-0005-0000-0000-000037720000}"/>
    <cellStyle name="Input 33 4 8" xfId="20339" xr:uid="{00000000-0005-0000-0000-000038720000}"/>
    <cellStyle name="Input 33 4 8 2" xfId="45876" xr:uid="{00000000-0005-0000-0000-000039720000}"/>
    <cellStyle name="Input 33 4 8 3" xfId="49782" xr:uid="{00000000-0005-0000-0000-00003A720000}"/>
    <cellStyle name="Input 33 4 9" xfId="39900" xr:uid="{00000000-0005-0000-0000-00003B720000}"/>
    <cellStyle name="Input 33 5" xfId="22476" xr:uid="{00000000-0005-0000-0000-00003C720000}"/>
    <cellStyle name="Input 33 5 2" xfId="23040" xr:uid="{00000000-0005-0000-0000-00003D720000}"/>
    <cellStyle name="Input 33 5 2 2" xfId="47641" xr:uid="{00000000-0005-0000-0000-00003E720000}"/>
    <cellStyle name="Input 33 5 2 3" xfId="51452" xr:uid="{00000000-0005-0000-0000-00003F720000}"/>
    <cellStyle name="Input 33 5 3" xfId="47534" xr:uid="{00000000-0005-0000-0000-000040720000}"/>
    <cellStyle name="Input 33 5 4" xfId="51388" xr:uid="{00000000-0005-0000-0000-000041720000}"/>
    <cellStyle name="Input 33 5 5" xfId="53162" xr:uid="{00000000-0005-0000-0000-000042720000}"/>
    <cellStyle name="Input 33 6" xfId="22911" xr:uid="{00000000-0005-0000-0000-000043720000}"/>
    <cellStyle name="Input 33 6 2" xfId="23059" xr:uid="{00000000-0005-0000-0000-000044720000}"/>
    <cellStyle name="Input 33 6 2 2" xfId="47659" xr:uid="{00000000-0005-0000-0000-000045720000}"/>
    <cellStyle name="Input 33 6 2 3" xfId="51470" xr:uid="{00000000-0005-0000-0000-000046720000}"/>
    <cellStyle name="Input 33 6 3" xfId="47615" xr:uid="{00000000-0005-0000-0000-000047720000}"/>
    <cellStyle name="Input 33 6 4" xfId="51430" xr:uid="{00000000-0005-0000-0000-000048720000}"/>
    <cellStyle name="Input 33 6 5" xfId="53163" xr:uid="{00000000-0005-0000-0000-000049720000}"/>
    <cellStyle name="Input 33 7" xfId="53157" xr:uid="{00000000-0005-0000-0000-00004A720000}"/>
    <cellStyle name="Input 33_Sheet1" xfId="1976" xr:uid="{00000000-0005-0000-0000-00004B720000}"/>
    <cellStyle name="Input 34" xfId="1977" xr:uid="{00000000-0005-0000-0000-00004C720000}"/>
    <cellStyle name="Input 34 2" xfId="1978" xr:uid="{00000000-0005-0000-0000-00004D720000}"/>
    <cellStyle name="Input 34 2 2" xfId="1979" xr:uid="{00000000-0005-0000-0000-00004E720000}"/>
    <cellStyle name="Input 34 2 2 2" xfId="7142" xr:uid="{00000000-0005-0000-0000-00004F720000}"/>
    <cellStyle name="Input 34 2 2 2 10" xfId="42762" xr:uid="{00000000-0005-0000-0000-000050720000}"/>
    <cellStyle name="Input 34 2 2 2 2" xfId="10672" xr:uid="{00000000-0005-0000-0000-000051720000}"/>
    <cellStyle name="Input 34 2 2 2 2 2" xfId="18465" xr:uid="{00000000-0005-0000-0000-000052720000}"/>
    <cellStyle name="Input 34 2 2 2 2 2 2" xfId="44012" xr:uid="{00000000-0005-0000-0000-000053720000}"/>
    <cellStyle name="Input 34 2 2 2 2 2 3" xfId="47921" xr:uid="{00000000-0005-0000-0000-000054720000}"/>
    <cellStyle name="Input 34 2 2 2 2 2 4" xfId="36102" xr:uid="{00000000-0005-0000-0000-000055720000}"/>
    <cellStyle name="Input 34 2 2 2 2 3" xfId="19743" xr:uid="{00000000-0005-0000-0000-000056720000}"/>
    <cellStyle name="Input 34 2 2 2 2 3 2" xfId="45280" xr:uid="{00000000-0005-0000-0000-000057720000}"/>
    <cellStyle name="Input 34 2 2 2 2 3 3" xfId="49186" xr:uid="{00000000-0005-0000-0000-000058720000}"/>
    <cellStyle name="Input 34 2 2 2 2 3 4" xfId="37270" xr:uid="{00000000-0005-0000-0000-000059720000}"/>
    <cellStyle name="Input 34 2 2 2 2 4" xfId="11554" xr:uid="{00000000-0005-0000-0000-00005A720000}"/>
    <cellStyle name="Input 34 2 2 2 2 4 2" xfId="41565" xr:uid="{00000000-0005-0000-0000-00005B720000}"/>
    <cellStyle name="Input 34 2 2 2 2 4 3" xfId="42026" xr:uid="{00000000-0005-0000-0000-00005C720000}"/>
    <cellStyle name="Input 34 2 2 2 2 4 4" xfId="29266" xr:uid="{00000000-0005-0000-0000-00005D720000}"/>
    <cellStyle name="Input 34 2 2 2 2 5" xfId="20878" xr:uid="{00000000-0005-0000-0000-00005E720000}"/>
    <cellStyle name="Input 34 2 2 2 2 5 2" xfId="46415" xr:uid="{00000000-0005-0000-0000-00005F720000}"/>
    <cellStyle name="Input 34 2 2 2 2 5 3" xfId="50321" xr:uid="{00000000-0005-0000-0000-000060720000}"/>
    <cellStyle name="Input 34 2 2 2 2 5 4" xfId="38284" xr:uid="{00000000-0005-0000-0000-000061720000}"/>
    <cellStyle name="Input 34 2 2 2 2 6" xfId="21531" xr:uid="{00000000-0005-0000-0000-000062720000}"/>
    <cellStyle name="Input 34 2 2 2 2 6 2" xfId="47068" xr:uid="{00000000-0005-0000-0000-000063720000}"/>
    <cellStyle name="Input 34 2 2 2 2 6 3" xfId="50974" xr:uid="{00000000-0005-0000-0000-000064720000}"/>
    <cellStyle name="Input 34 2 2 2 2 7" xfId="40871" xr:uid="{00000000-0005-0000-0000-000065720000}"/>
    <cellStyle name="Input 34 2 2 2 2 8" xfId="43240" xr:uid="{00000000-0005-0000-0000-000066720000}"/>
    <cellStyle name="Input 34 2 2 2 3" xfId="10967" xr:uid="{00000000-0005-0000-0000-000067720000}"/>
    <cellStyle name="Input 34 2 2 2 3 2" xfId="18760" xr:uid="{00000000-0005-0000-0000-000068720000}"/>
    <cellStyle name="Input 34 2 2 2 3 2 2" xfId="44307" xr:uid="{00000000-0005-0000-0000-000069720000}"/>
    <cellStyle name="Input 34 2 2 2 3 2 3" xfId="48216" xr:uid="{00000000-0005-0000-0000-00006A720000}"/>
    <cellStyle name="Input 34 2 2 2 3 2 4" xfId="36397" xr:uid="{00000000-0005-0000-0000-00006B720000}"/>
    <cellStyle name="Input 34 2 2 2 3 3" xfId="19879" xr:uid="{00000000-0005-0000-0000-00006C720000}"/>
    <cellStyle name="Input 34 2 2 2 3 3 2" xfId="45416" xr:uid="{00000000-0005-0000-0000-00006D720000}"/>
    <cellStyle name="Input 34 2 2 2 3 3 3" xfId="49322" xr:uid="{00000000-0005-0000-0000-00006E720000}"/>
    <cellStyle name="Input 34 2 2 2 3 3 4" xfId="37393" xr:uid="{00000000-0005-0000-0000-00006F720000}"/>
    <cellStyle name="Input 34 2 2 2 3 4" xfId="19469" xr:uid="{00000000-0005-0000-0000-000070720000}"/>
    <cellStyle name="Input 34 2 2 2 3 4 2" xfId="45006" xr:uid="{00000000-0005-0000-0000-000071720000}"/>
    <cellStyle name="Input 34 2 2 2 3 4 3" xfId="48912" xr:uid="{00000000-0005-0000-0000-000072720000}"/>
    <cellStyle name="Input 34 2 2 2 3 4 4" xfId="37027" xr:uid="{00000000-0005-0000-0000-000073720000}"/>
    <cellStyle name="Input 34 2 2 2 3 5" xfId="21173" xr:uid="{00000000-0005-0000-0000-000074720000}"/>
    <cellStyle name="Input 34 2 2 2 3 5 2" xfId="46710" xr:uid="{00000000-0005-0000-0000-000075720000}"/>
    <cellStyle name="Input 34 2 2 2 3 5 3" xfId="50616" xr:uid="{00000000-0005-0000-0000-000076720000}"/>
    <cellStyle name="Input 34 2 2 2 3 5 4" xfId="38579" xr:uid="{00000000-0005-0000-0000-000077720000}"/>
    <cellStyle name="Input 34 2 2 2 3 6" xfId="21826" xr:uid="{00000000-0005-0000-0000-000078720000}"/>
    <cellStyle name="Input 34 2 2 2 3 6 2" xfId="47363" xr:uid="{00000000-0005-0000-0000-000079720000}"/>
    <cellStyle name="Input 34 2 2 2 3 6 3" xfId="51269" xr:uid="{00000000-0005-0000-0000-00007A720000}"/>
    <cellStyle name="Input 34 2 2 2 3 7" xfId="41166" xr:uid="{00000000-0005-0000-0000-00007B720000}"/>
    <cellStyle name="Input 34 2 2 2 3 8" xfId="40478" xr:uid="{00000000-0005-0000-0000-00007C720000}"/>
    <cellStyle name="Input 34 2 2 2 4" xfId="14930" xr:uid="{00000000-0005-0000-0000-00007D720000}"/>
    <cellStyle name="Input 34 2 2 2 4 2" xfId="43046" xr:uid="{00000000-0005-0000-0000-00007E720000}"/>
    <cellStyle name="Input 34 2 2 2 4 3" xfId="39528" xr:uid="{00000000-0005-0000-0000-00007F720000}"/>
    <cellStyle name="Input 34 2 2 2 4 4" xfId="32565" xr:uid="{00000000-0005-0000-0000-000080720000}"/>
    <cellStyle name="Input 34 2 2 2 5" xfId="11319" xr:uid="{00000000-0005-0000-0000-000081720000}"/>
    <cellStyle name="Input 34 2 2 2 5 2" xfId="41364" xr:uid="{00000000-0005-0000-0000-000082720000}"/>
    <cellStyle name="Input 34 2 2 2 5 3" xfId="42827" xr:uid="{00000000-0005-0000-0000-000083720000}"/>
    <cellStyle name="Input 34 2 2 2 5 4" xfId="29047" xr:uid="{00000000-0005-0000-0000-000084720000}"/>
    <cellStyle name="Input 34 2 2 2 6" xfId="11343" xr:uid="{00000000-0005-0000-0000-000085720000}"/>
    <cellStyle name="Input 34 2 2 2 6 2" xfId="41382" xr:uid="{00000000-0005-0000-0000-000086720000}"/>
    <cellStyle name="Input 34 2 2 2 6 3" xfId="43715" xr:uid="{00000000-0005-0000-0000-000087720000}"/>
    <cellStyle name="Input 34 2 2 2 6 4" xfId="29069" xr:uid="{00000000-0005-0000-0000-000088720000}"/>
    <cellStyle name="Input 34 2 2 2 7" xfId="20330" xr:uid="{00000000-0005-0000-0000-000089720000}"/>
    <cellStyle name="Input 34 2 2 2 7 2" xfId="45867" xr:uid="{00000000-0005-0000-0000-00008A720000}"/>
    <cellStyle name="Input 34 2 2 2 7 3" xfId="49773" xr:uid="{00000000-0005-0000-0000-00008B720000}"/>
    <cellStyle name="Input 34 2 2 2 7 4" xfId="37794" xr:uid="{00000000-0005-0000-0000-00008C720000}"/>
    <cellStyle name="Input 34 2 2 2 8" xfId="13306" xr:uid="{00000000-0005-0000-0000-00008D720000}"/>
    <cellStyle name="Input 34 2 2 2 8 2" xfId="42476" xr:uid="{00000000-0005-0000-0000-00008E720000}"/>
    <cellStyle name="Input 34 2 2 2 8 3" xfId="40431" xr:uid="{00000000-0005-0000-0000-00008F720000}"/>
    <cellStyle name="Input 34 2 2 2 9" xfId="39906" xr:uid="{00000000-0005-0000-0000-000090720000}"/>
    <cellStyle name="Input 34 2 2 3" xfId="53166" xr:uid="{00000000-0005-0000-0000-000091720000}"/>
    <cellStyle name="Input 34 2 3" xfId="7141" xr:uid="{00000000-0005-0000-0000-000092720000}"/>
    <cellStyle name="Input 34 2 3 10" xfId="39962" xr:uid="{00000000-0005-0000-0000-000093720000}"/>
    <cellStyle name="Input 34 2 3 2" xfId="10671" xr:uid="{00000000-0005-0000-0000-000094720000}"/>
    <cellStyle name="Input 34 2 3 2 2" xfId="18464" xr:uid="{00000000-0005-0000-0000-000095720000}"/>
    <cellStyle name="Input 34 2 3 2 2 2" xfId="44011" xr:uid="{00000000-0005-0000-0000-000096720000}"/>
    <cellStyle name="Input 34 2 3 2 2 3" xfId="47920" xr:uid="{00000000-0005-0000-0000-000097720000}"/>
    <cellStyle name="Input 34 2 3 2 2 4" xfId="36101" xr:uid="{00000000-0005-0000-0000-000098720000}"/>
    <cellStyle name="Input 34 2 3 2 3" xfId="13922" xr:uid="{00000000-0005-0000-0000-000099720000}"/>
    <cellStyle name="Input 34 2 3 2 3 2" xfId="42657" xr:uid="{00000000-0005-0000-0000-00009A720000}"/>
    <cellStyle name="Input 34 2 3 2 3 3" xfId="39643" xr:uid="{00000000-0005-0000-0000-00009B720000}"/>
    <cellStyle name="Input 34 2 3 2 3 4" xfId="31558" xr:uid="{00000000-0005-0000-0000-00009C720000}"/>
    <cellStyle name="Input 34 2 3 2 4" xfId="20304" xr:uid="{00000000-0005-0000-0000-00009D720000}"/>
    <cellStyle name="Input 34 2 3 2 4 2" xfId="45841" xr:uid="{00000000-0005-0000-0000-00009E720000}"/>
    <cellStyle name="Input 34 2 3 2 4 3" xfId="49747" xr:uid="{00000000-0005-0000-0000-00009F720000}"/>
    <cellStyle name="Input 34 2 3 2 4 4" xfId="37770" xr:uid="{00000000-0005-0000-0000-0000A0720000}"/>
    <cellStyle name="Input 34 2 3 2 5" xfId="20877" xr:uid="{00000000-0005-0000-0000-0000A1720000}"/>
    <cellStyle name="Input 34 2 3 2 5 2" xfId="46414" xr:uid="{00000000-0005-0000-0000-0000A2720000}"/>
    <cellStyle name="Input 34 2 3 2 5 3" xfId="50320" xr:uid="{00000000-0005-0000-0000-0000A3720000}"/>
    <cellStyle name="Input 34 2 3 2 5 4" xfId="38283" xr:uid="{00000000-0005-0000-0000-0000A4720000}"/>
    <cellStyle name="Input 34 2 3 2 6" xfId="21530" xr:uid="{00000000-0005-0000-0000-0000A5720000}"/>
    <cellStyle name="Input 34 2 3 2 6 2" xfId="47067" xr:uid="{00000000-0005-0000-0000-0000A6720000}"/>
    <cellStyle name="Input 34 2 3 2 6 3" xfId="50973" xr:uid="{00000000-0005-0000-0000-0000A7720000}"/>
    <cellStyle name="Input 34 2 3 2 7" xfId="40870" xr:uid="{00000000-0005-0000-0000-0000A8720000}"/>
    <cellStyle name="Input 34 2 3 2 8" xfId="41437" xr:uid="{00000000-0005-0000-0000-0000A9720000}"/>
    <cellStyle name="Input 34 2 3 3" xfId="10966" xr:uid="{00000000-0005-0000-0000-0000AA720000}"/>
    <cellStyle name="Input 34 2 3 3 2" xfId="18759" xr:uid="{00000000-0005-0000-0000-0000AB720000}"/>
    <cellStyle name="Input 34 2 3 3 2 2" xfId="44306" xr:uid="{00000000-0005-0000-0000-0000AC720000}"/>
    <cellStyle name="Input 34 2 3 3 2 3" xfId="48215" xr:uid="{00000000-0005-0000-0000-0000AD720000}"/>
    <cellStyle name="Input 34 2 3 3 2 4" xfId="36396" xr:uid="{00000000-0005-0000-0000-0000AE720000}"/>
    <cellStyle name="Input 34 2 3 3 3" xfId="19270" xr:uid="{00000000-0005-0000-0000-0000AF720000}"/>
    <cellStyle name="Input 34 2 3 3 3 2" xfId="44807" xr:uid="{00000000-0005-0000-0000-0000B0720000}"/>
    <cellStyle name="Input 34 2 3 3 3 3" xfId="48713" xr:uid="{00000000-0005-0000-0000-0000B1720000}"/>
    <cellStyle name="Input 34 2 3 3 3 4" xfId="36848" xr:uid="{00000000-0005-0000-0000-0000B2720000}"/>
    <cellStyle name="Input 34 2 3 3 4" xfId="11661" xr:uid="{00000000-0005-0000-0000-0000B3720000}"/>
    <cellStyle name="Input 34 2 3 3 4 2" xfId="41672" xr:uid="{00000000-0005-0000-0000-0000B4720000}"/>
    <cellStyle name="Input 34 2 3 3 4 3" xfId="40206" xr:uid="{00000000-0005-0000-0000-0000B5720000}"/>
    <cellStyle name="Input 34 2 3 3 4 4" xfId="29360" xr:uid="{00000000-0005-0000-0000-0000B6720000}"/>
    <cellStyle name="Input 34 2 3 3 5" xfId="21172" xr:uid="{00000000-0005-0000-0000-0000B7720000}"/>
    <cellStyle name="Input 34 2 3 3 5 2" xfId="46709" xr:uid="{00000000-0005-0000-0000-0000B8720000}"/>
    <cellStyle name="Input 34 2 3 3 5 3" xfId="50615" xr:uid="{00000000-0005-0000-0000-0000B9720000}"/>
    <cellStyle name="Input 34 2 3 3 5 4" xfId="38578" xr:uid="{00000000-0005-0000-0000-0000BA720000}"/>
    <cellStyle name="Input 34 2 3 3 6" xfId="21825" xr:uid="{00000000-0005-0000-0000-0000BB720000}"/>
    <cellStyle name="Input 34 2 3 3 6 2" xfId="47362" xr:uid="{00000000-0005-0000-0000-0000BC720000}"/>
    <cellStyle name="Input 34 2 3 3 6 3" xfId="51268" xr:uid="{00000000-0005-0000-0000-0000BD720000}"/>
    <cellStyle name="Input 34 2 3 3 7" xfId="41165" xr:uid="{00000000-0005-0000-0000-0000BE720000}"/>
    <cellStyle name="Input 34 2 3 3 8" xfId="43620" xr:uid="{00000000-0005-0000-0000-0000BF720000}"/>
    <cellStyle name="Input 34 2 3 4" xfId="14929" xr:uid="{00000000-0005-0000-0000-0000C0720000}"/>
    <cellStyle name="Input 34 2 3 4 2" xfId="43045" xr:uid="{00000000-0005-0000-0000-0000C1720000}"/>
    <cellStyle name="Input 34 2 3 4 3" xfId="40419" xr:uid="{00000000-0005-0000-0000-0000C2720000}"/>
    <cellStyle name="Input 34 2 3 4 4" xfId="32564" xr:uid="{00000000-0005-0000-0000-0000C3720000}"/>
    <cellStyle name="Input 34 2 3 5" xfId="12484" xr:uid="{00000000-0005-0000-0000-0000C4720000}"/>
    <cellStyle name="Input 34 2 3 5 2" xfId="42004" xr:uid="{00000000-0005-0000-0000-0000C5720000}"/>
    <cellStyle name="Input 34 2 3 5 3" xfId="42567" xr:uid="{00000000-0005-0000-0000-0000C6720000}"/>
    <cellStyle name="Input 34 2 3 5 4" xfId="30155" xr:uid="{00000000-0005-0000-0000-0000C7720000}"/>
    <cellStyle name="Input 34 2 3 6" xfId="20269" xr:uid="{00000000-0005-0000-0000-0000C8720000}"/>
    <cellStyle name="Input 34 2 3 6 2" xfId="45806" xr:uid="{00000000-0005-0000-0000-0000C9720000}"/>
    <cellStyle name="Input 34 2 3 6 3" xfId="49712" xr:uid="{00000000-0005-0000-0000-0000CA720000}"/>
    <cellStyle name="Input 34 2 3 6 4" xfId="37739" xr:uid="{00000000-0005-0000-0000-0000CB720000}"/>
    <cellStyle name="Input 34 2 3 7" xfId="11591" xr:uid="{00000000-0005-0000-0000-0000CC720000}"/>
    <cellStyle name="Input 34 2 3 7 2" xfId="41602" xr:uid="{00000000-0005-0000-0000-0000CD720000}"/>
    <cellStyle name="Input 34 2 3 7 3" xfId="41392" xr:uid="{00000000-0005-0000-0000-0000CE720000}"/>
    <cellStyle name="Input 34 2 3 7 4" xfId="29299" xr:uid="{00000000-0005-0000-0000-0000CF720000}"/>
    <cellStyle name="Input 34 2 3 8" xfId="19388" xr:uid="{00000000-0005-0000-0000-0000D0720000}"/>
    <cellStyle name="Input 34 2 3 8 2" xfId="44925" xr:uid="{00000000-0005-0000-0000-0000D1720000}"/>
    <cellStyle name="Input 34 2 3 8 3" xfId="48831" xr:uid="{00000000-0005-0000-0000-0000D2720000}"/>
    <cellStyle name="Input 34 2 3 9" xfId="39905" xr:uid="{00000000-0005-0000-0000-0000D3720000}"/>
    <cellStyle name="Input 34 2 4" xfId="53165" xr:uid="{00000000-0005-0000-0000-0000D4720000}"/>
    <cellStyle name="Input 34 2_Sheet1" xfId="1980" xr:uid="{00000000-0005-0000-0000-0000D5720000}"/>
    <cellStyle name="Input 34 3" xfId="1981" xr:uid="{00000000-0005-0000-0000-0000D6720000}"/>
    <cellStyle name="Input 34 3 2" xfId="7143" xr:uid="{00000000-0005-0000-0000-0000D7720000}"/>
    <cellStyle name="Input 34 3 2 10" xfId="43650" xr:uid="{00000000-0005-0000-0000-0000D8720000}"/>
    <cellStyle name="Input 34 3 2 2" xfId="10673" xr:uid="{00000000-0005-0000-0000-0000D9720000}"/>
    <cellStyle name="Input 34 3 2 2 2" xfId="18466" xr:uid="{00000000-0005-0000-0000-0000DA720000}"/>
    <cellStyle name="Input 34 3 2 2 2 2" xfId="44013" xr:uid="{00000000-0005-0000-0000-0000DB720000}"/>
    <cellStyle name="Input 34 3 2 2 2 3" xfId="47922" xr:uid="{00000000-0005-0000-0000-0000DC720000}"/>
    <cellStyle name="Input 34 3 2 2 2 4" xfId="36103" xr:uid="{00000000-0005-0000-0000-0000DD720000}"/>
    <cellStyle name="Input 34 3 2 2 3" xfId="11502" xr:uid="{00000000-0005-0000-0000-0000DE720000}"/>
    <cellStyle name="Input 34 3 2 2 3 2" xfId="41513" xr:uid="{00000000-0005-0000-0000-0000DF720000}"/>
    <cellStyle name="Input 34 3 2 2 3 3" xfId="42717" xr:uid="{00000000-0005-0000-0000-0000E0720000}"/>
    <cellStyle name="Input 34 3 2 2 3 4" xfId="29217" xr:uid="{00000000-0005-0000-0000-0000E1720000}"/>
    <cellStyle name="Input 34 3 2 2 4" xfId="20229" xr:uid="{00000000-0005-0000-0000-0000E2720000}"/>
    <cellStyle name="Input 34 3 2 2 4 2" xfId="45766" xr:uid="{00000000-0005-0000-0000-0000E3720000}"/>
    <cellStyle name="Input 34 3 2 2 4 3" xfId="49672" xr:uid="{00000000-0005-0000-0000-0000E4720000}"/>
    <cellStyle name="Input 34 3 2 2 4 4" xfId="37704" xr:uid="{00000000-0005-0000-0000-0000E5720000}"/>
    <cellStyle name="Input 34 3 2 2 5" xfId="20879" xr:uid="{00000000-0005-0000-0000-0000E6720000}"/>
    <cellStyle name="Input 34 3 2 2 5 2" xfId="46416" xr:uid="{00000000-0005-0000-0000-0000E7720000}"/>
    <cellStyle name="Input 34 3 2 2 5 3" xfId="50322" xr:uid="{00000000-0005-0000-0000-0000E8720000}"/>
    <cellStyle name="Input 34 3 2 2 5 4" xfId="38285" xr:uid="{00000000-0005-0000-0000-0000E9720000}"/>
    <cellStyle name="Input 34 3 2 2 6" xfId="21532" xr:uid="{00000000-0005-0000-0000-0000EA720000}"/>
    <cellStyle name="Input 34 3 2 2 6 2" xfId="47069" xr:uid="{00000000-0005-0000-0000-0000EB720000}"/>
    <cellStyle name="Input 34 3 2 2 6 3" xfId="50975" xr:uid="{00000000-0005-0000-0000-0000EC720000}"/>
    <cellStyle name="Input 34 3 2 2 7" xfId="40872" xr:uid="{00000000-0005-0000-0000-0000ED720000}"/>
    <cellStyle name="Input 34 3 2 2 8" xfId="40099" xr:uid="{00000000-0005-0000-0000-0000EE720000}"/>
    <cellStyle name="Input 34 3 2 3" xfId="10968" xr:uid="{00000000-0005-0000-0000-0000EF720000}"/>
    <cellStyle name="Input 34 3 2 3 2" xfId="18761" xr:uid="{00000000-0005-0000-0000-0000F0720000}"/>
    <cellStyle name="Input 34 3 2 3 2 2" xfId="44308" xr:uid="{00000000-0005-0000-0000-0000F1720000}"/>
    <cellStyle name="Input 34 3 2 3 2 3" xfId="48217" xr:uid="{00000000-0005-0000-0000-0000F2720000}"/>
    <cellStyle name="Input 34 3 2 3 2 4" xfId="36398" xr:uid="{00000000-0005-0000-0000-0000F3720000}"/>
    <cellStyle name="Input 34 3 2 3 3" xfId="19102" xr:uid="{00000000-0005-0000-0000-0000F4720000}"/>
    <cellStyle name="Input 34 3 2 3 3 2" xfId="44639" xr:uid="{00000000-0005-0000-0000-0000F5720000}"/>
    <cellStyle name="Input 34 3 2 3 3 3" xfId="48545" xr:uid="{00000000-0005-0000-0000-0000F6720000}"/>
    <cellStyle name="Input 34 3 2 3 3 4" xfId="36697" xr:uid="{00000000-0005-0000-0000-0000F7720000}"/>
    <cellStyle name="Input 34 3 2 3 4" xfId="19029" xr:uid="{00000000-0005-0000-0000-0000F8720000}"/>
    <cellStyle name="Input 34 3 2 3 4 2" xfId="44566" xr:uid="{00000000-0005-0000-0000-0000F9720000}"/>
    <cellStyle name="Input 34 3 2 3 4 3" xfId="48472" xr:uid="{00000000-0005-0000-0000-0000FA720000}"/>
    <cellStyle name="Input 34 3 2 3 4 4" xfId="36635" xr:uid="{00000000-0005-0000-0000-0000FB720000}"/>
    <cellStyle name="Input 34 3 2 3 5" xfId="21174" xr:uid="{00000000-0005-0000-0000-0000FC720000}"/>
    <cellStyle name="Input 34 3 2 3 5 2" xfId="46711" xr:uid="{00000000-0005-0000-0000-0000FD720000}"/>
    <cellStyle name="Input 34 3 2 3 5 3" xfId="50617" xr:uid="{00000000-0005-0000-0000-0000FE720000}"/>
    <cellStyle name="Input 34 3 2 3 5 4" xfId="38580" xr:uid="{00000000-0005-0000-0000-0000FF720000}"/>
    <cellStyle name="Input 34 3 2 3 6" xfId="21827" xr:uid="{00000000-0005-0000-0000-000000730000}"/>
    <cellStyle name="Input 34 3 2 3 6 2" xfId="47364" xr:uid="{00000000-0005-0000-0000-000001730000}"/>
    <cellStyle name="Input 34 3 2 3 6 3" xfId="51270" xr:uid="{00000000-0005-0000-0000-000002730000}"/>
    <cellStyle name="Input 34 3 2 3 7" xfId="41167" xr:uid="{00000000-0005-0000-0000-000003730000}"/>
    <cellStyle name="Input 34 3 2 3 8" xfId="39588" xr:uid="{00000000-0005-0000-0000-000004730000}"/>
    <cellStyle name="Input 34 3 2 4" xfId="14931" xr:uid="{00000000-0005-0000-0000-000005730000}"/>
    <cellStyle name="Input 34 3 2 4 2" xfId="43047" xr:uid="{00000000-0005-0000-0000-000006730000}"/>
    <cellStyle name="Input 34 3 2 4 3" xfId="42538" xr:uid="{00000000-0005-0000-0000-000007730000}"/>
    <cellStyle name="Input 34 3 2 4 4" xfId="32566" xr:uid="{00000000-0005-0000-0000-000008730000}"/>
    <cellStyle name="Input 34 3 2 5" xfId="12485" xr:uid="{00000000-0005-0000-0000-000009730000}"/>
    <cellStyle name="Input 34 3 2 5 2" xfId="42005" xr:uid="{00000000-0005-0000-0000-00000A730000}"/>
    <cellStyle name="Input 34 3 2 5 3" xfId="43480" xr:uid="{00000000-0005-0000-0000-00000B730000}"/>
    <cellStyle name="Input 34 3 2 5 4" xfId="30156" xr:uid="{00000000-0005-0000-0000-00000C730000}"/>
    <cellStyle name="Input 34 3 2 6" xfId="19785" xr:uid="{00000000-0005-0000-0000-00000D730000}"/>
    <cellStyle name="Input 34 3 2 6 2" xfId="45322" xr:uid="{00000000-0005-0000-0000-00000E730000}"/>
    <cellStyle name="Input 34 3 2 6 3" xfId="49228" xr:uid="{00000000-0005-0000-0000-00000F730000}"/>
    <cellStyle name="Input 34 3 2 6 4" xfId="37310" xr:uid="{00000000-0005-0000-0000-000010730000}"/>
    <cellStyle name="Input 34 3 2 7" xfId="20499" xr:uid="{00000000-0005-0000-0000-000011730000}"/>
    <cellStyle name="Input 34 3 2 7 2" xfId="46036" xr:uid="{00000000-0005-0000-0000-000012730000}"/>
    <cellStyle name="Input 34 3 2 7 3" xfId="49942" xr:uid="{00000000-0005-0000-0000-000013730000}"/>
    <cellStyle name="Input 34 3 2 7 4" xfId="37943" xr:uid="{00000000-0005-0000-0000-000014730000}"/>
    <cellStyle name="Input 34 3 2 8" xfId="18899" xr:uid="{00000000-0005-0000-0000-000015730000}"/>
    <cellStyle name="Input 34 3 2 8 2" xfId="44436" xr:uid="{00000000-0005-0000-0000-000016730000}"/>
    <cellStyle name="Input 34 3 2 8 3" xfId="48342" xr:uid="{00000000-0005-0000-0000-000017730000}"/>
    <cellStyle name="Input 34 3 2 9" xfId="39907" xr:uid="{00000000-0005-0000-0000-000018730000}"/>
    <cellStyle name="Input 34 3 3" xfId="53167" xr:uid="{00000000-0005-0000-0000-000019730000}"/>
    <cellStyle name="Input 34 4" xfId="7140" xr:uid="{00000000-0005-0000-0000-00001A730000}"/>
    <cellStyle name="Input 34 4 10" xfId="40628" xr:uid="{00000000-0005-0000-0000-00001B730000}"/>
    <cellStyle name="Input 34 4 11" xfId="53168" xr:uid="{00000000-0005-0000-0000-00001C730000}"/>
    <cellStyle name="Input 34 4 2" xfId="10670" xr:uid="{00000000-0005-0000-0000-00001D730000}"/>
    <cellStyle name="Input 34 4 2 2" xfId="18463" xr:uid="{00000000-0005-0000-0000-00001E730000}"/>
    <cellStyle name="Input 34 4 2 2 2" xfId="44010" xr:uid="{00000000-0005-0000-0000-00001F730000}"/>
    <cellStyle name="Input 34 4 2 2 3" xfId="47919" xr:uid="{00000000-0005-0000-0000-000020730000}"/>
    <cellStyle name="Input 34 4 2 2 4" xfId="36100" xr:uid="{00000000-0005-0000-0000-000021730000}"/>
    <cellStyle name="Input 34 4 2 3" xfId="11501" xr:uid="{00000000-0005-0000-0000-000022730000}"/>
    <cellStyle name="Input 34 4 2 3 2" xfId="41512" xr:uid="{00000000-0005-0000-0000-000023730000}"/>
    <cellStyle name="Input 34 4 2 3 3" xfId="39680" xr:uid="{00000000-0005-0000-0000-000024730000}"/>
    <cellStyle name="Input 34 4 2 3 4" xfId="29216" xr:uid="{00000000-0005-0000-0000-000025730000}"/>
    <cellStyle name="Input 34 4 2 4" xfId="11683" xr:uid="{00000000-0005-0000-0000-000026730000}"/>
    <cellStyle name="Input 34 4 2 4 2" xfId="41694" xr:uid="{00000000-0005-0000-0000-000027730000}"/>
    <cellStyle name="Input 34 4 2 4 3" xfId="39346" xr:uid="{00000000-0005-0000-0000-000028730000}"/>
    <cellStyle name="Input 34 4 2 4 4" xfId="29376" xr:uid="{00000000-0005-0000-0000-000029730000}"/>
    <cellStyle name="Input 34 4 2 5" xfId="20876" xr:uid="{00000000-0005-0000-0000-00002A730000}"/>
    <cellStyle name="Input 34 4 2 5 2" xfId="46413" xr:uid="{00000000-0005-0000-0000-00002B730000}"/>
    <cellStyle name="Input 34 4 2 5 3" xfId="50319" xr:uid="{00000000-0005-0000-0000-00002C730000}"/>
    <cellStyle name="Input 34 4 2 5 4" xfId="38282" xr:uid="{00000000-0005-0000-0000-00002D730000}"/>
    <cellStyle name="Input 34 4 2 6" xfId="21529" xr:uid="{00000000-0005-0000-0000-00002E730000}"/>
    <cellStyle name="Input 34 4 2 6 2" xfId="47066" xr:uid="{00000000-0005-0000-0000-00002F730000}"/>
    <cellStyle name="Input 34 4 2 6 3" xfId="50972" xr:uid="{00000000-0005-0000-0000-000030730000}"/>
    <cellStyle name="Input 34 4 2 7" xfId="40869" xr:uid="{00000000-0005-0000-0000-000031730000}"/>
    <cellStyle name="Input 34 4 2 8" xfId="39196" xr:uid="{00000000-0005-0000-0000-000032730000}"/>
    <cellStyle name="Input 34 4 3" xfId="10965" xr:uid="{00000000-0005-0000-0000-000033730000}"/>
    <cellStyle name="Input 34 4 3 2" xfId="18758" xr:uid="{00000000-0005-0000-0000-000034730000}"/>
    <cellStyle name="Input 34 4 3 2 2" xfId="44305" xr:uid="{00000000-0005-0000-0000-000035730000}"/>
    <cellStyle name="Input 34 4 3 2 3" xfId="48214" xr:uid="{00000000-0005-0000-0000-000036730000}"/>
    <cellStyle name="Input 34 4 3 2 4" xfId="36395" xr:uid="{00000000-0005-0000-0000-000037730000}"/>
    <cellStyle name="Input 34 4 3 3" xfId="20004" xr:uid="{00000000-0005-0000-0000-000038730000}"/>
    <cellStyle name="Input 34 4 3 3 2" xfId="45541" xr:uid="{00000000-0005-0000-0000-000039730000}"/>
    <cellStyle name="Input 34 4 3 3 3" xfId="49447" xr:uid="{00000000-0005-0000-0000-00003A730000}"/>
    <cellStyle name="Input 34 4 3 3 4" xfId="37502" xr:uid="{00000000-0005-0000-0000-00003B730000}"/>
    <cellStyle name="Input 34 4 3 4" xfId="12087" xr:uid="{00000000-0005-0000-0000-00003C730000}"/>
    <cellStyle name="Input 34 4 3 4 2" xfId="41832" xr:uid="{00000000-0005-0000-0000-00003D730000}"/>
    <cellStyle name="Input 34 4 3 4 3" xfId="39331" xr:uid="{00000000-0005-0000-0000-00003E730000}"/>
    <cellStyle name="Input 34 4 3 4 4" xfId="29763" xr:uid="{00000000-0005-0000-0000-00003F730000}"/>
    <cellStyle name="Input 34 4 3 5" xfId="21171" xr:uid="{00000000-0005-0000-0000-000040730000}"/>
    <cellStyle name="Input 34 4 3 5 2" xfId="46708" xr:uid="{00000000-0005-0000-0000-000041730000}"/>
    <cellStyle name="Input 34 4 3 5 3" xfId="50614" xr:uid="{00000000-0005-0000-0000-000042730000}"/>
    <cellStyle name="Input 34 4 3 5 4" xfId="38577" xr:uid="{00000000-0005-0000-0000-000043730000}"/>
    <cellStyle name="Input 34 4 3 6" xfId="21824" xr:uid="{00000000-0005-0000-0000-000044730000}"/>
    <cellStyle name="Input 34 4 3 6 2" xfId="47361" xr:uid="{00000000-0005-0000-0000-000045730000}"/>
    <cellStyle name="Input 34 4 3 6 3" xfId="51267" xr:uid="{00000000-0005-0000-0000-000046730000}"/>
    <cellStyle name="Input 34 4 3 7" xfId="41164" xr:uid="{00000000-0005-0000-0000-000047730000}"/>
    <cellStyle name="Input 34 4 3 8" xfId="42731" xr:uid="{00000000-0005-0000-0000-000048730000}"/>
    <cellStyle name="Input 34 4 4" xfId="14928" xr:uid="{00000000-0005-0000-0000-000049730000}"/>
    <cellStyle name="Input 34 4 4 2" xfId="43044" xr:uid="{00000000-0005-0000-0000-00004A730000}"/>
    <cellStyle name="Input 34 4 4 3" xfId="43558" xr:uid="{00000000-0005-0000-0000-00004B730000}"/>
    <cellStyle name="Input 34 4 4 4" xfId="32563" xr:uid="{00000000-0005-0000-0000-00004C730000}"/>
    <cellStyle name="Input 34 4 5" xfId="12483" xr:uid="{00000000-0005-0000-0000-00004D730000}"/>
    <cellStyle name="Input 34 4 5 2" xfId="42003" xr:uid="{00000000-0005-0000-0000-00004E730000}"/>
    <cellStyle name="Input 34 4 5 3" xfId="39561" xr:uid="{00000000-0005-0000-0000-00004F730000}"/>
    <cellStyle name="Input 34 4 5 4" xfId="30154" xr:uid="{00000000-0005-0000-0000-000050730000}"/>
    <cellStyle name="Input 34 4 6" xfId="11462" xr:uid="{00000000-0005-0000-0000-000051730000}"/>
    <cellStyle name="Input 34 4 6 2" xfId="41473" xr:uid="{00000000-0005-0000-0000-000052730000}"/>
    <cellStyle name="Input 34 4 6 3" xfId="42585" xr:uid="{00000000-0005-0000-0000-000053730000}"/>
    <cellStyle name="Input 34 4 6 4" xfId="29181" xr:uid="{00000000-0005-0000-0000-000054730000}"/>
    <cellStyle name="Input 34 4 7" xfId="11801" xr:uid="{00000000-0005-0000-0000-000055730000}"/>
    <cellStyle name="Input 34 4 7 2" xfId="41751" xr:uid="{00000000-0005-0000-0000-000056730000}"/>
    <cellStyle name="Input 34 4 7 3" xfId="43168" xr:uid="{00000000-0005-0000-0000-000057730000}"/>
    <cellStyle name="Input 34 4 7 4" xfId="29487" xr:uid="{00000000-0005-0000-0000-000058730000}"/>
    <cellStyle name="Input 34 4 8" xfId="13912" xr:uid="{00000000-0005-0000-0000-000059730000}"/>
    <cellStyle name="Input 34 4 8 2" xfId="42647" xr:uid="{00000000-0005-0000-0000-00005A730000}"/>
    <cellStyle name="Input 34 4 8 3" xfId="39283" xr:uid="{00000000-0005-0000-0000-00005B730000}"/>
    <cellStyle name="Input 34 4 9" xfId="39904" xr:uid="{00000000-0005-0000-0000-00005C730000}"/>
    <cellStyle name="Input 34 5" xfId="22477" xr:uid="{00000000-0005-0000-0000-00005D730000}"/>
    <cellStyle name="Input 34 5 2" xfId="23041" xr:uid="{00000000-0005-0000-0000-00005E730000}"/>
    <cellStyle name="Input 34 5 2 2" xfId="47642" xr:uid="{00000000-0005-0000-0000-00005F730000}"/>
    <cellStyle name="Input 34 5 2 3" xfId="51453" xr:uid="{00000000-0005-0000-0000-000060730000}"/>
    <cellStyle name="Input 34 5 3" xfId="47535" xr:uid="{00000000-0005-0000-0000-000061730000}"/>
    <cellStyle name="Input 34 5 4" xfId="51389" xr:uid="{00000000-0005-0000-0000-000062730000}"/>
    <cellStyle name="Input 34 5 5" xfId="53169" xr:uid="{00000000-0005-0000-0000-000063730000}"/>
    <cellStyle name="Input 34 6" xfId="22910" xr:uid="{00000000-0005-0000-0000-000064730000}"/>
    <cellStyle name="Input 34 6 2" xfId="23058" xr:uid="{00000000-0005-0000-0000-000065730000}"/>
    <cellStyle name="Input 34 6 2 2" xfId="47658" xr:uid="{00000000-0005-0000-0000-000066730000}"/>
    <cellStyle name="Input 34 6 2 3" xfId="51469" xr:uid="{00000000-0005-0000-0000-000067730000}"/>
    <cellStyle name="Input 34 6 3" xfId="47614" xr:uid="{00000000-0005-0000-0000-000068730000}"/>
    <cellStyle name="Input 34 6 4" xfId="51429" xr:uid="{00000000-0005-0000-0000-000069730000}"/>
    <cellStyle name="Input 34 6 5" xfId="53170" xr:uid="{00000000-0005-0000-0000-00006A730000}"/>
    <cellStyle name="Input 34 7" xfId="53164" xr:uid="{00000000-0005-0000-0000-00006B730000}"/>
    <cellStyle name="Input 34_Sheet1" xfId="1982" xr:uid="{00000000-0005-0000-0000-00006C730000}"/>
    <cellStyle name="Input 35" xfId="1983" xr:uid="{00000000-0005-0000-0000-00006D730000}"/>
    <cellStyle name="Input 35 2" xfId="1984" xr:uid="{00000000-0005-0000-0000-00006E730000}"/>
    <cellStyle name="Input 35 2 2" xfId="1985" xr:uid="{00000000-0005-0000-0000-00006F730000}"/>
    <cellStyle name="Input 35 2 2 2" xfId="7146" xr:uid="{00000000-0005-0000-0000-000070730000}"/>
    <cellStyle name="Input 35 2 2 2 10" xfId="42626" xr:uid="{00000000-0005-0000-0000-000071730000}"/>
    <cellStyle name="Input 35 2 2 2 2" xfId="10676" xr:uid="{00000000-0005-0000-0000-000072730000}"/>
    <cellStyle name="Input 35 2 2 2 2 2" xfId="18469" xr:uid="{00000000-0005-0000-0000-000073730000}"/>
    <cellStyle name="Input 35 2 2 2 2 2 2" xfId="44016" xr:uid="{00000000-0005-0000-0000-000074730000}"/>
    <cellStyle name="Input 35 2 2 2 2 2 3" xfId="47925" xr:uid="{00000000-0005-0000-0000-000075730000}"/>
    <cellStyle name="Input 35 2 2 2 2 2 4" xfId="36106" xr:uid="{00000000-0005-0000-0000-000076730000}"/>
    <cellStyle name="Input 35 2 2 2 2 3" xfId="19606" xr:uid="{00000000-0005-0000-0000-000077730000}"/>
    <cellStyle name="Input 35 2 2 2 2 3 2" xfId="45143" xr:uid="{00000000-0005-0000-0000-000078730000}"/>
    <cellStyle name="Input 35 2 2 2 2 3 3" xfId="49049" xr:uid="{00000000-0005-0000-0000-000079730000}"/>
    <cellStyle name="Input 35 2 2 2 2 3 4" xfId="37146" xr:uid="{00000000-0005-0000-0000-00007A730000}"/>
    <cellStyle name="Input 35 2 2 2 2 4" xfId="11448" xr:uid="{00000000-0005-0000-0000-00007B730000}"/>
    <cellStyle name="Input 35 2 2 2 2 4 2" xfId="41459" xr:uid="{00000000-0005-0000-0000-00007C730000}"/>
    <cellStyle name="Input 35 2 2 2 2 4 3" xfId="43355" xr:uid="{00000000-0005-0000-0000-00007D730000}"/>
    <cellStyle name="Input 35 2 2 2 2 4 4" xfId="29168" xr:uid="{00000000-0005-0000-0000-00007E730000}"/>
    <cellStyle name="Input 35 2 2 2 2 5" xfId="20882" xr:uid="{00000000-0005-0000-0000-00007F730000}"/>
    <cellStyle name="Input 35 2 2 2 2 5 2" xfId="46419" xr:uid="{00000000-0005-0000-0000-000080730000}"/>
    <cellStyle name="Input 35 2 2 2 2 5 3" xfId="50325" xr:uid="{00000000-0005-0000-0000-000081730000}"/>
    <cellStyle name="Input 35 2 2 2 2 5 4" xfId="38288" xr:uid="{00000000-0005-0000-0000-000082730000}"/>
    <cellStyle name="Input 35 2 2 2 2 6" xfId="21535" xr:uid="{00000000-0005-0000-0000-000083730000}"/>
    <cellStyle name="Input 35 2 2 2 2 6 2" xfId="47072" xr:uid="{00000000-0005-0000-0000-000084730000}"/>
    <cellStyle name="Input 35 2 2 2 2 6 3" xfId="50978" xr:uid="{00000000-0005-0000-0000-000085730000}"/>
    <cellStyle name="Input 35 2 2 2 2 7" xfId="40875" xr:uid="{00000000-0005-0000-0000-000086730000}"/>
    <cellStyle name="Input 35 2 2 2 2 8" xfId="40596" xr:uid="{00000000-0005-0000-0000-000087730000}"/>
    <cellStyle name="Input 35 2 2 2 3" xfId="10971" xr:uid="{00000000-0005-0000-0000-000088730000}"/>
    <cellStyle name="Input 35 2 2 2 3 2" xfId="18764" xr:uid="{00000000-0005-0000-0000-000089730000}"/>
    <cellStyle name="Input 35 2 2 2 3 2 2" xfId="44311" xr:uid="{00000000-0005-0000-0000-00008A730000}"/>
    <cellStyle name="Input 35 2 2 2 3 2 3" xfId="48220" xr:uid="{00000000-0005-0000-0000-00008B730000}"/>
    <cellStyle name="Input 35 2 2 2 3 2 4" xfId="36401" xr:uid="{00000000-0005-0000-0000-00008C730000}"/>
    <cellStyle name="Input 35 2 2 2 3 3" xfId="20137" xr:uid="{00000000-0005-0000-0000-00008D730000}"/>
    <cellStyle name="Input 35 2 2 2 3 3 2" xfId="45674" xr:uid="{00000000-0005-0000-0000-00008E730000}"/>
    <cellStyle name="Input 35 2 2 2 3 3 3" xfId="49580" xr:uid="{00000000-0005-0000-0000-00008F730000}"/>
    <cellStyle name="Input 35 2 2 2 3 3 4" xfId="37623" xr:uid="{00000000-0005-0000-0000-000090730000}"/>
    <cellStyle name="Input 35 2 2 2 3 4" xfId="11624" xr:uid="{00000000-0005-0000-0000-000091730000}"/>
    <cellStyle name="Input 35 2 2 2 3 4 2" xfId="41635" xr:uid="{00000000-0005-0000-0000-000092730000}"/>
    <cellStyle name="Input 35 2 2 2 3 4 3" xfId="43491" xr:uid="{00000000-0005-0000-0000-000093730000}"/>
    <cellStyle name="Input 35 2 2 2 3 4 4" xfId="29327" xr:uid="{00000000-0005-0000-0000-000094730000}"/>
    <cellStyle name="Input 35 2 2 2 3 5" xfId="21177" xr:uid="{00000000-0005-0000-0000-000095730000}"/>
    <cellStyle name="Input 35 2 2 2 3 5 2" xfId="46714" xr:uid="{00000000-0005-0000-0000-000096730000}"/>
    <cellStyle name="Input 35 2 2 2 3 5 3" xfId="50620" xr:uid="{00000000-0005-0000-0000-000097730000}"/>
    <cellStyle name="Input 35 2 2 2 3 5 4" xfId="38583" xr:uid="{00000000-0005-0000-0000-000098730000}"/>
    <cellStyle name="Input 35 2 2 2 3 6" xfId="21830" xr:uid="{00000000-0005-0000-0000-000099730000}"/>
    <cellStyle name="Input 35 2 2 2 3 6 2" xfId="47367" xr:uid="{00000000-0005-0000-0000-00009A730000}"/>
    <cellStyle name="Input 35 2 2 2 3 6 3" xfId="51273" xr:uid="{00000000-0005-0000-0000-00009B730000}"/>
    <cellStyle name="Input 35 2 2 2 3 7" xfId="41170" xr:uid="{00000000-0005-0000-0000-00009C730000}"/>
    <cellStyle name="Input 35 2 2 2 3 8" xfId="40372" xr:uid="{00000000-0005-0000-0000-00009D730000}"/>
    <cellStyle name="Input 35 2 2 2 4" xfId="14934" xr:uid="{00000000-0005-0000-0000-00009E730000}"/>
    <cellStyle name="Input 35 2 2 2 4 2" xfId="43050" xr:uid="{00000000-0005-0000-0000-00009F730000}"/>
    <cellStyle name="Input 35 2 2 2 4 3" xfId="39428" xr:uid="{00000000-0005-0000-0000-0000A0730000}"/>
    <cellStyle name="Input 35 2 2 2 4 4" xfId="32569" xr:uid="{00000000-0005-0000-0000-0000A1730000}"/>
    <cellStyle name="Input 35 2 2 2 5" xfId="13165" xr:uid="{00000000-0005-0000-0000-0000A2730000}"/>
    <cellStyle name="Input 35 2 2 2 5 2" xfId="42386" xr:uid="{00000000-0005-0000-0000-0000A3730000}"/>
    <cellStyle name="Input 35 2 2 2 5 3" xfId="39091" xr:uid="{00000000-0005-0000-0000-0000A4730000}"/>
    <cellStyle name="Input 35 2 2 2 5 4" xfId="30814" xr:uid="{00000000-0005-0000-0000-0000A5730000}"/>
    <cellStyle name="Input 35 2 2 2 6" xfId="12043" xr:uid="{00000000-0005-0000-0000-0000A6730000}"/>
    <cellStyle name="Input 35 2 2 2 6 2" xfId="41799" xr:uid="{00000000-0005-0000-0000-0000A7730000}"/>
    <cellStyle name="Input 35 2 2 2 6 3" xfId="47587" xr:uid="{00000000-0005-0000-0000-0000A8730000}"/>
    <cellStyle name="Input 35 2 2 2 6 4" xfId="29722" xr:uid="{00000000-0005-0000-0000-0000A9730000}"/>
    <cellStyle name="Input 35 2 2 2 7" xfId="20468" xr:uid="{00000000-0005-0000-0000-0000AA730000}"/>
    <cellStyle name="Input 35 2 2 2 7 2" xfId="46005" xr:uid="{00000000-0005-0000-0000-0000AB730000}"/>
    <cellStyle name="Input 35 2 2 2 7 3" xfId="49911" xr:uid="{00000000-0005-0000-0000-0000AC730000}"/>
    <cellStyle name="Input 35 2 2 2 7 4" xfId="37921" xr:uid="{00000000-0005-0000-0000-0000AD730000}"/>
    <cellStyle name="Input 35 2 2 2 8" xfId="19224" xr:uid="{00000000-0005-0000-0000-0000AE730000}"/>
    <cellStyle name="Input 35 2 2 2 8 2" xfId="44761" xr:uid="{00000000-0005-0000-0000-0000AF730000}"/>
    <cellStyle name="Input 35 2 2 2 8 3" xfId="48667" xr:uid="{00000000-0005-0000-0000-0000B0730000}"/>
    <cellStyle name="Input 35 2 2 2 9" xfId="39910" xr:uid="{00000000-0005-0000-0000-0000B1730000}"/>
    <cellStyle name="Input 35 2 2 3" xfId="53173" xr:uid="{00000000-0005-0000-0000-0000B2730000}"/>
    <cellStyle name="Input 35 2 3" xfId="7145" xr:uid="{00000000-0005-0000-0000-0000B3730000}"/>
    <cellStyle name="Input 35 2 3 10" xfId="39618" xr:uid="{00000000-0005-0000-0000-0000B4730000}"/>
    <cellStyle name="Input 35 2 3 2" xfId="10675" xr:uid="{00000000-0005-0000-0000-0000B5730000}"/>
    <cellStyle name="Input 35 2 3 2 2" xfId="18468" xr:uid="{00000000-0005-0000-0000-0000B6730000}"/>
    <cellStyle name="Input 35 2 3 2 2 2" xfId="44015" xr:uid="{00000000-0005-0000-0000-0000B7730000}"/>
    <cellStyle name="Input 35 2 3 2 2 3" xfId="47924" xr:uid="{00000000-0005-0000-0000-0000B8730000}"/>
    <cellStyle name="Input 35 2 3 2 2 4" xfId="36105" xr:uid="{00000000-0005-0000-0000-0000B9730000}"/>
    <cellStyle name="Input 35 2 3 2 3" xfId="12630" xr:uid="{00000000-0005-0000-0000-0000BA730000}"/>
    <cellStyle name="Input 35 2 3 2 3 2" xfId="42109" xr:uid="{00000000-0005-0000-0000-0000BB730000}"/>
    <cellStyle name="Input 35 2 3 2 3 3" xfId="40552" xr:uid="{00000000-0005-0000-0000-0000BC730000}"/>
    <cellStyle name="Input 35 2 3 2 3 4" xfId="30295" xr:uid="{00000000-0005-0000-0000-0000BD730000}"/>
    <cellStyle name="Input 35 2 3 2 4" xfId="19825" xr:uid="{00000000-0005-0000-0000-0000BE730000}"/>
    <cellStyle name="Input 35 2 3 2 4 2" xfId="45362" xr:uid="{00000000-0005-0000-0000-0000BF730000}"/>
    <cellStyle name="Input 35 2 3 2 4 3" xfId="49268" xr:uid="{00000000-0005-0000-0000-0000C0730000}"/>
    <cellStyle name="Input 35 2 3 2 4 4" xfId="37343" xr:uid="{00000000-0005-0000-0000-0000C1730000}"/>
    <cellStyle name="Input 35 2 3 2 5" xfId="20881" xr:uid="{00000000-0005-0000-0000-0000C2730000}"/>
    <cellStyle name="Input 35 2 3 2 5 2" xfId="46418" xr:uid="{00000000-0005-0000-0000-0000C3730000}"/>
    <cellStyle name="Input 35 2 3 2 5 3" xfId="50324" xr:uid="{00000000-0005-0000-0000-0000C4730000}"/>
    <cellStyle name="Input 35 2 3 2 5 4" xfId="38287" xr:uid="{00000000-0005-0000-0000-0000C5730000}"/>
    <cellStyle name="Input 35 2 3 2 6" xfId="21534" xr:uid="{00000000-0005-0000-0000-0000C6730000}"/>
    <cellStyle name="Input 35 2 3 2 6 2" xfId="47071" xr:uid="{00000000-0005-0000-0000-0000C7730000}"/>
    <cellStyle name="Input 35 2 3 2 6 3" xfId="50977" xr:uid="{00000000-0005-0000-0000-0000C8730000}"/>
    <cellStyle name="Input 35 2 3 2 7" xfId="40874" xr:uid="{00000000-0005-0000-0000-0000C9730000}"/>
    <cellStyle name="Input 35 2 3 2 8" xfId="43737" xr:uid="{00000000-0005-0000-0000-0000CA730000}"/>
    <cellStyle name="Input 35 2 3 3" xfId="10970" xr:uid="{00000000-0005-0000-0000-0000CB730000}"/>
    <cellStyle name="Input 35 2 3 3 2" xfId="18763" xr:uid="{00000000-0005-0000-0000-0000CC730000}"/>
    <cellStyle name="Input 35 2 3 3 2 2" xfId="44310" xr:uid="{00000000-0005-0000-0000-0000CD730000}"/>
    <cellStyle name="Input 35 2 3 3 2 3" xfId="48219" xr:uid="{00000000-0005-0000-0000-0000CE730000}"/>
    <cellStyle name="Input 35 2 3 3 2 4" xfId="36400" xr:uid="{00000000-0005-0000-0000-0000CF730000}"/>
    <cellStyle name="Input 35 2 3 3 3" xfId="19586" xr:uid="{00000000-0005-0000-0000-0000D0730000}"/>
    <cellStyle name="Input 35 2 3 3 3 2" xfId="45123" xr:uid="{00000000-0005-0000-0000-0000D1730000}"/>
    <cellStyle name="Input 35 2 3 3 3 3" xfId="49029" xr:uid="{00000000-0005-0000-0000-0000D2730000}"/>
    <cellStyle name="Input 35 2 3 3 3 4" xfId="37126" xr:uid="{00000000-0005-0000-0000-0000D3730000}"/>
    <cellStyle name="Input 35 2 3 3 4" xfId="11560" xr:uid="{00000000-0005-0000-0000-0000D4730000}"/>
    <cellStyle name="Input 35 2 3 3 4 2" xfId="41571" xr:uid="{00000000-0005-0000-0000-0000D5730000}"/>
    <cellStyle name="Input 35 2 3 3 4 3" xfId="39678" xr:uid="{00000000-0005-0000-0000-0000D6730000}"/>
    <cellStyle name="Input 35 2 3 3 4 4" xfId="29272" xr:uid="{00000000-0005-0000-0000-0000D7730000}"/>
    <cellStyle name="Input 35 2 3 3 5" xfId="21176" xr:uid="{00000000-0005-0000-0000-0000D8730000}"/>
    <cellStyle name="Input 35 2 3 3 5 2" xfId="46713" xr:uid="{00000000-0005-0000-0000-0000D9730000}"/>
    <cellStyle name="Input 35 2 3 3 5 3" xfId="50619" xr:uid="{00000000-0005-0000-0000-0000DA730000}"/>
    <cellStyle name="Input 35 2 3 3 5 4" xfId="38582" xr:uid="{00000000-0005-0000-0000-0000DB730000}"/>
    <cellStyle name="Input 35 2 3 3 6" xfId="21829" xr:uid="{00000000-0005-0000-0000-0000DC730000}"/>
    <cellStyle name="Input 35 2 3 3 6 2" xfId="47366" xr:uid="{00000000-0005-0000-0000-0000DD730000}"/>
    <cellStyle name="Input 35 2 3 3 6 3" xfId="51272" xr:uid="{00000000-0005-0000-0000-0000DE730000}"/>
    <cellStyle name="Input 35 2 3 3 7" xfId="41169" xr:uid="{00000000-0005-0000-0000-0000DF730000}"/>
    <cellStyle name="Input 35 2 3 3 8" xfId="43509" xr:uid="{00000000-0005-0000-0000-0000E0730000}"/>
    <cellStyle name="Input 35 2 3 4" xfId="14933" xr:uid="{00000000-0005-0000-0000-0000E1730000}"/>
    <cellStyle name="Input 35 2 3 4 2" xfId="43049" xr:uid="{00000000-0005-0000-0000-0000E2730000}"/>
    <cellStyle name="Input 35 2 3 4 3" xfId="40311" xr:uid="{00000000-0005-0000-0000-0000E3730000}"/>
    <cellStyle name="Input 35 2 3 4 4" xfId="32568" xr:uid="{00000000-0005-0000-0000-0000E4730000}"/>
    <cellStyle name="Input 35 2 3 5" xfId="13164" xr:uid="{00000000-0005-0000-0000-0000E5730000}"/>
    <cellStyle name="Input 35 2 3 5 2" xfId="42385" xr:uid="{00000000-0005-0000-0000-0000E6730000}"/>
    <cellStyle name="Input 35 2 3 5 3" xfId="39092" xr:uid="{00000000-0005-0000-0000-0000E7730000}"/>
    <cellStyle name="Input 35 2 3 5 4" xfId="30813" xr:uid="{00000000-0005-0000-0000-0000E8730000}"/>
    <cellStyle name="Input 35 2 3 6" xfId="20195" xr:uid="{00000000-0005-0000-0000-0000E9730000}"/>
    <cellStyle name="Input 35 2 3 6 2" xfId="45732" xr:uid="{00000000-0005-0000-0000-0000EA730000}"/>
    <cellStyle name="Input 35 2 3 6 3" xfId="49638" xr:uid="{00000000-0005-0000-0000-0000EB730000}"/>
    <cellStyle name="Input 35 2 3 6 4" xfId="37678" xr:uid="{00000000-0005-0000-0000-0000EC730000}"/>
    <cellStyle name="Input 35 2 3 7" xfId="13309" xr:uid="{00000000-0005-0000-0000-0000ED730000}"/>
    <cellStyle name="Input 35 2 3 7 2" xfId="42479" xr:uid="{00000000-0005-0000-0000-0000EE730000}"/>
    <cellStyle name="Input 35 2 3 7 3" xfId="43459" xr:uid="{00000000-0005-0000-0000-0000EF730000}"/>
    <cellStyle name="Input 35 2 3 7 4" xfId="30950" xr:uid="{00000000-0005-0000-0000-0000F0730000}"/>
    <cellStyle name="Input 35 2 3 8" xfId="19156" xr:uid="{00000000-0005-0000-0000-0000F1730000}"/>
    <cellStyle name="Input 35 2 3 8 2" xfId="44693" xr:uid="{00000000-0005-0000-0000-0000F2730000}"/>
    <cellStyle name="Input 35 2 3 8 3" xfId="48599" xr:uid="{00000000-0005-0000-0000-0000F3730000}"/>
    <cellStyle name="Input 35 2 3 9" xfId="39909" xr:uid="{00000000-0005-0000-0000-0000F4730000}"/>
    <cellStyle name="Input 35 2 4" xfId="53172" xr:uid="{00000000-0005-0000-0000-0000F5730000}"/>
    <cellStyle name="Input 35 2_Sheet1" xfId="1986" xr:uid="{00000000-0005-0000-0000-0000F6730000}"/>
    <cellStyle name="Input 35 3" xfId="1987" xr:uid="{00000000-0005-0000-0000-0000F7730000}"/>
    <cellStyle name="Input 35 3 2" xfId="7147" xr:uid="{00000000-0005-0000-0000-0000F8730000}"/>
    <cellStyle name="Input 35 3 2 10" xfId="43539" xr:uid="{00000000-0005-0000-0000-0000F9730000}"/>
    <cellStyle name="Input 35 3 2 2" xfId="10677" xr:uid="{00000000-0005-0000-0000-0000FA730000}"/>
    <cellStyle name="Input 35 3 2 2 2" xfId="18470" xr:uid="{00000000-0005-0000-0000-0000FB730000}"/>
    <cellStyle name="Input 35 3 2 2 2 2" xfId="44017" xr:uid="{00000000-0005-0000-0000-0000FC730000}"/>
    <cellStyle name="Input 35 3 2 2 2 3" xfId="47926" xr:uid="{00000000-0005-0000-0000-0000FD730000}"/>
    <cellStyle name="Input 35 3 2 2 2 4" xfId="36107" xr:uid="{00000000-0005-0000-0000-0000FE730000}"/>
    <cellStyle name="Input 35 3 2 2 3" xfId="20160" xr:uid="{00000000-0005-0000-0000-0000FF730000}"/>
    <cellStyle name="Input 35 3 2 2 3 2" xfId="45697" xr:uid="{00000000-0005-0000-0000-000000740000}"/>
    <cellStyle name="Input 35 3 2 2 3 3" xfId="49603" xr:uid="{00000000-0005-0000-0000-000001740000}"/>
    <cellStyle name="Input 35 3 2 2 3 4" xfId="37646" xr:uid="{00000000-0005-0000-0000-000002740000}"/>
    <cellStyle name="Input 35 3 2 2 4" xfId="11539" xr:uid="{00000000-0005-0000-0000-000003740000}"/>
    <cellStyle name="Input 35 3 2 2 4 2" xfId="41550" xr:uid="{00000000-0005-0000-0000-000004740000}"/>
    <cellStyle name="Input 35 3 2 2 4 3" xfId="43707" xr:uid="{00000000-0005-0000-0000-000005740000}"/>
    <cellStyle name="Input 35 3 2 2 4 4" xfId="29253" xr:uid="{00000000-0005-0000-0000-000006740000}"/>
    <cellStyle name="Input 35 3 2 2 5" xfId="20883" xr:uid="{00000000-0005-0000-0000-000007740000}"/>
    <cellStyle name="Input 35 3 2 2 5 2" xfId="46420" xr:uid="{00000000-0005-0000-0000-000008740000}"/>
    <cellStyle name="Input 35 3 2 2 5 3" xfId="50326" xr:uid="{00000000-0005-0000-0000-000009740000}"/>
    <cellStyle name="Input 35 3 2 2 5 4" xfId="38289" xr:uid="{00000000-0005-0000-0000-00000A740000}"/>
    <cellStyle name="Input 35 3 2 2 6" xfId="21536" xr:uid="{00000000-0005-0000-0000-00000B740000}"/>
    <cellStyle name="Input 35 3 2 2 6 2" xfId="47073" xr:uid="{00000000-0005-0000-0000-00000C740000}"/>
    <cellStyle name="Input 35 3 2 2 6 3" xfId="50979" xr:uid="{00000000-0005-0000-0000-00000D740000}"/>
    <cellStyle name="Input 35 3 2 2 7" xfId="40876" xr:uid="{00000000-0005-0000-0000-00000E740000}"/>
    <cellStyle name="Input 35 3 2 2 8" xfId="39707" xr:uid="{00000000-0005-0000-0000-00000F740000}"/>
    <cellStyle name="Input 35 3 2 3" xfId="10972" xr:uid="{00000000-0005-0000-0000-000010740000}"/>
    <cellStyle name="Input 35 3 2 3 2" xfId="18765" xr:uid="{00000000-0005-0000-0000-000011740000}"/>
    <cellStyle name="Input 35 3 2 3 2 2" xfId="44312" xr:uid="{00000000-0005-0000-0000-000012740000}"/>
    <cellStyle name="Input 35 3 2 3 2 3" xfId="48221" xr:uid="{00000000-0005-0000-0000-000013740000}"/>
    <cellStyle name="Input 35 3 2 3 2 4" xfId="36402" xr:uid="{00000000-0005-0000-0000-000014740000}"/>
    <cellStyle name="Input 35 3 2 3 3" xfId="19396" xr:uid="{00000000-0005-0000-0000-000015740000}"/>
    <cellStyle name="Input 35 3 2 3 3 2" xfId="44933" xr:uid="{00000000-0005-0000-0000-000016740000}"/>
    <cellStyle name="Input 35 3 2 3 3 3" xfId="48839" xr:uid="{00000000-0005-0000-0000-000017740000}"/>
    <cellStyle name="Input 35 3 2 3 3 4" xfId="36961" xr:uid="{00000000-0005-0000-0000-000018740000}"/>
    <cellStyle name="Input 35 3 2 3 4" xfId="20340" xr:uid="{00000000-0005-0000-0000-000019740000}"/>
    <cellStyle name="Input 35 3 2 3 4 2" xfId="45877" xr:uid="{00000000-0005-0000-0000-00001A740000}"/>
    <cellStyle name="Input 35 3 2 3 4 3" xfId="49783" xr:uid="{00000000-0005-0000-0000-00001B740000}"/>
    <cellStyle name="Input 35 3 2 3 4 4" xfId="37802" xr:uid="{00000000-0005-0000-0000-00001C740000}"/>
    <cellStyle name="Input 35 3 2 3 5" xfId="21178" xr:uid="{00000000-0005-0000-0000-00001D740000}"/>
    <cellStyle name="Input 35 3 2 3 5 2" xfId="46715" xr:uid="{00000000-0005-0000-0000-00001E740000}"/>
    <cellStyle name="Input 35 3 2 3 5 3" xfId="50621" xr:uid="{00000000-0005-0000-0000-00001F740000}"/>
    <cellStyle name="Input 35 3 2 3 5 4" xfId="38584" xr:uid="{00000000-0005-0000-0000-000020740000}"/>
    <cellStyle name="Input 35 3 2 3 6" xfId="21831" xr:uid="{00000000-0005-0000-0000-000021740000}"/>
    <cellStyle name="Input 35 3 2 3 6 2" xfId="47368" xr:uid="{00000000-0005-0000-0000-000022740000}"/>
    <cellStyle name="Input 35 3 2 3 6 3" xfId="51274" xr:uid="{00000000-0005-0000-0000-000023740000}"/>
    <cellStyle name="Input 35 3 2 3 7" xfId="41171" xr:uid="{00000000-0005-0000-0000-000024740000}"/>
    <cellStyle name="Input 35 3 2 3 8" xfId="39484" xr:uid="{00000000-0005-0000-0000-000025740000}"/>
    <cellStyle name="Input 35 3 2 4" xfId="14935" xr:uid="{00000000-0005-0000-0000-000026740000}"/>
    <cellStyle name="Input 35 3 2 4 2" xfId="43051" xr:uid="{00000000-0005-0000-0000-000027740000}"/>
    <cellStyle name="Input 35 3 2 4 3" xfId="41943" xr:uid="{00000000-0005-0000-0000-000028740000}"/>
    <cellStyle name="Input 35 3 2 4 4" xfId="32570" xr:uid="{00000000-0005-0000-0000-000029740000}"/>
    <cellStyle name="Input 35 3 2 5" xfId="13166" xr:uid="{00000000-0005-0000-0000-00002A740000}"/>
    <cellStyle name="Input 35 3 2 5 2" xfId="42387" xr:uid="{00000000-0005-0000-0000-00002B740000}"/>
    <cellStyle name="Input 35 3 2 5 3" xfId="39090" xr:uid="{00000000-0005-0000-0000-00002C740000}"/>
    <cellStyle name="Input 35 3 2 5 4" xfId="30815" xr:uid="{00000000-0005-0000-0000-00002D740000}"/>
    <cellStyle name="Input 35 3 2 6" xfId="19925" xr:uid="{00000000-0005-0000-0000-00002E740000}"/>
    <cellStyle name="Input 35 3 2 6 2" xfId="45462" xr:uid="{00000000-0005-0000-0000-00002F740000}"/>
    <cellStyle name="Input 35 3 2 6 3" xfId="49368" xr:uid="{00000000-0005-0000-0000-000030740000}"/>
    <cellStyle name="Input 35 3 2 6 4" xfId="37439" xr:uid="{00000000-0005-0000-0000-000031740000}"/>
    <cellStyle name="Input 35 3 2 7" xfId="19509" xr:uid="{00000000-0005-0000-0000-000032740000}"/>
    <cellStyle name="Input 35 3 2 7 2" xfId="45046" xr:uid="{00000000-0005-0000-0000-000033740000}"/>
    <cellStyle name="Input 35 3 2 7 3" xfId="48952" xr:uid="{00000000-0005-0000-0000-000034740000}"/>
    <cellStyle name="Input 35 3 2 7 4" xfId="37057" xr:uid="{00000000-0005-0000-0000-000035740000}"/>
    <cellStyle name="Input 35 3 2 8" xfId="12076" xr:uid="{00000000-0005-0000-0000-000036740000}"/>
    <cellStyle name="Input 35 3 2 8 2" xfId="41822" xr:uid="{00000000-0005-0000-0000-000037740000}"/>
    <cellStyle name="Input 35 3 2 8 3" xfId="41999" xr:uid="{00000000-0005-0000-0000-000038740000}"/>
    <cellStyle name="Input 35 3 2 9" xfId="39911" xr:uid="{00000000-0005-0000-0000-000039740000}"/>
    <cellStyle name="Input 35 3 3" xfId="53174" xr:uid="{00000000-0005-0000-0000-00003A740000}"/>
    <cellStyle name="Input 35 4" xfId="7144" xr:uid="{00000000-0005-0000-0000-00003B740000}"/>
    <cellStyle name="Input 35 4 10" xfId="40508" xr:uid="{00000000-0005-0000-0000-00003C740000}"/>
    <cellStyle name="Input 35 4 11" xfId="53175" xr:uid="{00000000-0005-0000-0000-00003D740000}"/>
    <cellStyle name="Input 35 4 2" xfId="10674" xr:uid="{00000000-0005-0000-0000-00003E740000}"/>
    <cellStyle name="Input 35 4 2 2" xfId="18467" xr:uid="{00000000-0005-0000-0000-00003F740000}"/>
    <cellStyle name="Input 35 4 2 2 2" xfId="44014" xr:uid="{00000000-0005-0000-0000-000040740000}"/>
    <cellStyle name="Input 35 4 2 2 3" xfId="47923" xr:uid="{00000000-0005-0000-0000-000041740000}"/>
    <cellStyle name="Input 35 4 2 2 4" xfId="36104" xr:uid="{00000000-0005-0000-0000-000042740000}"/>
    <cellStyle name="Input 35 4 2 3" xfId="19742" xr:uid="{00000000-0005-0000-0000-000043740000}"/>
    <cellStyle name="Input 35 4 2 3 2" xfId="45279" xr:uid="{00000000-0005-0000-0000-000044740000}"/>
    <cellStyle name="Input 35 4 2 3 3" xfId="49185" xr:uid="{00000000-0005-0000-0000-000045740000}"/>
    <cellStyle name="Input 35 4 2 3 4" xfId="37269" xr:uid="{00000000-0005-0000-0000-000046740000}"/>
    <cellStyle name="Input 35 4 2 4" xfId="11555" xr:uid="{00000000-0005-0000-0000-000047740000}"/>
    <cellStyle name="Input 35 4 2 4 2" xfId="41566" xr:uid="{00000000-0005-0000-0000-000048740000}"/>
    <cellStyle name="Input 35 4 2 4 3" xfId="43349" xr:uid="{00000000-0005-0000-0000-000049740000}"/>
    <cellStyle name="Input 35 4 2 4 4" xfId="29267" xr:uid="{00000000-0005-0000-0000-00004A740000}"/>
    <cellStyle name="Input 35 4 2 5" xfId="20880" xr:uid="{00000000-0005-0000-0000-00004B740000}"/>
    <cellStyle name="Input 35 4 2 5 2" xfId="46417" xr:uid="{00000000-0005-0000-0000-00004C740000}"/>
    <cellStyle name="Input 35 4 2 5 3" xfId="50323" xr:uid="{00000000-0005-0000-0000-00004D740000}"/>
    <cellStyle name="Input 35 4 2 5 4" xfId="38286" xr:uid="{00000000-0005-0000-0000-00004E740000}"/>
    <cellStyle name="Input 35 4 2 6" xfId="21533" xr:uid="{00000000-0005-0000-0000-00004F740000}"/>
    <cellStyle name="Input 35 4 2 6 2" xfId="47070" xr:uid="{00000000-0005-0000-0000-000050740000}"/>
    <cellStyle name="Input 35 4 2 6 3" xfId="50976" xr:uid="{00000000-0005-0000-0000-000051740000}"/>
    <cellStyle name="Input 35 4 2 7" xfId="40873" xr:uid="{00000000-0005-0000-0000-000052740000}"/>
    <cellStyle name="Input 35 4 2 8" xfId="42848" xr:uid="{00000000-0005-0000-0000-000053740000}"/>
    <cellStyle name="Input 35 4 3" xfId="10969" xr:uid="{00000000-0005-0000-0000-000054740000}"/>
    <cellStyle name="Input 35 4 3 2" xfId="18762" xr:uid="{00000000-0005-0000-0000-000055740000}"/>
    <cellStyle name="Input 35 4 3 2 2" xfId="44309" xr:uid="{00000000-0005-0000-0000-000056740000}"/>
    <cellStyle name="Input 35 4 3 2 3" xfId="48218" xr:uid="{00000000-0005-0000-0000-000057740000}"/>
    <cellStyle name="Input 35 4 3 2 4" xfId="36399" xr:uid="{00000000-0005-0000-0000-000058740000}"/>
    <cellStyle name="Input 35 4 3 3" xfId="12641" xr:uid="{00000000-0005-0000-0000-000059740000}"/>
    <cellStyle name="Input 35 4 3 3 2" xfId="42120" xr:uid="{00000000-0005-0000-0000-00005A740000}"/>
    <cellStyle name="Input 35 4 3 3 3" xfId="43334" xr:uid="{00000000-0005-0000-0000-00005B740000}"/>
    <cellStyle name="Input 35 4 3 3 4" xfId="30306" xr:uid="{00000000-0005-0000-0000-00005C740000}"/>
    <cellStyle name="Input 35 4 3 4" xfId="13313" xr:uid="{00000000-0005-0000-0000-00005D740000}"/>
    <cellStyle name="Input 35 4 3 4 2" xfId="42483" xr:uid="{00000000-0005-0000-0000-00005E740000}"/>
    <cellStyle name="Input 35 4 3 4 3" xfId="43311" xr:uid="{00000000-0005-0000-0000-00005F740000}"/>
    <cellStyle name="Input 35 4 3 4 4" xfId="30953" xr:uid="{00000000-0005-0000-0000-000060740000}"/>
    <cellStyle name="Input 35 4 3 5" xfId="21175" xr:uid="{00000000-0005-0000-0000-000061740000}"/>
    <cellStyle name="Input 35 4 3 5 2" xfId="46712" xr:uid="{00000000-0005-0000-0000-000062740000}"/>
    <cellStyle name="Input 35 4 3 5 3" xfId="50618" xr:uid="{00000000-0005-0000-0000-000063740000}"/>
    <cellStyle name="Input 35 4 3 5 4" xfId="38581" xr:uid="{00000000-0005-0000-0000-000064740000}"/>
    <cellStyle name="Input 35 4 3 6" xfId="21828" xr:uid="{00000000-0005-0000-0000-000065740000}"/>
    <cellStyle name="Input 35 4 3 6 2" xfId="47365" xr:uid="{00000000-0005-0000-0000-000066740000}"/>
    <cellStyle name="Input 35 4 3 6 3" xfId="51271" xr:uid="{00000000-0005-0000-0000-000067740000}"/>
    <cellStyle name="Input 35 4 3 7" xfId="41168" xr:uid="{00000000-0005-0000-0000-000068740000}"/>
    <cellStyle name="Input 35 4 3 8" xfId="42596" xr:uid="{00000000-0005-0000-0000-000069740000}"/>
    <cellStyle name="Input 35 4 4" xfId="14932" xr:uid="{00000000-0005-0000-0000-00006A740000}"/>
    <cellStyle name="Input 35 4 4 2" xfId="43048" xr:uid="{00000000-0005-0000-0000-00006B740000}"/>
    <cellStyle name="Input 35 4 4 3" xfId="43449" xr:uid="{00000000-0005-0000-0000-00006C740000}"/>
    <cellStyle name="Input 35 4 4 4" xfId="32567" xr:uid="{00000000-0005-0000-0000-00006D740000}"/>
    <cellStyle name="Input 35 4 5" xfId="13163" xr:uid="{00000000-0005-0000-0000-00006E740000}"/>
    <cellStyle name="Input 35 4 5 2" xfId="42384" xr:uid="{00000000-0005-0000-0000-00006F740000}"/>
    <cellStyle name="Input 35 4 5 3" xfId="39093" xr:uid="{00000000-0005-0000-0000-000070740000}"/>
    <cellStyle name="Input 35 4 5 4" xfId="30812" xr:uid="{00000000-0005-0000-0000-000071740000}"/>
    <cellStyle name="Input 35 4 6" xfId="12864" xr:uid="{00000000-0005-0000-0000-000072740000}"/>
    <cellStyle name="Input 35 4 6 2" xfId="42247" xr:uid="{00000000-0005-0000-0000-000073740000}"/>
    <cellStyle name="Input 35 4 6 3" xfId="40443" xr:uid="{00000000-0005-0000-0000-000074740000}"/>
    <cellStyle name="Input 35 4 6 4" xfId="30516" xr:uid="{00000000-0005-0000-0000-000075740000}"/>
    <cellStyle name="Input 35 4 7" xfId="12055" xr:uid="{00000000-0005-0000-0000-000076740000}"/>
    <cellStyle name="Input 35 4 7 2" xfId="41810" xr:uid="{00000000-0005-0000-0000-000077740000}"/>
    <cellStyle name="Input 35 4 7 3" xfId="39459" xr:uid="{00000000-0005-0000-0000-000078740000}"/>
    <cellStyle name="Input 35 4 7 4" xfId="29734" xr:uid="{00000000-0005-0000-0000-000079740000}"/>
    <cellStyle name="Input 35 4 8" xfId="19935" xr:uid="{00000000-0005-0000-0000-00007A740000}"/>
    <cellStyle name="Input 35 4 8 2" xfId="45472" xr:uid="{00000000-0005-0000-0000-00007B740000}"/>
    <cellStyle name="Input 35 4 8 3" xfId="49378" xr:uid="{00000000-0005-0000-0000-00007C740000}"/>
    <cellStyle name="Input 35 4 9" xfId="39908" xr:uid="{00000000-0005-0000-0000-00007D740000}"/>
    <cellStyle name="Input 35 5" xfId="22478" xr:uid="{00000000-0005-0000-0000-00007E740000}"/>
    <cellStyle name="Input 35 5 2" xfId="23042" xr:uid="{00000000-0005-0000-0000-00007F740000}"/>
    <cellStyle name="Input 35 5 2 2" xfId="47643" xr:uid="{00000000-0005-0000-0000-000080740000}"/>
    <cellStyle name="Input 35 5 2 3" xfId="51454" xr:uid="{00000000-0005-0000-0000-000081740000}"/>
    <cellStyle name="Input 35 5 3" xfId="47536" xr:uid="{00000000-0005-0000-0000-000082740000}"/>
    <cellStyle name="Input 35 5 4" xfId="51390" xr:uid="{00000000-0005-0000-0000-000083740000}"/>
    <cellStyle name="Input 35 5 5" xfId="53176" xr:uid="{00000000-0005-0000-0000-000084740000}"/>
    <cellStyle name="Input 35 6" xfId="22909" xr:uid="{00000000-0005-0000-0000-000085740000}"/>
    <cellStyle name="Input 35 6 2" xfId="23057" xr:uid="{00000000-0005-0000-0000-000086740000}"/>
    <cellStyle name="Input 35 6 2 2" xfId="47657" xr:uid="{00000000-0005-0000-0000-000087740000}"/>
    <cellStyle name="Input 35 6 2 3" xfId="51468" xr:uid="{00000000-0005-0000-0000-000088740000}"/>
    <cellStyle name="Input 35 6 3" xfId="47613" xr:uid="{00000000-0005-0000-0000-000089740000}"/>
    <cellStyle name="Input 35 6 4" xfId="51428" xr:uid="{00000000-0005-0000-0000-00008A740000}"/>
    <cellStyle name="Input 35 6 5" xfId="53177" xr:uid="{00000000-0005-0000-0000-00008B740000}"/>
    <cellStyle name="Input 35 7" xfId="53171" xr:uid="{00000000-0005-0000-0000-00008C740000}"/>
    <cellStyle name="Input 35_Sheet1" xfId="1988" xr:uid="{00000000-0005-0000-0000-00008D740000}"/>
    <cellStyle name="Input 36" xfId="1989" xr:uid="{00000000-0005-0000-0000-00008E740000}"/>
    <cellStyle name="Input 36 2" xfId="7148" xr:uid="{00000000-0005-0000-0000-00008F740000}"/>
    <cellStyle name="Input 36 2 10" xfId="40402" xr:uid="{00000000-0005-0000-0000-000090740000}"/>
    <cellStyle name="Input 36 2 11" xfId="53179" xr:uid="{00000000-0005-0000-0000-000091740000}"/>
    <cellStyle name="Input 36 2 2" xfId="10678" xr:uid="{00000000-0005-0000-0000-000092740000}"/>
    <cellStyle name="Input 36 2 2 2" xfId="18471" xr:uid="{00000000-0005-0000-0000-000093740000}"/>
    <cellStyle name="Input 36 2 2 2 2" xfId="44018" xr:uid="{00000000-0005-0000-0000-000094740000}"/>
    <cellStyle name="Input 36 2 2 2 3" xfId="47927" xr:uid="{00000000-0005-0000-0000-000095740000}"/>
    <cellStyle name="Input 36 2 2 2 4" xfId="36108" xr:uid="{00000000-0005-0000-0000-000096740000}"/>
    <cellStyle name="Input 36 2 2 3" xfId="19419" xr:uid="{00000000-0005-0000-0000-000097740000}"/>
    <cellStyle name="Input 36 2 2 3 2" xfId="44956" xr:uid="{00000000-0005-0000-0000-000098740000}"/>
    <cellStyle name="Input 36 2 2 3 3" xfId="48862" xr:uid="{00000000-0005-0000-0000-000099740000}"/>
    <cellStyle name="Input 36 2 2 3 4" xfId="36984" xr:uid="{00000000-0005-0000-0000-00009A740000}"/>
    <cellStyle name="Input 36 2 2 4" xfId="19568" xr:uid="{00000000-0005-0000-0000-00009B740000}"/>
    <cellStyle name="Input 36 2 2 4 2" xfId="45105" xr:uid="{00000000-0005-0000-0000-00009C740000}"/>
    <cellStyle name="Input 36 2 2 4 3" xfId="49011" xr:uid="{00000000-0005-0000-0000-00009D740000}"/>
    <cellStyle name="Input 36 2 2 4 4" xfId="37109" xr:uid="{00000000-0005-0000-0000-00009E740000}"/>
    <cellStyle name="Input 36 2 2 5" xfId="20884" xr:uid="{00000000-0005-0000-0000-00009F740000}"/>
    <cellStyle name="Input 36 2 2 5 2" xfId="46421" xr:uid="{00000000-0005-0000-0000-0000A0740000}"/>
    <cellStyle name="Input 36 2 2 5 3" xfId="50327" xr:uid="{00000000-0005-0000-0000-0000A1740000}"/>
    <cellStyle name="Input 36 2 2 5 4" xfId="38290" xr:uid="{00000000-0005-0000-0000-0000A2740000}"/>
    <cellStyle name="Input 36 2 2 6" xfId="21537" xr:uid="{00000000-0005-0000-0000-0000A3740000}"/>
    <cellStyle name="Input 36 2 2 6 2" xfId="47074" xr:uid="{00000000-0005-0000-0000-0000A4740000}"/>
    <cellStyle name="Input 36 2 2 6 3" xfId="50980" xr:uid="{00000000-0005-0000-0000-0000A5740000}"/>
    <cellStyle name="Input 36 2 2 7" xfId="40877" xr:uid="{00000000-0005-0000-0000-0000A6740000}"/>
    <cellStyle name="Input 36 2 2 8" xfId="42744" xr:uid="{00000000-0005-0000-0000-0000A7740000}"/>
    <cellStyle name="Input 36 2 3" xfId="10973" xr:uid="{00000000-0005-0000-0000-0000A8740000}"/>
    <cellStyle name="Input 36 2 3 2" xfId="18766" xr:uid="{00000000-0005-0000-0000-0000A9740000}"/>
    <cellStyle name="Input 36 2 3 2 2" xfId="44313" xr:uid="{00000000-0005-0000-0000-0000AA740000}"/>
    <cellStyle name="Input 36 2 3 2 3" xfId="48222" xr:uid="{00000000-0005-0000-0000-0000AB740000}"/>
    <cellStyle name="Input 36 2 3 2 4" xfId="36403" xr:uid="{00000000-0005-0000-0000-0000AC740000}"/>
    <cellStyle name="Input 36 2 3 3" xfId="20003" xr:uid="{00000000-0005-0000-0000-0000AD740000}"/>
    <cellStyle name="Input 36 2 3 3 2" xfId="45540" xr:uid="{00000000-0005-0000-0000-0000AE740000}"/>
    <cellStyle name="Input 36 2 3 3 3" xfId="49446" xr:uid="{00000000-0005-0000-0000-0000AF740000}"/>
    <cellStyle name="Input 36 2 3 3 4" xfId="37501" xr:uid="{00000000-0005-0000-0000-0000B0740000}"/>
    <cellStyle name="Input 36 2 3 4" xfId="20351" xr:uid="{00000000-0005-0000-0000-0000B1740000}"/>
    <cellStyle name="Input 36 2 3 4 2" xfId="45888" xr:uid="{00000000-0005-0000-0000-0000B2740000}"/>
    <cellStyle name="Input 36 2 3 4 3" xfId="49794" xr:uid="{00000000-0005-0000-0000-0000B3740000}"/>
    <cellStyle name="Input 36 2 3 4 4" xfId="37809" xr:uid="{00000000-0005-0000-0000-0000B4740000}"/>
    <cellStyle name="Input 36 2 3 5" xfId="21179" xr:uid="{00000000-0005-0000-0000-0000B5740000}"/>
    <cellStyle name="Input 36 2 3 5 2" xfId="46716" xr:uid="{00000000-0005-0000-0000-0000B6740000}"/>
    <cellStyle name="Input 36 2 3 5 3" xfId="50622" xr:uid="{00000000-0005-0000-0000-0000B7740000}"/>
    <cellStyle name="Input 36 2 3 5 4" xfId="38585" xr:uid="{00000000-0005-0000-0000-0000B8740000}"/>
    <cellStyle name="Input 36 2 3 6" xfId="21832" xr:uid="{00000000-0005-0000-0000-0000B9740000}"/>
    <cellStyle name="Input 36 2 3 6 2" xfId="47369" xr:uid="{00000000-0005-0000-0000-0000BA740000}"/>
    <cellStyle name="Input 36 2 3 6 3" xfId="51275" xr:uid="{00000000-0005-0000-0000-0000BB740000}"/>
    <cellStyle name="Input 36 2 3 7" xfId="41172" xr:uid="{00000000-0005-0000-0000-0000BC740000}"/>
    <cellStyle name="Input 36 2 3 8" xfId="42052" xr:uid="{00000000-0005-0000-0000-0000BD740000}"/>
    <cellStyle name="Input 36 2 4" xfId="14936" xr:uid="{00000000-0005-0000-0000-0000BE740000}"/>
    <cellStyle name="Input 36 2 4 2" xfId="43052" xr:uid="{00000000-0005-0000-0000-0000BF740000}"/>
    <cellStyle name="Input 36 2 4 3" xfId="43297" xr:uid="{00000000-0005-0000-0000-0000C0740000}"/>
    <cellStyle name="Input 36 2 4 4" xfId="32571" xr:uid="{00000000-0005-0000-0000-0000C1740000}"/>
    <cellStyle name="Input 36 2 5" xfId="11320" xr:uid="{00000000-0005-0000-0000-0000C2740000}"/>
    <cellStyle name="Input 36 2 5 2" xfId="41365" xr:uid="{00000000-0005-0000-0000-0000C3740000}"/>
    <cellStyle name="Input 36 2 5 3" xfId="43717" xr:uid="{00000000-0005-0000-0000-0000C4740000}"/>
    <cellStyle name="Input 36 2 5 4" xfId="29048" xr:uid="{00000000-0005-0000-0000-0000C5740000}"/>
    <cellStyle name="Input 36 2 6" xfId="12143" xr:uid="{00000000-0005-0000-0000-0000C6740000}"/>
    <cellStyle name="Input 36 2 6 2" xfId="41888" xr:uid="{00000000-0005-0000-0000-0000C7740000}"/>
    <cellStyle name="Input 36 2 6 3" xfId="47492" xr:uid="{00000000-0005-0000-0000-0000C8740000}"/>
    <cellStyle name="Input 36 2 6 4" xfId="29815" xr:uid="{00000000-0005-0000-0000-0000C9740000}"/>
    <cellStyle name="Input 36 2 7" xfId="13243" xr:uid="{00000000-0005-0000-0000-0000CA740000}"/>
    <cellStyle name="Input 36 2 7 2" xfId="42424" xr:uid="{00000000-0005-0000-0000-0000CB740000}"/>
    <cellStyle name="Input 36 2 7 3" xfId="39650" xr:uid="{00000000-0005-0000-0000-0000CC740000}"/>
    <cellStyle name="Input 36 2 7 4" xfId="30888" xr:uid="{00000000-0005-0000-0000-0000CD740000}"/>
    <cellStyle name="Input 36 2 8" xfId="11723" xr:uid="{00000000-0005-0000-0000-0000CE740000}"/>
    <cellStyle name="Input 36 2 8 2" xfId="41712" xr:uid="{00000000-0005-0000-0000-0000CF740000}"/>
    <cellStyle name="Input 36 2 8 3" xfId="39461" xr:uid="{00000000-0005-0000-0000-0000D0740000}"/>
    <cellStyle name="Input 36 2 9" xfId="39912" xr:uid="{00000000-0005-0000-0000-0000D1740000}"/>
    <cellStyle name="Input 36 3" xfId="22479" xr:uid="{00000000-0005-0000-0000-0000D2740000}"/>
    <cellStyle name="Input 36 3 2" xfId="23043" xr:uid="{00000000-0005-0000-0000-0000D3740000}"/>
    <cellStyle name="Input 36 3 2 2" xfId="47644" xr:uid="{00000000-0005-0000-0000-0000D4740000}"/>
    <cellStyle name="Input 36 3 2 3" xfId="51455" xr:uid="{00000000-0005-0000-0000-0000D5740000}"/>
    <cellStyle name="Input 36 3 3" xfId="47537" xr:uid="{00000000-0005-0000-0000-0000D6740000}"/>
    <cellStyle name="Input 36 3 4" xfId="51391" xr:uid="{00000000-0005-0000-0000-0000D7740000}"/>
    <cellStyle name="Input 36 3 5" xfId="53180" xr:uid="{00000000-0005-0000-0000-0000D8740000}"/>
    <cellStyle name="Input 36 4" xfId="53178" xr:uid="{00000000-0005-0000-0000-0000D9740000}"/>
    <cellStyle name="Input 37" xfId="1990" xr:uid="{00000000-0005-0000-0000-0000DA740000}"/>
    <cellStyle name="Input 37 2" xfId="7149" xr:uid="{00000000-0005-0000-0000-0000DB740000}"/>
    <cellStyle name="Input 37 2 10" xfId="39514" xr:uid="{00000000-0005-0000-0000-0000DC740000}"/>
    <cellStyle name="Input 37 2 2" xfId="10679" xr:uid="{00000000-0005-0000-0000-0000DD740000}"/>
    <cellStyle name="Input 37 2 2 2" xfId="18472" xr:uid="{00000000-0005-0000-0000-0000DE740000}"/>
    <cellStyle name="Input 37 2 2 2 2" xfId="44019" xr:uid="{00000000-0005-0000-0000-0000DF740000}"/>
    <cellStyle name="Input 37 2 2 2 3" xfId="47928" xr:uid="{00000000-0005-0000-0000-0000E0740000}"/>
    <cellStyle name="Input 37 2 2 2 4" xfId="36109" xr:uid="{00000000-0005-0000-0000-0000E1740000}"/>
    <cellStyle name="Input 37 2 2 3" xfId="20026" xr:uid="{00000000-0005-0000-0000-0000E2740000}"/>
    <cellStyle name="Input 37 2 2 3 2" xfId="45563" xr:uid="{00000000-0005-0000-0000-0000E3740000}"/>
    <cellStyle name="Input 37 2 2 3 3" xfId="49469" xr:uid="{00000000-0005-0000-0000-0000E4740000}"/>
    <cellStyle name="Input 37 2 2 3 4" xfId="37524" xr:uid="{00000000-0005-0000-0000-0000E5740000}"/>
    <cellStyle name="Input 37 2 2 4" xfId="13268" xr:uid="{00000000-0005-0000-0000-0000E6740000}"/>
    <cellStyle name="Input 37 2 2 4 2" xfId="42438" xr:uid="{00000000-0005-0000-0000-0000E7740000}"/>
    <cellStyle name="Input 37 2 2 4 3" xfId="42552" xr:uid="{00000000-0005-0000-0000-0000E8740000}"/>
    <cellStyle name="Input 37 2 2 4 4" xfId="30913" xr:uid="{00000000-0005-0000-0000-0000E9740000}"/>
    <cellStyle name="Input 37 2 2 5" xfId="20885" xr:uid="{00000000-0005-0000-0000-0000EA740000}"/>
    <cellStyle name="Input 37 2 2 5 2" xfId="46422" xr:uid="{00000000-0005-0000-0000-0000EB740000}"/>
    <cellStyle name="Input 37 2 2 5 3" xfId="50328" xr:uid="{00000000-0005-0000-0000-0000EC740000}"/>
    <cellStyle name="Input 37 2 2 5 4" xfId="38291" xr:uid="{00000000-0005-0000-0000-0000ED740000}"/>
    <cellStyle name="Input 37 2 2 6" xfId="21538" xr:uid="{00000000-0005-0000-0000-0000EE740000}"/>
    <cellStyle name="Input 37 2 2 6 2" xfId="47075" xr:uid="{00000000-0005-0000-0000-0000EF740000}"/>
    <cellStyle name="Input 37 2 2 6 3" xfId="50981" xr:uid="{00000000-0005-0000-0000-0000F0740000}"/>
    <cellStyle name="Input 37 2 2 7" xfId="40878" xr:uid="{00000000-0005-0000-0000-0000F1740000}"/>
    <cellStyle name="Input 37 2 2 8" xfId="43633" xr:uid="{00000000-0005-0000-0000-0000F2740000}"/>
    <cellStyle name="Input 37 2 3" xfId="10974" xr:uid="{00000000-0005-0000-0000-0000F3740000}"/>
    <cellStyle name="Input 37 2 3 2" xfId="18767" xr:uid="{00000000-0005-0000-0000-0000F4740000}"/>
    <cellStyle name="Input 37 2 3 2 2" xfId="44314" xr:uid="{00000000-0005-0000-0000-0000F5740000}"/>
    <cellStyle name="Input 37 2 3 2 3" xfId="48223" xr:uid="{00000000-0005-0000-0000-0000F6740000}"/>
    <cellStyle name="Input 37 2 3 2 4" xfId="36404" xr:uid="{00000000-0005-0000-0000-0000F7740000}"/>
    <cellStyle name="Input 37 2 3 3" xfId="19269" xr:uid="{00000000-0005-0000-0000-0000F8740000}"/>
    <cellStyle name="Input 37 2 3 3 2" xfId="44806" xr:uid="{00000000-0005-0000-0000-0000F9740000}"/>
    <cellStyle name="Input 37 2 3 3 3" xfId="48712" xr:uid="{00000000-0005-0000-0000-0000FA740000}"/>
    <cellStyle name="Input 37 2 3 3 4" xfId="36847" xr:uid="{00000000-0005-0000-0000-0000FB740000}"/>
    <cellStyle name="Input 37 2 3 4" xfId="11662" xr:uid="{00000000-0005-0000-0000-0000FC740000}"/>
    <cellStyle name="Input 37 2 3 4 2" xfId="41673" xr:uid="{00000000-0005-0000-0000-0000FD740000}"/>
    <cellStyle name="Input 37 2 3 4 3" xfId="39347" xr:uid="{00000000-0005-0000-0000-0000FE740000}"/>
    <cellStyle name="Input 37 2 3 4 4" xfId="29361" xr:uid="{00000000-0005-0000-0000-0000FF740000}"/>
    <cellStyle name="Input 37 2 3 5" xfId="21180" xr:uid="{00000000-0005-0000-0000-000000750000}"/>
    <cellStyle name="Input 37 2 3 5 2" xfId="46717" xr:uid="{00000000-0005-0000-0000-000001750000}"/>
    <cellStyle name="Input 37 2 3 5 3" xfId="50623" xr:uid="{00000000-0005-0000-0000-000002750000}"/>
    <cellStyle name="Input 37 2 3 5 4" xfId="38586" xr:uid="{00000000-0005-0000-0000-000003750000}"/>
    <cellStyle name="Input 37 2 3 6" xfId="21833" xr:uid="{00000000-0005-0000-0000-000004750000}"/>
    <cellStyle name="Input 37 2 3 6 2" xfId="47370" xr:uid="{00000000-0005-0000-0000-000005750000}"/>
    <cellStyle name="Input 37 2 3 6 3" xfId="51276" xr:uid="{00000000-0005-0000-0000-000006750000}"/>
    <cellStyle name="Input 37 2 3 7" xfId="41173" xr:uid="{00000000-0005-0000-0000-000007750000}"/>
    <cellStyle name="Input 37 2 3 8" xfId="43371" xr:uid="{00000000-0005-0000-0000-000008750000}"/>
    <cellStyle name="Input 37 2 4" xfId="14937" xr:uid="{00000000-0005-0000-0000-000009750000}"/>
    <cellStyle name="Input 37 2 4 2" xfId="43053" xr:uid="{00000000-0005-0000-0000-00000A750000}"/>
    <cellStyle name="Input 37 2 4 3" xfId="40156" xr:uid="{00000000-0005-0000-0000-00000B750000}"/>
    <cellStyle name="Input 37 2 4 4" xfId="32572" xr:uid="{00000000-0005-0000-0000-00000C750000}"/>
    <cellStyle name="Input 37 2 5" xfId="13167" xr:uid="{00000000-0005-0000-0000-00000D750000}"/>
    <cellStyle name="Input 37 2 5 2" xfId="42388" xr:uid="{00000000-0005-0000-0000-00000E750000}"/>
    <cellStyle name="Input 37 2 5 3" xfId="39089" xr:uid="{00000000-0005-0000-0000-00000F750000}"/>
    <cellStyle name="Input 37 2 5 4" xfId="30816" xr:uid="{00000000-0005-0000-0000-000010750000}"/>
    <cellStyle name="Input 37 2 6" xfId="19799" xr:uid="{00000000-0005-0000-0000-000011750000}"/>
    <cellStyle name="Input 37 2 6 2" xfId="45336" xr:uid="{00000000-0005-0000-0000-000012750000}"/>
    <cellStyle name="Input 37 2 6 3" xfId="49242" xr:uid="{00000000-0005-0000-0000-000013750000}"/>
    <cellStyle name="Input 37 2 6 4" xfId="37322" xr:uid="{00000000-0005-0000-0000-000014750000}"/>
    <cellStyle name="Input 37 2 7" xfId="19637" xr:uid="{00000000-0005-0000-0000-000015750000}"/>
    <cellStyle name="Input 37 2 7 2" xfId="45174" xr:uid="{00000000-0005-0000-0000-000016750000}"/>
    <cellStyle name="Input 37 2 7 3" xfId="49080" xr:uid="{00000000-0005-0000-0000-000017750000}"/>
    <cellStyle name="Input 37 2 7 4" xfId="37174" xr:uid="{00000000-0005-0000-0000-000018750000}"/>
    <cellStyle name="Input 37 2 8" xfId="20607" xr:uid="{00000000-0005-0000-0000-000019750000}"/>
    <cellStyle name="Input 37 2 8 2" xfId="46144" xr:uid="{00000000-0005-0000-0000-00001A750000}"/>
    <cellStyle name="Input 37 2 8 3" xfId="50050" xr:uid="{00000000-0005-0000-0000-00001B750000}"/>
    <cellStyle name="Input 37 2 9" xfId="39913" xr:uid="{00000000-0005-0000-0000-00001C750000}"/>
    <cellStyle name="Input 37 3" xfId="53181" xr:uid="{00000000-0005-0000-0000-00001D750000}"/>
    <cellStyle name="Input 38" xfId="1991" xr:uid="{00000000-0005-0000-0000-00001E750000}"/>
    <cellStyle name="Input 38 2" xfId="7150" xr:uid="{00000000-0005-0000-0000-00001F750000}"/>
    <cellStyle name="Input 38 2 10" xfId="42195" xr:uid="{00000000-0005-0000-0000-000020750000}"/>
    <cellStyle name="Input 38 2 2" xfId="10680" xr:uid="{00000000-0005-0000-0000-000021750000}"/>
    <cellStyle name="Input 38 2 2 2" xfId="18473" xr:uid="{00000000-0005-0000-0000-000022750000}"/>
    <cellStyle name="Input 38 2 2 2 2" xfId="44020" xr:uid="{00000000-0005-0000-0000-000023750000}"/>
    <cellStyle name="Input 38 2 2 2 3" xfId="47929" xr:uid="{00000000-0005-0000-0000-000024750000}"/>
    <cellStyle name="Input 38 2 2 2 4" xfId="36110" xr:uid="{00000000-0005-0000-0000-000025750000}"/>
    <cellStyle name="Input 38 2 2 3" xfId="19292" xr:uid="{00000000-0005-0000-0000-000026750000}"/>
    <cellStyle name="Input 38 2 2 3 2" xfId="44829" xr:uid="{00000000-0005-0000-0000-000027750000}"/>
    <cellStyle name="Input 38 2 2 3 3" xfId="48735" xr:uid="{00000000-0005-0000-0000-000028750000}"/>
    <cellStyle name="Input 38 2 2 3 4" xfId="36870" xr:uid="{00000000-0005-0000-0000-000029750000}"/>
    <cellStyle name="Input 38 2 2 4" xfId="12665" xr:uid="{00000000-0005-0000-0000-00002A750000}"/>
    <cellStyle name="Input 38 2 2 4 2" xfId="42144" xr:uid="{00000000-0005-0000-0000-00002B750000}"/>
    <cellStyle name="Input 38 2 2 4 3" xfId="41312" xr:uid="{00000000-0005-0000-0000-00002C750000}"/>
    <cellStyle name="Input 38 2 2 4 4" xfId="30329" xr:uid="{00000000-0005-0000-0000-00002D750000}"/>
    <cellStyle name="Input 38 2 2 5" xfId="20886" xr:uid="{00000000-0005-0000-0000-00002E750000}"/>
    <cellStyle name="Input 38 2 2 5 2" xfId="46423" xr:uid="{00000000-0005-0000-0000-00002F750000}"/>
    <cellStyle name="Input 38 2 2 5 3" xfId="50329" xr:uid="{00000000-0005-0000-0000-000030750000}"/>
    <cellStyle name="Input 38 2 2 5 4" xfId="38292" xr:uid="{00000000-0005-0000-0000-000031750000}"/>
    <cellStyle name="Input 38 2 2 6" xfId="21539" xr:uid="{00000000-0005-0000-0000-000032750000}"/>
    <cellStyle name="Input 38 2 2 6 2" xfId="47076" xr:uid="{00000000-0005-0000-0000-000033750000}"/>
    <cellStyle name="Input 38 2 2 6 3" xfId="50982" xr:uid="{00000000-0005-0000-0000-000034750000}"/>
    <cellStyle name="Input 38 2 2 7" xfId="40879" xr:uid="{00000000-0005-0000-0000-000035750000}"/>
    <cellStyle name="Input 38 2 2 8" xfId="40491" xr:uid="{00000000-0005-0000-0000-000036750000}"/>
    <cellStyle name="Input 38 2 3" xfId="10975" xr:uid="{00000000-0005-0000-0000-000037750000}"/>
    <cellStyle name="Input 38 2 3 2" xfId="18768" xr:uid="{00000000-0005-0000-0000-000038750000}"/>
    <cellStyle name="Input 38 2 3 2 2" xfId="44315" xr:uid="{00000000-0005-0000-0000-000039750000}"/>
    <cellStyle name="Input 38 2 3 2 3" xfId="48224" xr:uid="{00000000-0005-0000-0000-00003A750000}"/>
    <cellStyle name="Input 38 2 3 2 4" xfId="36405" xr:uid="{00000000-0005-0000-0000-00003B750000}"/>
    <cellStyle name="Input 38 2 3 3" xfId="19878" xr:uid="{00000000-0005-0000-0000-00003C750000}"/>
    <cellStyle name="Input 38 2 3 3 2" xfId="45415" xr:uid="{00000000-0005-0000-0000-00003D750000}"/>
    <cellStyle name="Input 38 2 3 3 3" xfId="49321" xr:uid="{00000000-0005-0000-0000-00003E750000}"/>
    <cellStyle name="Input 38 2 3 3 4" xfId="37392" xr:uid="{00000000-0005-0000-0000-00003F750000}"/>
    <cellStyle name="Input 38 2 3 4" xfId="11807" xr:uid="{00000000-0005-0000-0000-000040750000}"/>
    <cellStyle name="Input 38 2 3 4 2" xfId="41756" xr:uid="{00000000-0005-0000-0000-000041750000}"/>
    <cellStyle name="Input 38 2 3 4 3" xfId="43701" xr:uid="{00000000-0005-0000-0000-000042750000}"/>
    <cellStyle name="Input 38 2 3 4 4" xfId="29493" xr:uid="{00000000-0005-0000-0000-000043750000}"/>
    <cellStyle name="Input 38 2 3 5" xfId="21181" xr:uid="{00000000-0005-0000-0000-000044750000}"/>
    <cellStyle name="Input 38 2 3 5 2" xfId="46718" xr:uid="{00000000-0005-0000-0000-000045750000}"/>
    <cellStyle name="Input 38 2 3 5 3" xfId="50624" xr:uid="{00000000-0005-0000-0000-000046750000}"/>
    <cellStyle name="Input 38 2 3 5 4" xfId="38587" xr:uid="{00000000-0005-0000-0000-000047750000}"/>
    <cellStyle name="Input 38 2 3 6" xfId="21834" xr:uid="{00000000-0005-0000-0000-000048750000}"/>
    <cellStyle name="Input 38 2 3 6 2" xfId="47371" xr:uid="{00000000-0005-0000-0000-000049750000}"/>
    <cellStyle name="Input 38 2 3 6 3" xfId="51277" xr:uid="{00000000-0005-0000-0000-00004A750000}"/>
    <cellStyle name="Input 38 2 3 7" xfId="41174" xr:uid="{00000000-0005-0000-0000-00004B750000}"/>
    <cellStyle name="Input 38 2 3 8" xfId="40233" xr:uid="{00000000-0005-0000-0000-00004C750000}"/>
    <cellStyle name="Input 38 2 4" xfId="14938" xr:uid="{00000000-0005-0000-0000-00004D750000}"/>
    <cellStyle name="Input 38 2 4 2" xfId="43054" xr:uid="{00000000-0005-0000-0000-00004E750000}"/>
    <cellStyle name="Input 38 2 4 3" xfId="39270" xr:uid="{00000000-0005-0000-0000-00004F750000}"/>
    <cellStyle name="Input 38 2 4 4" xfId="32573" xr:uid="{00000000-0005-0000-0000-000050750000}"/>
    <cellStyle name="Input 38 2 5" xfId="13168" xr:uid="{00000000-0005-0000-0000-000051750000}"/>
    <cellStyle name="Input 38 2 5 2" xfId="42389" xr:uid="{00000000-0005-0000-0000-000052750000}"/>
    <cellStyle name="Input 38 2 5 3" xfId="39088" xr:uid="{00000000-0005-0000-0000-000053750000}"/>
    <cellStyle name="Input 38 2 5 4" xfId="30817" xr:uid="{00000000-0005-0000-0000-000054750000}"/>
    <cellStyle name="Input 38 2 6" xfId="19528" xr:uid="{00000000-0005-0000-0000-000055750000}"/>
    <cellStyle name="Input 38 2 6 2" xfId="45065" xr:uid="{00000000-0005-0000-0000-000056750000}"/>
    <cellStyle name="Input 38 2 6 3" xfId="48971" xr:uid="{00000000-0005-0000-0000-000057750000}"/>
    <cellStyle name="Input 38 2 6 4" xfId="37075" xr:uid="{00000000-0005-0000-0000-000058750000}"/>
    <cellStyle name="Input 38 2 7" xfId="11692" xr:uid="{00000000-0005-0000-0000-000059750000}"/>
    <cellStyle name="Input 38 2 7 2" xfId="41699" xr:uid="{00000000-0005-0000-0000-00005A750000}"/>
    <cellStyle name="Input 38 2 7 3" xfId="39671" xr:uid="{00000000-0005-0000-0000-00005B750000}"/>
    <cellStyle name="Input 38 2 7 4" xfId="29385" xr:uid="{00000000-0005-0000-0000-00005C750000}"/>
    <cellStyle name="Input 38 2 8" xfId="20309" xr:uid="{00000000-0005-0000-0000-00005D750000}"/>
    <cellStyle name="Input 38 2 8 2" xfId="45846" xr:uid="{00000000-0005-0000-0000-00005E750000}"/>
    <cellStyle name="Input 38 2 8 3" xfId="49752" xr:uid="{00000000-0005-0000-0000-00005F750000}"/>
    <cellStyle name="Input 38 2 9" xfId="39914" xr:uid="{00000000-0005-0000-0000-000060750000}"/>
    <cellStyle name="Input 38 3" xfId="53182" xr:uid="{00000000-0005-0000-0000-000061750000}"/>
    <cellStyle name="Input 39" xfId="1992" xr:uid="{00000000-0005-0000-0000-000062750000}"/>
    <cellStyle name="Input 39 2" xfId="7151" xr:uid="{00000000-0005-0000-0000-000063750000}"/>
    <cellStyle name="Input 39 2 10" xfId="43422" xr:uid="{00000000-0005-0000-0000-000064750000}"/>
    <cellStyle name="Input 39 2 11" xfId="53184" xr:uid="{00000000-0005-0000-0000-000065750000}"/>
    <cellStyle name="Input 39 2 2" xfId="10681" xr:uid="{00000000-0005-0000-0000-000066750000}"/>
    <cellStyle name="Input 39 2 2 2" xfId="18474" xr:uid="{00000000-0005-0000-0000-000067750000}"/>
    <cellStyle name="Input 39 2 2 2 2" xfId="44021" xr:uid="{00000000-0005-0000-0000-000068750000}"/>
    <cellStyle name="Input 39 2 2 2 3" xfId="47930" xr:uid="{00000000-0005-0000-0000-000069750000}"/>
    <cellStyle name="Input 39 2 2 2 4" xfId="36111" xr:uid="{00000000-0005-0000-0000-00006A750000}"/>
    <cellStyle name="Input 39 2 2 3" xfId="19901" xr:uid="{00000000-0005-0000-0000-00006B750000}"/>
    <cellStyle name="Input 39 2 2 3 2" xfId="45438" xr:uid="{00000000-0005-0000-0000-00006C750000}"/>
    <cellStyle name="Input 39 2 2 3 3" xfId="49344" xr:uid="{00000000-0005-0000-0000-00006D750000}"/>
    <cellStyle name="Input 39 2 2 3 4" xfId="37415" xr:uid="{00000000-0005-0000-0000-00006E750000}"/>
    <cellStyle name="Input 39 2 2 4" xfId="20288" xr:uid="{00000000-0005-0000-0000-00006F750000}"/>
    <cellStyle name="Input 39 2 2 4 2" xfId="45825" xr:uid="{00000000-0005-0000-0000-000070750000}"/>
    <cellStyle name="Input 39 2 2 4 3" xfId="49731" xr:uid="{00000000-0005-0000-0000-000071750000}"/>
    <cellStyle name="Input 39 2 2 4 4" xfId="37755" xr:uid="{00000000-0005-0000-0000-000072750000}"/>
    <cellStyle name="Input 39 2 2 5" xfId="20887" xr:uid="{00000000-0005-0000-0000-000073750000}"/>
    <cellStyle name="Input 39 2 2 5 2" xfId="46424" xr:uid="{00000000-0005-0000-0000-000074750000}"/>
    <cellStyle name="Input 39 2 2 5 3" xfId="50330" xr:uid="{00000000-0005-0000-0000-000075750000}"/>
    <cellStyle name="Input 39 2 2 5 4" xfId="38293" xr:uid="{00000000-0005-0000-0000-000076750000}"/>
    <cellStyle name="Input 39 2 2 6" xfId="21540" xr:uid="{00000000-0005-0000-0000-000077750000}"/>
    <cellStyle name="Input 39 2 2 6 2" xfId="47077" xr:uid="{00000000-0005-0000-0000-000078750000}"/>
    <cellStyle name="Input 39 2 2 6 3" xfId="50983" xr:uid="{00000000-0005-0000-0000-000079750000}"/>
    <cellStyle name="Input 39 2 2 7" xfId="40880" xr:uid="{00000000-0005-0000-0000-00007A750000}"/>
    <cellStyle name="Input 39 2 2 8" xfId="39601" xr:uid="{00000000-0005-0000-0000-00007B750000}"/>
    <cellStyle name="Input 39 2 3" xfId="10976" xr:uid="{00000000-0005-0000-0000-00007C750000}"/>
    <cellStyle name="Input 39 2 3 2" xfId="18769" xr:uid="{00000000-0005-0000-0000-00007D750000}"/>
    <cellStyle name="Input 39 2 3 2 2" xfId="44316" xr:uid="{00000000-0005-0000-0000-00007E750000}"/>
    <cellStyle name="Input 39 2 3 2 3" xfId="48225" xr:uid="{00000000-0005-0000-0000-00007F750000}"/>
    <cellStyle name="Input 39 2 3 2 4" xfId="36406" xr:uid="{00000000-0005-0000-0000-000080750000}"/>
    <cellStyle name="Input 39 2 3 3" xfId="19101" xr:uid="{00000000-0005-0000-0000-000081750000}"/>
    <cellStyle name="Input 39 2 3 3 2" xfId="44638" xr:uid="{00000000-0005-0000-0000-000082750000}"/>
    <cellStyle name="Input 39 2 3 3 3" xfId="48544" xr:uid="{00000000-0005-0000-0000-000083750000}"/>
    <cellStyle name="Input 39 2 3 3 4" xfId="36696" xr:uid="{00000000-0005-0000-0000-000084750000}"/>
    <cellStyle name="Input 39 2 3 4" xfId="19865" xr:uid="{00000000-0005-0000-0000-000085750000}"/>
    <cellStyle name="Input 39 2 3 4 2" xfId="45402" xr:uid="{00000000-0005-0000-0000-000086750000}"/>
    <cellStyle name="Input 39 2 3 4 3" xfId="49308" xr:uid="{00000000-0005-0000-0000-000087750000}"/>
    <cellStyle name="Input 39 2 3 4 4" xfId="37379" xr:uid="{00000000-0005-0000-0000-000088750000}"/>
    <cellStyle name="Input 39 2 3 5" xfId="21182" xr:uid="{00000000-0005-0000-0000-000089750000}"/>
    <cellStyle name="Input 39 2 3 5 2" xfId="46719" xr:uid="{00000000-0005-0000-0000-00008A750000}"/>
    <cellStyle name="Input 39 2 3 5 3" xfId="50625" xr:uid="{00000000-0005-0000-0000-00008B750000}"/>
    <cellStyle name="Input 39 2 3 5 4" xfId="38588" xr:uid="{00000000-0005-0000-0000-00008C750000}"/>
    <cellStyle name="Input 39 2 3 6" xfId="21835" xr:uid="{00000000-0005-0000-0000-00008D750000}"/>
    <cellStyle name="Input 39 2 3 6 2" xfId="47372" xr:uid="{00000000-0005-0000-0000-00008E750000}"/>
    <cellStyle name="Input 39 2 3 6 3" xfId="51278" xr:uid="{00000000-0005-0000-0000-00008F750000}"/>
    <cellStyle name="Input 39 2 3 7" xfId="41175" xr:uid="{00000000-0005-0000-0000-000090750000}"/>
    <cellStyle name="Input 39 2 3 8" xfId="39373" xr:uid="{00000000-0005-0000-0000-000091750000}"/>
    <cellStyle name="Input 39 2 4" xfId="14939" xr:uid="{00000000-0005-0000-0000-000092750000}"/>
    <cellStyle name="Input 39 2 4 2" xfId="43055" xr:uid="{00000000-0005-0000-0000-000093750000}"/>
    <cellStyle name="Input 39 2 4 3" xfId="39058" xr:uid="{00000000-0005-0000-0000-000094750000}"/>
    <cellStyle name="Input 39 2 4 4" xfId="32574" xr:uid="{00000000-0005-0000-0000-000095750000}"/>
    <cellStyle name="Input 39 2 5" xfId="13169" xr:uid="{00000000-0005-0000-0000-000096750000}"/>
    <cellStyle name="Input 39 2 5 2" xfId="42390" xr:uid="{00000000-0005-0000-0000-000097750000}"/>
    <cellStyle name="Input 39 2 5 3" xfId="39087" xr:uid="{00000000-0005-0000-0000-000098750000}"/>
    <cellStyle name="Input 39 2 5 4" xfId="30818" xr:uid="{00000000-0005-0000-0000-000099750000}"/>
    <cellStyle name="Input 39 2 6" xfId="20276" xr:uid="{00000000-0005-0000-0000-00009A750000}"/>
    <cellStyle name="Input 39 2 6 2" xfId="45813" xr:uid="{00000000-0005-0000-0000-00009B750000}"/>
    <cellStyle name="Input 39 2 6 3" xfId="49719" xr:uid="{00000000-0005-0000-0000-00009C750000}"/>
    <cellStyle name="Input 39 2 6 4" xfId="37744" xr:uid="{00000000-0005-0000-0000-00009D750000}"/>
    <cellStyle name="Input 39 2 7" xfId="19046" xr:uid="{00000000-0005-0000-0000-00009E750000}"/>
    <cellStyle name="Input 39 2 7 2" xfId="44583" xr:uid="{00000000-0005-0000-0000-00009F750000}"/>
    <cellStyle name="Input 39 2 7 3" xfId="48489" xr:uid="{00000000-0005-0000-0000-0000A0750000}"/>
    <cellStyle name="Input 39 2 7 4" xfId="36649" xr:uid="{00000000-0005-0000-0000-0000A1750000}"/>
    <cellStyle name="Input 39 2 8" xfId="19201" xr:uid="{00000000-0005-0000-0000-0000A2750000}"/>
    <cellStyle name="Input 39 2 8 2" xfId="44738" xr:uid="{00000000-0005-0000-0000-0000A3750000}"/>
    <cellStyle name="Input 39 2 8 3" xfId="48644" xr:uid="{00000000-0005-0000-0000-0000A4750000}"/>
    <cellStyle name="Input 39 2 9" xfId="39915" xr:uid="{00000000-0005-0000-0000-0000A5750000}"/>
    <cellStyle name="Input 39 3" xfId="22480" xr:uid="{00000000-0005-0000-0000-0000A6750000}"/>
    <cellStyle name="Input 39 3 2" xfId="23044" xr:uid="{00000000-0005-0000-0000-0000A7750000}"/>
    <cellStyle name="Input 39 3 2 2" xfId="47645" xr:uid="{00000000-0005-0000-0000-0000A8750000}"/>
    <cellStyle name="Input 39 3 2 3" xfId="51456" xr:uid="{00000000-0005-0000-0000-0000A9750000}"/>
    <cellStyle name="Input 39 3 3" xfId="47538" xr:uid="{00000000-0005-0000-0000-0000AA750000}"/>
    <cellStyle name="Input 39 3 4" xfId="51392" xr:uid="{00000000-0005-0000-0000-0000AB750000}"/>
    <cellStyle name="Input 39 3 5" xfId="53185" xr:uid="{00000000-0005-0000-0000-0000AC750000}"/>
    <cellStyle name="Input 39 4" xfId="53183" xr:uid="{00000000-0005-0000-0000-0000AD750000}"/>
    <cellStyle name="Input 4" xfId="108" xr:uid="{00000000-0005-0000-0000-0000AE750000}"/>
    <cellStyle name="Input 4 10" xfId="1994" xr:uid="{00000000-0005-0000-0000-0000AF750000}"/>
    <cellStyle name="Input 4 10 2" xfId="7153" xr:uid="{00000000-0005-0000-0000-0000B0750000}"/>
    <cellStyle name="Input 4 10 2 10" xfId="39411" xr:uid="{00000000-0005-0000-0000-0000B1750000}"/>
    <cellStyle name="Input 4 10 2 2" xfId="10683" xr:uid="{00000000-0005-0000-0000-0000B2750000}"/>
    <cellStyle name="Input 4 10 2 2 2" xfId="18476" xr:uid="{00000000-0005-0000-0000-0000B3750000}"/>
    <cellStyle name="Input 4 10 2 2 2 2" xfId="44023" xr:uid="{00000000-0005-0000-0000-0000B4750000}"/>
    <cellStyle name="Input 4 10 2 2 2 3" xfId="47932" xr:uid="{00000000-0005-0000-0000-0000B5750000}"/>
    <cellStyle name="Input 4 10 2 2 2 4" xfId="36113" xr:uid="{00000000-0005-0000-0000-0000B6750000}"/>
    <cellStyle name="Input 4 10 2 2 3" xfId="19740" xr:uid="{00000000-0005-0000-0000-0000B7750000}"/>
    <cellStyle name="Input 4 10 2 2 3 2" xfId="45277" xr:uid="{00000000-0005-0000-0000-0000B8750000}"/>
    <cellStyle name="Input 4 10 2 2 3 3" xfId="49183" xr:uid="{00000000-0005-0000-0000-0000B9750000}"/>
    <cellStyle name="Input 4 10 2 2 3 4" xfId="37267" xr:uid="{00000000-0005-0000-0000-0000BA750000}"/>
    <cellStyle name="Input 4 10 2 2 4" xfId="19061" xr:uid="{00000000-0005-0000-0000-0000BB750000}"/>
    <cellStyle name="Input 4 10 2 2 4 2" xfId="44598" xr:uid="{00000000-0005-0000-0000-0000BC750000}"/>
    <cellStyle name="Input 4 10 2 2 4 3" xfId="48504" xr:uid="{00000000-0005-0000-0000-0000BD750000}"/>
    <cellStyle name="Input 4 10 2 2 4 4" xfId="36660" xr:uid="{00000000-0005-0000-0000-0000BE750000}"/>
    <cellStyle name="Input 4 10 2 2 5" xfId="20889" xr:uid="{00000000-0005-0000-0000-0000BF750000}"/>
    <cellStyle name="Input 4 10 2 2 5 2" xfId="46426" xr:uid="{00000000-0005-0000-0000-0000C0750000}"/>
    <cellStyle name="Input 4 10 2 2 5 3" xfId="50332" xr:uid="{00000000-0005-0000-0000-0000C1750000}"/>
    <cellStyle name="Input 4 10 2 2 5 4" xfId="38295" xr:uid="{00000000-0005-0000-0000-0000C2750000}"/>
    <cellStyle name="Input 4 10 2 2 6" xfId="21542" xr:uid="{00000000-0005-0000-0000-0000C3750000}"/>
    <cellStyle name="Input 4 10 2 2 6 2" xfId="47079" xr:uid="{00000000-0005-0000-0000-0000C4750000}"/>
    <cellStyle name="Input 4 10 2 2 6 3" xfId="50985" xr:uid="{00000000-0005-0000-0000-0000C5750000}"/>
    <cellStyle name="Input 4 10 2 2 7" xfId="40882" xr:uid="{00000000-0005-0000-0000-0000C6750000}"/>
    <cellStyle name="Input 4 10 2 2 8" xfId="43522" xr:uid="{00000000-0005-0000-0000-0000C7750000}"/>
    <cellStyle name="Input 4 10 2 3" xfId="10978" xr:uid="{00000000-0005-0000-0000-0000C8750000}"/>
    <cellStyle name="Input 4 10 2 3 2" xfId="18771" xr:uid="{00000000-0005-0000-0000-0000C9750000}"/>
    <cellStyle name="Input 4 10 2 3 2 2" xfId="44318" xr:uid="{00000000-0005-0000-0000-0000CA750000}"/>
    <cellStyle name="Input 4 10 2 3 2 3" xfId="48227" xr:uid="{00000000-0005-0000-0000-0000CB750000}"/>
    <cellStyle name="Input 4 10 2 3 2 4" xfId="36408" xr:uid="{00000000-0005-0000-0000-0000CC750000}"/>
    <cellStyle name="Input 4 10 2 3 3" xfId="12642" xr:uid="{00000000-0005-0000-0000-0000CD750000}"/>
    <cellStyle name="Input 4 10 2 3 3 2" xfId="42121" xr:uid="{00000000-0005-0000-0000-0000CE750000}"/>
    <cellStyle name="Input 4 10 2 3 3 3" xfId="40192" xr:uid="{00000000-0005-0000-0000-0000CF750000}"/>
    <cellStyle name="Input 4 10 2 3 3 4" xfId="30307" xr:uid="{00000000-0005-0000-0000-0000D0750000}"/>
    <cellStyle name="Input 4 10 2 3 4" xfId="13266" xr:uid="{00000000-0005-0000-0000-0000D1750000}"/>
    <cellStyle name="Input 4 10 2 3 4 2" xfId="42436" xr:uid="{00000000-0005-0000-0000-0000D2750000}"/>
    <cellStyle name="Input 4 10 2 3 4 3" xfId="40435" xr:uid="{00000000-0005-0000-0000-0000D3750000}"/>
    <cellStyle name="Input 4 10 2 3 4 4" xfId="30911" xr:uid="{00000000-0005-0000-0000-0000D4750000}"/>
    <cellStyle name="Input 4 10 2 3 5" xfId="21184" xr:uid="{00000000-0005-0000-0000-0000D5750000}"/>
    <cellStyle name="Input 4 10 2 3 5 2" xfId="46721" xr:uid="{00000000-0005-0000-0000-0000D6750000}"/>
    <cellStyle name="Input 4 10 2 3 5 3" xfId="50627" xr:uid="{00000000-0005-0000-0000-0000D7750000}"/>
    <cellStyle name="Input 4 10 2 3 5 4" xfId="38590" xr:uid="{00000000-0005-0000-0000-0000D8750000}"/>
    <cellStyle name="Input 4 10 2 3 6" xfId="21837" xr:uid="{00000000-0005-0000-0000-0000D9750000}"/>
    <cellStyle name="Input 4 10 2 3 6 2" xfId="47374" xr:uid="{00000000-0005-0000-0000-0000DA750000}"/>
    <cellStyle name="Input 4 10 2 3 6 3" xfId="51280" xr:uid="{00000000-0005-0000-0000-0000DB750000}"/>
    <cellStyle name="Input 4 10 2 3 7" xfId="41177" xr:uid="{00000000-0005-0000-0000-0000DC750000}"/>
    <cellStyle name="Input 4 10 2 3 8" xfId="39183" xr:uid="{00000000-0005-0000-0000-0000DD750000}"/>
    <cellStyle name="Input 4 10 2 4" xfId="14941" xr:uid="{00000000-0005-0000-0000-0000DE750000}"/>
    <cellStyle name="Input 4 10 2 4 2" xfId="43057" xr:uid="{00000000-0005-0000-0000-0000DF750000}"/>
    <cellStyle name="Input 4 10 2 4 3" xfId="43296" xr:uid="{00000000-0005-0000-0000-0000E0750000}"/>
    <cellStyle name="Input 4 10 2 4 4" xfId="32576" xr:uid="{00000000-0005-0000-0000-0000E1750000}"/>
    <cellStyle name="Input 4 10 2 5" xfId="13170" xr:uid="{00000000-0005-0000-0000-0000E2750000}"/>
    <cellStyle name="Input 4 10 2 5 2" xfId="42391" xr:uid="{00000000-0005-0000-0000-0000E3750000}"/>
    <cellStyle name="Input 4 10 2 5 3" xfId="39086" xr:uid="{00000000-0005-0000-0000-0000E4750000}"/>
    <cellStyle name="Input 4 10 2 5 4" xfId="30819" xr:uid="{00000000-0005-0000-0000-0000E5750000}"/>
    <cellStyle name="Input 4 10 2 6" xfId="20068" xr:uid="{00000000-0005-0000-0000-0000E6750000}"/>
    <cellStyle name="Input 4 10 2 6 2" xfId="45605" xr:uid="{00000000-0005-0000-0000-0000E7750000}"/>
    <cellStyle name="Input 4 10 2 6 3" xfId="49511" xr:uid="{00000000-0005-0000-0000-0000E8750000}"/>
    <cellStyle name="Input 4 10 2 6 4" xfId="37562" xr:uid="{00000000-0005-0000-0000-0000E9750000}"/>
    <cellStyle name="Input 4 10 2 7" xfId="12937" xr:uid="{00000000-0005-0000-0000-0000EA750000}"/>
    <cellStyle name="Input 4 10 2 7 2" xfId="42258" xr:uid="{00000000-0005-0000-0000-0000EB750000}"/>
    <cellStyle name="Input 4 10 2 7 3" xfId="42800" xr:uid="{00000000-0005-0000-0000-0000EC750000}"/>
    <cellStyle name="Input 4 10 2 7 4" xfId="30587" xr:uid="{00000000-0005-0000-0000-0000ED750000}"/>
    <cellStyle name="Input 4 10 2 8" xfId="18970" xr:uid="{00000000-0005-0000-0000-0000EE750000}"/>
    <cellStyle name="Input 4 10 2 8 2" xfId="44507" xr:uid="{00000000-0005-0000-0000-0000EF750000}"/>
    <cellStyle name="Input 4 10 2 8 3" xfId="48413" xr:uid="{00000000-0005-0000-0000-0000F0750000}"/>
    <cellStyle name="Input 4 10 2 9" xfId="39917" xr:uid="{00000000-0005-0000-0000-0000F1750000}"/>
    <cellStyle name="Input 4 11" xfId="1995" xr:uid="{00000000-0005-0000-0000-0000F2750000}"/>
    <cellStyle name="Input 4 11 2" xfId="7154" xr:uid="{00000000-0005-0000-0000-0000F3750000}"/>
    <cellStyle name="Input 4 11 2 10" xfId="39240" xr:uid="{00000000-0005-0000-0000-0000F4750000}"/>
    <cellStyle name="Input 4 11 2 2" xfId="10684" xr:uid="{00000000-0005-0000-0000-0000F5750000}"/>
    <cellStyle name="Input 4 11 2 2 2" xfId="18477" xr:uid="{00000000-0005-0000-0000-0000F6750000}"/>
    <cellStyle name="Input 4 11 2 2 2 2" xfId="44024" xr:uid="{00000000-0005-0000-0000-0000F7750000}"/>
    <cellStyle name="Input 4 11 2 2 2 3" xfId="47933" xr:uid="{00000000-0005-0000-0000-0000F8750000}"/>
    <cellStyle name="Input 4 11 2 2 2 4" xfId="36114" xr:uid="{00000000-0005-0000-0000-0000F9750000}"/>
    <cellStyle name="Input 4 11 2 2 3" xfId="11504" xr:uid="{00000000-0005-0000-0000-0000FA750000}"/>
    <cellStyle name="Input 4 11 2 2 3 2" xfId="41515" xr:uid="{00000000-0005-0000-0000-0000FB750000}"/>
    <cellStyle name="Input 4 11 2 2 3 3" xfId="40465" xr:uid="{00000000-0005-0000-0000-0000FC750000}"/>
    <cellStyle name="Input 4 11 2 2 3 4" xfId="29219" xr:uid="{00000000-0005-0000-0000-0000FD750000}"/>
    <cellStyle name="Input 4 11 2 2 4" xfId="19669" xr:uid="{00000000-0005-0000-0000-0000FE750000}"/>
    <cellStyle name="Input 4 11 2 2 4 2" xfId="45206" xr:uid="{00000000-0005-0000-0000-0000FF750000}"/>
    <cellStyle name="Input 4 11 2 2 4 3" xfId="49112" xr:uid="{00000000-0005-0000-0000-000000760000}"/>
    <cellStyle name="Input 4 11 2 2 4 4" xfId="37203" xr:uid="{00000000-0005-0000-0000-000001760000}"/>
    <cellStyle name="Input 4 11 2 2 5" xfId="20890" xr:uid="{00000000-0005-0000-0000-000002760000}"/>
    <cellStyle name="Input 4 11 2 2 5 2" xfId="46427" xr:uid="{00000000-0005-0000-0000-000003760000}"/>
    <cellStyle name="Input 4 11 2 2 5 3" xfId="50333" xr:uid="{00000000-0005-0000-0000-000004760000}"/>
    <cellStyle name="Input 4 11 2 2 5 4" xfId="38296" xr:uid="{00000000-0005-0000-0000-000005760000}"/>
    <cellStyle name="Input 4 11 2 2 6" xfId="21543" xr:uid="{00000000-0005-0000-0000-000006760000}"/>
    <cellStyle name="Input 4 11 2 2 6 2" xfId="47080" xr:uid="{00000000-0005-0000-0000-000007760000}"/>
    <cellStyle name="Input 4 11 2 2 6 3" xfId="50986" xr:uid="{00000000-0005-0000-0000-000008760000}"/>
    <cellStyle name="Input 4 11 2 2 7" xfId="40883" xr:uid="{00000000-0005-0000-0000-000009760000}"/>
    <cellStyle name="Input 4 11 2 2 8" xfId="40385" xr:uid="{00000000-0005-0000-0000-00000A760000}"/>
    <cellStyle name="Input 4 11 2 3" xfId="10979" xr:uid="{00000000-0005-0000-0000-00000B760000}"/>
    <cellStyle name="Input 4 11 2 3 2" xfId="18772" xr:uid="{00000000-0005-0000-0000-00000C760000}"/>
    <cellStyle name="Input 4 11 2 3 2 2" xfId="44319" xr:uid="{00000000-0005-0000-0000-00000D760000}"/>
    <cellStyle name="Input 4 11 2 3 2 3" xfId="48228" xr:uid="{00000000-0005-0000-0000-00000E760000}"/>
    <cellStyle name="Input 4 11 2 3 2 4" xfId="36409" xr:uid="{00000000-0005-0000-0000-00000F760000}"/>
    <cellStyle name="Input 4 11 2 3 3" xfId="12181" xr:uid="{00000000-0005-0000-0000-000010760000}"/>
    <cellStyle name="Input 4 11 2 3 3 2" xfId="41926" xr:uid="{00000000-0005-0000-0000-000011760000}"/>
    <cellStyle name="Input 4 11 2 3 3 3" xfId="39319" xr:uid="{00000000-0005-0000-0000-000012760000}"/>
    <cellStyle name="Input 4 11 2 3 3 4" xfId="29853" xr:uid="{00000000-0005-0000-0000-000013760000}"/>
    <cellStyle name="Input 4 11 2 3 4" xfId="19511" xr:uid="{00000000-0005-0000-0000-000014760000}"/>
    <cellStyle name="Input 4 11 2 3 4 2" xfId="45048" xr:uid="{00000000-0005-0000-0000-000015760000}"/>
    <cellStyle name="Input 4 11 2 3 4 3" xfId="48954" xr:uid="{00000000-0005-0000-0000-000016760000}"/>
    <cellStyle name="Input 4 11 2 3 4 4" xfId="37059" xr:uid="{00000000-0005-0000-0000-000017760000}"/>
    <cellStyle name="Input 4 11 2 3 5" xfId="21185" xr:uid="{00000000-0005-0000-0000-000018760000}"/>
    <cellStyle name="Input 4 11 2 3 5 2" xfId="46722" xr:uid="{00000000-0005-0000-0000-000019760000}"/>
    <cellStyle name="Input 4 11 2 3 5 3" xfId="50628" xr:uid="{00000000-0005-0000-0000-00001A760000}"/>
    <cellStyle name="Input 4 11 2 3 5 4" xfId="38591" xr:uid="{00000000-0005-0000-0000-00001B760000}"/>
    <cellStyle name="Input 4 11 2 3 6" xfId="21838" xr:uid="{00000000-0005-0000-0000-00001C760000}"/>
    <cellStyle name="Input 4 11 2 3 6 2" xfId="47375" xr:uid="{00000000-0005-0000-0000-00001D760000}"/>
    <cellStyle name="Input 4 11 2 3 6 3" xfId="51281" xr:uid="{00000000-0005-0000-0000-00001E760000}"/>
    <cellStyle name="Input 4 11 2 3 7" xfId="41178" xr:uid="{00000000-0005-0000-0000-00001F760000}"/>
    <cellStyle name="Input 4 11 2 3 8" xfId="47591" xr:uid="{00000000-0005-0000-0000-000020760000}"/>
    <cellStyle name="Input 4 11 2 4" xfId="14942" xr:uid="{00000000-0005-0000-0000-000021760000}"/>
    <cellStyle name="Input 4 11 2 4 2" xfId="43058" xr:uid="{00000000-0005-0000-0000-000022760000}"/>
    <cellStyle name="Input 4 11 2 4 3" xfId="40155" xr:uid="{00000000-0005-0000-0000-000023760000}"/>
    <cellStyle name="Input 4 11 2 4 4" xfId="32577" xr:uid="{00000000-0005-0000-0000-000024760000}"/>
    <cellStyle name="Input 4 11 2 5" xfId="12486" xr:uid="{00000000-0005-0000-0000-000025760000}"/>
    <cellStyle name="Input 4 11 2 5 2" xfId="42006" xr:uid="{00000000-0005-0000-0000-000026760000}"/>
    <cellStyle name="Input 4 11 2 5 3" xfId="40341" xr:uid="{00000000-0005-0000-0000-000027760000}"/>
    <cellStyle name="Input 4 11 2 5 4" xfId="30157" xr:uid="{00000000-0005-0000-0000-000028760000}"/>
    <cellStyle name="Input 4 11 2 6" xfId="19860" xr:uid="{00000000-0005-0000-0000-000029760000}"/>
    <cellStyle name="Input 4 11 2 6 2" xfId="45397" xr:uid="{00000000-0005-0000-0000-00002A760000}"/>
    <cellStyle name="Input 4 11 2 6 3" xfId="49303" xr:uid="{00000000-0005-0000-0000-00002B760000}"/>
    <cellStyle name="Input 4 11 2 6 4" xfId="37374" xr:uid="{00000000-0005-0000-0000-00002C760000}"/>
    <cellStyle name="Input 4 11 2 7" xfId="12069" xr:uid="{00000000-0005-0000-0000-00002D760000}"/>
    <cellStyle name="Input 4 11 2 7 2" xfId="41819" xr:uid="{00000000-0005-0000-0000-00002E760000}"/>
    <cellStyle name="Input 4 11 2 7 3" xfId="43594" xr:uid="{00000000-0005-0000-0000-00002F760000}"/>
    <cellStyle name="Input 4 11 2 7 4" xfId="29747" xr:uid="{00000000-0005-0000-0000-000030760000}"/>
    <cellStyle name="Input 4 11 2 8" xfId="19008" xr:uid="{00000000-0005-0000-0000-000031760000}"/>
    <cellStyle name="Input 4 11 2 8 2" xfId="44545" xr:uid="{00000000-0005-0000-0000-000032760000}"/>
    <cellStyle name="Input 4 11 2 8 3" xfId="48451" xr:uid="{00000000-0005-0000-0000-000033760000}"/>
    <cellStyle name="Input 4 11 2 9" xfId="39918" xr:uid="{00000000-0005-0000-0000-000034760000}"/>
    <cellStyle name="Input 4 12" xfId="1996" xr:uid="{00000000-0005-0000-0000-000035760000}"/>
    <cellStyle name="Input 4 12 2" xfId="7155" xr:uid="{00000000-0005-0000-0000-000036760000}"/>
    <cellStyle name="Input 4 12 2 10" xfId="47598" xr:uid="{00000000-0005-0000-0000-000037760000}"/>
    <cellStyle name="Input 4 12 2 2" xfId="10685" xr:uid="{00000000-0005-0000-0000-000038760000}"/>
    <cellStyle name="Input 4 12 2 2 2" xfId="18478" xr:uid="{00000000-0005-0000-0000-000039760000}"/>
    <cellStyle name="Input 4 12 2 2 2 2" xfId="44025" xr:uid="{00000000-0005-0000-0000-00003A760000}"/>
    <cellStyle name="Input 4 12 2 2 2 3" xfId="47934" xr:uid="{00000000-0005-0000-0000-00003B760000}"/>
    <cellStyle name="Input 4 12 2 2 2 4" xfId="36115" xr:uid="{00000000-0005-0000-0000-00003C760000}"/>
    <cellStyle name="Input 4 12 2 2 3" xfId="19741" xr:uid="{00000000-0005-0000-0000-00003D760000}"/>
    <cellStyle name="Input 4 12 2 2 3 2" xfId="45278" xr:uid="{00000000-0005-0000-0000-00003E760000}"/>
    <cellStyle name="Input 4 12 2 2 3 3" xfId="49184" xr:uid="{00000000-0005-0000-0000-00003F760000}"/>
    <cellStyle name="Input 4 12 2 2 3 4" xfId="37268" xr:uid="{00000000-0005-0000-0000-000040760000}"/>
    <cellStyle name="Input 4 12 2 2 4" xfId="19255" xr:uid="{00000000-0005-0000-0000-000041760000}"/>
    <cellStyle name="Input 4 12 2 2 4 2" xfId="44792" xr:uid="{00000000-0005-0000-0000-000042760000}"/>
    <cellStyle name="Input 4 12 2 2 4 3" xfId="48698" xr:uid="{00000000-0005-0000-0000-000043760000}"/>
    <cellStyle name="Input 4 12 2 2 4 4" xfId="36833" xr:uid="{00000000-0005-0000-0000-000044760000}"/>
    <cellStyle name="Input 4 12 2 2 5" xfId="20891" xr:uid="{00000000-0005-0000-0000-000045760000}"/>
    <cellStyle name="Input 4 12 2 2 5 2" xfId="46428" xr:uid="{00000000-0005-0000-0000-000046760000}"/>
    <cellStyle name="Input 4 12 2 2 5 3" xfId="50334" xr:uid="{00000000-0005-0000-0000-000047760000}"/>
    <cellStyle name="Input 4 12 2 2 5 4" xfId="38297" xr:uid="{00000000-0005-0000-0000-000048760000}"/>
    <cellStyle name="Input 4 12 2 2 6" xfId="21544" xr:uid="{00000000-0005-0000-0000-000049760000}"/>
    <cellStyle name="Input 4 12 2 2 6 2" xfId="47081" xr:uid="{00000000-0005-0000-0000-00004A760000}"/>
    <cellStyle name="Input 4 12 2 2 6 3" xfId="50987" xr:uid="{00000000-0005-0000-0000-00004B760000}"/>
    <cellStyle name="Input 4 12 2 2 7" xfId="40884" xr:uid="{00000000-0005-0000-0000-00004C760000}"/>
    <cellStyle name="Input 4 12 2 2 8" xfId="39497" xr:uid="{00000000-0005-0000-0000-00004D760000}"/>
    <cellStyle name="Input 4 12 2 3" xfId="10980" xr:uid="{00000000-0005-0000-0000-00004E760000}"/>
    <cellStyle name="Input 4 12 2 3 2" xfId="18773" xr:uid="{00000000-0005-0000-0000-00004F760000}"/>
    <cellStyle name="Input 4 12 2 3 2 2" xfId="44320" xr:uid="{00000000-0005-0000-0000-000050760000}"/>
    <cellStyle name="Input 4 12 2 3 2 3" xfId="48229" xr:uid="{00000000-0005-0000-0000-000051760000}"/>
    <cellStyle name="Input 4 12 2 3 2 4" xfId="36410" xr:uid="{00000000-0005-0000-0000-000052760000}"/>
    <cellStyle name="Input 4 12 2 3 3" xfId="13359" xr:uid="{00000000-0005-0000-0000-000053760000}"/>
    <cellStyle name="Input 4 12 2 3 3 2" xfId="42529" xr:uid="{00000000-0005-0000-0000-000054760000}"/>
    <cellStyle name="Input 4 12 2 3 3 3" xfId="39645" xr:uid="{00000000-0005-0000-0000-000055760000}"/>
    <cellStyle name="Input 4 12 2 3 3 4" xfId="30999" xr:uid="{00000000-0005-0000-0000-000056760000}"/>
    <cellStyle name="Input 4 12 2 3 4" xfId="12768" xr:uid="{00000000-0005-0000-0000-000057760000}"/>
    <cellStyle name="Input 4 12 2 3 4 2" xfId="42211" xr:uid="{00000000-0005-0000-0000-000058760000}"/>
    <cellStyle name="Input 4 12 2 3 4 3" xfId="43327" xr:uid="{00000000-0005-0000-0000-000059760000}"/>
    <cellStyle name="Input 4 12 2 3 4 4" xfId="30426" xr:uid="{00000000-0005-0000-0000-00005A760000}"/>
    <cellStyle name="Input 4 12 2 3 5" xfId="21186" xr:uid="{00000000-0005-0000-0000-00005B760000}"/>
    <cellStyle name="Input 4 12 2 3 5 2" xfId="46723" xr:uid="{00000000-0005-0000-0000-00005C760000}"/>
    <cellStyle name="Input 4 12 2 3 5 3" xfId="50629" xr:uid="{00000000-0005-0000-0000-00005D760000}"/>
    <cellStyle name="Input 4 12 2 3 5 4" xfId="38592" xr:uid="{00000000-0005-0000-0000-00005E760000}"/>
    <cellStyle name="Input 4 12 2 3 6" xfId="21839" xr:uid="{00000000-0005-0000-0000-00005F760000}"/>
    <cellStyle name="Input 4 12 2 3 6 2" xfId="47376" xr:uid="{00000000-0005-0000-0000-000060760000}"/>
    <cellStyle name="Input 4 12 2 3 6 3" xfId="51282" xr:uid="{00000000-0005-0000-0000-000061760000}"/>
    <cellStyle name="Input 4 12 2 3 7" xfId="41179" xr:uid="{00000000-0005-0000-0000-000062760000}"/>
    <cellStyle name="Input 4 12 2 3 8" xfId="41424" xr:uid="{00000000-0005-0000-0000-000063760000}"/>
    <cellStyle name="Input 4 12 2 4" xfId="14943" xr:uid="{00000000-0005-0000-0000-000064760000}"/>
    <cellStyle name="Input 4 12 2 4 2" xfId="43059" xr:uid="{00000000-0005-0000-0000-000065760000}"/>
    <cellStyle name="Input 4 12 2 4 3" xfId="39269" xr:uid="{00000000-0005-0000-0000-000066760000}"/>
    <cellStyle name="Input 4 12 2 4 4" xfId="32578" xr:uid="{00000000-0005-0000-0000-000067760000}"/>
    <cellStyle name="Input 4 12 2 5" xfId="12487" xr:uid="{00000000-0005-0000-0000-000068760000}"/>
    <cellStyle name="Input 4 12 2 5 2" xfId="42007" xr:uid="{00000000-0005-0000-0000-000069760000}"/>
    <cellStyle name="Input 4 12 2 5 3" xfId="39456" xr:uid="{00000000-0005-0000-0000-00006A760000}"/>
    <cellStyle name="Input 4 12 2 5 4" xfId="30158" xr:uid="{00000000-0005-0000-0000-00006B760000}"/>
    <cellStyle name="Input 4 12 2 6" xfId="18911" xr:uid="{00000000-0005-0000-0000-00006C760000}"/>
    <cellStyle name="Input 4 12 2 6 2" xfId="44448" xr:uid="{00000000-0005-0000-0000-00006D760000}"/>
    <cellStyle name="Input 4 12 2 6 3" xfId="48354" xr:uid="{00000000-0005-0000-0000-00006E760000}"/>
    <cellStyle name="Input 4 12 2 6 4" xfId="36543" xr:uid="{00000000-0005-0000-0000-00006F760000}"/>
    <cellStyle name="Input 4 12 2 7" xfId="11557" xr:uid="{00000000-0005-0000-0000-000070760000}"/>
    <cellStyle name="Input 4 12 2 7 2" xfId="41568" xr:uid="{00000000-0005-0000-0000-000071760000}"/>
    <cellStyle name="Input 4 12 2 7 3" xfId="42820" xr:uid="{00000000-0005-0000-0000-000072760000}"/>
    <cellStyle name="Input 4 12 2 7 4" xfId="29269" xr:uid="{00000000-0005-0000-0000-000073760000}"/>
    <cellStyle name="Input 4 12 2 8" xfId="20115" xr:uid="{00000000-0005-0000-0000-000074760000}"/>
    <cellStyle name="Input 4 12 2 8 2" xfId="45652" xr:uid="{00000000-0005-0000-0000-000075760000}"/>
    <cellStyle name="Input 4 12 2 8 3" xfId="49558" xr:uid="{00000000-0005-0000-0000-000076760000}"/>
    <cellStyle name="Input 4 12 2 9" xfId="39919" xr:uid="{00000000-0005-0000-0000-000077760000}"/>
    <cellStyle name="Input 4 13" xfId="1997" xr:uid="{00000000-0005-0000-0000-000078760000}"/>
    <cellStyle name="Input 4 13 2" xfId="7156" xr:uid="{00000000-0005-0000-0000-000079760000}"/>
    <cellStyle name="Input 4 13 2 10" xfId="41721" xr:uid="{00000000-0005-0000-0000-00007A760000}"/>
    <cellStyle name="Input 4 13 2 2" xfId="10686" xr:uid="{00000000-0005-0000-0000-00007B760000}"/>
    <cellStyle name="Input 4 13 2 2 2" xfId="18479" xr:uid="{00000000-0005-0000-0000-00007C760000}"/>
    <cellStyle name="Input 4 13 2 2 2 2" xfId="44026" xr:uid="{00000000-0005-0000-0000-00007D760000}"/>
    <cellStyle name="Input 4 13 2 2 2 3" xfId="47935" xr:uid="{00000000-0005-0000-0000-00007E760000}"/>
    <cellStyle name="Input 4 13 2 2 2 4" xfId="36116" xr:uid="{00000000-0005-0000-0000-00007F760000}"/>
    <cellStyle name="Input 4 13 2 2 3" xfId="11503" xr:uid="{00000000-0005-0000-0000-000080760000}"/>
    <cellStyle name="Input 4 13 2 2 3 2" xfId="41514" xr:uid="{00000000-0005-0000-0000-000081760000}"/>
    <cellStyle name="Input 4 13 2 2 3 3" xfId="43605" xr:uid="{00000000-0005-0000-0000-000082760000}"/>
    <cellStyle name="Input 4 13 2 2 3 4" xfId="29218" xr:uid="{00000000-0005-0000-0000-000083760000}"/>
    <cellStyle name="Input 4 13 2 2 4" xfId="19964" xr:uid="{00000000-0005-0000-0000-000084760000}"/>
    <cellStyle name="Input 4 13 2 2 4 2" xfId="45501" xr:uid="{00000000-0005-0000-0000-000085760000}"/>
    <cellStyle name="Input 4 13 2 2 4 3" xfId="49407" xr:uid="{00000000-0005-0000-0000-000086760000}"/>
    <cellStyle name="Input 4 13 2 2 4 4" xfId="37469" xr:uid="{00000000-0005-0000-0000-000087760000}"/>
    <cellStyle name="Input 4 13 2 2 5" xfId="20892" xr:uid="{00000000-0005-0000-0000-000088760000}"/>
    <cellStyle name="Input 4 13 2 2 5 2" xfId="46429" xr:uid="{00000000-0005-0000-0000-000089760000}"/>
    <cellStyle name="Input 4 13 2 2 5 3" xfId="50335" xr:uid="{00000000-0005-0000-0000-00008A760000}"/>
    <cellStyle name="Input 4 13 2 2 5 4" xfId="38298" xr:uid="{00000000-0005-0000-0000-00008B760000}"/>
    <cellStyle name="Input 4 13 2 2 6" xfId="21545" xr:uid="{00000000-0005-0000-0000-00008C760000}"/>
    <cellStyle name="Input 4 13 2 2 6 2" xfId="47082" xr:uid="{00000000-0005-0000-0000-00008D760000}"/>
    <cellStyle name="Input 4 13 2 2 6 3" xfId="50988" xr:uid="{00000000-0005-0000-0000-00008E760000}"/>
    <cellStyle name="Input 4 13 2 2 7" xfId="40885" xr:uid="{00000000-0005-0000-0000-00008F760000}"/>
    <cellStyle name="Input 4 13 2 2 8" xfId="42068" xr:uid="{00000000-0005-0000-0000-000090760000}"/>
    <cellStyle name="Input 4 13 2 3" xfId="10981" xr:uid="{00000000-0005-0000-0000-000091760000}"/>
    <cellStyle name="Input 4 13 2 3 2" xfId="18774" xr:uid="{00000000-0005-0000-0000-000092760000}"/>
    <cellStyle name="Input 4 13 2 3 2 2" xfId="44321" xr:uid="{00000000-0005-0000-0000-000093760000}"/>
    <cellStyle name="Input 4 13 2 3 2 3" xfId="48230" xr:uid="{00000000-0005-0000-0000-000094760000}"/>
    <cellStyle name="Input 4 13 2 3 2 4" xfId="36411" xr:uid="{00000000-0005-0000-0000-000095760000}"/>
    <cellStyle name="Input 4 13 2 3 3" xfId="19589" xr:uid="{00000000-0005-0000-0000-000096760000}"/>
    <cellStyle name="Input 4 13 2 3 3 2" xfId="45126" xr:uid="{00000000-0005-0000-0000-000097760000}"/>
    <cellStyle name="Input 4 13 2 3 3 3" xfId="49032" xr:uid="{00000000-0005-0000-0000-000098760000}"/>
    <cellStyle name="Input 4 13 2 3 3 4" xfId="37129" xr:uid="{00000000-0005-0000-0000-000099760000}"/>
    <cellStyle name="Input 4 13 2 3 4" xfId="18936" xr:uid="{00000000-0005-0000-0000-00009A760000}"/>
    <cellStyle name="Input 4 13 2 3 4 2" xfId="44473" xr:uid="{00000000-0005-0000-0000-00009B760000}"/>
    <cellStyle name="Input 4 13 2 3 4 3" xfId="48379" xr:uid="{00000000-0005-0000-0000-00009C760000}"/>
    <cellStyle name="Input 4 13 2 3 4 4" xfId="36563" xr:uid="{00000000-0005-0000-0000-00009D760000}"/>
    <cellStyle name="Input 4 13 2 3 5" xfId="21187" xr:uid="{00000000-0005-0000-0000-00009E760000}"/>
    <cellStyle name="Input 4 13 2 3 5 2" xfId="46724" xr:uid="{00000000-0005-0000-0000-00009F760000}"/>
    <cellStyle name="Input 4 13 2 3 5 3" xfId="50630" xr:uid="{00000000-0005-0000-0000-0000A0760000}"/>
    <cellStyle name="Input 4 13 2 3 5 4" xfId="38593" xr:uid="{00000000-0005-0000-0000-0000A1760000}"/>
    <cellStyle name="Input 4 13 2 3 6" xfId="21840" xr:uid="{00000000-0005-0000-0000-0000A2760000}"/>
    <cellStyle name="Input 4 13 2 3 6 2" xfId="47377" xr:uid="{00000000-0005-0000-0000-0000A3760000}"/>
    <cellStyle name="Input 4 13 2 3 6 3" xfId="51283" xr:uid="{00000000-0005-0000-0000-0000A4760000}"/>
    <cellStyle name="Input 4 13 2 3 7" xfId="41180" xr:uid="{00000000-0005-0000-0000-0000A5760000}"/>
    <cellStyle name="Input 4 13 2 3 8" xfId="43227" xr:uid="{00000000-0005-0000-0000-0000A6760000}"/>
    <cellStyle name="Input 4 13 2 4" xfId="14944" xr:uid="{00000000-0005-0000-0000-0000A7760000}"/>
    <cellStyle name="Input 4 13 2 4 2" xfId="43060" xr:uid="{00000000-0005-0000-0000-0000A8760000}"/>
    <cellStyle name="Input 4 13 2 4 3" xfId="41941" xr:uid="{00000000-0005-0000-0000-0000A9760000}"/>
    <cellStyle name="Input 4 13 2 4 4" xfId="32579" xr:uid="{00000000-0005-0000-0000-0000AA760000}"/>
    <cellStyle name="Input 4 13 2 5" xfId="11322" xr:uid="{00000000-0005-0000-0000-0000AB760000}"/>
    <cellStyle name="Input 4 13 2 5 2" xfId="41367" xr:uid="{00000000-0005-0000-0000-0000AC760000}"/>
    <cellStyle name="Input 4 13 2 5 3" xfId="39686" xr:uid="{00000000-0005-0000-0000-0000AD760000}"/>
    <cellStyle name="Input 4 13 2 5 4" xfId="29050" xr:uid="{00000000-0005-0000-0000-0000AE760000}"/>
    <cellStyle name="Input 4 13 2 6" xfId="12134" xr:uid="{00000000-0005-0000-0000-0000AF760000}"/>
    <cellStyle name="Input 4 13 2 6 2" xfId="41879" xr:uid="{00000000-0005-0000-0000-0000B0760000}"/>
    <cellStyle name="Input 4 13 2 6 3" xfId="42807" xr:uid="{00000000-0005-0000-0000-0000B1760000}"/>
    <cellStyle name="Input 4 13 2 6 4" xfId="29807" xr:uid="{00000000-0005-0000-0000-0000B2760000}"/>
    <cellStyle name="Input 4 13 2 7" xfId="19460" xr:uid="{00000000-0005-0000-0000-0000B3760000}"/>
    <cellStyle name="Input 4 13 2 7 2" xfId="44997" xr:uid="{00000000-0005-0000-0000-0000B4760000}"/>
    <cellStyle name="Input 4 13 2 7 3" xfId="48903" xr:uid="{00000000-0005-0000-0000-0000B5760000}"/>
    <cellStyle name="Input 4 13 2 7 4" xfId="37019" xr:uid="{00000000-0005-0000-0000-0000B6760000}"/>
    <cellStyle name="Input 4 13 2 8" xfId="12138" xr:uid="{00000000-0005-0000-0000-0000B7760000}"/>
    <cellStyle name="Input 4 13 2 8 2" xfId="41883" xr:uid="{00000000-0005-0000-0000-0000B8760000}"/>
    <cellStyle name="Input 4 13 2 8 3" xfId="47493" xr:uid="{00000000-0005-0000-0000-0000B9760000}"/>
    <cellStyle name="Input 4 13 2 9" xfId="39920" xr:uid="{00000000-0005-0000-0000-0000BA760000}"/>
    <cellStyle name="Input 4 14" xfId="4240" xr:uid="{00000000-0005-0000-0000-0000BB760000}"/>
    <cellStyle name="Input 4 14 2" xfId="7157" xr:uid="{00000000-0005-0000-0000-0000BC760000}"/>
    <cellStyle name="Input 4 14 2 10" xfId="43273" xr:uid="{00000000-0005-0000-0000-0000BD760000}"/>
    <cellStyle name="Input 4 14 2 2" xfId="10687" xr:uid="{00000000-0005-0000-0000-0000BE760000}"/>
    <cellStyle name="Input 4 14 2 2 2" xfId="18480" xr:uid="{00000000-0005-0000-0000-0000BF760000}"/>
    <cellStyle name="Input 4 14 2 2 2 2" xfId="44027" xr:uid="{00000000-0005-0000-0000-0000C0760000}"/>
    <cellStyle name="Input 4 14 2 2 2 3" xfId="47936" xr:uid="{00000000-0005-0000-0000-0000C1760000}"/>
    <cellStyle name="Input 4 14 2 2 2 4" xfId="36117" xr:uid="{00000000-0005-0000-0000-0000C2760000}"/>
    <cellStyle name="Input 4 14 2 2 3" xfId="13329" xr:uid="{00000000-0005-0000-0000-0000C3760000}"/>
    <cellStyle name="Input 4 14 2 2 3 2" xfId="42499" xr:uid="{00000000-0005-0000-0000-0000C4760000}"/>
    <cellStyle name="Input 4 14 2 2 3 3" xfId="40323" xr:uid="{00000000-0005-0000-0000-0000C5760000}"/>
    <cellStyle name="Input 4 14 2 2 3 4" xfId="30969" xr:uid="{00000000-0005-0000-0000-0000C6760000}"/>
    <cellStyle name="Input 4 14 2 2 4" xfId="19520" xr:uid="{00000000-0005-0000-0000-0000C7760000}"/>
    <cellStyle name="Input 4 14 2 2 4 2" xfId="45057" xr:uid="{00000000-0005-0000-0000-0000C8760000}"/>
    <cellStyle name="Input 4 14 2 2 4 3" xfId="48963" xr:uid="{00000000-0005-0000-0000-0000C9760000}"/>
    <cellStyle name="Input 4 14 2 2 4 4" xfId="37068" xr:uid="{00000000-0005-0000-0000-0000CA760000}"/>
    <cellStyle name="Input 4 14 2 2 5" xfId="20893" xr:uid="{00000000-0005-0000-0000-0000CB760000}"/>
    <cellStyle name="Input 4 14 2 2 5 2" xfId="46430" xr:uid="{00000000-0005-0000-0000-0000CC760000}"/>
    <cellStyle name="Input 4 14 2 2 5 3" xfId="50336" xr:uid="{00000000-0005-0000-0000-0000CD760000}"/>
    <cellStyle name="Input 4 14 2 2 5 4" xfId="38299" xr:uid="{00000000-0005-0000-0000-0000CE760000}"/>
    <cellStyle name="Input 4 14 2 2 6" xfId="21546" xr:uid="{00000000-0005-0000-0000-0000CF760000}"/>
    <cellStyle name="Input 4 14 2 2 6 2" xfId="47083" xr:uid="{00000000-0005-0000-0000-0000D0760000}"/>
    <cellStyle name="Input 4 14 2 2 6 3" xfId="50989" xr:uid="{00000000-0005-0000-0000-0000D1760000}"/>
    <cellStyle name="Input 4 14 2 2 7" xfId="40886" xr:uid="{00000000-0005-0000-0000-0000D2760000}"/>
    <cellStyle name="Input 4 14 2 2 8" xfId="43387" xr:uid="{00000000-0005-0000-0000-0000D3760000}"/>
    <cellStyle name="Input 4 14 2 3" xfId="10982" xr:uid="{00000000-0005-0000-0000-0000D4760000}"/>
    <cellStyle name="Input 4 14 2 3 2" xfId="18775" xr:uid="{00000000-0005-0000-0000-0000D5760000}"/>
    <cellStyle name="Input 4 14 2 3 2 2" xfId="44322" xr:uid="{00000000-0005-0000-0000-0000D6760000}"/>
    <cellStyle name="Input 4 14 2 3 2 3" xfId="48231" xr:uid="{00000000-0005-0000-0000-0000D7760000}"/>
    <cellStyle name="Input 4 14 2 3 2 4" xfId="36412" xr:uid="{00000000-0005-0000-0000-0000D8760000}"/>
    <cellStyle name="Input 4 14 2 3 3" xfId="20135" xr:uid="{00000000-0005-0000-0000-0000D9760000}"/>
    <cellStyle name="Input 4 14 2 3 3 2" xfId="45672" xr:uid="{00000000-0005-0000-0000-0000DA760000}"/>
    <cellStyle name="Input 4 14 2 3 3 3" xfId="49578" xr:uid="{00000000-0005-0000-0000-0000DB760000}"/>
    <cellStyle name="Input 4 14 2 3 3 4" xfId="37621" xr:uid="{00000000-0005-0000-0000-0000DC760000}"/>
    <cellStyle name="Input 4 14 2 3 4" xfId="20354" xr:uid="{00000000-0005-0000-0000-0000DD760000}"/>
    <cellStyle name="Input 4 14 2 3 4 2" xfId="45891" xr:uid="{00000000-0005-0000-0000-0000DE760000}"/>
    <cellStyle name="Input 4 14 2 3 4 3" xfId="49797" xr:uid="{00000000-0005-0000-0000-0000DF760000}"/>
    <cellStyle name="Input 4 14 2 3 4 4" xfId="37810" xr:uid="{00000000-0005-0000-0000-0000E0760000}"/>
    <cellStyle name="Input 4 14 2 3 5" xfId="21188" xr:uid="{00000000-0005-0000-0000-0000E1760000}"/>
    <cellStyle name="Input 4 14 2 3 5 2" xfId="46725" xr:uid="{00000000-0005-0000-0000-0000E2760000}"/>
    <cellStyle name="Input 4 14 2 3 5 3" xfId="50631" xr:uid="{00000000-0005-0000-0000-0000E3760000}"/>
    <cellStyle name="Input 4 14 2 3 5 4" xfId="38594" xr:uid="{00000000-0005-0000-0000-0000E4760000}"/>
    <cellStyle name="Input 4 14 2 3 6" xfId="21841" xr:uid="{00000000-0005-0000-0000-0000E5760000}"/>
    <cellStyle name="Input 4 14 2 3 6 2" xfId="47378" xr:uid="{00000000-0005-0000-0000-0000E6760000}"/>
    <cellStyle name="Input 4 14 2 3 6 3" xfId="51284" xr:uid="{00000000-0005-0000-0000-0000E7760000}"/>
    <cellStyle name="Input 4 14 2 3 7" xfId="41181" xr:uid="{00000000-0005-0000-0000-0000E8760000}"/>
    <cellStyle name="Input 4 14 2 3 8" xfId="40086" xr:uid="{00000000-0005-0000-0000-0000E9760000}"/>
    <cellStyle name="Input 4 14 2 4" xfId="14945" xr:uid="{00000000-0005-0000-0000-0000EA760000}"/>
    <cellStyle name="Input 4 14 2 4 2" xfId="43061" xr:uid="{00000000-0005-0000-0000-0000EB760000}"/>
    <cellStyle name="Input 4 14 2 4 3" xfId="43295" xr:uid="{00000000-0005-0000-0000-0000EC760000}"/>
    <cellStyle name="Input 4 14 2 4 4" xfId="32580" xr:uid="{00000000-0005-0000-0000-0000ED760000}"/>
    <cellStyle name="Input 4 14 2 5" xfId="13171" xr:uid="{00000000-0005-0000-0000-0000EE760000}"/>
    <cellStyle name="Input 4 14 2 5 2" xfId="42392" xr:uid="{00000000-0005-0000-0000-0000EF760000}"/>
    <cellStyle name="Input 4 14 2 5 3" xfId="39085" xr:uid="{00000000-0005-0000-0000-0000F0760000}"/>
    <cellStyle name="Input 4 14 2 5 4" xfId="30820" xr:uid="{00000000-0005-0000-0000-0000F1760000}"/>
    <cellStyle name="Input 4 14 2 6" xfId="11852" xr:uid="{00000000-0005-0000-0000-0000F2760000}"/>
    <cellStyle name="Input 4 14 2 6 2" xfId="41770" xr:uid="{00000000-0005-0000-0000-0000F3760000}"/>
    <cellStyle name="Input 4 14 2 6 3" xfId="43341" xr:uid="{00000000-0005-0000-0000-0000F4760000}"/>
    <cellStyle name="Input 4 14 2 6 4" xfId="29536" xr:uid="{00000000-0005-0000-0000-0000F5760000}"/>
    <cellStyle name="Input 4 14 2 7" xfId="19044" xr:uid="{00000000-0005-0000-0000-0000F6760000}"/>
    <cellStyle name="Input 4 14 2 7 2" xfId="44581" xr:uid="{00000000-0005-0000-0000-0000F7760000}"/>
    <cellStyle name="Input 4 14 2 7 3" xfId="48487" xr:uid="{00000000-0005-0000-0000-0000F8760000}"/>
    <cellStyle name="Input 4 14 2 7 4" xfId="36648" xr:uid="{00000000-0005-0000-0000-0000F9760000}"/>
    <cellStyle name="Input 4 14 2 8" xfId="19234" xr:uid="{00000000-0005-0000-0000-0000FA760000}"/>
    <cellStyle name="Input 4 14 2 8 2" xfId="44771" xr:uid="{00000000-0005-0000-0000-0000FB760000}"/>
    <cellStyle name="Input 4 14 2 8 3" xfId="48677" xr:uid="{00000000-0005-0000-0000-0000FC760000}"/>
    <cellStyle name="Input 4 14 2 9" xfId="39921" xr:uid="{00000000-0005-0000-0000-0000FD760000}"/>
    <cellStyle name="Input 4 15" xfId="4241" xr:uid="{00000000-0005-0000-0000-0000FE760000}"/>
    <cellStyle name="Input 4 15 2" xfId="7158" xr:uid="{00000000-0005-0000-0000-0000FF760000}"/>
    <cellStyle name="Input 4 15 2 10" xfId="40132" xr:uid="{00000000-0005-0000-0000-000000770000}"/>
    <cellStyle name="Input 4 15 2 2" xfId="10688" xr:uid="{00000000-0005-0000-0000-000001770000}"/>
    <cellStyle name="Input 4 15 2 2 2" xfId="18481" xr:uid="{00000000-0005-0000-0000-000002770000}"/>
    <cellStyle name="Input 4 15 2 2 2 2" xfId="44028" xr:uid="{00000000-0005-0000-0000-000003770000}"/>
    <cellStyle name="Input 4 15 2 2 2 3" xfId="47937" xr:uid="{00000000-0005-0000-0000-000004770000}"/>
    <cellStyle name="Input 4 15 2 2 2 4" xfId="36118" xr:uid="{00000000-0005-0000-0000-000005770000}"/>
    <cellStyle name="Input 4 15 2 2 3" xfId="19605" xr:uid="{00000000-0005-0000-0000-000006770000}"/>
    <cellStyle name="Input 4 15 2 2 3 2" xfId="45142" xr:uid="{00000000-0005-0000-0000-000007770000}"/>
    <cellStyle name="Input 4 15 2 2 3 3" xfId="49048" xr:uid="{00000000-0005-0000-0000-000008770000}"/>
    <cellStyle name="Input 4 15 2 2 3 4" xfId="37145" xr:uid="{00000000-0005-0000-0000-000009770000}"/>
    <cellStyle name="Input 4 15 2 2 4" xfId="20281" xr:uid="{00000000-0005-0000-0000-00000A770000}"/>
    <cellStyle name="Input 4 15 2 2 4 2" xfId="45818" xr:uid="{00000000-0005-0000-0000-00000B770000}"/>
    <cellStyle name="Input 4 15 2 2 4 3" xfId="49724" xr:uid="{00000000-0005-0000-0000-00000C770000}"/>
    <cellStyle name="Input 4 15 2 2 4 4" xfId="37749" xr:uid="{00000000-0005-0000-0000-00000D770000}"/>
    <cellStyle name="Input 4 15 2 2 5" xfId="20894" xr:uid="{00000000-0005-0000-0000-00000E770000}"/>
    <cellStyle name="Input 4 15 2 2 5 2" xfId="46431" xr:uid="{00000000-0005-0000-0000-00000F770000}"/>
    <cellStyle name="Input 4 15 2 2 5 3" xfId="50337" xr:uid="{00000000-0005-0000-0000-000010770000}"/>
    <cellStyle name="Input 4 15 2 2 5 4" xfId="38300" xr:uid="{00000000-0005-0000-0000-000011770000}"/>
    <cellStyle name="Input 4 15 2 2 6" xfId="21547" xr:uid="{00000000-0005-0000-0000-000012770000}"/>
    <cellStyle name="Input 4 15 2 2 6 2" xfId="47084" xr:uid="{00000000-0005-0000-0000-000013770000}"/>
    <cellStyle name="Input 4 15 2 2 6 3" xfId="50990" xr:uid="{00000000-0005-0000-0000-000014770000}"/>
    <cellStyle name="Input 4 15 2 2 7" xfId="40887" xr:uid="{00000000-0005-0000-0000-000015770000}"/>
    <cellStyle name="Input 4 15 2 2 8" xfId="40249" xr:uid="{00000000-0005-0000-0000-000016770000}"/>
    <cellStyle name="Input 4 15 2 3" xfId="10983" xr:uid="{00000000-0005-0000-0000-000017770000}"/>
    <cellStyle name="Input 4 15 2 3 2" xfId="18776" xr:uid="{00000000-0005-0000-0000-000018770000}"/>
    <cellStyle name="Input 4 15 2 3 2 2" xfId="44323" xr:uid="{00000000-0005-0000-0000-000019770000}"/>
    <cellStyle name="Input 4 15 2 3 2 3" xfId="48232" xr:uid="{00000000-0005-0000-0000-00001A770000}"/>
    <cellStyle name="Input 4 15 2 3 2 4" xfId="36413" xr:uid="{00000000-0005-0000-0000-00001B770000}"/>
    <cellStyle name="Input 4 15 2 3 3" xfId="19394" xr:uid="{00000000-0005-0000-0000-00001C770000}"/>
    <cellStyle name="Input 4 15 2 3 3 2" xfId="44931" xr:uid="{00000000-0005-0000-0000-00001D770000}"/>
    <cellStyle name="Input 4 15 2 3 3 3" xfId="48837" xr:uid="{00000000-0005-0000-0000-00001E770000}"/>
    <cellStyle name="Input 4 15 2 3 3 4" xfId="36959" xr:uid="{00000000-0005-0000-0000-00001F770000}"/>
    <cellStyle name="Input 4 15 2 3 4" xfId="12248" xr:uid="{00000000-0005-0000-0000-000020770000}"/>
    <cellStyle name="Input 4 15 2 3 4 2" xfId="41936" xr:uid="{00000000-0005-0000-0000-000021770000}"/>
    <cellStyle name="Input 4 15 2 3 4 3" xfId="40556" xr:uid="{00000000-0005-0000-0000-000022770000}"/>
    <cellStyle name="Input 4 15 2 3 4 4" xfId="29919" xr:uid="{00000000-0005-0000-0000-000023770000}"/>
    <cellStyle name="Input 4 15 2 3 5" xfId="21189" xr:uid="{00000000-0005-0000-0000-000024770000}"/>
    <cellStyle name="Input 4 15 2 3 5 2" xfId="46726" xr:uid="{00000000-0005-0000-0000-000025770000}"/>
    <cellStyle name="Input 4 15 2 3 5 3" xfId="50632" xr:uid="{00000000-0005-0000-0000-000026770000}"/>
    <cellStyle name="Input 4 15 2 3 5 4" xfId="38595" xr:uid="{00000000-0005-0000-0000-000027770000}"/>
    <cellStyle name="Input 4 15 2 3 6" xfId="21842" xr:uid="{00000000-0005-0000-0000-000028770000}"/>
    <cellStyle name="Input 4 15 2 3 6 2" xfId="47379" xr:uid="{00000000-0005-0000-0000-000029770000}"/>
    <cellStyle name="Input 4 15 2 3 6 3" xfId="51285" xr:uid="{00000000-0005-0000-0000-00002A770000}"/>
    <cellStyle name="Input 4 15 2 3 7" xfId="41182" xr:uid="{00000000-0005-0000-0000-00002B770000}"/>
    <cellStyle name="Input 4 15 2 3 8" xfId="42833" xr:uid="{00000000-0005-0000-0000-00002C770000}"/>
    <cellStyle name="Input 4 15 2 4" xfId="14946" xr:uid="{00000000-0005-0000-0000-00002D770000}"/>
    <cellStyle name="Input 4 15 2 4 2" xfId="43062" xr:uid="{00000000-0005-0000-0000-00002E770000}"/>
    <cellStyle name="Input 4 15 2 4 3" xfId="40154" xr:uid="{00000000-0005-0000-0000-00002F770000}"/>
    <cellStyle name="Input 4 15 2 4 4" xfId="32581" xr:uid="{00000000-0005-0000-0000-000030770000}"/>
    <cellStyle name="Input 4 15 2 5" xfId="13172" xr:uid="{00000000-0005-0000-0000-000031770000}"/>
    <cellStyle name="Input 4 15 2 5 2" xfId="42393" xr:uid="{00000000-0005-0000-0000-000032770000}"/>
    <cellStyle name="Input 4 15 2 5 3" xfId="39084" xr:uid="{00000000-0005-0000-0000-000033770000}"/>
    <cellStyle name="Input 4 15 2 5 4" xfId="30821" xr:uid="{00000000-0005-0000-0000-000034770000}"/>
    <cellStyle name="Input 4 15 2 6" xfId="19457" xr:uid="{00000000-0005-0000-0000-000035770000}"/>
    <cellStyle name="Input 4 15 2 6 2" xfId="44994" xr:uid="{00000000-0005-0000-0000-000036770000}"/>
    <cellStyle name="Input 4 15 2 6 3" xfId="48900" xr:uid="{00000000-0005-0000-0000-000037770000}"/>
    <cellStyle name="Input 4 15 2 6 4" xfId="37017" xr:uid="{00000000-0005-0000-0000-000038770000}"/>
    <cellStyle name="Input 4 15 2 7" xfId="19831" xr:uid="{00000000-0005-0000-0000-000039770000}"/>
    <cellStyle name="Input 4 15 2 7 2" xfId="45368" xr:uid="{00000000-0005-0000-0000-00003A770000}"/>
    <cellStyle name="Input 4 15 2 7 3" xfId="49274" xr:uid="{00000000-0005-0000-0000-00003B770000}"/>
    <cellStyle name="Input 4 15 2 7 4" xfId="37349" xr:uid="{00000000-0005-0000-0000-00003C770000}"/>
    <cellStyle name="Input 4 15 2 8" xfId="20609" xr:uid="{00000000-0005-0000-0000-00003D770000}"/>
    <cellStyle name="Input 4 15 2 8 2" xfId="46146" xr:uid="{00000000-0005-0000-0000-00003E770000}"/>
    <cellStyle name="Input 4 15 2 8 3" xfId="50052" xr:uid="{00000000-0005-0000-0000-00003F770000}"/>
    <cellStyle name="Input 4 15 2 9" xfId="39922" xr:uid="{00000000-0005-0000-0000-000040770000}"/>
    <cellStyle name="Input 4 16" xfId="4242" xr:uid="{00000000-0005-0000-0000-000041770000}"/>
    <cellStyle name="Input 4 16 2" xfId="10465" xr:uid="{00000000-0005-0000-0000-000042770000}"/>
    <cellStyle name="Input 4 16 2 2" xfId="18258" xr:uid="{00000000-0005-0000-0000-000043770000}"/>
    <cellStyle name="Input 4 16 2 2 2" xfId="43805" xr:uid="{00000000-0005-0000-0000-000044770000}"/>
    <cellStyle name="Input 4 16 2 2 3" xfId="47714" xr:uid="{00000000-0005-0000-0000-000045770000}"/>
    <cellStyle name="Input 4 16 2 2 4" xfId="35895" xr:uid="{00000000-0005-0000-0000-000046770000}"/>
    <cellStyle name="Input 4 16 2 3" xfId="20180" xr:uid="{00000000-0005-0000-0000-000047770000}"/>
    <cellStyle name="Input 4 16 2 3 2" xfId="45717" xr:uid="{00000000-0005-0000-0000-000048770000}"/>
    <cellStyle name="Input 4 16 2 3 3" xfId="49623" xr:uid="{00000000-0005-0000-0000-000049770000}"/>
    <cellStyle name="Input 4 16 2 3 4" xfId="37666" xr:uid="{00000000-0005-0000-0000-00004A770000}"/>
    <cellStyle name="Input 4 16 2 4" xfId="19095" xr:uid="{00000000-0005-0000-0000-00004B770000}"/>
    <cellStyle name="Input 4 16 2 4 2" xfId="44632" xr:uid="{00000000-0005-0000-0000-00004C770000}"/>
    <cellStyle name="Input 4 16 2 4 3" xfId="48538" xr:uid="{00000000-0005-0000-0000-00004D770000}"/>
    <cellStyle name="Input 4 16 2 4 4" xfId="36691" xr:uid="{00000000-0005-0000-0000-00004E770000}"/>
    <cellStyle name="Input 4 16 2 5" xfId="20671" xr:uid="{00000000-0005-0000-0000-00004F770000}"/>
    <cellStyle name="Input 4 16 2 5 2" xfId="46208" xr:uid="{00000000-0005-0000-0000-000050770000}"/>
    <cellStyle name="Input 4 16 2 5 3" xfId="50114" xr:uid="{00000000-0005-0000-0000-000051770000}"/>
    <cellStyle name="Input 4 16 2 5 4" xfId="38077" xr:uid="{00000000-0005-0000-0000-000052770000}"/>
    <cellStyle name="Input 4 16 2 6" xfId="21324" xr:uid="{00000000-0005-0000-0000-000053770000}"/>
    <cellStyle name="Input 4 16 2 6 2" xfId="46861" xr:uid="{00000000-0005-0000-0000-000054770000}"/>
    <cellStyle name="Input 4 16 2 6 3" xfId="50767" xr:uid="{00000000-0005-0000-0000-000055770000}"/>
    <cellStyle name="Input 4 16 2 7" xfId="40664" xr:uid="{00000000-0005-0000-0000-000056770000}"/>
    <cellStyle name="Input 4 16 2 8" xfId="43643" xr:uid="{00000000-0005-0000-0000-000057770000}"/>
    <cellStyle name="Input 4 16 3" xfId="8467" xr:uid="{00000000-0005-0000-0000-000058770000}"/>
    <cellStyle name="Input 4 16 3 2" xfId="16263" xr:uid="{00000000-0005-0000-0000-000059770000}"/>
    <cellStyle name="Input 4 16 3 2 2" xfId="43414" xr:uid="{00000000-0005-0000-0000-00005A770000}"/>
    <cellStyle name="Input 4 16 3 2 3" xfId="40414" xr:uid="{00000000-0005-0000-0000-00005B770000}"/>
    <cellStyle name="Input 4 16 3 2 4" xfId="33898" xr:uid="{00000000-0005-0000-0000-00005C770000}"/>
    <cellStyle name="Input 4 16 3 3" xfId="13293" xr:uid="{00000000-0005-0000-0000-00005D770000}"/>
    <cellStyle name="Input 4 16 3 3 2" xfId="42463" xr:uid="{00000000-0005-0000-0000-00005E770000}"/>
    <cellStyle name="Input 4 16 3 3 3" xfId="43314" xr:uid="{00000000-0005-0000-0000-00005F770000}"/>
    <cellStyle name="Input 4 16 3 3 4" xfId="30938" xr:uid="{00000000-0005-0000-0000-000060770000}"/>
    <cellStyle name="Input 4 16 3 4" xfId="19663" xr:uid="{00000000-0005-0000-0000-000061770000}"/>
    <cellStyle name="Input 4 16 3 4 2" xfId="45200" xr:uid="{00000000-0005-0000-0000-000062770000}"/>
    <cellStyle name="Input 4 16 3 4 3" xfId="49106" xr:uid="{00000000-0005-0000-0000-000063770000}"/>
    <cellStyle name="Input 4 16 3 4 4" xfId="37197" xr:uid="{00000000-0005-0000-0000-000064770000}"/>
    <cellStyle name="Input 4 16 3 5" xfId="11332" xr:uid="{00000000-0005-0000-0000-000065770000}"/>
    <cellStyle name="Input 4 16 3 5 2" xfId="41377" xr:uid="{00000000-0005-0000-0000-000066770000}"/>
    <cellStyle name="Input 4 16 3 5 3" xfId="43360" xr:uid="{00000000-0005-0000-0000-000067770000}"/>
    <cellStyle name="Input 4 16 3 5 4" xfId="29059" xr:uid="{00000000-0005-0000-0000-000068770000}"/>
    <cellStyle name="Input 4 16 3 6" xfId="19928" xr:uid="{00000000-0005-0000-0000-000069770000}"/>
    <cellStyle name="Input 4 16 3 6 2" xfId="45465" xr:uid="{00000000-0005-0000-0000-00006A770000}"/>
    <cellStyle name="Input 4 16 3 6 3" xfId="49371" xr:uid="{00000000-0005-0000-0000-00006B770000}"/>
    <cellStyle name="Input 4 16 3 7" xfId="40276" xr:uid="{00000000-0005-0000-0000-00006C770000}"/>
    <cellStyle name="Input 4 16 3 8" xfId="39226" xr:uid="{00000000-0005-0000-0000-00006D770000}"/>
    <cellStyle name="Input 4 17" xfId="7152" xr:uid="{00000000-0005-0000-0000-00006E770000}"/>
    <cellStyle name="Input 4 17 10" xfId="40284" xr:uid="{00000000-0005-0000-0000-00006F770000}"/>
    <cellStyle name="Input 4 17 2" xfId="10682" xr:uid="{00000000-0005-0000-0000-000070770000}"/>
    <cellStyle name="Input 4 17 2 2" xfId="18475" xr:uid="{00000000-0005-0000-0000-000071770000}"/>
    <cellStyle name="Input 4 17 2 2 2" xfId="44022" xr:uid="{00000000-0005-0000-0000-000072770000}"/>
    <cellStyle name="Input 4 17 2 2 3" xfId="47931" xr:uid="{00000000-0005-0000-0000-000073770000}"/>
    <cellStyle name="Input 4 17 2 2 4" xfId="36112" xr:uid="{00000000-0005-0000-0000-000074770000}"/>
    <cellStyle name="Input 4 17 2 3" xfId="19124" xr:uid="{00000000-0005-0000-0000-000075770000}"/>
    <cellStyle name="Input 4 17 2 3 2" xfId="44661" xr:uid="{00000000-0005-0000-0000-000076770000}"/>
    <cellStyle name="Input 4 17 2 3 3" xfId="48567" xr:uid="{00000000-0005-0000-0000-000077770000}"/>
    <cellStyle name="Input 4 17 2 3 4" xfId="36719" xr:uid="{00000000-0005-0000-0000-000078770000}"/>
    <cellStyle name="Input 4 17 2 4" xfId="18918" xr:uid="{00000000-0005-0000-0000-000079770000}"/>
    <cellStyle name="Input 4 17 2 4 2" xfId="44455" xr:uid="{00000000-0005-0000-0000-00007A770000}"/>
    <cellStyle name="Input 4 17 2 4 3" xfId="48361" xr:uid="{00000000-0005-0000-0000-00007B770000}"/>
    <cellStyle name="Input 4 17 2 4 4" xfId="36548" xr:uid="{00000000-0005-0000-0000-00007C770000}"/>
    <cellStyle name="Input 4 17 2 5" xfId="20888" xr:uid="{00000000-0005-0000-0000-00007D770000}"/>
    <cellStyle name="Input 4 17 2 5 2" xfId="46425" xr:uid="{00000000-0005-0000-0000-00007E770000}"/>
    <cellStyle name="Input 4 17 2 5 3" xfId="50331" xr:uid="{00000000-0005-0000-0000-00007F770000}"/>
    <cellStyle name="Input 4 17 2 5 4" xfId="38294" xr:uid="{00000000-0005-0000-0000-000080770000}"/>
    <cellStyle name="Input 4 17 2 6" xfId="21541" xr:uid="{00000000-0005-0000-0000-000081770000}"/>
    <cellStyle name="Input 4 17 2 6 2" xfId="47078" xr:uid="{00000000-0005-0000-0000-000082770000}"/>
    <cellStyle name="Input 4 17 2 6 3" xfId="50984" xr:uid="{00000000-0005-0000-0000-000083770000}"/>
    <cellStyle name="Input 4 17 2 7" xfId="40881" xr:uid="{00000000-0005-0000-0000-000084770000}"/>
    <cellStyle name="Input 4 17 2 8" xfId="42609" xr:uid="{00000000-0005-0000-0000-000085770000}"/>
    <cellStyle name="Input 4 17 3" xfId="10977" xr:uid="{00000000-0005-0000-0000-000086770000}"/>
    <cellStyle name="Input 4 17 3 2" xfId="18770" xr:uid="{00000000-0005-0000-0000-000087770000}"/>
    <cellStyle name="Input 4 17 3 2 2" xfId="44317" xr:uid="{00000000-0005-0000-0000-000088770000}"/>
    <cellStyle name="Input 4 17 3 2 3" xfId="48226" xr:uid="{00000000-0005-0000-0000-000089770000}"/>
    <cellStyle name="Input 4 17 3 2 4" xfId="36407" xr:uid="{00000000-0005-0000-0000-00008A770000}"/>
    <cellStyle name="Input 4 17 3 3" xfId="19710" xr:uid="{00000000-0005-0000-0000-00008B770000}"/>
    <cellStyle name="Input 4 17 3 3 2" xfId="45247" xr:uid="{00000000-0005-0000-0000-00008C770000}"/>
    <cellStyle name="Input 4 17 3 3 3" xfId="49153" xr:uid="{00000000-0005-0000-0000-00008D770000}"/>
    <cellStyle name="Input 4 17 3 3 4" xfId="37237" xr:uid="{00000000-0005-0000-0000-00008E770000}"/>
    <cellStyle name="Input 4 17 3 4" xfId="19179" xr:uid="{00000000-0005-0000-0000-00008F770000}"/>
    <cellStyle name="Input 4 17 3 4 2" xfId="44716" xr:uid="{00000000-0005-0000-0000-000090770000}"/>
    <cellStyle name="Input 4 17 3 4 3" xfId="48622" xr:uid="{00000000-0005-0000-0000-000091770000}"/>
    <cellStyle name="Input 4 17 3 4 4" xfId="36768" xr:uid="{00000000-0005-0000-0000-000092770000}"/>
    <cellStyle name="Input 4 17 3 5" xfId="21183" xr:uid="{00000000-0005-0000-0000-000093770000}"/>
    <cellStyle name="Input 4 17 3 5 2" xfId="46720" xr:uid="{00000000-0005-0000-0000-000094770000}"/>
    <cellStyle name="Input 4 17 3 5 3" xfId="50626" xr:uid="{00000000-0005-0000-0000-000095770000}"/>
    <cellStyle name="Input 4 17 3 5 4" xfId="38589" xr:uid="{00000000-0005-0000-0000-000096770000}"/>
    <cellStyle name="Input 4 17 3 6" xfId="21836" xr:uid="{00000000-0005-0000-0000-000097770000}"/>
    <cellStyle name="Input 4 17 3 6 2" xfId="47373" xr:uid="{00000000-0005-0000-0000-000098770000}"/>
    <cellStyle name="Input 4 17 3 6 3" xfId="51279" xr:uid="{00000000-0005-0000-0000-000099770000}"/>
    <cellStyle name="Input 4 17 3 7" xfId="41176" xr:uid="{00000000-0005-0000-0000-00009A770000}"/>
    <cellStyle name="Input 4 17 3 8" xfId="39184" xr:uid="{00000000-0005-0000-0000-00009B770000}"/>
    <cellStyle name="Input 4 17 4" xfId="14940" xr:uid="{00000000-0005-0000-0000-00009C770000}"/>
    <cellStyle name="Input 4 17 4 2" xfId="43056" xr:uid="{00000000-0005-0000-0000-00009D770000}"/>
    <cellStyle name="Input 4 17 4 3" xfId="41942" xr:uid="{00000000-0005-0000-0000-00009E770000}"/>
    <cellStyle name="Input 4 17 4 4" xfId="32575" xr:uid="{00000000-0005-0000-0000-00009F770000}"/>
    <cellStyle name="Input 4 17 5" xfId="11321" xr:uid="{00000000-0005-0000-0000-0000A0770000}"/>
    <cellStyle name="Input 4 17 5 2" xfId="41366" xr:uid="{00000000-0005-0000-0000-0000A1770000}"/>
    <cellStyle name="Input 4 17 5 3" xfId="40575" xr:uid="{00000000-0005-0000-0000-0000A2770000}"/>
    <cellStyle name="Input 4 17 5 4" xfId="29049" xr:uid="{00000000-0005-0000-0000-0000A3770000}"/>
    <cellStyle name="Input 4 17 6" xfId="19481" xr:uid="{00000000-0005-0000-0000-0000A4770000}"/>
    <cellStyle name="Input 4 17 6 2" xfId="45018" xr:uid="{00000000-0005-0000-0000-0000A5770000}"/>
    <cellStyle name="Input 4 17 6 3" xfId="48924" xr:uid="{00000000-0005-0000-0000-0000A6770000}"/>
    <cellStyle name="Input 4 17 6 4" xfId="37037" xr:uid="{00000000-0005-0000-0000-0000A7770000}"/>
    <cellStyle name="Input 4 17 7" xfId="20266" xr:uid="{00000000-0005-0000-0000-0000A8770000}"/>
    <cellStyle name="Input 4 17 7 2" xfId="45803" xr:uid="{00000000-0005-0000-0000-0000A9770000}"/>
    <cellStyle name="Input 4 17 7 3" xfId="49709" xr:uid="{00000000-0005-0000-0000-0000AA770000}"/>
    <cellStyle name="Input 4 17 7 4" xfId="37736" xr:uid="{00000000-0005-0000-0000-0000AB770000}"/>
    <cellStyle name="Input 4 17 8" xfId="13198" xr:uid="{00000000-0005-0000-0000-0000AC770000}"/>
    <cellStyle name="Input 4 17 8 2" xfId="42419" xr:uid="{00000000-0005-0000-0000-0000AD770000}"/>
    <cellStyle name="Input 4 17 8 3" xfId="40052" xr:uid="{00000000-0005-0000-0000-0000AE770000}"/>
    <cellStyle name="Input 4 17 9" xfId="39916" xr:uid="{00000000-0005-0000-0000-0000AF770000}"/>
    <cellStyle name="Input 4 18" xfId="1993" xr:uid="{00000000-0005-0000-0000-0000B0770000}"/>
    <cellStyle name="Input 4 19" xfId="52760" xr:uid="{00000000-0005-0000-0000-0000B1770000}"/>
    <cellStyle name="Input 4 2" xfId="1998" xr:uid="{00000000-0005-0000-0000-0000B2770000}"/>
    <cellStyle name="Input 4 2 2" xfId="1999" xr:uid="{00000000-0005-0000-0000-0000B3770000}"/>
    <cellStyle name="Input 4 2 2 2" xfId="7160" xr:uid="{00000000-0005-0000-0000-0000B4770000}"/>
    <cellStyle name="Input 4 2 2 2 10" xfId="43768" xr:uid="{00000000-0005-0000-0000-0000B5770000}"/>
    <cellStyle name="Input 4 2 2 2 2" xfId="10690" xr:uid="{00000000-0005-0000-0000-0000B6770000}"/>
    <cellStyle name="Input 4 2 2 2 2 2" xfId="18483" xr:uid="{00000000-0005-0000-0000-0000B7770000}"/>
    <cellStyle name="Input 4 2 2 2 2 2 2" xfId="44030" xr:uid="{00000000-0005-0000-0000-0000B8770000}"/>
    <cellStyle name="Input 4 2 2 2 2 2 3" xfId="47939" xr:uid="{00000000-0005-0000-0000-0000B9770000}"/>
    <cellStyle name="Input 4 2 2 2 2 2 4" xfId="36120" xr:uid="{00000000-0005-0000-0000-0000BA770000}"/>
    <cellStyle name="Input 4 2 2 2 2 3" xfId="19418" xr:uid="{00000000-0005-0000-0000-0000BB770000}"/>
    <cellStyle name="Input 4 2 2 2 2 3 2" xfId="44955" xr:uid="{00000000-0005-0000-0000-0000BC770000}"/>
    <cellStyle name="Input 4 2 2 2 2 3 3" xfId="48861" xr:uid="{00000000-0005-0000-0000-0000BD770000}"/>
    <cellStyle name="Input 4 2 2 2 2 3 4" xfId="36983" xr:uid="{00000000-0005-0000-0000-0000BE770000}"/>
    <cellStyle name="Input 4 2 2 2 2 4" xfId="12657" xr:uid="{00000000-0005-0000-0000-0000BF770000}"/>
    <cellStyle name="Input 4 2 2 2 2 4 2" xfId="42136" xr:uid="{00000000-0005-0000-0000-0000C0770000}"/>
    <cellStyle name="Input 4 2 2 2 2 4 3" xfId="43477" xr:uid="{00000000-0005-0000-0000-0000C1770000}"/>
    <cellStyle name="Input 4 2 2 2 2 4 4" xfId="30322" xr:uid="{00000000-0005-0000-0000-0000C2770000}"/>
    <cellStyle name="Input 4 2 2 2 2 5" xfId="20896" xr:uid="{00000000-0005-0000-0000-0000C3770000}"/>
    <cellStyle name="Input 4 2 2 2 2 5 2" xfId="46433" xr:uid="{00000000-0005-0000-0000-0000C4770000}"/>
    <cellStyle name="Input 4 2 2 2 2 5 3" xfId="50339" xr:uid="{00000000-0005-0000-0000-0000C5770000}"/>
    <cellStyle name="Input 4 2 2 2 2 5 4" xfId="38302" xr:uid="{00000000-0005-0000-0000-0000C6770000}"/>
    <cellStyle name="Input 4 2 2 2 2 6" xfId="21549" xr:uid="{00000000-0005-0000-0000-0000C7770000}"/>
    <cellStyle name="Input 4 2 2 2 2 6 2" xfId="47086" xr:uid="{00000000-0005-0000-0000-0000C8770000}"/>
    <cellStyle name="Input 4 2 2 2 2 6 3" xfId="50992" xr:uid="{00000000-0005-0000-0000-0000C9770000}"/>
    <cellStyle name="Input 4 2 2 2 2 7" xfId="40889" xr:uid="{00000000-0005-0000-0000-0000CA770000}"/>
    <cellStyle name="Input 4 2 2 2 2 8" xfId="39195" xr:uid="{00000000-0005-0000-0000-0000CB770000}"/>
    <cellStyle name="Input 4 2 2 2 3" xfId="10985" xr:uid="{00000000-0005-0000-0000-0000CC770000}"/>
    <cellStyle name="Input 4 2 2 2 3 2" xfId="18778" xr:uid="{00000000-0005-0000-0000-0000CD770000}"/>
    <cellStyle name="Input 4 2 2 2 3 2 2" xfId="44325" xr:uid="{00000000-0005-0000-0000-0000CE770000}"/>
    <cellStyle name="Input 4 2 2 2 3 2 3" xfId="48234" xr:uid="{00000000-0005-0000-0000-0000CF770000}"/>
    <cellStyle name="Input 4 2 2 2 3 2 4" xfId="36415" xr:uid="{00000000-0005-0000-0000-0000D0770000}"/>
    <cellStyle name="Input 4 2 2 2 3 3" xfId="19267" xr:uid="{00000000-0005-0000-0000-0000D1770000}"/>
    <cellStyle name="Input 4 2 2 2 3 3 2" xfId="44804" xr:uid="{00000000-0005-0000-0000-0000D2770000}"/>
    <cellStyle name="Input 4 2 2 2 3 3 3" xfId="48710" xr:uid="{00000000-0005-0000-0000-0000D3770000}"/>
    <cellStyle name="Input 4 2 2 2 3 3 4" xfId="36845" xr:uid="{00000000-0005-0000-0000-0000D4770000}"/>
    <cellStyle name="Input 4 2 2 2 3 4" xfId="11577" xr:uid="{00000000-0005-0000-0000-0000D5770000}"/>
    <cellStyle name="Input 4 2 2 2 3 4 2" xfId="41588" xr:uid="{00000000-0005-0000-0000-0000D6770000}"/>
    <cellStyle name="Input 4 2 2 2 3 4 3" xfId="42714" xr:uid="{00000000-0005-0000-0000-0000D7770000}"/>
    <cellStyle name="Input 4 2 2 2 3 4 4" xfId="29288" xr:uid="{00000000-0005-0000-0000-0000D8770000}"/>
    <cellStyle name="Input 4 2 2 2 3 5" xfId="21191" xr:uid="{00000000-0005-0000-0000-0000D9770000}"/>
    <cellStyle name="Input 4 2 2 2 3 5 2" xfId="46728" xr:uid="{00000000-0005-0000-0000-0000DA770000}"/>
    <cellStyle name="Input 4 2 2 2 3 5 3" xfId="50634" xr:uid="{00000000-0005-0000-0000-0000DB770000}"/>
    <cellStyle name="Input 4 2 2 2 3 5 4" xfId="38597" xr:uid="{00000000-0005-0000-0000-0000DC770000}"/>
    <cellStyle name="Input 4 2 2 2 3 6" xfId="21844" xr:uid="{00000000-0005-0000-0000-0000DD770000}"/>
    <cellStyle name="Input 4 2 2 2 3 6 2" xfId="47381" xr:uid="{00000000-0005-0000-0000-0000DE770000}"/>
    <cellStyle name="Input 4 2 2 2 3 6 3" xfId="51287" xr:uid="{00000000-0005-0000-0000-0000DF770000}"/>
    <cellStyle name="Input 4 2 2 2 3 7" xfId="41184" xr:uid="{00000000-0005-0000-0000-0000E0770000}"/>
    <cellStyle name="Input 4 2 2 2 3 8" xfId="40581" xr:uid="{00000000-0005-0000-0000-0000E1770000}"/>
    <cellStyle name="Input 4 2 2 2 4" xfId="14948" xr:uid="{00000000-0005-0000-0000-0000E2770000}"/>
    <cellStyle name="Input 4 2 2 2 4 2" xfId="43064" xr:uid="{00000000-0005-0000-0000-0000E3770000}"/>
    <cellStyle name="Input 4 2 2 2 4 3" xfId="41286" xr:uid="{00000000-0005-0000-0000-0000E4770000}"/>
    <cellStyle name="Input 4 2 2 2 4 4" xfId="32583" xr:uid="{00000000-0005-0000-0000-0000E5770000}"/>
    <cellStyle name="Input 4 2 2 2 5" xfId="13174" xr:uid="{00000000-0005-0000-0000-0000E6770000}"/>
    <cellStyle name="Input 4 2 2 2 5 2" xfId="42395" xr:uid="{00000000-0005-0000-0000-0000E7770000}"/>
    <cellStyle name="Input 4 2 2 2 5 3" xfId="39082" xr:uid="{00000000-0005-0000-0000-0000E8770000}"/>
    <cellStyle name="Input 4 2 2 2 5 4" xfId="30823" xr:uid="{00000000-0005-0000-0000-0000E9770000}"/>
    <cellStyle name="Input 4 2 2 2 6" xfId="19148" xr:uid="{00000000-0005-0000-0000-0000EA770000}"/>
    <cellStyle name="Input 4 2 2 2 6 2" xfId="44685" xr:uid="{00000000-0005-0000-0000-0000EB770000}"/>
    <cellStyle name="Input 4 2 2 2 6 3" xfId="48591" xr:uid="{00000000-0005-0000-0000-0000EC770000}"/>
    <cellStyle name="Input 4 2 2 2 6 4" xfId="36743" xr:uid="{00000000-0005-0000-0000-0000ED770000}"/>
    <cellStyle name="Input 4 2 2 2 7" xfId="19874" xr:uid="{00000000-0005-0000-0000-0000EE770000}"/>
    <cellStyle name="Input 4 2 2 2 7 2" xfId="45411" xr:uid="{00000000-0005-0000-0000-0000EF770000}"/>
    <cellStyle name="Input 4 2 2 2 7 3" xfId="49317" xr:uid="{00000000-0005-0000-0000-0000F0770000}"/>
    <cellStyle name="Input 4 2 2 2 7 4" xfId="37388" xr:uid="{00000000-0005-0000-0000-0000F1770000}"/>
    <cellStyle name="Input 4 2 2 2 8" xfId="11706" xr:uid="{00000000-0005-0000-0000-0000F2770000}"/>
    <cellStyle name="Input 4 2 2 2 8 2" xfId="41704" xr:uid="{00000000-0005-0000-0000-0000F3770000}"/>
    <cellStyle name="Input 4 2 2 2 8 3" xfId="39161" xr:uid="{00000000-0005-0000-0000-0000F4770000}"/>
    <cellStyle name="Input 4 2 2 2 9" xfId="39924" xr:uid="{00000000-0005-0000-0000-0000F5770000}"/>
    <cellStyle name="Input 4 2 2 3" xfId="53187" xr:uid="{00000000-0005-0000-0000-0000F6770000}"/>
    <cellStyle name="Input 4 2 3" xfId="2000" xr:uid="{00000000-0005-0000-0000-0000F7770000}"/>
    <cellStyle name="Input 4 2 3 2" xfId="7161" xr:uid="{00000000-0005-0000-0000-0000F8770000}"/>
    <cellStyle name="Input 4 2 3 2 10" xfId="40627" xr:uid="{00000000-0005-0000-0000-0000F9770000}"/>
    <cellStyle name="Input 4 2 3 2 2" xfId="10691" xr:uid="{00000000-0005-0000-0000-0000FA770000}"/>
    <cellStyle name="Input 4 2 3 2 2 2" xfId="18484" xr:uid="{00000000-0005-0000-0000-0000FB770000}"/>
    <cellStyle name="Input 4 2 3 2 2 2 2" xfId="44031" xr:uid="{00000000-0005-0000-0000-0000FC770000}"/>
    <cellStyle name="Input 4 2 3 2 2 2 3" xfId="47940" xr:uid="{00000000-0005-0000-0000-0000FD770000}"/>
    <cellStyle name="Input 4 2 3 2 2 2 4" xfId="36121" xr:uid="{00000000-0005-0000-0000-0000FE770000}"/>
    <cellStyle name="Input 4 2 3 2 2 3" xfId="20025" xr:uid="{00000000-0005-0000-0000-0000FF770000}"/>
    <cellStyle name="Input 4 2 3 2 2 3 2" xfId="45562" xr:uid="{00000000-0005-0000-0000-000000780000}"/>
    <cellStyle name="Input 4 2 3 2 2 3 3" xfId="49468" xr:uid="{00000000-0005-0000-0000-000001780000}"/>
    <cellStyle name="Input 4 2 3 2 2 3 4" xfId="37523" xr:uid="{00000000-0005-0000-0000-000002780000}"/>
    <cellStyle name="Input 4 2 3 2 2 4" xfId="19506" xr:uid="{00000000-0005-0000-0000-000003780000}"/>
    <cellStyle name="Input 4 2 3 2 2 4 2" xfId="45043" xr:uid="{00000000-0005-0000-0000-000004780000}"/>
    <cellStyle name="Input 4 2 3 2 2 4 3" xfId="48949" xr:uid="{00000000-0005-0000-0000-000005780000}"/>
    <cellStyle name="Input 4 2 3 2 2 4 4" xfId="37055" xr:uid="{00000000-0005-0000-0000-000006780000}"/>
    <cellStyle name="Input 4 2 3 2 2 5" xfId="20897" xr:uid="{00000000-0005-0000-0000-000007780000}"/>
    <cellStyle name="Input 4 2 3 2 2 5 2" xfId="46434" xr:uid="{00000000-0005-0000-0000-000008780000}"/>
    <cellStyle name="Input 4 2 3 2 2 5 3" xfId="50340" xr:uid="{00000000-0005-0000-0000-000009780000}"/>
    <cellStyle name="Input 4 2 3 2 2 5 4" xfId="38303" xr:uid="{00000000-0005-0000-0000-00000A780000}"/>
    <cellStyle name="Input 4 2 3 2 2 6" xfId="21550" xr:uid="{00000000-0005-0000-0000-00000B780000}"/>
    <cellStyle name="Input 4 2 3 2 2 6 2" xfId="47087" xr:uid="{00000000-0005-0000-0000-00000C780000}"/>
    <cellStyle name="Input 4 2 3 2 2 6 3" xfId="50993" xr:uid="{00000000-0005-0000-0000-00000D780000}"/>
    <cellStyle name="Input 4 2 3 2 2 7" xfId="40890" xr:uid="{00000000-0005-0000-0000-00000E780000}"/>
    <cellStyle name="Input 4 2 3 2 2 8" xfId="41436" xr:uid="{00000000-0005-0000-0000-00000F780000}"/>
    <cellStyle name="Input 4 2 3 2 3" xfId="10986" xr:uid="{00000000-0005-0000-0000-000010780000}"/>
    <cellStyle name="Input 4 2 3 2 3 2" xfId="18779" xr:uid="{00000000-0005-0000-0000-000011780000}"/>
    <cellStyle name="Input 4 2 3 2 3 2 2" xfId="44326" xr:uid="{00000000-0005-0000-0000-000012780000}"/>
    <cellStyle name="Input 4 2 3 2 3 2 3" xfId="48235" xr:uid="{00000000-0005-0000-0000-000013780000}"/>
    <cellStyle name="Input 4 2 3 2 3 2 4" xfId="36416" xr:uid="{00000000-0005-0000-0000-000014780000}"/>
    <cellStyle name="Input 4 2 3 2 3 3" xfId="19876" xr:uid="{00000000-0005-0000-0000-000015780000}"/>
    <cellStyle name="Input 4 2 3 2 3 3 2" xfId="45413" xr:uid="{00000000-0005-0000-0000-000016780000}"/>
    <cellStyle name="Input 4 2 3 2 3 3 3" xfId="49319" xr:uid="{00000000-0005-0000-0000-000017780000}"/>
    <cellStyle name="Input 4 2 3 2 3 3 4" xfId="37390" xr:uid="{00000000-0005-0000-0000-000018780000}"/>
    <cellStyle name="Input 4 2 3 2 3 4" xfId="12338" xr:uid="{00000000-0005-0000-0000-000019780000}"/>
    <cellStyle name="Input 4 2 3 2 3 4 2" xfId="41959" xr:uid="{00000000-0005-0000-0000-00001A780000}"/>
    <cellStyle name="Input 4 2 3 2 3 4 3" xfId="39115" xr:uid="{00000000-0005-0000-0000-00001B780000}"/>
    <cellStyle name="Input 4 2 3 2 3 4 4" xfId="30009" xr:uid="{00000000-0005-0000-0000-00001C780000}"/>
    <cellStyle name="Input 4 2 3 2 3 5" xfId="21192" xr:uid="{00000000-0005-0000-0000-00001D780000}"/>
    <cellStyle name="Input 4 2 3 2 3 5 2" xfId="46729" xr:uid="{00000000-0005-0000-0000-00001E780000}"/>
    <cellStyle name="Input 4 2 3 2 3 5 3" xfId="50635" xr:uid="{00000000-0005-0000-0000-00001F780000}"/>
    <cellStyle name="Input 4 2 3 2 3 5 4" xfId="38598" xr:uid="{00000000-0005-0000-0000-000020780000}"/>
    <cellStyle name="Input 4 2 3 2 3 6" xfId="21845" xr:uid="{00000000-0005-0000-0000-000021780000}"/>
    <cellStyle name="Input 4 2 3 2 3 6 2" xfId="47382" xr:uid="{00000000-0005-0000-0000-000022780000}"/>
    <cellStyle name="Input 4 2 3 2 3 6 3" xfId="51288" xr:uid="{00000000-0005-0000-0000-000023780000}"/>
    <cellStyle name="Input 4 2 3 2 3 7" xfId="41185" xr:uid="{00000000-0005-0000-0000-000024780000}"/>
    <cellStyle name="Input 4 2 3 2 3 8" xfId="39692" xr:uid="{00000000-0005-0000-0000-000025780000}"/>
    <cellStyle name="Input 4 2 3 2 4" xfId="14949" xr:uid="{00000000-0005-0000-0000-000026780000}"/>
    <cellStyle name="Input 4 2 3 2 4 2" xfId="43065" xr:uid="{00000000-0005-0000-0000-000027780000}"/>
    <cellStyle name="Input 4 2 3 2 4 3" xfId="43179" xr:uid="{00000000-0005-0000-0000-000028780000}"/>
    <cellStyle name="Input 4 2 3 2 4 4" xfId="32584" xr:uid="{00000000-0005-0000-0000-000029780000}"/>
    <cellStyle name="Input 4 2 3 2 5" xfId="13175" xr:uid="{00000000-0005-0000-0000-00002A780000}"/>
    <cellStyle name="Input 4 2 3 2 5 2" xfId="42396" xr:uid="{00000000-0005-0000-0000-00002B780000}"/>
    <cellStyle name="Input 4 2 3 2 5 3" xfId="39293" xr:uid="{00000000-0005-0000-0000-00002C780000}"/>
    <cellStyle name="Input 4 2 3 2 5 4" xfId="30824" xr:uid="{00000000-0005-0000-0000-00002D780000}"/>
    <cellStyle name="Input 4 2 3 2 6" xfId="11456" xr:uid="{00000000-0005-0000-0000-00002E780000}"/>
    <cellStyle name="Input 4 2 3 2 6 2" xfId="41467" xr:uid="{00000000-0005-0000-0000-00002F780000}"/>
    <cellStyle name="Input 4 2 3 2 6 3" xfId="40571" xr:uid="{00000000-0005-0000-0000-000030780000}"/>
    <cellStyle name="Input 4 2 3 2 6 4" xfId="29175" xr:uid="{00000000-0005-0000-0000-000031780000}"/>
    <cellStyle name="Input 4 2 3 2 7" xfId="12136" xr:uid="{00000000-0005-0000-0000-000032780000}"/>
    <cellStyle name="Input 4 2 3 2 7 2" xfId="41881" xr:uid="{00000000-0005-0000-0000-000033780000}"/>
    <cellStyle name="Input 4 2 3 2 7 3" xfId="40557" xr:uid="{00000000-0005-0000-0000-000034780000}"/>
    <cellStyle name="Input 4 2 3 2 7 4" xfId="29809" xr:uid="{00000000-0005-0000-0000-000035780000}"/>
    <cellStyle name="Input 4 2 3 2 8" xfId="20273" xr:uid="{00000000-0005-0000-0000-000036780000}"/>
    <cellStyle name="Input 4 2 3 2 8 2" xfId="45810" xr:uid="{00000000-0005-0000-0000-000037780000}"/>
    <cellStyle name="Input 4 2 3 2 8 3" xfId="49716" xr:uid="{00000000-0005-0000-0000-000038780000}"/>
    <cellStyle name="Input 4 2 3 2 9" xfId="39925" xr:uid="{00000000-0005-0000-0000-000039780000}"/>
    <cellStyle name="Input 4 2 4" xfId="4243" xr:uid="{00000000-0005-0000-0000-00003A780000}"/>
    <cellStyle name="Input 4 2 4 2" xfId="7162" xr:uid="{00000000-0005-0000-0000-00003B780000}"/>
    <cellStyle name="Input 4 2 4 2 10" xfId="39961" xr:uid="{00000000-0005-0000-0000-00003C780000}"/>
    <cellStyle name="Input 4 2 4 2 2" xfId="10692" xr:uid="{00000000-0005-0000-0000-00003D780000}"/>
    <cellStyle name="Input 4 2 4 2 2 2" xfId="18485" xr:uid="{00000000-0005-0000-0000-00003E780000}"/>
    <cellStyle name="Input 4 2 4 2 2 2 2" xfId="44032" xr:uid="{00000000-0005-0000-0000-00003F780000}"/>
    <cellStyle name="Input 4 2 4 2 2 2 3" xfId="47941" xr:uid="{00000000-0005-0000-0000-000040780000}"/>
    <cellStyle name="Input 4 2 4 2 2 2 4" xfId="36122" xr:uid="{00000000-0005-0000-0000-000041780000}"/>
    <cellStyle name="Input 4 2 4 2 2 3" xfId="19291" xr:uid="{00000000-0005-0000-0000-000042780000}"/>
    <cellStyle name="Input 4 2 4 2 2 3 2" xfId="44828" xr:uid="{00000000-0005-0000-0000-000043780000}"/>
    <cellStyle name="Input 4 2 4 2 2 3 3" xfId="48734" xr:uid="{00000000-0005-0000-0000-000044780000}"/>
    <cellStyle name="Input 4 2 4 2 2 3 4" xfId="36869" xr:uid="{00000000-0005-0000-0000-000045780000}"/>
    <cellStyle name="Input 4 2 4 2 2 4" xfId="11575" xr:uid="{00000000-0005-0000-0000-000046780000}"/>
    <cellStyle name="Input 4 2 4 2 2 4 2" xfId="41586" xr:uid="{00000000-0005-0000-0000-000047780000}"/>
    <cellStyle name="Input 4 2 4 2 2 4 3" xfId="40566" xr:uid="{00000000-0005-0000-0000-000048780000}"/>
    <cellStyle name="Input 4 2 4 2 2 4 4" xfId="29286" xr:uid="{00000000-0005-0000-0000-000049780000}"/>
    <cellStyle name="Input 4 2 4 2 2 5" xfId="20898" xr:uid="{00000000-0005-0000-0000-00004A780000}"/>
    <cellStyle name="Input 4 2 4 2 2 5 2" xfId="46435" xr:uid="{00000000-0005-0000-0000-00004B780000}"/>
    <cellStyle name="Input 4 2 4 2 2 5 3" xfId="50341" xr:uid="{00000000-0005-0000-0000-00004C780000}"/>
    <cellStyle name="Input 4 2 4 2 2 5 4" xfId="38304" xr:uid="{00000000-0005-0000-0000-00004D780000}"/>
    <cellStyle name="Input 4 2 4 2 2 6" xfId="21551" xr:uid="{00000000-0005-0000-0000-00004E780000}"/>
    <cellStyle name="Input 4 2 4 2 2 6 2" xfId="47088" xr:uid="{00000000-0005-0000-0000-00004F780000}"/>
    <cellStyle name="Input 4 2 4 2 2 6 3" xfId="50994" xr:uid="{00000000-0005-0000-0000-000050780000}"/>
    <cellStyle name="Input 4 2 4 2 2 7" xfId="40891" xr:uid="{00000000-0005-0000-0000-000051780000}"/>
    <cellStyle name="Input 4 2 4 2 2 8" xfId="43239" xr:uid="{00000000-0005-0000-0000-000052780000}"/>
    <cellStyle name="Input 4 2 4 2 3" xfId="10987" xr:uid="{00000000-0005-0000-0000-000053780000}"/>
    <cellStyle name="Input 4 2 4 2 3 2" xfId="18780" xr:uid="{00000000-0005-0000-0000-000054780000}"/>
    <cellStyle name="Input 4 2 4 2 3 2 2" xfId="44327" xr:uid="{00000000-0005-0000-0000-000055780000}"/>
    <cellStyle name="Input 4 2 4 2 3 2 3" xfId="48236" xr:uid="{00000000-0005-0000-0000-000056780000}"/>
    <cellStyle name="Input 4 2 4 2 3 2 4" xfId="36417" xr:uid="{00000000-0005-0000-0000-000057780000}"/>
    <cellStyle name="Input 4 2 4 2 3 3" xfId="19099" xr:uid="{00000000-0005-0000-0000-000058780000}"/>
    <cellStyle name="Input 4 2 4 2 3 3 2" xfId="44636" xr:uid="{00000000-0005-0000-0000-000059780000}"/>
    <cellStyle name="Input 4 2 4 2 3 3 3" xfId="48542" xr:uid="{00000000-0005-0000-0000-00005A780000}"/>
    <cellStyle name="Input 4 2 4 2 3 3 4" xfId="36694" xr:uid="{00000000-0005-0000-0000-00005B780000}"/>
    <cellStyle name="Input 4 2 4 2 3 4" xfId="19557" xr:uid="{00000000-0005-0000-0000-00005C780000}"/>
    <cellStyle name="Input 4 2 4 2 3 4 2" xfId="45094" xr:uid="{00000000-0005-0000-0000-00005D780000}"/>
    <cellStyle name="Input 4 2 4 2 3 4 3" xfId="49000" xr:uid="{00000000-0005-0000-0000-00005E780000}"/>
    <cellStyle name="Input 4 2 4 2 3 4 4" xfId="37098" xr:uid="{00000000-0005-0000-0000-00005F780000}"/>
    <cellStyle name="Input 4 2 4 2 3 5" xfId="21193" xr:uid="{00000000-0005-0000-0000-000060780000}"/>
    <cellStyle name="Input 4 2 4 2 3 5 2" xfId="46730" xr:uid="{00000000-0005-0000-0000-000061780000}"/>
    <cellStyle name="Input 4 2 4 2 3 5 3" xfId="50636" xr:uid="{00000000-0005-0000-0000-000062780000}"/>
    <cellStyle name="Input 4 2 4 2 3 5 4" xfId="38599" xr:uid="{00000000-0005-0000-0000-000063780000}"/>
    <cellStyle name="Input 4 2 4 2 3 6" xfId="21846" xr:uid="{00000000-0005-0000-0000-000064780000}"/>
    <cellStyle name="Input 4 2 4 2 3 6 2" xfId="47383" xr:uid="{00000000-0005-0000-0000-000065780000}"/>
    <cellStyle name="Input 4 2 4 2 3 6 3" xfId="51289" xr:uid="{00000000-0005-0000-0000-000066780000}"/>
    <cellStyle name="Input 4 2 4 2 3 7" xfId="41186" xr:uid="{00000000-0005-0000-0000-000067780000}"/>
    <cellStyle name="Input 4 2 4 2 3 8" xfId="42729" xr:uid="{00000000-0005-0000-0000-000068780000}"/>
    <cellStyle name="Input 4 2 4 2 4" xfId="14950" xr:uid="{00000000-0005-0000-0000-000069780000}"/>
    <cellStyle name="Input 4 2 4 2 4 2" xfId="43066" xr:uid="{00000000-0005-0000-0000-00006A780000}"/>
    <cellStyle name="Input 4 2 4 2 4 3" xfId="40038" xr:uid="{00000000-0005-0000-0000-00006B780000}"/>
    <cellStyle name="Input 4 2 4 2 4 4" xfId="32585" xr:uid="{00000000-0005-0000-0000-00006C780000}"/>
    <cellStyle name="Input 4 2 4 2 5" xfId="13176" xr:uid="{00000000-0005-0000-0000-00006D780000}"/>
    <cellStyle name="Input 4 2 4 2 5 2" xfId="42397" xr:uid="{00000000-0005-0000-0000-00006E780000}"/>
    <cellStyle name="Input 4 2 4 2 5 3" xfId="39292" xr:uid="{00000000-0005-0000-0000-00006F780000}"/>
    <cellStyle name="Input 4 2 4 2 5 4" xfId="30825" xr:uid="{00000000-0005-0000-0000-000070780000}"/>
    <cellStyle name="Input 4 2 4 2 6" xfId="20376" xr:uid="{00000000-0005-0000-0000-000071780000}"/>
    <cellStyle name="Input 4 2 4 2 6 2" xfId="45913" xr:uid="{00000000-0005-0000-0000-000072780000}"/>
    <cellStyle name="Input 4 2 4 2 6 3" xfId="49819" xr:uid="{00000000-0005-0000-0000-000073780000}"/>
    <cellStyle name="Input 4 2 4 2 6 4" xfId="37832" xr:uid="{00000000-0005-0000-0000-000074780000}"/>
    <cellStyle name="Input 4 2 4 2 7" xfId="19040" xr:uid="{00000000-0005-0000-0000-000075780000}"/>
    <cellStyle name="Input 4 2 4 2 7 2" xfId="44577" xr:uid="{00000000-0005-0000-0000-000076780000}"/>
    <cellStyle name="Input 4 2 4 2 7 3" xfId="48483" xr:uid="{00000000-0005-0000-0000-000077780000}"/>
    <cellStyle name="Input 4 2 4 2 7 4" xfId="36644" xr:uid="{00000000-0005-0000-0000-000078780000}"/>
    <cellStyle name="Input 4 2 4 2 8" xfId="19045" xr:uid="{00000000-0005-0000-0000-000079780000}"/>
    <cellStyle name="Input 4 2 4 2 8 2" xfId="44582" xr:uid="{00000000-0005-0000-0000-00007A780000}"/>
    <cellStyle name="Input 4 2 4 2 8 3" xfId="48488" xr:uid="{00000000-0005-0000-0000-00007B780000}"/>
    <cellStyle name="Input 4 2 4 2 9" xfId="39926" xr:uid="{00000000-0005-0000-0000-00007C780000}"/>
    <cellStyle name="Input 4 2 5" xfId="7159" xr:uid="{00000000-0005-0000-0000-00007D780000}"/>
    <cellStyle name="Input 4 2 5 10" xfId="43101" xr:uid="{00000000-0005-0000-0000-00007E780000}"/>
    <cellStyle name="Input 4 2 5 2" xfId="10689" xr:uid="{00000000-0005-0000-0000-00007F780000}"/>
    <cellStyle name="Input 4 2 5 2 2" xfId="18482" xr:uid="{00000000-0005-0000-0000-000080780000}"/>
    <cellStyle name="Input 4 2 5 2 2 2" xfId="44029" xr:uid="{00000000-0005-0000-0000-000081780000}"/>
    <cellStyle name="Input 4 2 5 2 2 3" xfId="47938" xr:uid="{00000000-0005-0000-0000-000082780000}"/>
    <cellStyle name="Input 4 2 5 2 2 4" xfId="36119" xr:uid="{00000000-0005-0000-0000-000083780000}"/>
    <cellStyle name="Input 4 2 5 2 3" xfId="20159" xr:uid="{00000000-0005-0000-0000-000084780000}"/>
    <cellStyle name="Input 4 2 5 2 3 2" xfId="45696" xr:uid="{00000000-0005-0000-0000-000085780000}"/>
    <cellStyle name="Input 4 2 5 2 3 3" xfId="49602" xr:uid="{00000000-0005-0000-0000-000086780000}"/>
    <cellStyle name="Input 4 2 5 2 3 4" xfId="37645" xr:uid="{00000000-0005-0000-0000-000087780000}"/>
    <cellStyle name="Input 4 2 5 2 4" xfId="19085" xr:uid="{00000000-0005-0000-0000-000088780000}"/>
    <cellStyle name="Input 4 2 5 2 4 2" xfId="44622" xr:uid="{00000000-0005-0000-0000-000089780000}"/>
    <cellStyle name="Input 4 2 5 2 4 3" xfId="48528" xr:uid="{00000000-0005-0000-0000-00008A780000}"/>
    <cellStyle name="Input 4 2 5 2 4 4" xfId="36681" xr:uid="{00000000-0005-0000-0000-00008B780000}"/>
    <cellStyle name="Input 4 2 5 2 5" xfId="20895" xr:uid="{00000000-0005-0000-0000-00008C780000}"/>
    <cellStyle name="Input 4 2 5 2 5 2" xfId="46432" xr:uid="{00000000-0005-0000-0000-00008D780000}"/>
    <cellStyle name="Input 4 2 5 2 5 3" xfId="50338" xr:uid="{00000000-0005-0000-0000-00008E780000}"/>
    <cellStyle name="Input 4 2 5 2 5 4" xfId="38301" xr:uid="{00000000-0005-0000-0000-00008F780000}"/>
    <cellStyle name="Input 4 2 5 2 6" xfId="21548" xr:uid="{00000000-0005-0000-0000-000090780000}"/>
    <cellStyle name="Input 4 2 5 2 6 2" xfId="47085" xr:uid="{00000000-0005-0000-0000-000091780000}"/>
    <cellStyle name="Input 4 2 5 2 6 3" xfId="50991" xr:uid="{00000000-0005-0000-0000-000092780000}"/>
    <cellStyle name="Input 4 2 5 2 7" xfId="40888" xr:uid="{00000000-0005-0000-0000-000093780000}"/>
    <cellStyle name="Input 4 2 5 2 8" xfId="39389" xr:uid="{00000000-0005-0000-0000-000094780000}"/>
    <cellStyle name="Input 4 2 5 3" xfId="10984" xr:uid="{00000000-0005-0000-0000-000095780000}"/>
    <cellStyle name="Input 4 2 5 3 2" xfId="18777" xr:uid="{00000000-0005-0000-0000-000096780000}"/>
    <cellStyle name="Input 4 2 5 3 2 2" xfId="44324" xr:uid="{00000000-0005-0000-0000-000097780000}"/>
    <cellStyle name="Input 4 2 5 3 2 3" xfId="48233" xr:uid="{00000000-0005-0000-0000-000098780000}"/>
    <cellStyle name="Input 4 2 5 3 2 4" xfId="36414" xr:uid="{00000000-0005-0000-0000-000099780000}"/>
    <cellStyle name="Input 4 2 5 3 3" xfId="20001" xr:uid="{00000000-0005-0000-0000-00009A780000}"/>
    <cellStyle name="Input 4 2 5 3 3 2" xfId="45538" xr:uid="{00000000-0005-0000-0000-00009B780000}"/>
    <cellStyle name="Input 4 2 5 3 3 3" xfId="49444" xr:uid="{00000000-0005-0000-0000-00009C780000}"/>
    <cellStyle name="Input 4 2 5 3 3 4" xfId="37499" xr:uid="{00000000-0005-0000-0000-00009D780000}"/>
    <cellStyle name="Input 4 2 5 3 4" xfId="18881" xr:uid="{00000000-0005-0000-0000-00009E780000}"/>
    <cellStyle name="Input 4 2 5 3 4 2" xfId="44418" xr:uid="{00000000-0005-0000-0000-00009F780000}"/>
    <cellStyle name="Input 4 2 5 3 4 3" xfId="48324" xr:uid="{00000000-0005-0000-0000-0000A0780000}"/>
    <cellStyle name="Input 4 2 5 3 4 4" xfId="36518" xr:uid="{00000000-0005-0000-0000-0000A1780000}"/>
    <cellStyle name="Input 4 2 5 3 5" xfId="21190" xr:uid="{00000000-0005-0000-0000-0000A2780000}"/>
    <cellStyle name="Input 4 2 5 3 5 2" xfId="46727" xr:uid="{00000000-0005-0000-0000-0000A3780000}"/>
    <cellStyle name="Input 4 2 5 3 5 3" xfId="50633" xr:uid="{00000000-0005-0000-0000-0000A4780000}"/>
    <cellStyle name="Input 4 2 5 3 5 4" xfId="38596" xr:uid="{00000000-0005-0000-0000-0000A5780000}"/>
    <cellStyle name="Input 4 2 5 3 6" xfId="21843" xr:uid="{00000000-0005-0000-0000-0000A6780000}"/>
    <cellStyle name="Input 4 2 5 3 6 2" xfId="47380" xr:uid="{00000000-0005-0000-0000-0000A7780000}"/>
    <cellStyle name="Input 4 2 5 3 6 3" xfId="51286" xr:uid="{00000000-0005-0000-0000-0000A8780000}"/>
    <cellStyle name="Input 4 2 5 3 7" xfId="41183" xr:uid="{00000000-0005-0000-0000-0000A9780000}"/>
    <cellStyle name="Input 4 2 5 3 8" xfId="43722" xr:uid="{00000000-0005-0000-0000-0000AA780000}"/>
    <cellStyle name="Input 4 2 5 4" xfId="14947" xr:uid="{00000000-0005-0000-0000-0000AB780000}"/>
    <cellStyle name="Input 4 2 5 4 2" xfId="43063" xr:uid="{00000000-0005-0000-0000-0000AC780000}"/>
    <cellStyle name="Input 4 2 5 4 3" xfId="39268" xr:uid="{00000000-0005-0000-0000-0000AD780000}"/>
    <cellStyle name="Input 4 2 5 4 4" xfId="32582" xr:uid="{00000000-0005-0000-0000-0000AE780000}"/>
    <cellStyle name="Input 4 2 5 5" xfId="13173" xr:uid="{00000000-0005-0000-0000-0000AF780000}"/>
    <cellStyle name="Input 4 2 5 5 2" xfId="42394" xr:uid="{00000000-0005-0000-0000-0000B0780000}"/>
    <cellStyle name="Input 4 2 5 5 3" xfId="39083" xr:uid="{00000000-0005-0000-0000-0000B1780000}"/>
    <cellStyle name="Input 4 2 5 5 4" xfId="30822" xr:uid="{00000000-0005-0000-0000-0000B2780000}"/>
    <cellStyle name="Input 4 2 5 6" xfId="12044" xr:uid="{00000000-0005-0000-0000-0000B3780000}"/>
    <cellStyle name="Input 4 2 5 6 2" xfId="41800" xr:uid="{00000000-0005-0000-0000-0000B4780000}"/>
    <cellStyle name="Input 4 2 5 6 3" xfId="42705" xr:uid="{00000000-0005-0000-0000-0000B5780000}"/>
    <cellStyle name="Input 4 2 5 6 4" xfId="29723" xr:uid="{00000000-0005-0000-0000-0000B6780000}"/>
    <cellStyle name="Input 4 2 5 7" xfId="12809" xr:uid="{00000000-0005-0000-0000-0000B7780000}"/>
    <cellStyle name="Input 4 2 5 7 2" xfId="42224" xr:uid="{00000000-0005-0000-0000-0000B8780000}"/>
    <cellStyle name="Input 4 2 5 7 3" xfId="39450" xr:uid="{00000000-0005-0000-0000-0000B9780000}"/>
    <cellStyle name="Input 4 2 5 7 4" xfId="30465" xr:uid="{00000000-0005-0000-0000-0000BA780000}"/>
    <cellStyle name="Input 4 2 5 8" xfId="19855" xr:uid="{00000000-0005-0000-0000-0000BB780000}"/>
    <cellStyle name="Input 4 2 5 8 2" xfId="45392" xr:uid="{00000000-0005-0000-0000-0000BC780000}"/>
    <cellStyle name="Input 4 2 5 8 3" xfId="49298" xr:uid="{00000000-0005-0000-0000-0000BD780000}"/>
    <cellStyle name="Input 4 2 5 9" xfId="39923" xr:uid="{00000000-0005-0000-0000-0000BE780000}"/>
    <cellStyle name="Input 4 2 6" xfId="53186" xr:uid="{00000000-0005-0000-0000-0000BF780000}"/>
    <cellStyle name="Input 4 2_Sheet1" xfId="2001" xr:uid="{00000000-0005-0000-0000-0000C0780000}"/>
    <cellStyle name="Input 4 3" xfId="2002" xr:uid="{00000000-0005-0000-0000-0000C1780000}"/>
    <cellStyle name="Input 4 3 2" xfId="7163" xr:uid="{00000000-0005-0000-0000-0000C2780000}"/>
    <cellStyle name="Input 4 3 2 10" xfId="42761" xr:uid="{00000000-0005-0000-0000-0000C3780000}"/>
    <cellStyle name="Input 4 3 2 2" xfId="10693" xr:uid="{00000000-0005-0000-0000-0000C4780000}"/>
    <cellStyle name="Input 4 3 2 2 2" xfId="18486" xr:uid="{00000000-0005-0000-0000-0000C5780000}"/>
    <cellStyle name="Input 4 3 2 2 2 2" xfId="44033" xr:uid="{00000000-0005-0000-0000-0000C6780000}"/>
    <cellStyle name="Input 4 3 2 2 2 3" xfId="47942" xr:uid="{00000000-0005-0000-0000-0000C7780000}"/>
    <cellStyle name="Input 4 3 2 2 2 4" xfId="36123" xr:uid="{00000000-0005-0000-0000-0000C8780000}"/>
    <cellStyle name="Input 4 3 2 2 3" xfId="19900" xr:uid="{00000000-0005-0000-0000-0000C9780000}"/>
    <cellStyle name="Input 4 3 2 2 3 2" xfId="45437" xr:uid="{00000000-0005-0000-0000-0000CA780000}"/>
    <cellStyle name="Input 4 3 2 2 3 3" xfId="49343" xr:uid="{00000000-0005-0000-0000-0000CB780000}"/>
    <cellStyle name="Input 4 3 2 2 3 4" xfId="37414" xr:uid="{00000000-0005-0000-0000-0000CC780000}"/>
    <cellStyle name="Input 4 3 2 2 4" xfId="13297" xr:uid="{00000000-0005-0000-0000-0000CD780000}"/>
    <cellStyle name="Input 4 3 2 2 4 2" xfId="42467" xr:uid="{00000000-0005-0000-0000-0000CE780000}"/>
    <cellStyle name="Input 4 3 2 2 4 3" xfId="41301" xr:uid="{00000000-0005-0000-0000-0000CF780000}"/>
    <cellStyle name="Input 4 3 2 2 4 4" xfId="30941" xr:uid="{00000000-0005-0000-0000-0000D0780000}"/>
    <cellStyle name="Input 4 3 2 2 5" xfId="20899" xr:uid="{00000000-0005-0000-0000-0000D1780000}"/>
    <cellStyle name="Input 4 3 2 2 5 2" xfId="46436" xr:uid="{00000000-0005-0000-0000-0000D2780000}"/>
    <cellStyle name="Input 4 3 2 2 5 3" xfId="50342" xr:uid="{00000000-0005-0000-0000-0000D3780000}"/>
    <cellStyle name="Input 4 3 2 2 5 4" xfId="38305" xr:uid="{00000000-0005-0000-0000-0000D4780000}"/>
    <cellStyle name="Input 4 3 2 2 6" xfId="21552" xr:uid="{00000000-0005-0000-0000-0000D5780000}"/>
    <cellStyle name="Input 4 3 2 2 6 2" xfId="47089" xr:uid="{00000000-0005-0000-0000-0000D6780000}"/>
    <cellStyle name="Input 4 3 2 2 6 3" xfId="50995" xr:uid="{00000000-0005-0000-0000-0000D7780000}"/>
    <cellStyle name="Input 4 3 2 2 7" xfId="40892" xr:uid="{00000000-0005-0000-0000-0000D8780000}"/>
    <cellStyle name="Input 4 3 2 2 8" xfId="40098" xr:uid="{00000000-0005-0000-0000-0000D9780000}"/>
    <cellStyle name="Input 4 3 2 3" xfId="10988" xr:uid="{00000000-0005-0000-0000-0000DA780000}"/>
    <cellStyle name="Input 4 3 2 3 2" xfId="18781" xr:uid="{00000000-0005-0000-0000-0000DB780000}"/>
    <cellStyle name="Input 4 3 2 3 2 2" xfId="44328" xr:uid="{00000000-0005-0000-0000-0000DC780000}"/>
    <cellStyle name="Input 4 3 2 3 2 3" xfId="48237" xr:uid="{00000000-0005-0000-0000-0000DD780000}"/>
    <cellStyle name="Input 4 3 2 3 2 4" xfId="36418" xr:uid="{00000000-0005-0000-0000-0000DE780000}"/>
    <cellStyle name="Input 4 3 2 3 3" xfId="19708" xr:uid="{00000000-0005-0000-0000-0000DF780000}"/>
    <cellStyle name="Input 4 3 2 3 3 2" xfId="45245" xr:uid="{00000000-0005-0000-0000-0000E0780000}"/>
    <cellStyle name="Input 4 3 2 3 3 3" xfId="49151" xr:uid="{00000000-0005-0000-0000-0000E1780000}"/>
    <cellStyle name="Input 4 3 2 3 3 4" xfId="37235" xr:uid="{00000000-0005-0000-0000-0000E2780000}"/>
    <cellStyle name="Input 4 3 2 3 4" xfId="19336" xr:uid="{00000000-0005-0000-0000-0000E3780000}"/>
    <cellStyle name="Input 4 3 2 3 4 2" xfId="44873" xr:uid="{00000000-0005-0000-0000-0000E4780000}"/>
    <cellStyle name="Input 4 3 2 3 4 3" xfId="48779" xr:uid="{00000000-0005-0000-0000-0000E5780000}"/>
    <cellStyle name="Input 4 3 2 3 4 4" xfId="36908" xr:uid="{00000000-0005-0000-0000-0000E6780000}"/>
    <cellStyle name="Input 4 3 2 3 5" xfId="21194" xr:uid="{00000000-0005-0000-0000-0000E7780000}"/>
    <cellStyle name="Input 4 3 2 3 5 2" xfId="46731" xr:uid="{00000000-0005-0000-0000-0000E8780000}"/>
    <cellStyle name="Input 4 3 2 3 5 3" xfId="50637" xr:uid="{00000000-0005-0000-0000-0000E9780000}"/>
    <cellStyle name="Input 4 3 2 3 5 4" xfId="38600" xr:uid="{00000000-0005-0000-0000-0000EA780000}"/>
    <cellStyle name="Input 4 3 2 3 6" xfId="21847" xr:uid="{00000000-0005-0000-0000-0000EB780000}"/>
    <cellStyle name="Input 4 3 2 3 6 2" xfId="47384" xr:uid="{00000000-0005-0000-0000-0000EC780000}"/>
    <cellStyle name="Input 4 3 2 3 6 3" xfId="51290" xr:uid="{00000000-0005-0000-0000-0000ED780000}"/>
    <cellStyle name="Input 4 3 2 3 7" xfId="41187" xr:uid="{00000000-0005-0000-0000-0000EE780000}"/>
    <cellStyle name="Input 4 3 2 3 8" xfId="43618" xr:uid="{00000000-0005-0000-0000-0000EF780000}"/>
    <cellStyle name="Input 4 3 2 4" xfId="14951" xr:uid="{00000000-0005-0000-0000-0000F0780000}"/>
    <cellStyle name="Input 4 3 2 4 2" xfId="43067" xr:uid="{00000000-0005-0000-0000-0000F1780000}"/>
    <cellStyle name="Input 4 3 2 4 3" xfId="42779" xr:uid="{00000000-0005-0000-0000-0000F2780000}"/>
    <cellStyle name="Input 4 3 2 4 4" xfId="32586" xr:uid="{00000000-0005-0000-0000-0000F3780000}"/>
    <cellStyle name="Input 4 3 2 5" xfId="11323" xr:uid="{00000000-0005-0000-0000-0000F4780000}"/>
    <cellStyle name="Input 4 3 2 5 2" xfId="41368" xr:uid="{00000000-0005-0000-0000-0000F5780000}"/>
    <cellStyle name="Input 4 3 2 5 3" xfId="42723" xr:uid="{00000000-0005-0000-0000-0000F6780000}"/>
    <cellStyle name="Input 4 3 2 5 4" xfId="29051" xr:uid="{00000000-0005-0000-0000-0000F7780000}"/>
    <cellStyle name="Input 4 3 2 6" xfId="11783" xr:uid="{00000000-0005-0000-0000-0000F8780000}"/>
    <cellStyle name="Input 4 3 2 6 2" xfId="41737" xr:uid="{00000000-0005-0000-0000-0000F9780000}"/>
    <cellStyle name="Input 4 3 2 6 3" xfId="39159" xr:uid="{00000000-0005-0000-0000-0000FA780000}"/>
    <cellStyle name="Input 4 3 2 6 4" xfId="29470" xr:uid="{00000000-0005-0000-0000-0000FB780000}"/>
    <cellStyle name="Input 4 3 2 7" xfId="12854" xr:uid="{00000000-0005-0000-0000-0000FC780000}"/>
    <cellStyle name="Input 4 3 2 7 2" xfId="42237" xr:uid="{00000000-0005-0000-0000-0000FD780000}"/>
    <cellStyle name="Input 4 3 2 7 3" xfId="39107" xr:uid="{00000000-0005-0000-0000-0000FE780000}"/>
    <cellStyle name="Input 4 3 2 7 4" xfId="30508" xr:uid="{00000000-0005-0000-0000-0000FF780000}"/>
    <cellStyle name="Input 4 3 2 8" xfId="19075" xr:uid="{00000000-0005-0000-0000-000000790000}"/>
    <cellStyle name="Input 4 3 2 8 2" xfId="44612" xr:uid="{00000000-0005-0000-0000-000001790000}"/>
    <cellStyle name="Input 4 3 2 8 3" xfId="48518" xr:uid="{00000000-0005-0000-0000-000002790000}"/>
    <cellStyle name="Input 4 3 2 9" xfId="39927" xr:uid="{00000000-0005-0000-0000-000003790000}"/>
    <cellStyle name="Input 4 3 3" xfId="53188" xr:uid="{00000000-0005-0000-0000-000004790000}"/>
    <cellStyle name="Input 4 4" xfId="2003" xr:uid="{00000000-0005-0000-0000-000005790000}"/>
    <cellStyle name="Input 4 4 2" xfId="7164" xr:uid="{00000000-0005-0000-0000-000006790000}"/>
    <cellStyle name="Input 4 4 2 10" xfId="43649" xr:uid="{00000000-0005-0000-0000-000007790000}"/>
    <cellStyle name="Input 4 4 2 2" xfId="10694" xr:uid="{00000000-0005-0000-0000-000008790000}"/>
    <cellStyle name="Input 4 4 2 2 2" xfId="18487" xr:uid="{00000000-0005-0000-0000-000009790000}"/>
    <cellStyle name="Input 4 4 2 2 2 2" xfId="44034" xr:uid="{00000000-0005-0000-0000-00000A790000}"/>
    <cellStyle name="Input 4 4 2 2 2 3" xfId="47943" xr:uid="{00000000-0005-0000-0000-00000B790000}"/>
    <cellStyle name="Input 4 4 2 2 2 4" xfId="36124" xr:uid="{00000000-0005-0000-0000-00000C790000}"/>
    <cellStyle name="Input 4 4 2 2 3" xfId="19123" xr:uid="{00000000-0005-0000-0000-00000D790000}"/>
    <cellStyle name="Input 4 4 2 2 3 2" xfId="44660" xr:uid="{00000000-0005-0000-0000-00000E790000}"/>
    <cellStyle name="Input 4 4 2 2 3 3" xfId="48566" xr:uid="{00000000-0005-0000-0000-00000F790000}"/>
    <cellStyle name="Input 4 4 2 2 3 4" xfId="36718" xr:uid="{00000000-0005-0000-0000-000010790000}"/>
    <cellStyle name="Input 4 4 2 2 4" xfId="19031" xr:uid="{00000000-0005-0000-0000-000011790000}"/>
    <cellStyle name="Input 4 4 2 2 4 2" xfId="44568" xr:uid="{00000000-0005-0000-0000-000012790000}"/>
    <cellStyle name="Input 4 4 2 2 4 3" xfId="48474" xr:uid="{00000000-0005-0000-0000-000013790000}"/>
    <cellStyle name="Input 4 4 2 2 4 4" xfId="36637" xr:uid="{00000000-0005-0000-0000-000014790000}"/>
    <cellStyle name="Input 4 4 2 2 5" xfId="20900" xr:uid="{00000000-0005-0000-0000-000015790000}"/>
    <cellStyle name="Input 4 4 2 2 5 2" xfId="46437" xr:uid="{00000000-0005-0000-0000-000016790000}"/>
    <cellStyle name="Input 4 4 2 2 5 3" xfId="50343" xr:uid="{00000000-0005-0000-0000-000017790000}"/>
    <cellStyle name="Input 4 4 2 2 5 4" xfId="38306" xr:uid="{00000000-0005-0000-0000-000018790000}"/>
    <cellStyle name="Input 4 4 2 2 6" xfId="21553" xr:uid="{00000000-0005-0000-0000-000019790000}"/>
    <cellStyle name="Input 4 4 2 2 6 2" xfId="47090" xr:uid="{00000000-0005-0000-0000-00001A790000}"/>
    <cellStyle name="Input 4 4 2 2 6 3" xfId="50996" xr:uid="{00000000-0005-0000-0000-00001B790000}"/>
    <cellStyle name="Input 4 4 2 2 7" xfId="40893" xr:uid="{00000000-0005-0000-0000-00001C790000}"/>
    <cellStyle name="Input 4 4 2 2 8" xfId="42847" xr:uid="{00000000-0005-0000-0000-00001D790000}"/>
    <cellStyle name="Input 4 4 2 3" xfId="10989" xr:uid="{00000000-0005-0000-0000-00001E790000}"/>
    <cellStyle name="Input 4 4 2 3 2" xfId="18782" xr:uid="{00000000-0005-0000-0000-00001F790000}"/>
    <cellStyle name="Input 4 4 2 3 2 2" xfId="44329" xr:uid="{00000000-0005-0000-0000-000020790000}"/>
    <cellStyle name="Input 4 4 2 3 2 3" xfId="48238" xr:uid="{00000000-0005-0000-0000-000021790000}"/>
    <cellStyle name="Input 4 4 2 3 2 4" xfId="36419" xr:uid="{00000000-0005-0000-0000-000022790000}"/>
    <cellStyle name="Input 4 4 2 3 3" xfId="11534" xr:uid="{00000000-0005-0000-0000-000023790000}"/>
    <cellStyle name="Input 4 4 2 3 3 2" xfId="41545" xr:uid="{00000000-0005-0000-0000-000024790000}"/>
    <cellStyle name="Input 4 4 2 3 3 3" xfId="39170" xr:uid="{00000000-0005-0000-0000-000025790000}"/>
    <cellStyle name="Input 4 4 2 3 3 4" xfId="29249" xr:uid="{00000000-0005-0000-0000-000026790000}"/>
    <cellStyle name="Input 4 4 2 3 4" xfId="19962" xr:uid="{00000000-0005-0000-0000-000027790000}"/>
    <cellStyle name="Input 4 4 2 3 4 2" xfId="45499" xr:uid="{00000000-0005-0000-0000-000028790000}"/>
    <cellStyle name="Input 4 4 2 3 4 3" xfId="49405" xr:uid="{00000000-0005-0000-0000-000029790000}"/>
    <cellStyle name="Input 4 4 2 3 4 4" xfId="37467" xr:uid="{00000000-0005-0000-0000-00002A790000}"/>
    <cellStyle name="Input 4 4 2 3 5" xfId="21195" xr:uid="{00000000-0005-0000-0000-00002B790000}"/>
    <cellStyle name="Input 4 4 2 3 5 2" xfId="46732" xr:uid="{00000000-0005-0000-0000-00002C790000}"/>
    <cellStyle name="Input 4 4 2 3 5 3" xfId="50638" xr:uid="{00000000-0005-0000-0000-00002D790000}"/>
    <cellStyle name="Input 4 4 2 3 5 4" xfId="38601" xr:uid="{00000000-0005-0000-0000-00002E790000}"/>
    <cellStyle name="Input 4 4 2 3 6" xfId="21848" xr:uid="{00000000-0005-0000-0000-00002F790000}"/>
    <cellStyle name="Input 4 4 2 3 6 2" xfId="47385" xr:uid="{00000000-0005-0000-0000-000030790000}"/>
    <cellStyle name="Input 4 4 2 3 6 3" xfId="51291" xr:uid="{00000000-0005-0000-0000-000031790000}"/>
    <cellStyle name="Input 4 4 2 3 7" xfId="41188" xr:uid="{00000000-0005-0000-0000-000032790000}"/>
    <cellStyle name="Input 4 4 2 3 8" xfId="40476" xr:uid="{00000000-0005-0000-0000-000033790000}"/>
    <cellStyle name="Input 4 4 2 4" xfId="14952" xr:uid="{00000000-0005-0000-0000-000034790000}"/>
    <cellStyle name="Input 4 4 2 4 2" xfId="43068" xr:uid="{00000000-0005-0000-0000-000035790000}"/>
    <cellStyle name="Input 4 4 2 4 3" xfId="43666" xr:uid="{00000000-0005-0000-0000-000036790000}"/>
    <cellStyle name="Input 4 4 2 4 4" xfId="32587" xr:uid="{00000000-0005-0000-0000-000037790000}"/>
    <cellStyle name="Input 4 4 2 5" xfId="11324" xr:uid="{00000000-0005-0000-0000-000038790000}"/>
    <cellStyle name="Input 4 4 2 5 2" xfId="41369" xr:uid="{00000000-0005-0000-0000-000039790000}"/>
    <cellStyle name="Input 4 4 2 5 3" xfId="43611" xr:uid="{00000000-0005-0000-0000-00003A790000}"/>
    <cellStyle name="Input 4 4 2 5 4" xfId="29052" xr:uid="{00000000-0005-0000-0000-00003B790000}"/>
    <cellStyle name="Input 4 4 2 6" xfId="19793" xr:uid="{00000000-0005-0000-0000-00003C790000}"/>
    <cellStyle name="Input 4 4 2 6 2" xfId="45330" xr:uid="{00000000-0005-0000-0000-00003D790000}"/>
    <cellStyle name="Input 4 4 2 6 3" xfId="49236" xr:uid="{00000000-0005-0000-0000-00003E790000}"/>
    <cellStyle name="Input 4 4 2 6 4" xfId="37317" xr:uid="{00000000-0005-0000-0000-00003F790000}"/>
    <cellStyle name="Input 4 4 2 7" xfId="19791" xr:uid="{00000000-0005-0000-0000-000040790000}"/>
    <cellStyle name="Input 4 4 2 7 2" xfId="45328" xr:uid="{00000000-0005-0000-0000-000041790000}"/>
    <cellStyle name="Input 4 4 2 7 3" xfId="49234" xr:uid="{00000000-0005-0000-0000-000042790000}"/>
    <cellStyle name="Input 4 4 2 7 4" xfId="37315" xr:uid="{00000000-0005-0000-0000-000043790000}"/>
    <cellStyle name="Input 4 4 2 8" xfId="20225" xr:uid="{00000000-0005-0000-0000-000044790000}"/>
    <cellStyle name="Input 4 4 2 8 2" xfId="45762" xr:uid="{00000000-0005-0000-0000-000045790000}"/>
    <cellStyle name="Input 4 4 2 8 3" xfId="49668" xr:uid="{00000000-0005-0000-0000-000046790000}"/>
    <cellStyle name="Input 4 4 2 9" xfId="39928" xr:uid="{00000000-0005-0000-0000-000047790000}"/>
    <cellStyle name="Input 4 4 3" xfId="22927" xr:uid="{00000000-0005-0000-0000-000048790000}"/>
    <cellStyle name="Input 4 4 3 2" xfId="47623" xr:uid="{00000000-0005-0000-0000-000049790000}"/>
    <cellStyle name="Input 4 4 3 3" xfId="51438" xr:uid="{00000000-0005-0000-0000-00004A790000}"/>
    <cellStyle name="Input 4 4 3 4" xfId="39035" xr:uid="{00000000-0005-0000-0000-00004B790000}"/>
    <cellStyle name="Input 4 4 4" xfId="23067" xr:uid="{00000000-0005-0000-0000-00004C790000}"/>
    <cellStyle name="Input 4 4 4 2" xfId="47667" xr:uid="{00000000-0005-0000-0000-00004D790000}"/>
    <cellStyle name="Input 4 4 4 3" xfId="51478" xr:uid="{00000000-0005-0000-0000-00004E790000}"/>
    <cellStyle name="Input 4 4 5" xfId="53189" xr:uid="{00000000-0005-0000-0000-00004F790000}"/>
    <cellStyle name="Input 4 5" xfId="2004" xr:uid="{00000000-0005-0000-0000-000050790000}"/>
    <cellStyle name="Input 4 5 2" xfId="7165" xr:uid="{00000000-0005-0000-0000-000051790000}"/>
    <cellStyle name="Input 4 5 2 10" xfId="40507" xr:uid="{00000000-0005-0000-0000-000052790000}"/>
    <cellStyle name="Input 4 5 2 2" xfId="10695" xr:uid="{00000000-0005-0000-0000-000053790000}"/>
    <cellStyle name="Input 4 5 2 2 2" xfId="18488" xr:uid="{00000000-0005-0000-0000-000054790000}"/>
    <cellStyle name="Input 4 5 2 2 2 2" xfId="44035" xr:uid="{00000000-0005-0000-0000-000055790000}"/>
    <cellStyle name="Input 4 5 2 2 2 3" xfId="47944" xr:uid="{00000000-0005-0000-0000-000056790000}"/>
    <cellStyle name="Input 4 5 2 2 2 4" xfId="36125" xr:uid="{00000000-0005-0000-0000-000057790000}"/>
    <cellStyle name="Input 4 5 2 2 3" xfId="19739" xr:uid="{00000000-0005-0000-0000-000058790000}"/>
    <cellStyle name="Input 4 5 2 2 3 2" xfId="45276" xr:uid="{00000000-0005-0000-0000-000059790000}"/>
    <cellStyle name="Input 4 5 2 2 3 3" xfId="49182" xr:uid="{00000000-0005-0000-0000-00005A790000}"/>
    <cellStyle name="Input 4 5 2 2 3 4" xfId="37266" xr:uid="{00000000-0005-0000-0000-00005B790000}"/>
    <cellStyle name="Input 4 5 2 2 4" xfId="12653" xr:uid="{00000000-0005-0000-0000-00005C790000}"/>
    <cellStyle name="Input 4 5 2 2 4 2" xfId="42132" xr:uid="{00000000-0005-0000-0000-00005D790000}"/>
    <cellStyle name="Input 4 5 2 2 4 3" xfId="43587" xr:uid="{00000000-0005-0000-0000-00005E790000}"/>
    <cellStyle name="Input 4 5 2 2 4 4" xfId="30318" xr:uid="{00000000-0005-0000-0000-00005F790000}"/>
    <cellStyle name="Input 4 5 2 2 5" xfId="20901" xr:uid="{00000000-0005-0000-0000-000060790000}"/>
    <cellStyle name="Input 4 5 2 2 5 2" xfId="46438" xr:uid="{00000000-0005-0000-0000-000061790000}"/>
    <cellStyle name="Input 4 5 2 2 5 3" xfId="50344" xr:uid="{00000000-0005-0000-0000-000062790000}"/>
    <cellStyle name="Input 4 5 2 2 5 4" xfId="38307" xr:uid="{00000000-0005-0000-0000-000063790000}"/>
    <cellStyle name="Input 4 5 2 2 6" xfId="21554" xr:uid="{00000000-0005-0000-0000-000064790000}"/>
    <cellStyle name="Input 4 5 2 2 6 2" xfId="47091" xr:uid="{00000000-0005-0000-0000-000065790000}"/>
    <cellStyle name="Input 4 5 2 2 6 3" xfId="50997" xr:uid="{00000000-0005-0000-0000-000066790000}"/>
    <cellStyle name="Input 4 5 2 2 7" xfId="40894" xr:uid="{00000000-0005-0000-0000-000067790000}"/>
    <cellStyle name="Input 4 5 2 2 8" xfId="43736" xr:uid="{00000000-0005-0000-0000-000068790000}"/>
    <cellStyle name="Input 4 5 2 3" xfId="10990" xr:uid="{00000000-0005-0000-0000-000069790000}"/>
    <cellStyle name="Input 4 5 2 3 2" xfId="18783" xr:uid="{00000000-0005-0000-0000-00006A790000}"/>
    <cellStyle name="Input 4 5 2 3 2 2" xfId="44330" xr:uid="{00000000-0005-0000-0000-00006B790000}"/>
    <cellStyle name="Input 4 5 2 3 2 3" xfId="48239" xr:uid="{00000000-0005-0000-0000-00006C790000}"/>
    <cellStyle name="Input 4 5 2 3 2 4" xfId="36420" xr:uid="{00000000-0005-0000-0000-00006D790000}"/>
    <cellStyle name="Input 4 5 2 3 3" xfId="13360" xr:uid="{00000000-0005-0000-0000-00006E790000}"/>
    <cellStyle name="Input 4 5 2 3 3 2" xfId="42530" xr:uid="{00000000-0005-0000-0000-00006F790000}"/>
    <cellStyle name="Input 4 5 2 3 3 3" xfId="42681" xr:uid="{00000000-0005-0000-0000-000070790000}"/>
    <cellStyle name="Input 4 5 2 3 3 4" xfId="31000" xr:uid="{00000000-0005-0000-0000-000071790000}"/>
    <cellStyle name="Input 4 5 2 3 4" xfId="20356" xr:uid="{00000000-0005-0000-0000-000072790000}"/>
    <cellStyle name="Input 4 5 2 3 4 2" xfId="45893" xr:uid="{00000000-0005-0000-0000-000073790000}"/>
    <cellStyle name="Input 4 5 2 3 4 3" xfId="49799" xr:uid="{00000000-0005-0000-0000-000074790000}"/>
    <cellStyle name="Input 4 5 2 3 4 4" xfId="37812" xr:uid="{00000000-0005-0000-0000-000075790000}"/>
    <cellStyle name="Input 4 5 2 3 5" xfId="21196" xr:uid="{00000000-0005-0000-0000-000076790000}"/>
    <cellStyle name="Input 4 5 2 3 5 2" xfId="46733" xr:uid="{00000000-0005-0000-0000-000077790000}"/>
    <cellStyle name="Input 4 5 2 3 5 3" xfId="50639" xr:uid="{00000000-0005-0000-0000-000078790000}"/>
    <cellStyle name="Input 4 5 2 3 5 4" xfId="38602" xr:uid="{00000000-0005-0000-0000-000079790000}"/>
    <cellStyle name="Input 4 5 2 3 6" xfId="21849" xr:uid="{00000000-0005-0000-0000-00007A790000}"/>
    <cellStyle name="Input 4 5 2 3 6 2" xfId="47386" xr:uid="{00000000-0005-0000-0000-00007B790000}"/>
    <cellStyle name="Input 4 5 2 3 6 3" xfId="51292" xr:uid="{00000000-0005-0000-0000-00007C790000}"/>
    <cellStyle name="Input 4 5 2 3 7" xfId="41189" xr:uid="{00000000-0005-0000-0000-00007D790000}"/>
    <cellStyle name="Input 4 5 2 3 8" xfId="39586" xr:uid="{00000000-0005-0000-0000-00007E790000}"/>
    <cellStyle name="Input 4 5 2 4" xfId="14953" xr:uid="{00000000-0005-0000-0000-00007F790000}"/>
    <cellStyle name="Input 4 5 2 4 2" xfId="43069" xr:uid="{00000000-0005-0000-0000-000080790000}"/>
    <cellStyle name="Input 4 5 2 4 3" xfId="40525" xr:uid="{00000000-0005-0000-0000-000081790000}"/>
    <cellStyle name="Input 4 5 2 4 4" xfId="32588" xr:uid="{00000000-0005-0000-0000-000082790000}"/>
    <cellStyle name="Input 4 5 2 5" xfId="11325" xr:uid="{00000000-0005-0000-0000-000083790000}"/>
    <cellStyle name="Input 4 5 2 5 2" xfId="41370" xr:uid="{00000000-0005-0000-0000-000084790000}"/>
    <cellStyle name="Input 4 5 2 5 3" xfId="40470" xr:uid="{00000000-0005-0000-0000-000085790000}"/>
    <cellStyle name="Input 4 5 2 5 4" xfId="29053" xr:uid="{00000000-0005-0000-0000-000086790000}"/>
    <cellStyle name="Input 4 5 2 6" xfId="11121" xr:uid="{00000000-0005-0000-0000-000087790000}"/>
    <cellStyle name="Input 4 5 2 6 2" xfId="41282" xr:uid="{00000000-0005-0000-0000-000088790000}"/>
    <cellStyle name="Input 4 5 2 6 3" xfId="40472" xr:uid="{00000000-0005-0000-0000-000089790000}"/>
    <cellStyle name="Input 4 5 2 6 4" xfId="28849" xr:uid="{00000000-0005-0000-0000-00008A790000}"/>
    <cellStyle name="Input 4 5 2 7" xfId="19804" xr:uid="{00000000-0005-0000-0000-00008B790000}"/>
    <cellStyle name="Input 4 5 2 7 2" xfId="45341" xr:uid="{00000000-0005-0000-0000-00008C790000}"/>
    <cellStyle name="Input 4 5 2 7 3" xfId="49247" xr:uid="{00000000-0005-0000-0000-00008D790000}"/>
    <cellStyle name="Input 4 5 2 7 4" xfId="37326" xr:uid="{00000000-0005-0000-0000-00008E790000}"/>
    <cellStyle name="Input 4 5 2 8" xfId="19097" xr:uid="{00000000-0005-0000-0000-00008F790000}"/>
    <cellStyle name="Input 4 5 2 8 2" xfId="44634" xr:uid="{00000000-0005-0000-0000-000090790000}"/>
    <cellStyle name="Input 4 5 2 8 3" xfId="48540" xr:uid="{00000000-0005-0000-0000-000091790000}"/>
    <cellStyle name="Input 4 5 2 9" xfId="39929" xr:uid="{00000000-0005-0000-0000-000092790000}"/>
    <cellStyle name="Input 4 5 3" xfId="53190" xr:uid="{00000000-0005-0000-0000-000093790000}"/>
    <cellStyle name="Input 4 6" xfId="2005" xr:uid="{00000000-0005-0000-0000-000094790000}"/>
    <cellStyle name="Input 4 6 2" xfId="7166" xr:uid="{00000000-0005-0000-0000-000095790000}"/>
    <cellStyle name="Input 4 6 2 10" xfId="39617" xr:uid="{00000000-0005-0000-0000-000096790000}"/>
    <cellStyle name="Input 4 6 2 2" xfId="10696" xr:uid="{00000000-0005-0000-0000-000097790000}"/>
    <cellStyle name="Input 4 6 2 2 2" xfId="18489" xr:uid="{00000000-0005-0000-0000-000098790000}"/>
    <cellStyle name="Input 4 6 2 2 2 2" xfId="44036" xr:uid="{00000000-0005-0000-0000-000099790000}"/>
    <cellStyle name="Input 4 6 2 2 2 3" xfId="47945" xr:uid="{00000000-0005-0000-0000-00009A790000}"/>
    <cellStyle name="Input 4 6 2 2 2 4" xfId="36126" xr:uid="{00000000-0005-0000-0000-00009B790000}"/>
    <cellStyle name="Input 4 6 2 2 3" xfId="11505" xr:uid="{00000000-0005-0000-0000-00009C790000}"/>
    <cellStyle name="Input 4 6 2 2 3 2" xfId="41516" xr:uid="{00000000-0005-0000-0000-00009D790000}"/>
    <cellStyle name="Input 4 6 2 2 3 3" xfId="39576" xr:uid="{00000000-0005-0000-0000-00009E790000}"/>
    <cellStyle name="Input 4 6 2 2 3 4" xfId="29220" xr:uid="{00000000-0005-0000-0000-00009F790000}"/>
    <cellStyle name="Input 4 6 2 2 4" xfId="19985" xr:uid="{00000000-0005-0000-0000-0000A0790000}"/>
    <cellStyle name="Input 4 6 2 2 4 2" xfId="45522" xr:uid="{00000000-0005-0000-0000-0000A1790000}"/>
    <cellStyle name="Input 4 6 2 2 4 3" xfId="49428" xr:uid="{00000000-0005-0000-0000-0000A2790000}"/>
    <cellStyle name="Input 4 6 2 2 4 4" xfId="37484" xr:uid="{00000000-0005-0000-0000-0000A3790000}"/>
    <cellStyle name="Input 4 6 2 2 5" xfId="20902" xr:uid="{00000000-0005-0000-0000-0000A4790000}"/>
    <cellStyle name="Input 4 6 2 2 5 2" xfId="46439" xr:uid="{00000000-0005-0000-0000-0000A5790000}"/>
    <cellStyle name="Input 4 6 2 2 5 3" xfId="50345" xr:uid="{00000000-0005-0000-0000-0000A6790000}"/>
    <cellStyle name="Input 4 6 2 2 5 4" xfId="38308" xr:uid="{00000000-0005-0000-0000-0000A7790000}"/>
    <cellStyle name="Input 4 6 2 2 6" xfId="21555" xr:uid="{00000000-0005-0000-0000-0000A8790000}"/>
    <cellStyle name="Input 4 6 2 2 6 2" xfId="47092" xr:uid="{00000000-0005-0000-0000-0000A9790000}"/>
    <cellStyle name="Input 4 6 2 2 6 3" xfId="50998" xr:uid="{00000000-0005-0000-0000-0000AA790000}"/>
    <cellStyle name="Input 4 6 2 2 7" xfId="40895" xr:uid="{00000000-0005-0000-0000-0000AB790000}"/>
    <cellStyle name="Input 4 6 2 2 8" xfId="40595" xr:uid="{00000000-0005-0000-0000-0000AC790000}"/>
    <cellStyle name="Input 4 6 2 3" xfId="10991" xr:uid="{00000000-0005-0000-0000-0000AD790000}"/>
    <cellStyle name="Input 4 6 2 3 2" xfId="18784" xr:uid="{00000000-0005-0000-0000-0000AE790000}"/>
    <cellStyle name="Input 4 6 2 3 2 2" xfId="44331" xr:uid="{00000000-0005-0000-0000-0000AF790000}"/>
    <cellStyle name="Input 4 6 2 3 2 3" xfId="48240" xr:uid="{00000000-0005-0000-0000-0000B0790000}"/>
    <cellStyle name="Input 4 6 2 3 2 4" xfId="36421" xr:uid="{00000000-0005-0000-0000-0000B1790000}"/>
    <cellStyle name="Input 4 6 2 3 3" xfId="19581" xr:uid="{00000000-0005-0000-0000-0000B2790000}"/>
    <cellStyle name="Input 4 6 2 3 3 2" xfId="45118" xr:uid="{00000000-0005-0000-0000-0000B3790000}"/>
    <cellStyle name="Input 4 6 2 3 3 3" xfId="49024" xr:uid="{00000000-0005-0000-0000-0000B4790000}"/>
    <cellStyle name="Input 4 6 2 3 3 4" xfId="37121" xr:uid="{00000000-0005-0000-0000-0000B5790000}"/>
    <cellStyle name="Input 4 6 2 3 4" xfId="19240" xr:uid="{00000000-0005-0000-0000-0000B6790000}"/>
    <cellStyle name="Input 4 6 2 3 4 2" xfId="44777" xr:uid="{00000000-0005-0000-0000-0000B7790000}"/>
    <cellStyle name="Input 4 6 2 3 4 3" xfId="48683" xr:uid="{00000000-0005-0000-0000-0000B8790000}"/>
    <cellStyle name="Input 4 6 2 3 4 4" xfId="36819" xr:uid="{00000000-0005-0000-0000-0000B9790000}"/>
    <cellStyle name="Input 4 6 2 3 5" xfId="21197" xr:uid="{00000000-0005-0000-0000-0000BA790000}"/>
    <cellStyle name="Input 4 6 2 3 5 2" xfId="46734" xr:uid="{00000000-0005-0000-0000-0000BB790000}"/>
    <cellStyle name="Input 4 6 2 3 5 3" xfId="50640" xr:uid="{00000000-0005-0000-0000-0000BC790000}"/>
    <cellStyle name="Input 4 6 2 3 5 4" xfId="38603" xr:uid="{00000000-0005-0000-0000-0000BD790000}"/>
    <cellStyle name="Input 4 6 2 3 6" xfId="21850" xr:uid="{00000000-0005-0000-0000-0000BE790000}"/>
    <cellStyle name="Input 4 6 2 3 6 2" xfId="47387" xr:uid="{00000000-0005-0000-0000-0000BF790000}"/>
    <cellStyle name="Input 4 6 2 3 6 3" xfId="51293" xr:uid="{00000000-0005-0000-0000-0000C0790000}"/>
    <cellStyle name="Input 4 6 2 3 7" xfId="41190" xr:uid="{00000000-0005-0000-0000-0000C1790000}"/>
    <cellStyle name="Input 4 6 2 3 8" xfId="42594" xr:uid="{00000000-0005-0000-0000-0000C2790000}"/>
    <cellStyle name="Input 4 6 2 4" xfId="14954" xr:uid="{00000000-0005-0000-0000-0000C3790000}"/>
    <cellStyle name="Input 4 6 2 4 2" xfId="43070" xr:uid="{00000000-0005-0000-0000-0000C4790000}"/>
    <cellStyle name="Input 4 6 2 4 3" xfId="39633" xr:uid="{00000000-0005-0000-0000-0000C5790000}"/>
    <cellStyle name="Input 4 6 2 4 4" xfId="32589" xr:uid="{00000000-0005-0000-0000-0000C6790000}"/>
    <cellStyle name="Input 4 6 2 5" xfId="13177" xr:uid="{00000000-0005-0000-0000-0000C7790000}"/>
    <cellStyle name="Input 4 6 2 5 2" xfId="42398" xr:uid="{00000000-0005-0000-0000-0000C8790000}"/>
    <cellStyle name="Input 4 6 2 5 3" xfId="39081" xr:uid="{00000000-0005-0000-0000-0000C9790000}"/>
    <cellStyle name="Input 4 6 2 5 4" xfId="30826" xr:uid="{00000000-0005-0000-0000-0000CA790000}"/>
    <cellStyle name="Input 4 6 2 6" xfId="19491" xr:uid="{00000000-0005-0000-0000-0000CB790000}"/>
    <cellStyle name="Input 4 6 2 6 2" xfId="45028" xr:uid="{00000000-0005-0000-0000-0000CC790000}"/>
    <cellStyle name="Input 4 6 2 6 3" xfId="48934" xr:uid="{00000000-0005-0000-0000-0000CD790000}"/>
    <cellStyle name="Input 4 6 2 6 4" xfId="37047" xr:uid="{00000000-0005-0000-0000-0000CE790000}"/>
    <cellStyle name="Input 4 6 2 7" xfId="19994" xr:uid="{00000000-0005-0000-0000-0000CF790000}"/>
    <cellStyle name="Input 4 6 2 7 2" xfId="45531" xr:uid="{00000000-0005-0000-0000-0000D0790000}"/>
    <cellStyle name="Input 4 6 2 7 3" xfId="49437" xr:uid="{00000000-0005-0000-0000-0000D1790000}"/>
    <cellStyle name="Input 4 6 2 7 4" xfId="37492" xr:uid="{00000000-0005-0000-0000-0000D2790000}"/>
    <cellStyle name="Input 4 6 2 8" xfId="20608" xr:uid="{00000000-0005-0000-0000-0000D3790000}"/>
    <cellStyle name="Input 4 6 2 8 2" xfId="46145" xr:uid="{00000000-0005-0000-0000-0000D4790000}"/>
    <cellStyle name="Input 4 6 2 8 3" xfId="50051" xr:uid="{00000000-0005-0000-0000-0000D5790000}"/>
    <cellStyle name="Input 4 6 2 9" xfId="39930" xr:uid="{00000000-0005-0000-0000-0000D6790000}"/>
    <cellStyle name="Input 4 6 3" xfId="53191" xr:uid="{00000000-0005-0000-0000-0000D7790000}"/>
    <cellStyle name="Input 4 7" xfId="2006" xr:uid="{00000000-0005-0000-0000-0000D8790000}"/>
    <cellStyle name="Input 4 7 2" xfId="7167" xr:uid="{00000000-0005-0000-0000-0000D9790000}"/>
    <cellStyle name="Input 4 7 2 10" xfId="42625" xr:uid="{00000000-0005-0000-0000-0000DA790000}"/>
    <cellStyle name="Input 4 7 2 2" xfId="10697" xr:uid="{00000000-0005-0000-0000-0000DB790000}"/>
    <cellStyle name="Input 4 7 2 2 2" xfId="18490" xr:uid="{00000000-0005-0000-0000-0000DC790000}"/>
    <cellStyle name="Input 4 7 2 2 2 2" xfId="44037" xr:uid="{00000000-0005-0000-0000-0000DD790000}"/>
    <cellStyle name="Input 4 7 2 2 2 3" xfId="47946" xr:uid="{00000000-0005-0000-0000-0000DE790000}"/>
    <cellStyle name="Input 4 7 2 2 2 4" xfId="36127" xr:uid="{00000000-0005-0000-0000-0000DF790000}"/>
    <cellStyle name="Input 4 7 2 2 3" xfId="13321" xr:uid="{00000000-0005-0000-0000-0000E0790000}"/>
    <cellStyle name="Input 4 7 2 2 3 2" xfId="42491" xr:uid="{00000000-0005-0000-0000-0000E1790000}"/>
    <cellStyle name="Input 4 7 2 2 3 3" xfId="40539" xr:uid="{00000000-0005-0000-0000-0000E2790000}"/>
    <cellStyle name="Input 4 7 2 2 3 4" xfId="30961" xr:uid="{00000000-0005-0000-0000-0000E3790000}"/>
    <cellStyle name="Input 4 7 2 2 4" xfId="12690" xr:uid="{00000000-0005-0000-0000-0000E4790000}"/>
    <cellStyle name="Input 4 7 2 2 4 2" xfId="42169" xr:uid="{00000000-0005-0000-0000-0000E5790000}"/>
    <cellStyle name="Input 4 7 2 2 4 3" xfId="39660" xr:uid="{00000000-0005-0000-0000-0000E6790000}"/>
    <cellStyle name="Input 4 7 2 2 4 4" xfId="30351" xr:uid="{00000000-0005-0000-0000-0000E7790000}"/>
    <cellStyle name="Input 4 7 2 2 5" xfId="20903" xr:uid="{00000000-0005-0000-0000-0000E8790000}"/>
    <cellStyle name="Input 4 7 2 2 5 2" xfId="46440" xr:uid="{00000000-0005-0000-0000-0000E9790000}"/>
    <cellStyle name="Input 4 7 2 2 5 3" xfId="50346" xr:uid="{00000000-0005-0000-0000-0000EA790000}"/>
    <cellStyle name="Input 4 7 2 2 5 4" xfId="38309" xr:uid="{00000000-0005-0000-0000-0000EB790000}"/>
    <cellStyle name="Input 4 7 2 2 6" xfId="21556" xr:uid="{00000000-0005-0000-0000-0000EC790000}"/>
    <cellStyle name="Input 4 7 2 2 6 2" xfId="47093" xr:uid="{00000000-0005-0000-0000-0000ED790000}"/>
    <cellStyle name="Input 4 7 2 2 6 3" xfId="50999" xr:uid="{00000000-0005-0000-0000-0000EE790000}"/>
    <cellStyle name="Input 4 7 2 2 7" xfId="40896" xr:uid="{00000000-0005-0000-0000-0000EF790000}"/>
    <cellStyle name="Input 4 7 2 2 8" xfId="39706" xr:uid="{00000000-0005-0000-0000-0000F0790000}"/>
    <cellStyle name="Input 4 7 2 3" xfId="10992" xr:uid="{00000000-0005-0000-0000-0000F1790000}"/>
    <cellStyle name="Input 4 7 2 3 2" xfId="18785" xr:uid="{00000000-0005-0000-0000-0000F2790000}"/>
    <cellStyle name="Input 4 7 2 3 2 2" xfId="44332" xr:uid="{00000000-0005-0000-0000-0000F3790000}"/>
    <cellStyle name="Input 4 7 2 3 2 3" xfId="48241" xr:uid="{00000000-0005-0000-0000-0000F4790000}"/>
    <cellStyle name="Input 4 7 2 3 2 4" xfId="36422" xr:uid="{00000000-0005-0000-0000-0000F5790000}"/>
    <cellStyle name="Input 4 7 2 3 3" xfId="20134" xr:uid="{00000000-0005-0000-0000-0000F6790000}"/>
    <cellStyle name="Input 4 7 2 3 3 2" xfId="45671" xr:uid="{00000000-0005-0000-0000-0000F7790000}"/>
    <cellStyle name="Input 4 7 2 3 3 3" xfId="49577" xr:uid="{00000000-0005-0000-0000-0000F8790000}"/>
    <cellStyle name="Input 4 7 2 3 3 4" xfId="37620" xr:uid="{00000000-0005-0000-0000-0000F9790000}"/>
    <cellStyle name="Input 4 7 2 3 4" xfId="19338" xr:uid="{00000000-0005-0000-0000-0000FA790000}"/>
    <cellStyle name="Input 4 7 2 3 4 2" xfId="44875" xr:uid="{00000000-0005-0000-0000-0000FB790000}"/>
    <cellStyle name="Input 4 7 2 3 4 3" xfId="48781" xr:uid="{00000000-0005-0000-0000-0000FC790000}"/>
    <cellStyle name="Input 4 7 2 3 4 4" xfId="36910" xr:uid="{00000000-0005-0000-0000-0000FD790000}"/>
    <cellStyle name="Input 4 7 2 3 5" xfId="21198" xr:uid="{00000000-0005-0000-0000-0000FE790000}"/>
    <cellStyle name="Input 4 7 2 3 5 2" xfId="46735" xr:uid="{00000000-0005-0000-0000-0000FF790000}"/>
    <cellStyle name="Input 4 7 2 3 5 3" xfId="50641" xr:uid="{00000000-0005-0000-0000-0000007A0000}"/>
    <cellStyle name="Input 4 7 2 3 5 4" xfId="38604" xr:uid="{00000000-0005-0000-0000-0000017A0000}"/>
    <cellStyle name="Input 4 7 2 3 6" xfId="21851" xr:uid="{00000000-0005-0000-0000-0000027A0000}"/>
    <cellStyle name="Input 4 7 2 3 6 2" xfId="47388" xr:uid="{00000000-0005-0000-0000-0000037A0000}"/>
    <cellStyle name="Input 4 7 2 3 6 3" xfId="51294" xr:uid="{00000000-0005-0000-0000-0000047A0000}"/>
    <cellStyle name="Input 4 7 2 3 7" xfId="41191" xr:uid="{00000000-0005-0000-0000-0000057A0000}"/>
    <cellStyle name="Input 4 7 2 3 8" xfId="43507" xr:uid="{00000000-0005-0000-0000-0000067A0000}"/>
    <cellStyle name="Input 4 7 2 4" xfId="14955" xr:uid="{00000000-0005-0000-0000-0000077A0000}"/>
    <cellStyle name="Input 4 7 2 4 2" xfId="43071" xr:uid="{00000000-0005-0000-0000-0000087A0000}"/>
    <cellStyle name="Input 4 7 2 4 3" xfId="42669" xr:uid="{00000000-0005-0000-0000-0000097A0000}"/>
    <cellStyle name="Input 4 7 2 4 4" xfId="32590" xr:uid="{00000000-0005-0000-0000-00000A7A0000}"/>
    <cellStyle name="Input 4 7 2 5" xfId="13178" xr:uid="{00000000-0005-0000-0000-00000B7A0000}"/>
    <cellStyle name="Input 4 7 2 5 2" xfId="42399" xr:uid="{00000000-0005-0000-0000-00000C7A0000}"/>
    <cellStyle name="Input 4 7 2 5 3" xfId="39080" xr:uid="{00000000-0005-0000-0000-00000D7A0000}"/>
    <cellStyle name="Input 4 7 2 5 4" xfId="30827" xr:uid="{00000000-0005-0000-0000-00000E7A0000}"/>
    <cellStyle name="Input 4 7 2 6" xfId="19330" xr:uid="{00000000-0005-0000-0000-00000F7A0000}"/>
    <cellStyle name="Input 4 7 2 6 2" xfId="44867" xr:uid="{00000000-0005-0000-0000-0000107A0000}"/>
    <cellStyle name="Input 4 7 2 6 3" xfId="48773" xr:uid="{00000000-0005-0000-0000-0000117A0000}"/>
    <cellStyle name="Input 4 7 2 6 4" xfId="36905" xr:uid="{00000000-0005-0000-0000-0000127A0000}"/>
    <cellStyle name="Input 4 7 2 7" xfId="19332" xr:uid="{00000000-0005-0000-0000-0000137A0000}"/>
    <cellStyle name="Input 4 7 2 7 2" xfId="44869" xr:uid="{00000000-0005-0000-0000-0000147A0000}"/>
    <cellStyle name="Input 4 7 2 7 3" xfId="48775" xr:uid="{00000000-0005-0000-0000-0000157A0000}"/>
    <cellStyle name="Input 4 7 2 7 4" xfId="36907" xr:uid="{00000000-0005-0000-0000-0000167A0000}"/>
    <cellStyle name="Input 4 7 2 8" xfId="20518" xr:uid="{00000000-0005-0000-0000-0000177A0000}"/>
    <cellStyle name="Input 4 7 2 8 2" xfId="46055" xr:uid="{00000000-0005-0000-0000-0000187A0000}"/>
    <cellStyle name="Input 4 7 2 8 3" xfId="49961" xr:uid="{00000000-0005-0000-0000-0000197A0000}"/>
    <cellStyle name="Input 4 7 2 9" xfId="39931" xr:uid="{00000000-0005-0000-0000-00001A7A0000}"/>
    <cellStyle name="Input 4 7 3" xfId="53192" xr:uid="{00000000-0005-0000-0000-00001B7A0000}"/>
    <cellStyle name="Input 4 8" xfId="2007" xr:uid="{00000000-0005-0000-0000-00001C7A0000}"/>
    <cellStyle name="Input 4 8 2" xfId="7168" xr:uid="{00000000-0005-0000-0000-00001D7A0000}"/>
    <cellStyle name="Input 4 8 2 10" xfId="43538" xr:uid="{00000000-0005-0000-0000-00001E7A0000}"/>
    <cellStyle name="Input 4 8 2 2" xfId="10698" xr:uid="{00000000-0005-0000-0000-00001F7A0000}"/>
    <cellStyle name="Input 4 8 2 2 2" xfId="18491" xr:uid="{00000000-0005-0000-0000-0000207A0000}"/>
    <cellStyle name="Input 4 8 2 2 2 2" xfId="44038" xr:uid="{00000000-0005-0000-0000-0000217A0000}"/>
    <cellStyle name="Input 4 8 2 2 2 3" xfId="47947" xr:uid="{00000000-0005-0000-0000-0000227A0000}"/>
    <cellStyle name="Input 4 8 2 2 2 4" xfId="36128" xr:uid="{00000000-0005-0000-0000-0000237A0000}"/>
    <cellStyle name="Input 4 8 2 2 3" xfId="19604" xr:uid="{00000000-0005-0000-0000-0000247A0000}"/>
    <cellStyle name="Input 4 8 2 2 3 2" xfId="45141" xr:uid="{00000000-0005-0000-0000-0000257A0000}"/>
    <cellStyle name="Input 4 8 2 2 3 3" xfId="49047" xr:uid="{00000000-0005-0000-0000-0000267A0000}"/>
    <cellStyle name="Input 4 8 2 2 3 4" xfId="37144" xr:uid="{00000000-0005-0000-0000-0000277A0000}"/>
    <cellStyle name="Input 4 8 2 2 4" xfId="12610" xr:uid="{00000000-0005-0000-0000-0000287A0000}"/>
    <cellStyle name="Input 4 8 2 2 4 2" xfId="42089" xr:uid="{00000000-0005-0000-0000-0000297A0000}"/>
    <cellStyle name="Input 4 8 2 2 4 3" xfId="40553" xr:uid="{00000000-0005-0000-0000-00002A7A0000}"/>
    <cellStyle name="Input 4 8 2 2 4 4" xfId="30276" xr:uid="{00000000-0005-0000-0000-00002B7A0000}"/>
    <cellStyle name="Input 4 8 2 2 5" xfId="20904" xr:uid="{00000000-0005-0000-0000-00002C7A0000}"/>
    <cellStyle name="Input 4 8 2 2 5 2" xfId="46441" xr:uid="{00000000-0005-0000-0000-00002D7A0000}"/>
    <cellStyle name="Input 4 8 2 2 5 3" xfId="50347" xr:uid="{00000000-0005-0000-0000-00002E7A0000}"/>
    <cellStyle name="Input 4 8 2 2 5 4" xfId="38310" xr:uid="{00000000-0005-0000-0000-00002F7A0000}"/>
    <cellStyle name="Input 4 8 2 2 6" xfId="21557" xr:uid="{00000000-0005-0000-0000-0000307A0000}"/>
    <cellStyle name="Input 4 8 2 2 6 2" xfId="47094" xr:uid="{00000000-0005-0000-0000-0000317A0000}"/>
    <cellStyle name="Input 4 8 2 2 6 3" xfId="51000" xr:uid="{00000000-0005-0000-0000-0000327A0000}"/>
    <cellStyle name="Input 4 8 2 2 7" xfId="40897" xr:uid="{00000000-0005-0000-0000-0000337A0000}"/>
    <cellStyle name="Input 4 8 2 2 8" xfId="42743" xr:uid="{00000000-0005-0000-0000-0000347A0000}"/>
    <cellStyle name="Input 4 8 2 3" xfId="10993" xr:uid="{00000000-0005-0000-0000-0000357A0000}"/>
    <cellStyle name="Input 4 8 2 3 2" xfId="18786" xr:uid="{00000000-0005-0000-0000-0000367A0000}"/>
    <cellStyle name="Input 4 8 2 3 2 2" xfId="44333" xr:uid="{00000000-0005-0000-0000-0000377A0000}"/>
    <cellStyle name="Input 4 8 2 3 2 3" xfId="48242" xr:uid="{00000000-0005-0000-0000-0000387A0000}"/>
    <cellStyle name="Input 4 8 2 3 2 4" xfId="36423" xr:uid="{00000000-0005-0000-0000-0000397A0000}"/>
    <cellStyle name="Input 4 8 2 3 3" xfId="19393" xr:uid="{00000000-0005-0000-0000-00003A7A0000}"/>
    <cellStyle name="Input 4 8 2 3 3 2" xfId="44930" xr:uid="{00000000-0005-0000-0000-00003B7A0000}"/>
    <cellStyle name="Input 4 8 2 3 3 3" xfId="48836" xr:uid="{00000000-0005-0000-0000-00003C7A0000}"/>
    <cellStyle name="Input 4 8 2 3 3 4" xfId="36958" xr:uid="{00000000-0005-0000-0000-00003D7A0000}"/>
    <cellStyle name="Input 4 8 2 3 4" xfId="19461" xr:uid="{00000000-0005-0000-0000-00003E7A0000}"/>
    <cellStyle name="Input 4 8 2 3 4 2" xfId="44998" xr:uid="{00000000-0005-0000-0000-00003F7A0000}"/>
    <cellStyle name="Input 4 8 2 3 4 3" xfId="48904" xr:uid="{00000000-0005-0000-0000-0000407A0000}"/>
    <cellStyle name="Input 4 8 2 3 4 4" xfId="37020" xr:uid="{00000000-0005-0000-0000-0000417A0000}"/>
    <cellStyle name="Input 4 8 2 3 5" xfId="21199" xr:uid="{00000000-0005-0000-0000-0000427A0000}"/>
    <cellStyle name="Input 4 8 2 3 5 2" xfId="46736" xr:uid="{00000000-0005-0000-0000-0000437A0000}"/>
    <cellStyle name="Input 4 8 2 3 5 3" xfId="50642" xr:uid="{00000000-0005-0000-0000-0000447A0000}"/>
    <cellStyle name="Input 4 8 2 3 5 4" xfId="38605" xr:uid="{00000000-0005-0000-0000-0000457A0000}"/>
    <cellStyle name="Input 4 8 2 3 6" xfId="21852" xr:uid="{00000000-0005-0000-0000-0000467A0000}"/>
    <cellStyle name="Input 4 8 2 3 6 2" xfId="47389" xr:uid="{00000000-0005-0000-0000-0000477A0000}"/>
    <cellStyle name="Input 4 8 2 3 6 3" xfId="51295" xr:uid="{00000000-0005-0000-0000-0000487A0000}"/>
    <cellStyle name="Input 4 8 2 3 7" xfId="41192" xr:uid="{00000000-0005-0000-0000-0000497A0000}"/>
    <cellStyle name="Input 4 8 2 3 8" xfId="40370" xr:uid="{00000000-0005-0000-0000-00004A7A0000}"/>
    <cellStyle name="Input 4 8 2 4" xfId="14956" xr:uid="{00000000-0005-0000-0000-00004B7A0000}"/>
    <cellStyle name="Input 4 8 2 4 2" xfId="43072" xr:uid="{00000000-0005-0000-0000-00004C7A0000}"/>
    <cellStyle name="Input 4 8 2 4 3" xfId="43557" xr:uid="{00000000-0005-0000-0000-00004D7A0000}"/>
    <cellStyle name="Input 4 8 2 4 4" xfId="32591" xr:uid="{00000000-0005-0000-0000-00004E7A0000}"/>
    <cellStyle name="Input 4 8 2 5" xfId="13179" xr:uid="{00000000-0005-0000-0000-00004F7A0000}"/>
    <cellStyle name="Input 4 8 2 5 2" xfId="42400" xr:uid="{00000000-0005-0000-0000-0000507A0000}"/>
    <cellStyle name="Input 4 8 2 5 3" xfId="39079" xr:uid="{00000000-0005-0000-0000-0000517A0000}"/>
    <cellStyle name="Input 4 8 2 5 4" xfId="30828" xr:uid="{00000000-0005-0000-0000-0000527A0000}"/>
    <cellStyle name="Input 4 8 2 6" xfId="11853" xr:uid="{00000000-0005-0000-0000-0000537A0000}"/>
    <cellStyle name="Input 4 8 2 6 2" xfId="41771" xr:uid="{00000000-0005-0000-0000-0000547A0000}"/>
    <cellStyle name="Input 4 8 2 6 3" xfId="40203" xr:uid="{00000000-0005-0000-0000-0000557A0000}"/>
    <cellStyle name="Input 4 8 2 6 4" xfId="29537" xr:uid="{00000000-0005-0000-0000-0000567A0000}"/>
    <cellStyle name="Input 4 8 2 7" xfId="20329" xr:uid="{00000000-0005-0000-0000-0000577A0000}"/>
    <cellStyle name="Input 4 8 2 7 2" xfId="45866" xr:uid="{00000000-0005-0000-0000-0000587A0000}"/>
    <cellStyle name="Input 4 8 2 7 3" xfId="49772" xr:uid="{00000000-0005-0000-0000-0000597A0000}"/>
    <cellStyle name="Input 4 8 2 7 4" xfId="37793" xr:uid="{00000000-0005-0000-0000-00005A7A0000}"/>
    <cellStyle name="Input 4 8 2 8" xfId="12609" xr:uid="{00000000-0005-0000-0000-00005B7A0000}"/>
    <cellStyle name="Input 4 8 2 8 2" xfId="42088" xr:uid="{00000000-0005-0000-0000-00005C7A0000}"/>
    <cellStyle name="Input 4 8 2 8 3" xfId="43694" xr:uid="{00000000-0005-0000-0000-00005D7A0000}"/>
    <cellStyle name="Input 4 8 2 9" xfId="39932" xr:uid="{00000000-0005-0000-0000-00005E7A0000}"/>
    <cellStyle name="Input 4 8 3" xfId="53193" xr:uid="{00000000-0005-0000-0000-00005F7A0000}"/>
    <cellStyle name="Input 4 9" xfId="2008" xr:uid="{00000000-0005-0000-0000-0000607A0000}"/>
    <cellStyle name="Input 4 9 2" xfId="7169" xr:uid="{00000000-0005-0000-0000-0000617A0000}"/>
    <cellStyle name="Input 4 9 2 10" xfId="40401" xr:uid="{00000000-0005-0000-0000-0000627A0000}"/>
    <cellStyle name="Input 4 9 2 2" xfId="10699" xr:uid="{00000000-0005-0000-0000-0000637A0000}"/>
    <cellStyle name="Input 4 9 2 2 2" xfId="18492" xr:uid="{00000000-0005-0000-0000-0000647A0000}"/>
    <cellStyle name="Input 4 9 2 2 2 2" xfId="44039" xr:uid="{00000000-0005-0000-0000-0000657A0000}"/>
    <cellStyle name="Input 4 9 2 2 2 3" xfId="47948" xr:uid="{00000000-0005-0000-0000-0000667A0000}"/>
    <cellStyle name="Input 4 9 2 2 2 4" xfId="36129" xr:uid="{00000000-0005-0000-0000-0000677A0000}"/>
    <cellStyle name="Input 4 9 2 2 3" xfId="20158" xr:uid="{00000000-0005-0000-0000-0000687A0000}"/>
    <cellStyle name="Input 4 9 2 2 3 2" xfId="45695" xr:uid="{00000000-0005-0000-0000-0000697A0000}"/>
    <cellStyle name="Input 4 9 2 2 3 3" xfId="49601" xr:uid="{00000000-0005-0000-0000-00006A7A0000}"/>
    <cellStyle name="Input 4 9 2 2 3 4" xfId="37644" xr:uid="{00000000-0005-0000-0000-00006B7A0000}"/>
    <cellStyle name="Input 4 9 2 2 4" xfId="11540" xr:uid="{00000000-0005-0000-0000-00006C7A0000}"/>
    <cellStyle name="Input 4 9 2 2 4 2" xfId="41551" xr:uid="{00000000-0005-0000-0000-00006D7A0000}"/>
    <cellStyle name="Input 4 9 2 2 4 3" xfId="40565" xr:uid="{00000000-0005-0000-0000-00006E7A0000}"/>
    <cellStyle name="Input 4 9 2 2 4 4" xfId="29254" xr:uid="{00000000-0005-0000-0000-00006F7A0000}"/>
    <cellStyle name="Input 4 9 2 2 5" xfId="20905" xr:uid="{00000000-0005-0000-0000-0000707A0000}"/>
    <cellStyle name="Input 4 9 2 2 5 2" xfId="46442" xr:uid="{00000000-0005-0000-0000-0000717A0000}"/>
    <cellStyle name="Input 4 9 2 2 5 3" xfId="50348" xr:uid="{00000000-0005-0000-0000-0000727A0000}"/>
    <cellStyle name="Input 4 9 2 2 5 4" xfId="38311" xr:uid="{00000000-0005-0000-0000-0000737A0000}"/>
    <cellStyle name="Input 4 9 2 2 6" xfId="21558" xr:uid="{00000000-0005-0000-0000-0000747A0000}"/>
    <cellStyle name="Input 4 9 2 2 6 2" xfId="47095" xr:uid="{00000000-0005-0000-0000-0000757A0000}"/>
    <cellStyle name="Input 4 9 2 2 6 3" xfId="51001" xr:uid="{00000000-0005-0000-0000-0000767A0000}"/>
    <cellStyle name="Input 4 9 2 2 7" xfId="40898" xr:uid="{00000000-0005-0000-0000-0000777A0000}"/>
    <cellStyle name="Input 4 9 2 2 8" xfId="43632" xr:uid="{00000000-0005-0000-0000-0000787A0000}"/>
    <cellStyle name="Input 4 9 2 3" xfId="10994" xr:uid="{00000000-0005-0000-0000-0000797A0000}"/>
    <cellStyle name="Input 4 9 2 3 2" xfId="18787" xr:uid="{00000000-0005-0000-0000-00007A7A0000}"/>
    <cellStyle name="Input 4 9 2 3 2 2" xfId="44334" xr:uid="{00000000-0005-0000-0000-00007B7A0000}"/>
    <cellStyle name="Input 4 9 2 3 2 3" xfId="48243" xr:uid="{00000000-0005-0000-0000-00007C7A0000}"/>
    <cellStyle name="Input 4 9 2 3 2 4" xfId="36424" xr:uid="{00000000-0005-0000-0000-00007D7A0000}"/>
    <cellStyle name="Input 4 9 2 3 3" xfId="20000" xr:uid="{00000000-0005-0000-0000-00007E7A0000}"/>
    <cellStyle name="Input 4 9 2 3 3 2" xfId="45537" xr:uid="{00000000-0005-0000-0000-00007F7A0000}"/>
    <cellStyle name="Input 4 9 2 3 3 3" xfId="49443" xr:uid="{00000000-0005-0000-0000-0000807A0000}"/>
    <cellStyle name="Input 4 9 2 3 3 4" xfId="37498" xr:uid="{00000000-0005-0000-0000-0000817A0000}"/>
    <cellStyle name="Input 4 9 2 3 4" xfId="19638" xr:uid="{00000000-0005-0000-0000-0000827A0000}"/>
    <cellStyle name="Input 4 9 2 3 4 2" xfId="45175" xr:uid="{00000000-0005-0000-0000-0000837A0000}"/>
    <cellStyle name="Input 4 9 2 3 4 3" xfId="49081" xr:uid="{00000000-0005-0000-0000-0000847A0000}"/>
    <cellStyle name="Input 4 9 2 3 4 4" xfId="37175" xr:uid="{00000000-0005-0000-0000-0000857A0000}"/>
    <cellStyle name="Input 4 9 2 3 5" xfId="21200" xr:uid="{00000000-0005-0000-0000-0000867A0000}"/>
    <cellStyle name="Input 4 9 2 3 5 2" xfId="46737" xr:uid="{00000000-0005-0000-0000-0000877A0000}"/>
    <cellStyle name="Input 4 9 2 3 5 3" xfId="50643" xr:uid="{00000000-0005-0000-0000-0000887A0000}"/>
    <cellStyle name="Input 4 9 2 3 5 4" xfId="38606" xr:uid="{00000000-0005-0000-0000-0000897A0000}"/>
    <cellStyle name="Input 4 9 2 3 6" xfId="21853" xr:uid="{00000000-0005-0000-0000-00008A7A0000}"/>
    <cellStyle name="Input 4 9 2 3 6 2" xfId="47390" xr:uid="{00000000-0005-0000-0000-00008B7A0000}"/>
    <cellStyle name="Input 4 9 2 3 6 3" xfId="51296" xr:uid="{00000000-0005-0000-0000-00008C7A0000}"/>
    <cellStyle name="Input 4 9 2 3 7" xfId="41193" xr:uid="{00000000-0005-0000-0000-00008D7A0000}"/>
    <cellStyle name="Input 4 9 2 3 8" xfId="39482" xr:uid="{00000000-0005-0000-0000-00008E7A0000}"/>
    <cellStyle name="Input 4 9 2 4" xfId="14957" xr:uid="{00000000-0005-0000-0000-00008F7A0000}"/>
    <cellStyle name="Input 4 9 2 4 2" xfId="43073" xr:uid="{00000000-0005-0000-0000-0000907A0000}"/>
    <cellStyle name="Input 4 9 2 4 3" xfId="40418" xr:uid="{00000000-0005-0000-0000-0000917A0000}"/>
    <cellStyle name="Input 4 9 2 4 4" xfId="32592" xr:uid="{00000000-0005-0000-0000-0000927A0000}"/>
    <cellStyle name="Input 4 9 2 5" xfId="13180" xr:uid="{00000000-0005-0000-0000-0000937A0000}"/>
    <cellStyle name="Input 4 9 2 5 2" xfId="42401" xr:uid="{00000000-0005-0000-0000-0000947A0000}"/>
    <cellStyle name="Input 4 9 2 5 3" xfId="39291" xr:uid="{00000000-0005-0000-0000-0000957A0000}"/>
    <cellStyle name="Input 4 9 2 5 4" xfId="30829" xr:uid="{00000000-0005-0000-0000-0000967A0000}"/>
    <cellStyle name="Input 4 9 2 6" xfId="20059" xr:uid="{00000000-0005-0000-0000-0000977A0000}"/>
    <cellStyle name="Input 4 9 2 6 2" xfId="45596" xr:uid="{00000000-0005-0000-0000-0000987A0000}"/>
    <cellStyle name="Input 4 9 2 6 3" xfId="49502" xr:uid="{00000000-0005-0000-0000-0000997A0000}"/>
    <cellStyle name="Input 4 9 2 6 4" xfId="37554" xr:uid="{00000000-0005-0000-0000-00009A7A0000}"/>
    <cellStyle name="Input 4 9 2 7" xfId="18895" xr:uid="{00000000-0005-0000-0000-00009B7A0000}"/>
    <cellStyle name="Input 4 9 2 7 2" xfId="44432" xr:uid="{00000000-0005-0000-0000-00009C7A0000}"/>
    <cellStyle name="Input 4 9 2 7 3" xfId="48338" xr:uid="{00000000-0005-0000-0000-00009D7A0000}"/>
    <cellStyle name="Input 4 9 2 7 4" xfId="36531" xr:uid="{00000000-0005-0000-0000-00009E7A0000}"/>
    <cellStyle name="Input 4 9 2 8" xfId="13304" xr:uid="{00000000-0005-0000-0000-00009F7A0000}"/>
    <cellStyle name="Input 4 9 2 8 2" xfId="42474" xr:uid="{00000000-0005-0000-0000-0000A07A0000}"/>
    <cellStyle name="Input 4 9 2 8 3" xfId="42682" xr:uid="{00000000-0005-0000-0000-0000A17A0000}"/>
    <cellStyle name="Input 4 9 2 9" xfId="39933" xr:uid="{00000000-0005-0000-0000-0000A27A0000}"/>
    <cellStyle name="Input 4 9 3" xfId="53367" xr:uid="{00000000-0005-0000-0000-0000A37A0000}"/>
    <cellStyle name="Input 4_Sheet1" xfId="2009" xr:uid="{00000000-0005-0000-0000-0000A47A0000}"/>
    <cellStyle name="Input 40" xfId="2010" xr:uid="{00000000-0005-0000-0000-0000A57A0000}"/>
    <cellStyle name="Input 40 2" xfId="22481" xr:uid="{00000000-0005-0000-0000-0000A67A0000}"/>
    <cellStyle name="Input 40 2 2" xfId="47539" xr:uid="{00000000-0005-0000-0000-0000A77A0000}"/>
    <cellStyle name="Input 40 2 3" xfId="51393" xr:uid="{00000000-0005-0000-0000-0000A87A0000}"/>
    <cellStyle name="Input 40 2 4" xfId="38835" xr:uid="{00000000-0005-0000-0000-0000A97A0000}"/>
    <cellStyle name="Input 40 3" xfId="23045" xr:uid="{00000000-0005-0000-0000-0000AA7A0000}"/>
    <cellStyle name="Input 40 3 2" xfId="47646" xr:uid="{00000000-0005-0000-0000-0000AB7A0000}"/>
    <cellStyle name="Input 40 3 3" xfId="51457" xr:uid="{00000000-0005-0000-0000-0000AC7A0000}"/>
    <cellStyle name="Input 40 4" xfId="53194" xr:uid="{00000000-0005-0000-0000-0000AD7A0000}"/>
    <cellStyle name="Input 41" xfId="2011" xr:uid="{00000000-0005-0000-0000-0000AE7A0000}"/>
    <cellStyle name="Input 41 2" xfId="7170" xr:uid="{00000000-0005-0000-0000-0000AF7A0000}"/>
    <cellStyle name="Input 41 2 10" xfId="39513" xr:uid="{00000000-0005-0000-0000-0000B07A0000}"/>
    <cellStyle name="Input 41 2 2" xfId="10700" xr:uid="{00000000-0005-0000-0000-0000B17A0000}"/>
    <cellStyle name="Input 41 2 2 2" xfId="18493" xr:uid="{00000000-0005-0000-0000-0000B27A0000}"/>
    <cellStyle name="Input 41 2 2 2 2" xfId="44040" xr:uid="{00000000-0005-0000-0000-0000B37A0000}"/>
    <cellStyle name="Input 41 2 2 2 3" xfId="47949" xr:uid="{00000000-0005-0000-0000-0000B47A0000}"/>
    <cellStyle name="Input 41 2 2 2 4" xfId="36130" xr:uid="{00000000-0005-0000-0000-0000B57A0000}"/>
    <cellStyle name="Input 41 2 2 3" xfId="19417" xr:uid="{00000000-0005-0000-0000-0000B67A0000}"/>
    <cellStyle name="Input 41 2 2 3 2" xfId="44954" xr:uid="{00000000-0005-0000-0000-0000B77A0000}"/>
    <cellStyle name="Input 41 2 2 3 3" xfId="48860" xr:uid="{00000000-0005-0000-0000-0000B87A0000}"/>
    <cellStyle name="Input 41 2 2 3 4" xfId="36982" xr:uid="{00000000-0005-0000-0000-0000B97A0000}"/>
    <cellStyle name="Input 41 2 2 4" xfId="20382" xr:uid="{00000000-0005-0000-0000-0000BA7A0000}"/>
    <cellStyle name="Input 41 2 2 4 2" xfId="45919" xr:uid="{00000000-0005-0000-0000-0000BB7A0000}"/>
    <cellStyle name="Input 41 2 2 4 3" xfId="49825" xr:uid="{00000000-0005-0000-0000-0000BC7A0000}"/>
    <cellStyle name="Input 41 2 2 4 4" xfId="37836" xr:uid="{00000000-0005-0000-0000-0000BD7A0000}"/>
    <cellStyle name="Input 41 2 2 5" xfId="20906" xr:uid="{00000000-0005-0000-0000-0000BE7A0000}"/>
    <cellStyle name="Input 41 2 2 5 2" xfId="46443" xr:uid="{00000000-0005-0000-0000-0000BF7A0000}"/>
    <cellStyle name="Input 41 2 2 5 3" xfId="50349" xr:uid="{00000000-0005-0000-0000-0000C07A0000}"/>
    <cellStyle name="Input 41 2 2 5 4" xfId="38312" xr:uid="{00000000-0005-0000-0000-0000C17A0000}"/>
    <cellStyle name="Input 41 2 2 6" xfId="21559" xr:uid="{00000000-0005-0000-0000-0000C27A0000}"/>
    <cellStyle name="Input 41 2 2 6 2" xfId="47096" xr:uid="{00000000-0005-0000-0000-0000C37A0000}"/>
    <cellStyle name="Input 41 2 2 6 3" xfId="51002" xr:uid="{00000000-0005-0000-0000-0000C47A0000}"/>
    <cellStyle name="Input 41 2 2 7" xfId="40899" xr:uid="{00000000-0005-0000-0000-0000C57A0000}"/>
    <cellStyle name="Input 41 2 2 8" xfId="40490" xr:uid="{00000000-0005-0000-0000-0000C67A0000}"/>
    <cellStyle name="Input 41 2 3" xfId="10995" xr:uid="{00000000-0005-0000-0000-0000C77A0000}"/>
    <cellStyle name="Input 41 2 3 2" xfId="18788" xr:uid="{00000000-0005-0000-0000-0000C87A0000}"/>
    <cellStyle name="Input 41 2 3 2 2" xfId="44335" xr:uid="{00000000-0005-0000-0000-0000C97A0000}"/>
    <cellStyle name="Input 41 2 3 2 3" xfId="48244" xr:uid="{00000000-0005-0000-0000-0000CA7A0000}"/>
    <cellStyle name="Input 41 2 3 2 4" xfId="36425" xr:uid="{00000000-0005-0000-0000-0000CB7A0000}"/>
    <cellStyle name="Input 41 2 3 3" xfId="19266" xr:uid="{00000000-0005-0000-0000-0000CC7A0000}"/>
    <cellStyle name="Input 41 2 3 3 2" xfId="44803" xr:uid="{00000000-0005-0000-0000-0000CD7A0000}"/>
    <cellStyle name="Input 41 2 3 3 3" xfId="48709" xr:uid="{00000000-0005-0000-0000-0000CE7A0000}"/>
    <cellStyle name="Input 41 2 3 3 4" xfId="36844" xr:uid="{00000000-0005-0000-0000-0000CF7A0000}"/>
    <cellStyle name="Input 41 2 3 4" xfId="11578" xr:uid="{00000000-0005-0000-0000-0000D07A0000}"/>
    <cellStyle name="Input 41 2 3 4 2" xfId="41589" xr:uid="{00000000-0005-0000-0000-0000D17A0000}"/>
    <cellStyle name="Input 41 2 3 4 3" xfId="43602" xr:uid="{00000000-0005-0000-0000-0000D27A0000}"/>
    <cellStyle name="Input 41 2 3 4 4" xfId="29289" xr:uid="{00000000-0005-0000-0000-0000D37A0000}"/>
    <cellStyle name="Input 41 2 3 5" xfId="21201" xr:uid="{00000000-0005-0000-0000-0000D47A0000}"/>
    <cellStyle name="Input 41 2 3 5 2" xfId="46738" xr:uid="{00000000-0005-0000-0000-0000D57A0000}"/>
    <cellStyle name="Input 41 2 3 5 3" xfId="50644" xr:uid="{00000000-0005-0000-0000-0000D67A0000}"/>
    <cellStyle name="Input 41 2 3 5 4" xfId="38607" xr:uid="{00000000-0005-0000-0000-0000D77A0000}"/>
    <cellStyle name="Input 41 2 3 6" xfId="21854" xr:uid="{00000000-0005-0000-0000-0000D87A0000}"/>
    <cellStyle name="Input 41 2 3 6 2" xfId="47391" xr:uid="{00000000-0005-0000-0000-0000D97A0000}"/>
    <cellStyle name="Input 41 2 3 6 3" xfId="51297" xr:uid="{00000000-0005-0000-0000-0000DA7A0000}"/>
    <cellStyle name="Input 41 2 3 7" xfId="41194" xr:uid="{00000000-0005-0000-0000-0000DB7A0000}"/>
    <cellStyle name="Input 41 2 3 8" xfId="42050" xr:uid="{00000000-0005-0000-0000-0000DC7A0000}"/>
    <cellStyle name="Input 41 2 4" xfId="14958" xr:uid="{00000000-0005-0000-0000-0000DD7A0000}"/>
    <cellStyle name="Input 41 2 4 2" xfId="43074" xr:uid="{00000000-0005-0000-0000-0000DE7A0000}"/>
    <cellStyle name="Input 41 2 4 3" xfId="39527" xr:uid="{00000000-0005-0000-0000-0000DF7A0000}"/>
    <cellStyle name="Input 41 2 4 4" xfId="32593" xr:uid="{00000000-0005-0000-0000-0000E07A0000}"/>
    <cellStyle name="Input 41 2 5" xfId="13181" xr:uid="{00000000-0005-0000-0000-0000E17A0000}"/>
    <cellStyle name="Input 41 2 5 2" xfId="42402" xr:uid="{00000000-0005-0000-0000-0000E27A0000}"/>
    <cellStyle name="Input 41 2 5 3" xfId="39290" xr:uid="{00000000-0005-0000-0000-0000E37A0000}"/>
    <cellStyle name="Input 41 2 5 4" xfId="30830" xr:uid="{00000000-0005-0000-0000-0000E47A0000}"/>
    <cellStyle name="Input 41 2 6" xfId="12045" xr:uid="{00000000-0005-0000-0000-0000E57A0000}"/>
    <cellStyle name="Input 41 2 6 2" xfId="41801" xr:uid="{00000000-0005-0000-0000-0000E67A0000}"/>
    <cellStyle name="Input 41 2 6 3" xfId="47504" xr:uid="{00000000-0005-0000-0000-0000E77A0000}"/>
    <cellStyle name="Input 41 2 6 4" xfId="29724" xr:uid="{00000000-0005-0000-0000-0000E87A0000}"/>
    <cellStyle name="Input 41 2 7" xfId="20464" xr:uid="{00000000-0005-0000-0000-0000E97A0000}"/>
    <cellStyle name="Input 41 2 7 2" xfId="46001" xr:uid="{00000000-0005-0000-0000-0000EA7A0000}"/>
    <cellStyle name="Input 41 2 7 3" xfId="49907" xr:uid="{00000000-0005-0000-0000-0000EB7A0000}"/>
    <cellStyle name="Input 41 2 7 4" xfId="37917" xr:uid="{00000000-0005-0000-0000-0000EC7A0000}"/>
    <cellStyle name="Input 41 2 8" xfId="12030" xr:uid="{00000000-0005-0000-0000-0000ED7A0000}"/>
    <cellStyle name="Input 41 2 8 2" xfId="41787" xr:uid="{00000000-0005-0000-0000-0000EE7A0000}"/>
    <cellStyle name="Input 41 2 8 3" xfId="43340" xr:uid="{00000000-0005-0000-0000-0000EF7A0000}"/>
    <cellStyle name="Input 41 2 9" xfId="39934" xr:uid="{00000000-0005-0000-0000-0000F07A0000}"/>
    <cellStyle name="Input 41 3" xfId="22482" xr:uid="{00000000-0005-0000-0000-0000F17A0000}"/>
    <cellStyle name="Input 41 3 2" xfId="47540" xr:uid="{00000000-0005-0000-0000-0000F27A0000}"/>
    <cellStyle name="Input 41 3 3" xfId="51394" xr:uid="{00000000-0005-0000-0000-0000F37A0000}"/>
    <cellStyle name="Input 41 3 4" xfId="38836" xr:uid="{00000000-0005-0000-0000-0000F47A0000}"/>
    <cellStyle name="Input 41 4" xfId="23046" xr:uid="{00000000-0005-0000-0000-0000F57A0000}"/>
    <cellStyle name="Input 41 4 2" xfId="47647" xr:uid="{00000000-0005-0000-0000-0000F67A0000}"/>
    <cellStyle name="Input 41 4 3" xfId="51458" xr:uid="{00000000-0005-0000-0000-0000F77A0000}"/>
    <cellStyle name="Input 41 5" xfId="53195" xr:uid="{00000000-0005-0000-0000-0000F87A0000}"/>
    <cellStyle name="Input 42" xfId="2012" xr:uid="{00000000-0005-0000-0000-0000F97A0000}"/>
    <cellStyle name="Input 42 2" xfId="7171" xr:uid="{00000000-0005-0000-0000-0000FA7A0000}"/>
    <cellStyle name="Input 42 2 10" xfId="42194" xr:uid="{00000000-0005-0000-0000-0000FB7A0000}"/>
    <cellStyle name="Input 42 2 2" xfId="10701" xr:uid="{00000000-0005-0000-0000-0000FC7A0000}"/>
    <cellStyle name="Input 42 2 2 2" xfId="18494" xr:uid="{00000000-0005-0000-0000-0000FD7A0000}"/>
    <cellStyle name="Input 42 2 2 2 2" xfId="44041" xr:uid="{00000000-0005-0000-0000-0000FE7A0000}"/>
    <cellStyle name="Input 42 2 2 2 3" xfId="47950" xr:uid="{00000000-0005-0000-0000-0000FF7A0000}"/>
    <cellStyle name="Input 42 2 2 2 4" xfId="36131" xr:uid="{00000000-0005-0000-0000-0000007B0000}"/>
    <cellStyle name="Input 42 2 2 3" xfId="20024" xr:uid="{00000000-0005-0000-0000-0000017B0000}"/>
    <cellStyle name="Input 42 2 2 3 2" xfId="45561" xr:uid="{00000000-0005-0000-0000-0000027B0000}"/>
    <cellStyle name="Input 42 2 2 3 3" xfId="49467" xr:uid="{00000000-0005-0000-0000-0000037B0000}"/>
    <cellStyle name="Input 42 2 2 3 4" xfId="37522" xr:uid="{00000000-0005-0000-0000-0000047B0000}"/>
    <cellStyle name="Input 42 2 2 4" xfId="19795" xr:uid="{00000000-0005-0000-0000-0000057B0000}"/>
    <cellStyle name="Input 42 2 2 4 2" xfId="45332" xr:uid="{00000000-0005-0000-0000-0000067B0000}"/>
    <cellStyle name="Input 42 2 2 4 3" xfId="49238" xr:uid="{00000000-0005-0000-0000-0000077B0000}"/>
    <cellStyle name="Input 42 2 2 4 4" xfId="37318" xr:uid="{00000000-0005-0000-0000-0000087B0000}"/>
    <cellStyle name="Input 42 2 2 5" xfId="20907" xr:uid="{00000000-0005-0000-0000-0000097B0000}"/>
    <cellStyle name="Input 42 2 2 5 2" xfId="46444" xr:uid="{00000000-0005-0000-0000-00000A7B0000}"/>
    <cellStyle name="Input 42 2 2 5 3" xfId="50350" xr:uid="{00000000-0005-0000-0000-00000B7B0000}"/>
    <cellStyle name="Input 42 2 2 5 4" xfId="38313" xr:uid="{00000000-0005-0000-0000-00000C7B0000}"/>
    <cellStyle name="Input 42 2 2 6" xfId="21560" xr:uid="{00000000-0005-0000-0000-00000D7B0000}"/>
    <cellStyle name="Input 42 2 2 6 2" xfId="47097" xr:uid="{00000000-0005-0000-0000-00000E7B0000}"/>
    <cellStyle name="Input 42 2 2 6 3" xfId="51003" xr:uid="{00000000-0005-0000-0000-00000F7B0000}"/>
    <cellStyle name="Input 42 2 2 7" xfId="40900" xr:uid="{00000000-0005-0000-0000-0000107B0000}"/>
    <cellStyle name="Input 42 2 2 8" xfId="39600" xr:uid="{00000000-0005-0000-0000-0000117B0000}"/>
    <cellStyle name="Input 42 2 3" xfId="10996" xr:uid="{00000000-0005-0000-0000-0000127B0000}"/>
    <cellStyle name="Input 42 2 3 2" xfId="18789" xr:uid="{00000000-0005-0000-0000-0000137B0000}"/>
    <cellStyle name="Input 42 2 3 2 2" xfId="44336" xr:uid="{00000000-0005-0000-0000-0000147B0000}"/>
    <cellStyle name="Input 42 2 3 2 3" xfId="48245" xr:uid="{00000000-0005-0000-0000-0000157B0000}"/>
    <cellStyle name="Input 42 2 3 2 4" xfId="36426" xr:uid="{00000000-0005-0000-0000-0000167B0000}"/>
    <cellStyle name="Input 42 2 3 3" xfId="19875" xr:uid="{00000000-0005-0000-0000-0000177B0000}"/>
    <cellStyle name="Input 42 2 3 3 2" xfId="45412" xr:uid="{00000000-0005-0000-0000-0000187B0000}"/>
    <cellStyle name="Input 42 2 3 3 3" xfId="49318" xr:uid="{00000000-0005-0000-0000-0000197B0000}"/>
    <cellStyle name="Input 42 2 3 3 4" xfId="37389" xr:uid="{00000000-0005-0000-0000-00001A7B0000}"/>
    <cellStyle name="Input 42 2 3 4" xfId="12142" xr:uid="{00000000-0005-0000-0000-00001B7B0000}"/>
    <cellStyle name="Input 42 2 3 4 2" xfId="41887" xr:uid="{00000000-0005-0000-0000-00001C7B0000}"/>
    <cellStyle name="Input 42 2 3 4 3" xfId="39564" xr:uid="{00000000-0005-0000-0000-00001D7B0000}"/>
    <cellStyle name="Input 42 2 3 4 4" xfId="29814" xr:uid="{00000000-0005-0000-0000-00001E7B0000}"/>
    <cellStyle name="Input 42 2 3 5" xfId="21202" xr:uid="{00000000-0005-0000-0000-00001F7B0000}"/>
    <cellStyle name="Input 42 2 3 5 2" xfId="46739" xr:uid="{00000000-0005-0000-0000-0000207B0000}"/>
    <cellStyle name="Input 42 2 3 5 3" xfId="50645" xr:uid="{00000000-0005-0000-0000-0000217B0000}"/>
    <cellStyle name="Input 42 2 3 5 4" xfId="38608" xr:uid="{00000000-0005-0000-0000-0000227B0000}"/>
    <cellStyle name="Input 42 2 3 6" xfId="21855" xr:uid="{00000000-0005-0000-0000-0000237B0000}"/>
    <cellStyle name="Input 42 2 3 6 2" xfId="47392" xr:uid="{00000000-0005-0000-0000-0000247B0000}"/>
    <cellStyle name="Input 42 2 3 6 3" xfId="51298" xr:uid="{00000000-0005-0000-0000-0000257B0000}"/>
    <cellStyle name="Input 42 2 3 7" xfId="41195" xr:uid="{00000000-0005-0000-0000-0000267B0000}"/>
    <cellStyle name="Input 42 2 3 8" xfId="43369" xr:uid="{00000000-0005-0000-0000-0000277B0000}"/>
    <cellStyle name="Input 42 2 4" xfId="14959" xr:uid="{00000000-0005-0000-0000-0000287B0000}"/>
    <cellStyle name="Input 42 2 4 2" xfId="43075" xr:uid="{00000000-0005-0000-0000-0000297B0000}"/>
    <cellStyle name="Input 42 2 4 3" xfId="42537" xr:uid="{00000000-0005-0000-0000-00002A7B0000}"/>
    <cellStyle name="Input 42 2 4 4" xfId="32594" xr:uid="{00000000-0005-0000-0000-00002B7B0000}"/>
    <cellStyle name="Input 42 2 5" xfId="13182" xr:uid="{00000000-0005-0000-0000-00002C7B0000}"/>
    <cellStyle name="Input 42 2 5 2" xfId="42403" xr:uid="{00000000-0005-0000-0000-00002D7B0000}"/>
    <cellStyle name="Input 42 2 5 3" xfId="39289" xr:uid="{00000000-0005-0000-0000-00002E7B0000}"/>
    <cellStyle name="Input 42 2 5 4" xfId="30831" xr:uid="{00000000-0005-0000-0000-00002F7B0000}"/>
    <cellStyle name="Input 42 2 6" xfId="19773" xr:uid="{00000000-0005-0000-0000-0000307B0000}"/>
    <cellStyle name="Input 42 2 6 2" xfId="45310" xr:uid="{00000000-0005-0000-0000-0000317B0000}"/>
    <cellStyle name="Input 42 2 6 3" xfId="49216" xr:uid="{00000000-0005-0000-0000-0000327B0000}"/>
    <cellStyle name="Input 42 2 6 4" xfId="37300" xr:uid="{00000000-0005-0000-0000-0000337B0000}"/>
    <cellStyle name="Input 42 2 7" xfId="20522" xr:uid="{00000000-0005-0000-0000-0000347B0000}"/>
    <cellStyle name="Input 42 2 7 2" xfId="46059" xr:uid="{00000000-0005-0000-0000-0000357B0000}"/>
    <cellStyle name="Input 42 2 7 3" xfId="49965" xr:uid="{00000000-0005-0000-0000-0000367B0000}"/>
    <cellStyle name="Input 42 2 7 4" xfId="37955" xr:uid="{00000000-0005-0000-0000-0000377B0000}"/>
    <cellStyle name="Input 42 2 8" xfId="19970" xr:uid="{00000000-0005-0000-0000-0000387B0000}"/>
    <cellStyle name="Input 42 2 8 2" xfId="45507" xr:uid="{00000000-0005-0000-0000-0000397B0000}"/>
    <cellStyle name="Input 42 2 8 3" xfId="49413" xr:uid="{00000000-0005-0000-0000-00003A7B0000}"/>
    <cellStyle name="Input 42 2 9" xfId="39935" xr:uid="{00000000-0005-0000-0000-00003B7B0000}"/>
    <cellStyle name="Input 42 3" xfId="22483" xr:uid="{00000000-0005-0000-0000-00003C7B0000}"/>
    <cellStyle name="Input 42 3 2" xfId="47541" xr:uid="{00000000-0005-0000-0000-00003D7B0000}"/>
    <cellStyle name="Input 42 3 3" xfId="51395" xr:uid="{00000000-0005-0000-0000-00003E7B0000}"/>
    <cellStyle name="Input 42 3 4" xfId="38837" xr:uid="{00000000-0005-0000-0000-00003F7B0000}"/>
    <cellStyle name="Input 42 4" xfId="23047" xr:uid="{00000000-0005-0000-0000-0000407B0000}"/>
    <cellStyle name="Input 42 4 2" xfId="47648" xr:uid="{00000000-0005-0000-0000-0000417B0000}"/>
    <cellStyle name="Input 42 4 3" xfId="51459" xr:uid="{00000000-0005-0000-0000-0000427B0000}"/>
    <cellStyle name="Input 42 5" xfId="53196" xr:uid="{00000000-0005-0000-0000-0000437B0000}"/>
    <cellStyle name="Input 43" xfId="2013" xr:uid="{00000000-0005-0000-0000-0000447B0000}"/>
    <cellStyle name="Input 43 2" xfId="7172" xr:uid="{00000000-0005-0000-0000-0000457B0000}"/>
    <cellStyle name="Input 43 2 10" xfId="43421" xr:uid="{00000000-0005-0000-0000-0000467B0000}"/>
    <cellStyle name="Input 43 2 2" xfId="10702" xr:uid="{00000000-0005-0000-0000-0000477B0000}"/>
    <cellStyle name="Input 43 2 2 2" xfId="18495" xr:uid="{00000000-0005-0000-0000-0000487B0000}"/>
    <cellStyle name="Input 43 2 2 2 2" xfId="44042" xr:uid="{00000000-0005-0000-0000-0000497B0000}"/>
    <cellStyle name="Input 43 2 2 2 3" xfId="47951" xr:uid="{00000000-0005-0000-0000-00004A7B0000}"/>
    <cellStyle name="Input 43 2 2 2 4" xfId="36132" xr:uid="{00000000-0005-0000-0000-00004B7B0000}"/>
    <cellStyle name="Input 43 2 2 3" xfId="19290" xr:uid="{00000000-0005-0000-0000-00004C7B0000}"/>
    <cellStyle name="Input 43 2 2 3 2" xfId="44827" xr:uid="{00000000-0005-0000-0000-00004D7B0000}"/>
    <cellStyle name="Input 43 2 2 3 3" xfId="48733" xr:uid="{00000000-0005-0000-0000-00004E7B0000}"/>
    <cellStyle name="Input 43 2 2 3 4" xfId="36868" xr:uid="{00000000-0005-0000-0000-00004F7B0000}"/>
    <cellStyle name="Input 43 2 2 4" xfId="18926" xr:uid="{00000000-0005-0000-0000-0000507B0000}"/>
    <cellStyle name="Input 43 2 2 4 2" xfId="44463" xr:uid="{00000000-0005-0000-0000-0000517B0000}"/>
    <cellStyle name="Input 43 2 2 4 3" xfId="48369" xr:uid="{00000000-0005-0000-0000-0000527B0000}"/>
    <cellStyle name="Input 43 2 2 4 4" xfId="36554" xr:uid="{00000000-0005-0000-0000-0000537B0000}"/>
    <cellStyle name="Input 43 2 2 5" xfId="20908" xr:uid="{00000000-0005-0000-0000-0000547B0000}"/>
    <cellStyle name="Input 43 2 2 5 2" xfId="46445" xr:uid="{00000000-0005-0000-0000-0000557B0000}"/>
    <cellStyle name="Input 43 2 2 5 3" xfId="50351" xr:uid="{00000000-0005-0000-0000-0000567B0000}"/>
    <cellStyle name="Input 43 2 2 5 4" xfId="38314" xr:uid="{00000000-0005-0000-0000-0000577B0000}"/>
    <cellStyle name="Input 43 2 2 6" xfId="21561" xr:uid="{00000000-0005-0000-0000-0000587B0000}"/>
    <cellStyle name="Input 43 2 2 6 2" xfId="47098" xr:uid="{00000000-0005-0000-0000-0000597B0000}"/>
    <cellStyle name="Input 43 2 2 6 3" xfId="51004" xr:uid="{00000000-0005-0000-0000-00005A7B0000}"/>
    <cellStyle name="Input 43 2 2 7" xfId="40901" xr:uid="{00000000-0005-0000-0000-00005B7B0000}"/>
    <cellStyle name="Input 43 2 2 8" xfId="42608" xr:uid="{00000000-0005-0000-0000-00005C7B0000}"/>
    <cellStyle name="Input 43 2 3" xfId="10997" xr:uid="{00000000-0005-0000-0000-00005D7B0000}"/>
    <cellStyle name="Input 43 2 3 2" xfId="18790" xr:uid="{00000000-0005-0000-0000-00005E7B0000}"/>
    <cellStyle name="Input 43 2 3 2 2" xfId="44337" xr:uid="{00000000-0005-0000-0000-00005F7B0000}"/>
    <cellStyle name="Input 43 2 3 2 3" xfId="48246" xr:uid="{00000000-0005-0000-0000-0000607B0000}"/>
    <cellStyle name="Input 43 2 3 2 4" xfId="36427" xr:uid="{00000000-0005-0000-0000-0000617B0000}"/>
    <cellStyle name="Input 43 2 3 3" xfId="19098" xr:uid="{00000000-0005-0000-0000-0000627B0000}"/>
    <cellStyle name="Input 43 2 3 3 2" xfId="44635" xr:uid="{00000000-0005-0000-0000-0000637B0000}"/>
    <cellStyle name="Input 43 2 3 3 3" xfId="48541" xr:uid="{00000000-0005-0000-0000-0000647B0000}"/>
    <cellStyle name="Input 43 2 3 3 4" xfId="36693" xr:uid="{00000000-0005-0000-0000-0000657B0000}"/>
    <cellStyle name="Input 43 2 3 4" xfId="20124" xr:uid="{00000000-0005-0000-0000-0000667B0000}"/>
    <cellStyle name="Input 43 2 3 4 2" xfId="45661" xr:uid="{00000000-0005-0000-0000-0000677B0000}"/>
    <cellStyle name="Input 43 2 3 4 3" xfId="49567" xr:uid="{00000000-0005-0000-0000-0000687B0000}"/>
    <cellStyle name="Input 43 2 3 4 4" xfId="37610" xr:uid="{00000000-0005-0000-0000-0000697B0000}"/>
    <cellStyle name="Input 43 2 3 5" xfId="21203" xr:uid="{00000000-0005-0000-0000-00006A7B0000}"/>
    <cellStyle name="Input 43 2 3 5 2" xfId="46740" xr:uid="{00000000-0005-0000-0000-00006B7B0000}"/>
    <cellStyle name="Input 43 2 3 5 3" xfId="50646" xr:uid="{00000000-0005-0000-0000-00006C7B0000}"/>
    <cellStyle name="Input 43 2 3 5 4" xfId="38609" xr:uid="{00000000-0005-0000-0000-00006D7B0000}"/>
    <cellStyle name="Input 43 2 3 6" xfId="21856" xr:uid="{00000000-0005-0000-0000-00006E7B0000}"/>
    <cellStyle name="Input 43 2 3 6 2" xfId="47393" xr:uid="{00000000-0005-0000-0000-00006F7B0000}"/>
    <cellStyle name="Input 43 2 3 6 3" xfId="51299" xr:uid="{00000000-0005-0000-0000-0000707B0000}"/>
    <cellStyle name="Input 43 2 3 7" xfId="41196" xr:uid="{00000000-0005-0000-0000-0000717B0000}"/>
    <cellStyle name="Input 43 2 3 8" xfId="40231" xr:uid="{00000000-0005-0000-0000-0000727B0000}"/>
    <cellStyle name="Input 43 2 4" xfId="14960" xr:uid="{00000000-0005-0000-0000-0000737B0000}"/>
    <cellStyle name="Input 43 2 4 2" xfId="43076" xr:uid="{00000000-0005-0000-0000-0000747B0000}"/>
    <cellStyle name="Input 43 2 4 3" xfId="43448" xr:uid="{00000000-0005-0000-0000-0000757B0000}"/>
    <cellStyle name="Input 43 2 4 4" xfId="32595" xr:uid="{00000000-0005-0000-0000-0000767B0000}"/>
    <cellStyle name="Input 43 2 5" xfId="12028" xr:uid="{00000000-0005-0000-0000-0000777B0000}"/>
    <cellStyle name="Input 43 2 5 2" xfId="41785" xr:uid="{00000000-0005-0000-0000-0000787B0000}"/>
    <cellStyle name="Input 43 2 5 3" xfId="40065" xr:uid="{00000000-0005-0000-0000-0000797B0000}"/>
    <cellStyle name="Input 43 2 5 4" xfId="29710" xr:uid="{00000000-0005-0000-0000-00007A7B0000}"/>
    <cellStyle name="Input 43 2 6" xfId="12135" xr:uid="{00000000-0005-0000-0000-00007B7B0000}"/>
    <cellStyle name="Input 43 2 6 2" xfId="41880" xr:uid="{00000000-0005-0000-0000-00007C7B0000}"/>
    <cellStyle name="Input 43 2 6 3" xfId="43697" xr:uid="{00000000-0005-0000-0000-00007D7B0000}"/>
    <cellStyle name="Input 43 2 6 4" xfId="29808" xr:uid="{00000000-0005-0000-0000-00007E7B0000}"/>
    <cellStyle name="Input 43 2 7" xfId="19807" xr:uid="{00000000-0005-0000-0000-00007F7B0000}"/>
    <cellStyle name="Input 43 2 7 2" xfId="45344" xr:uid="{00000000-0005-0000-0000-0000807B0000}"/>
    <cellStyle name="Input 43 2 7 3" xfId="49250" xr:uid="{00000000-0005-0000-0000-0000817B0000}"/>
    <cellStyle name="Input 43 2 7 4" xfId="37328" xr:uid="{00000000-0005-0000-0000-0000827B0000}"/>
    <cellStyle name="Input 43 2 8" xfId="20053" xr:uid="{00000000-0005-0000-0000-0000837B0000}"/>
    <cellStyle name="Input 43 2 8 2" xfId="45590" xr:uid="{00000000-0005-0000-0000-0000847B0000}"/>
    <cellStyle name="Input 43 2 8 3" xfId="49496" xr:uid="{00000000-0005-0000-0000-0000857B0000}"/>
    <cellStyle name="Input 43 2 9" xfId="39936" xr:uid="{00000000-0005-0000-0000-0000867B0000}"/>
    <cellStyle name="Input 43 3" xfId="22484" xr:uid="{00000000-0005-0000-0000-0000877B0000}"/>
    <cellStyle name="Input 43 3 2" xfId="47542" xr:uid="{00000000-0005-0000-0000-0000887B0000}"/>
    <cellStyle name="Input 43 3 3" xfId="51396" xr:uid="{00000000-0005-0000-0000-0000897B0000}"/>
    <cellStyle name="Input 43 3 4" xfId="38838" xr:uid="{00000000-0005-0000-0000-00008A7B0000}"/>
    <cellStyle name="Input 43 4" xfId="23048" xr:uid="{00000000-0005-0000-0000-00008B7B0000}"/>
    <cellStyle name="Input 43 4 2" xfId="47649" xr:uid="{00000000-0005-0000-0000-00008C7B0000}"/>
    <cellStyle name="Input 43 4 3" xfId="51460" xr:uid="{00000000-0005-0000-0000-00008D7B0000}"/>
    <cellStyle name="Input 43 5" xfId="53197" xr:uid="{00000000-0005-0000-0000-00008E7B0000}"/>
    <cellStyle name="Input 44" xfId="22485" xr:uid="{00000000-0005-0000-0000-00008F7B0000}"/>
    <cellStyle name="Input 44 2" xfId="23049" xr:uid="{00000000-0005-0000-0000-0000907B0000}"/>
    <cellStyle name="Input 44 2 2" xfId="47650" xr:uid="{00000000-0005-0000-0000-0000917B0000}"/>
    <cellStyle name="Input 44 2 3" xfId="51461" xr:uid="{00000000-0005-0000-0000-0000927B0000}"/>
    <cellStyle name="Input 44 3" xfId="47543" xr:uid="{00000000-0005-0000-0000-0000937B0000}"/>
    <cellStyle name="Input 44 4" xfId="51397" xr:uid="{00000000-0005-0000-0000-0000947B0000}"/>
    <cellStyle name="Input 44 5" xfId="53198" xr:uid="{00000000-0005-0000-0000-0000957B0000}"/>
    <cellStyle name="Input 45" xfId="22486" xr:uid="{00000000-0005-0000-0000-0000967B0000}"/>
    <cellStyle name="Input 45 2" xfId="23050" xr:uid="{00000000-0005-0000-0000-0000977B0000}"/>
    <cellStyle name="Input 45 2 2" xfId="47651" xr:uid="{00000000-0005-0000-0000-0000987B0000}"/>
    <cellStyle name="Input 45 2 3" xfId="51462" xr:uid="{00000000-0005-0000-0000-0000997B0000}"/>
    <cellStyle name="Input 45 3" xfId="47544" xr:uid="{00000000-0005-0000-0000-00009A7B0000}"/>
    <cellStyle name="Input 45 4" xfId="51398" xr:uid="{00000000-0005-0000-0000-00009B7B0000}"/>
    <cellStyle name="Input 45 5" xfId="53199" xr:uid="{00000000-0005-0000-0000-00009C7B0000}"/>
    <cellStyle name="Input 46" xfId="22487" xr:uid="{00000000-0005-0000-0000-00009D7B0000}"/>
    <cellStyle name="Input 46 2" xfId="23051" xr:uid="{00000000-0005-0000-0000-00009E7B0000}"/>
    <cellStyle name="Input 46 2 2" xfId="47652" xr:uid="{00000000-0005-0000-0000-00009F7B0000}"/>
    <cellStyle name="Input 46 2 3" xfId="51463" xr:uid="{00000000-0005-0000-0000-0000A07B0000}"/>
    <cellStyle name="Input 46 3" xfId="47545" xr:uid="{00000000-0005-0000-0000-0000A17B0000}"/>
    <cellStyle name="Input 46 4" xfId="51399" xr:uid="{00000000-0005-0000-0000-0000A27B0000}"/>
    <cellStyle name="Input 46 5" xfId="53200" xr:uid="{00000000-0005-0000-0000-0000A37B0000}"/>
    <cellStyle name="Input 47" xfId="22488" xr:uid="{00000000-0005-0000-0000-0000A47B0000}"/>
    <cellStyle name="Input 47 2" xfId="23052" xr:uid="{00000000-0005-0000-0000-0000A57B0000}"/>
    <cellStyle name="Input 47 2 2" xfId="47653" xr:uid="{00000000-0005-0000-0000-0000A67B0000}"/>
    <cellStyle name="Input 47 2 3" xfId="51464" xr:uid="{00000000-0005-0000-0000-0000A77B0000}"/>
    <cellStyle name="Input 47 3" xfId="47546" xr:uid="{00000000-0005-0000-0000-0000A87B0000}"/>
    <cellStyle name="Input 47 4" xfId="51400" xr:uid="{00000000-0005-0000-0000-0000A97B0000}"/>
    <cellStyle name="Input 47 5" xfId="53201" xr:uid="{00000000-0005-0000-0000-0000AA7B0000}"/>
    <cellStyle name="Input 48" xfId="22489" xr:uid="{00000000-0005-0000-0000-0000AB7B0000}"/>
    <cellStyle name="Input 48 2" xfId="23053" xr:uid="{00000000-0005-0000-0000-0000AC7B0000}"/>
    <cellStyle name="Input 48 2 2" xfId="47654" xr:uid="{00000000-0005-0000-0000-0000AD7B0000}"/>
    <cellStyle name="Input 48 2 3" xfId="51465" xr:uid="{00000000-0005-0000-0000-0000AE7B0000}"/>
    <cellStyle name="Input 48 3" xfId="47547" xr:uid="{00000000-0005-0000-0000-0000AF7B0000}"/>
    <cellStyle name="Input 48 4" xfId="51401" xr:uid="{00000000-0005-0000-0000-0000B07B0000}"/>
    <cellStyle name="Input 48 5" xfId="53202" xr:uid="{00000000-0005-0000-0000-0000B17B0000}"/>
    <cellStyle name="Input 49" xfId="22673" xr:uid="{00000000-0005-0000-0000-0000B27B0000}"/>
    <cellStyle name="Input 5" xfId="2014" xr:uid="{00000000-0005-0000-0000-0000B37B0000}"/>
    <cellStyle name="Input 5 2" xfId="2015" xr:uid="{00000000-0005-0000-0000-0000B47B0000}"/>
    <cellStyle name="Input 5 2 2" xfId="2016" xr:uid="{00000000-0005-0000-0000-0000B57B0000}"/>
    <cellStyle name="Input 5 2 2 2" xfId="7175" xr:uid="{00000000-0005-0000-0000-0000B67B0000}"/>
    <cellStyle name="Input 5 2 2 2 10" xfId="39239" xr:uid="{00000000-0005-0000-0000-0000B77B0000}"/>
    <cellStyle name="Input 5 2 2 2 2" xfId="10705" xr:uid="{00000000-0005-0000-0000-0000B87B0000}"/>
    <cellStyle name="Input 5 2 2 2 2 2" xfId="18498" xr:uid="{00000000-0005-0000-0000-0000B97B0000}"/>
    <cellStyle name="Input 5 2 2 2 2 2 2" xfId="44045" xr:uid="{00000000-0005-0000-0000-0000BA7B0000}"/>
    <cellStyle name="Input 5 2 2 2 2 2 3" xfId="47954" xr:uid="{00000000-0005-0000-0000-0000BB7B0000}"/>
    <cellStyle name="Input 5 2 2 2 2 2 4" xfId="36135" xr:uid="{00000000-0005-0000-0000-0000BC7B0000}"/>
    <cellStyle name="Input 5 2 2 2 2 3" xfId="19738" xr:uid="{00000000-0005-0000-0000-0000BD7B0000}"/>
    <cellStyle name="Input 5 2 2 2 2 3 2" xfId="45275" xr:uid="{00000000-0005-0000-0000-0000BE7B0000}"/>
    <cellStyle name="Input 5 2 2 2 2 3 3" xfId="49181" xr:uid="{00000000-0005-0000-0000-0000BF7B0000}"/>
    <cellStyle name="Input 5 2 2 2 2 3 4" xfId="37265" xr:uid="{00000000-0005-0000-0000-0000C07B0000}"/>
    <cellStyle name="Input 5 2 2 2 2 4" xfId="20238" xr:uid="{00000000-0005-0000-0000-0000C17B0000}"/>
    <cellStyle name="Input 5 2 2 2 2 4 2" xfId="45775" xr:uid="{00000000-0005-0000-0000-0000C27B0000}"/>
    <cellStyle name="Input 5 2 2 2 2 4 3" xfId="49681" xr:uid="{00000000-0005-0000-0000-0000C37B0000}"/>
    <cellStyle name="Input 5 2 2 2 2 4 4" xfId="37711" xr:uid="{00000000-0005-0000-0000-0000C47B0000}"/>
    <cellStyle name="Input 5 2 2 2 2 5" xfId="20911" xr:uid="{00000000-0005-0000-0000-0000C57B0000}"/>
    <cellStyle name="Input 5 2 2 2 2 5 2" xfId="46448" xr:uid="{00000000-0005-0000-0000-0000C67B0000}"/>
    <cellStyle name="Input 5 2 2 2 2 5 3" xfId="50354" xr:uid="{00000000-0005-0000-0000-0000C77B0000}"/>
    <cellStyle name="Input 5 2 2 2 2 5 4" xfId="38317" xr:uid="{00000000-0005-0000-0000-0000C87B0000}"/>
    <cellStyle name="Input 5 2 2 2 2 6" xfId="21564" xr:uid="{00000000-0005-0000-0000-0000C97B0000}"/>
    <cellStyle name="Input 5 2 2 2 2 6 2" xfId="47101" xr:uid="{00000000-0005-0000-0000-0000CA7B0000}"/>
    <cellStyle name="Input 5 2 2 2 2 6 3" xfId="51007" xr:uid="{00000000-0005-0000-0000-0000CB7B0000}"/>
    <cellStyle name="Input 5 2 2 2 2 7" xfId="40904" xr:uid="{00000000-0005-0000-0000-0000CC7B0000}"/>
    <cellStyle name="Input 5 2 2 2 2 8" xfId="39496" xr:uid="{00000000-0005-0000-0000-0000CD7B0000}"/>
    <cellStyle name="Input 5 2 2 2 3" xfId="11000" xr:uid="{00000000-0005-0000-0000-0000CE7B0000}"/>
    <cellStyle name="Input 5 2 2 2 3 2" xfId="18793" xr:uid="{00000000-0005-0000-0000-0000CF7B0000}"/>
    <cellStyle name="Input 5 2 2 2 3 2 2" xfId="44340" xr:uid="{00000000-0005-0000-0000-0000D07B0000}"/>
    <cellStyle name="Input 5 2 2 2 3 2 3" xfId="48249" xr:uid="{00000000-0005-0000-0000-0000D17B0000}"/>
    <cellStyle name="Input 5 2 2 2 3 2 4" xfId="36430" xr:uid="{00000000-0005-0000-0000-0000D27B0000}"/>
    <cellStyle name="Input 5 2 2 2 3 3" xfId="13361" xr:uid="{00000000-0005-0000-0000-0000D37B0000}"/>
    <cellStyle name="Input 5 2 2 2 3 3 2" xfId="42531" xr:uid="{00000000-0005-0000-0000-0000D47B0000}"/>
    <cellStyle name="Input 5 2 2 2 3 3 3" xfId="43569" xr:uid="{00000000-0005-0000-0000-0000D57B0000}"/>
    <cellStyle name="Input 5 2 2 2 3 3 4" xfId="31001" xr:uid="{00000000-0005-0000-0000-0000D67B0000}"/>
    <cellStyle name="Input 5 2 2 2 3 4" xfId="20295" xr:uid="{00000000-0005-0000-0000-0000D77B0000}"/>
    <cellStyle name="Input 5 2 2 2 3 4 2" xfId="45832" xr:uid="{00000000-0005-0000-0000-0000D87B0000}"/>
    <cellStyle name="Input 5 2 2 2 3 4 3" xfId="49738" xr:uid="{00000000-0005-0000-0000-0000D97B0000}"/>
    <cellStyle name="Input 5 2 2 2 3 4 4" xfId="37761" xr:uid="{00000000-0005-0000-0000-0000DA7B0000}"/>
    <cellStyle name="Input 5 2 2 2 3 5" xfId="21206" xr:uid="{00000000-0005-0000-0000-0000DB7B0000}"/>
    <cellStyle name="Input 5 2 2 2 3 5 2" xfId="46743" xr:uid="{00000000-0005-0000-0000-0000DC7B0000}"/>
    <cellStyle name="Input 5 2 2 2 3 5 3" xfId="50649" xr:uid="{00000000-0005-0000-0000-0000DD7B0000}"/>
    <cellStyle name="Input 5 2 2 2 3 5 4" xfId="38612" xr:uid="{00000000-0005-0000-0000-0000DE7B0000}"/>
    <cellStyle name="Input 5 2 2 2 3 6" xfId="21859" xr:uid="{00000000-0005-0000-0000-0000DF7B0000}"/>
    <cellStyle name="Input 5 2 2 2 3 6 2" xfId="47396" xr:uid="{00000000-0005-0000-0000-0000E07B0000}"/>
    <cellStyle name="Input 5 2 2 2 3 6 3" xfId="51302" xr:uid="{00000000-0005-0000-0000-0000E17B0000}"/>
    <cellStyle name="Input 5 2 2 2 3 7" xfId="41199" xr:uid="{00000000-0005-0000-0000-0000E27B0000}"/>
    <cellStyle name="Input 5 2 2 2 3 8" xfId="47514" xr:uid="{00000000-0005-0000-0000-0000E37B0000}"/>
    <cellStyle name="Input 5 2 2 2 4" xfId="14963" xr:uid="{00000000-0005-0000-0000-0000E47B0000}"/>
    <cellStyle name="Input 5 2 2 2 4 2" xfId="43079" xr:uid="{00000000-0005-0000-0000-0000E57B0000}"/>
    <cellStyle name="Input 5 2 2 2 4 3" xfId="41939" xr:uid="{00000000-0005-0000-0000-0000E67B0000}"/>
    <cellStyle name="Input 5 2 2 2 4 4" xfId="32598" xr:uid="{00000000-0005-0000-0000-0000E77B0000}"/>
    <cellStyle name="Input 5 2 2 2 5" xfId="13185" xr:uid="{00000000-0005-0000-0000-0000E87B0000}"/>
    <cellStyle name="Input 5 2 2 2 5 2" xfId="42406" xr:uid="{00000000-0005-0000-0000-0000E97B0000}"/>
    <cellStyle name="Input 5 2 2 2 5 3" xfId="39076" xr:uid="{00000000-0005-0000-0000-0000EA7B0000}"/>
    <cellStyle name="Input 5 2 2 2 5 4" xfId="30834" xr:uid="{00000000-0005-0000-0000-0000EB7B0000}"/>
    <cellStyle name="Input 5 2 2 2 6" xfId="19940" xr:uid="{00000000-0005-0000-0000-0000EC7B0000}"/>
    <cellStyle name="Input 5 2 2 2 6 2" xfId="45477" xr:uid="{00000000-0005-0000-0000-0000ED7B0000}"/>
    <cellStyle name="Input 5 2 2 2 6 3" xfId="49383" xr:uid="{00000000-0005-0000-0000-0000EE7B0000}"/>
    <cellStyle name="Input 5 2 2 2 6 4" xfId="37449" xr:uid="{00000000-0005-0000-0000-0000EF7B0000}"/>
    <cellStyle name="Input 5 2 2 2 7" xfId="11570" xr:uid="{00000000-0005-0000-0000-0000F07B0000}"/>
    <cellStyle name="Input 5 2 2 2 7 2" xfId="41581" xr:uid="{00000000-0005-0000-0000-0000F17B0000}"/>
    <cellStyle name="Input 5 2 2 2 7 3" xfId="41394" xr:uid="{00000000-0005-0000-0000-0000F27B0000}"/>
    <cellStyle name="Input 5 2 2 2 7 4" xfId="29281" xr:uid="{00000000-0005-0000-0000-0000F37B0000}"/>
    <cellStyle name="Input 5 2 2 2 8" xfId="19334" xr:uid="{00000000-0005-0000-0000-0000F47B0000}"/>
    <cellStyle name="Input 5 2 2 2 8 2" xfId="44871" xr:uid="{00000000-0005-0000-0000-0000F57B0000}"/>
    <cellStyle name="Input 5 2 2 2 8 3" xfId="48777" xr:uid="{00000000-0005-0000-0000-0000F67B0000}"/>
    <cellStyle name="Input 5 2 2 2 9" xfId="39939" xr:uid="{00000000-0005-0000-0000-0000F77B0000}"/>
    <cellStyle name="Input 5 2 2 3" xfId="53205" xr:uid="{00000000-0005-0000-0000-0000F87B0000}"/>
    <cellStyle name="Input 5 2 3" xfId="7174" xr:uid="{00000000-0005-0000-0000-0000F97B0000}"/>
    <cellStyle name="Input 5 2 3 10" xfId="39410" xr:uid="{00000000-0005-0000-0000-0000FA7B0000}"/>
    <cellStyle name="Input 5 2 3 2" xfId="10704" xr:uid="{00000000-0005-0000-0000-0000FB7B0000}"/>
    <cellStyle name="Input 5 2 3 2 2" xfId="18497" xr:uid="{00000000-0005-0000-0000-0000FC7B0000}"/>
    <cellStyle name="Input 5 2 3 2 2 2" xfId="44044" xr:uid="{00000000-0005-0000-0000-0000FD7B0000}"/>
    <cellStyle name="Input 5 2 3 2 2 3" xfId="47953" xr:uid="{00000000-0005-0000-0000-0000FE7B0000}"/>
    <cellStyle name="Input 5 2 3 2 2 4" xfId="36134" xr:uid="{00000000-0005-0000-0000-0000FF7B0000}"/>
    <cellStyle name="Input 5 2 3 2 3" xfId="19122" xr:uid="{00000000-0005-0000-0000-0000007C0000}"/>
    <cellStyle name="Input 5 2 3 2 3 2" xfId="44659" xr:uid="{00000000-0005-0000-0000-0000017C0000}"/>
    <cellStyle name="Input 5 2 3 2 3 3" xfId="48565" xr:uid="{00000000-0005-0000-0000-0000027C0000}"/>
    <cellStyle name="Input 5 2 3 2 3 4" xfId="36717" xr:uid="{00000000-0005-0000-0000-0000037C0000}"/>
    <cellStyle name="Input 5 2 3 2 4" xfId="19867" xr:uid="{00000000-0005-0000-0000-0000047C0000}"/>
    <cellStyle name="Input 5 2 3 2 4 2" xfId="45404" xr:uid="{00000000-0005-0000-0000-0000057C0000}"/>
    <cellStyle name="Input 5 2 3 2 4 3" xfId="49310" xr:uid="{00000000-0005-0000-0000-0000067C0000}"/>
    <cellStyle name="Input 5 2 3 2 4 4" xfId="37381" xr:uid="{00000000-0005-0000-0000-0000077C0000}"/>
    <cellStyle name="Input 5 2 3 2 5" xfId="20910" xr:uid="{00000000-0005-0000-0000-0000087C0000}"/>
    <cellStyle name="Input 5 2 3 2 5 2" xfId="46447" xr:uid="{00000000-0005-0000-0000-0000097C0000}"/>
    <cellStyle name="Input 5 2 3 2 5 3" xfId="50353" xr:uid="{00000000-0005-0000-0000-00000A7C0000}"/>
    <cellStyle name="Input 5 2 3 2 5 4" xfId="38316" xr:uid="{00000000-0005-0000-0000-00000B7C0000}"/>
    <cellStyle name="Input 5 2 3 2 6" xfId="21563" xr:uid="{00000000-0005-0000-0000-00000C7C0000}"/>
    <cellStyle name="Input 5 2 3 2 6 2" xfId="47100" xr:uid="{00000000-0005-0000-0000-00000D7C0000}"/>
    <cellStyle name="Input 5 2 3 2 6 3" xfId="51006" xr:uid="{00000000-0005-0000-0000-00000E7C0000}"/>
    <cellStyle name="Input 5 2 3 2 7" xfId="40903" xr:uid="{00000000-0005-0000-0000-00000F7C0000}"/>
    <cellStyle name="Input 5 2 3 2 8" xfId="40384" xr:uid="{00000000-0005-0000-0000-0000107C0000}"/>
    <cellStyle name="Input 5 2 3 3" xfId="10999" xr:uid="{00000000-0005-0000-0000-0000117C0000}"/>
    <cellStyle name="Input 5 2 3 3 2" xfId="18792" xr:uid="{00000000-0005-0000-0000-0000127C0000}"/>
    <cellStyle name="Input 5 2 3 3 2 2" xfId="44339" xr:uid="{00000000-0005-0000-0000-0000137C0000}"/>
    <cellStyle name="Input 5 2 3 3 2 3" xfId="48248" xr:uid="{00000000-0005-0000-0000-0000147C0000}"/>
    <cellStyle name="Input 5 2 3 3 2 4" xfId="36429" xr:uid="{00000000-0005-0000-0000-0000157C0000}"/>
    <cellStyle name="Input 5 2 3 3 3" xfId="11535" xr:uid="{00000000-0005-0000-0000-0000167C0000}"/>
    <cellStyle name="Input 5 2 3 3 3 2" xfId="41546" xr:uid="{00000000-0005-0000-0000-0000177C0000}"/>
    <cellStyle name="Input 5 2 3 3 3 3" xfId="41393" xr:uid="{00000000-0005-0000-0000-0000187C0000}"/>
    <cellStyle name="Input 5 2 3 3 3 4" xfId="29250" xr:uid="{00000000-0005-0000-0000-0000197C0000}"/>
    <cellStyle name="Input 5 2 3 3 4" xfId="13904" xr:uid="{00000000-0005-0000-0000-00001A7C0000}"/>
    <cellStyle name="Input 5 2 3 3 4 2" xfId="42639" xr:uid="{00000000-0005-0000-0000-00001B7C0000}"/>
    <cellStyle name="Input 5 2 3 3 4 3" xfId="39538" xr:uid="{00000000-0005-0000-0000-00001C7C0000}"/>
    <cellStyle name="Input 5 2 3 3 4 4" xfId="31543" xr:uid="{00000000-0005-0000-0000-00001D7C0000}"/>
    <cellStyle name="Input 5 2 3 3 5" xfId="21205" xr:uid="{00000000-0005-0000-0000-00001E7C0000}"/>
    <cellStyle name="Input 5 2 3 3 5 2" xfId="46742" xr:uid="{00000000-0005-0000-0000-00001F7C0000}"/>
    <cellStyle name="Input 5 2 3 3 5 3" xfId="50648" xr:uid="{00000000-0005-0000-0000-0000207C0000}"/>
    <cellStyle name="Input 5 2 3 3 5 4" xfId="38611" xr:uid="{00000000-0005-0000-0000-0000217C0000}"/>
    <cellStyle name="Input 5 2 3 3 6" xfId="21858" xr:uid="{00000000-0005-0000-0000-0000227C0000}"/>
    <cellStyle name="Input 5 2 3 3 6 2" xfId="47395" xr:uid="{00000000-0005-0000-0000-0000237C0000}"/>
    <cellStyle name="Input 5 2 3 3 6 3" xfId="51301" xr:uid="{00000000-0005-0000-0000-0000247C0000}"/>
    <cellStyle name="Input 5 2 3 3 7" xfId="41198" xr:uid="{00000000-0005-0000-0000-0000257C0000}"/>
    <cellStyle name="Input 5 2 3 3 8" xfId="39182" xr:uid="{00000000-0005-0000-0000-0000267C0000}"/>
    <cellStyle name="Input 5 2 3 4" xfId="14962" xr:uid="{00000000-0005-0000-0000-0000277C0000}"/>
    <cellStyle name="Input 5 2 3 4 2" xfId="43078" xr:uid="{00000000-0005-0000-0000-0000287C0000}"/>
    <cellStyle name="Input 5 2 3 4 3" xfId="39427" xr:uid="{00000000-0005-0000-0000-0000297C0000}"/>
    <cellStyle name="Input 5 2 3 4 4" xfId="32597" xr:uid="{00000000-0005-0000-0000-00002A7C0000}"/>
    <cellStyle name="Input 5 2 3 5" xfId="13184" xr:uid="{00000000-0005-0000-0000-00002B7C0000}"/>
    <cellStyle name="Input 5 2 3 5 2" xfId="42405" xr:uid="{00000000-0005-0000-0000-00002C7C0000}"/>
    <cellStyle name="Input 5 2 3 5 3" xfId="39077" xr:uid="{00000000-0005-0000-0000-00002D7C0000}"/>
    <cellStyle name="Input 5 2 3 5 4" xfId="30833" xr:uid="{00000000-0005-0000-0000-00002E7C0000}"/>
    <cellStyle name="Input 5 2 3 6" xfId="11788" xr:uid="{00000000-0005-0000-0000-00002F7C0000}"/>
    <cellStyle name="Input 5 2 3 6 2" xfId="41741" xr:uid="{00000000-0005-0000-0000-0000307C0000}"/>
    <cellStyle name="Input 5 2 3 6 3" xfId="39340" xr:uid="{00000000-0005-0000-0000-0000317C0000}"/>
    <cellStyle name="Input 5 2 3 6 4" xfId="29474" xr:uid="{00000000-0005-0000-0000-0000327C0000}"/>
    <cellStyle name="Input 5 2 3 7" xfId="20282" xr:uid="{00000000-0005-0000-0000-0000337C0000}"/>
    <cellStyle name="Input 5 2 3 7 2" xfId="45819" xr:uid="{00000000-0005-0000-0000-0000347C0000}"/>
    <cellStyle name="Input 5 2 3 7 3" xfId="49725" xr:uid="{00000000-0005-0000-0000-0000357C0000}"/>
    <cellStyle name="Input 5 2 3 7 4" xfId="37750" xr:uid="{00000000-0005-0000-0000-0000367C0000}"/>
    <cellStyle name="Input 5 2 3 8" xfId="19635" xr:uid="{00000000-0005-0000-0000-0000377C0000}"/>
    <cellStyle name="Input 5 2 3 8 2" xfId="45172" xr:uid="{00000000-0005-0000-0000-0000387C0000}"/>
    <cellStyle name="Input 5 2 3 8 3" xfId="49078" xr:uid="{00000000-0005-0000-0000-0000397C0000}"/>
    <cellStyle name="Input 5 2 3 9" xfId="39938" xr:uid="{00000000-0005-0000-0000-00003A7C0000}"/>
    <cellStyle name="Input 5 2 4" xfId="53204" xr:uid="{00000000-0005-0000-0000-00003B7C0000}"/>
    <cellStyle name="Input 5 2_Sheet1" xfId="2017" xr:uid="{00000000-0005-0000-0000-00003C7C0000}"/>
    <cellStyle name="Input 5 3" xfId="2018" xr:uid="{00000000-0005-0000-0000-00003D7C0000}"/>
    <cellStyle name="Input 5 3 2" xfId="7176" xr:uid="{00000000-0005-0000-0000-00003E7C0000}"/>
    <cellStyle name="Input 5 3 2 10" xfId="47599" xr:uid="{00000000-0005-0000-0000-00003F7C0000}"/>
    <cellStyle name="Input 5 3 2 2" xfId="10706" xr:uid="{00000000-0005-0000-0000-0000407C0000}"/>
    <cellStyle name="Input 5 3 2 2 2" xfId="18499" xr:uid="{00000000-0005-0000-0000-0000417C0000}"/>
    <cellStyle name="Input 5 3 2 2 2 2" xfId="44046" xr:uid="{00000000-0005-0000-0000-0000427C0000}"/>
    <cellStyle name="Input 5 3 2 2 2 3" xfId="47955" xr:uid="{00000000-0005-0000-0000-0000437C0000}"/>
    <cellStyle name="Input 5 3 2 2 2 4" xfId="36136" xr:uid="{00000000-0005-0000-0000-0000447C0000}"/>
    <cellStyle name="Input 5 3 2 2 3" xfId="11506" xr:uid="{00000000-0005-0000-0000-0000457C0000}"/>
    <cellStyle name="Input 5 3 2 2 3 2" xfId="41517" xr:uid="{00000000-0005-0000-0000-0000467C0000}"/>
    <cellStyle name="Input 5 3 2 2 3 3" xfId="42583" xr:uid="{00000000-0005-0000-0000-0000477C0000}"/>
    <cellStyle name="Input 5 3 2 2 3 4" xfId="29221" xr:uid="{00000000-0005-0000-0000-0000487C0000}"/>
    <cellStyle name="Input 5 3 2 2 4" xfId="19220" xr:uid="{00000000-0005-0000-0000-0000497C0000}"/>
    <cellStyle name="Input 5 3 2 2 4 2" xfId="44757" xr:uid="{00000000-0005-0000-0000-00004A7C0000}"/>
    <cellStyle name="Input 5 3 2 2 4 3" xfId="48663" xr:uid="{00000000-0005-0000-0000-00004B7C0000}"/>
    <cellStyle name="Input 5 3 2 2 4 4" xfId="36805" xr:uid="{00000000-0005-0000-0000-00004C7C0000}"/>
    <cellStyle name="Input 5 3 2 2 5" xfId="20912" xr:uid="{00000000-0005-0000-0000-00004D7C0000}"/>
    <cellStyle name="Input 5 3 2 2 5 2" xfId="46449" xr:uid="{00000000-0005-0000-0000-00004E7C0000}"/>
    <cellStyle name="Input 5 3 2 2 5 3" xfId="50355" xr:uid="{00000000-0005-0000-0000-00004F7C0000}"/>
    <cellStyle name="Input 5 3 2 2 5 4" xfId="38318" xr:uid="{00000000-0005-0000-0000-0000507C0000}"/>
    <cellStyle name="Input 5 3 2 2 6" xfId="21565" xr:uid="{00000000-0005-0000-0000-0000517C0000}"/>
    <cellStyle name="Input 5 3 2 2 6 2" xfId="47102" xr:uid="{00000000-0005-0000-0000-0000527C0000}"/>
    <cellStyle name="Input 5 3 2 2 6 3" xfId="51008" xr:uid="{00000000-0005-0000-0000-0000537C0000}"/>
    <cellStyle name="Input 5 3 2 2 7" xfId="40905" xr:uid="{00000000-0005-0000-0000-0000547C0000}"/>
    <cellStyle name="Input 5 3 2 2 8" xfId="42067" xr:uid="{00000000-0005-0000-0000-0000557C0000}"/>
    <cellStyle name="Input 5 3 2 3" xfId="11001" xr:uid="{00000000-0005-0000-0000-0000567C0000}"/>
    <cellStyle name="Input 5 3 2 3 2" xfId="18794" xr:uid="{00000000-0005-0000-0000-0000577C0000}"/>
    <cellStyle name="Input 5 3 2 3 2 2" xfId="44341" xr:uid="{00000000-0005-0000-0000-0000587C0000}"/>
    <cellStyle name="Input 5 3 2 3 2 3" xfId="48250" xr:uid="{00000000-0005-0000-0000-0000597C0000}"/>
    <cellStyle name="Input 5 3 2 3 2 4" xfId="36431" xr:uid="{00000000-0005-0000-0000-00005A7C0000}"/>
    <cellStyle name="Input 5 3 2 3 3" xfId="19582" xr:uid="{00000000-0005-0000-0000-00005B7C0000}"/>
    <cellStyle name="Input 5 3 2 3 3 2" xfId="45119" xr:uid="{00000000-0005-0000-0000-00005C7C0000}"/>
    <cellStyle name="Input 5 3 2 3 3 3" xfId="49025" xr:uid="{00000000-0005-0000-0000-00005D7C0000}"/>
    <cellStyle name="Input 5 3 2 3 3 4" xfId="37122" xr:uid="{00000000-0005-0000-0000-00005E7C0000}"/>
    <cellStyle name="Input 5 3 2 3 4" xfId="12654" xr:uid="{00000000-0005-0000-0000-00005F7C0000}"/>
    <cellStyle name="Input 5 3 2 3 4 2" xfId="42133" xr:uid="{00000000-0005-0000-0000-0000607C0000}"/>
    <cellStyle name="Input 5 3 2 3 4 3" xfId="40448" xr:uid="{00000000-0005-0000-0000-0000617C0000}"/>
    <cellStyle name="Input 5 3 2 3 4 4" xfId="30319" xr:uid="{00000000-0005-0000-0000-0000627C0000}"/>
    <cellStyle name="Input 5 3 2 3 5" xfId="21207" xr:uid="{00000000-0005-0000-0000-0000637C0000}"/>
    <cellStyle name="Input 5 3 2 3 5 2" xfId="46744" xr:uid="{00000000-0005-0000-0000-0000647C0000}"/>
    <cellStyle name="Input 5 3 2 3 5 3" xfId="50650" xr:uid="{00000000-0005-0000-0000-0000657C0000}"/>
    <cellStyle name="Input 5 3 2 3 5 4" xfId="38613" xr:uid="{00000000-0005-0000-0000-0000667C0000}"/>
    <cellStyle name="Input 5 3 2 3 6" xfId="21860" xr:uid="{00000000-0005-0000-0000-0000677C0000}"/>
    <cellStyle name="Input 5 3 2 3 6 2" xfId="47397" xr:uid="{00000000-0005-0000-0000-0000687C0000}"/>
    <cellStyle name="Input 5 3 2 3 6 3" xfId="51303" xr:uid="{00000000-0005-0000-0000-0000697C0000}"/>
    <cellStyle name="Input 5 3 2 3 7" xfId="41200" xr:uid="{00000000-0005-0000-0000-00006A7C0000}"/>
    <cellStyle name="Input 5 3 2 3 8" xfId="41423" xr:uid="{00000000-0005-0000-0000-00006B7C0000}"/>
    <cellStyle name="Input 5 3 2 4" xfId="14964" xr:uid="{00000000-0005-0000-0000-00006C7C0000}"/>
    <cellStyle name="Input 5 3 2 4 2" xfId="43080" xr:uid="{00000000-0005-0000-0000-00006D7C0000}"/>
    <cellStyle name="Input 5 3 2 4 3" xfId="43293" xr:uid="{00000000-0005-0000-0000-00006E7C0000}"/>
    <cellStyle name="Input 5 3 2 4 4" xfId="32599" xr:uid="{00000000-0005-0000-0000-00006F7C0000}"/>
    <cellStyle name="Input 5 3 2 5" xfId="13186" xr:uid="{00000000-0005-0000-0000-0000707C0000}"/>
    <cellStyle name="Input 5 3 2 5 2" xfId="42407" xr:uid="{00000000-0005-0000-0000-0000717C0000}"/>
    <cellStyle name="Input 5 3 2 5 3" xfId="39075" xr:uid="{00000000-0005-0000-0000-0000727C0000}"/>
    <cellStyle name="Input 5 3 2 5 4" xfId="30835" xr:uid="{00000000-0005-0000-0000-0000737C0000}"/>
    <cellStyle name="Input 5 3 2 6" xfId="12866" xr:uid="{00000000-0005-0000-0000-0000747C0000}"/>
    <cellStyle name="Input 5 3 2 6 2" xfId="42249" xr:uid="{00000000-0005-0000-0000-0000757C0000}"/>
    <cellStyle name="Input 5 3 2 6 3" xfId="42559" xr:uid="{00000000-0005-0000-0000-0000767C0000}"/>
    <cellStyle name="Input 5 3 2 6 4" xfId="30518" xr:uid="{00000000-0005-0000-0000-0000777C0000}"/>
    <cellStyle name="Input 5 3 2 7" xfId="11805" xr:uid="{00000000-0005-0000-0000-0000787C0000}"/>
    <cellStyle name="Input 5 3 2 7 2" xfId="41754" xr:uid="{00000000-0005-0000-0000-0000797C0000}"/>
    <cellStyle name="Input 5 3 2 7 3" xfId="40066" xr:uid="{00000000-0005-0000-0000-00007A7C0000}"/>
    <cellStyle name="Input 5 3 2 7 4" xfId="29491" xr:uid="{00000000-0005-0000-0000-00007B7C0000}"/>
    <cellStyle name="Input 5 3 2 8" xfId="20243" xr:uid="{00000000-0005-0000-0000-00007C7C0000}"/>
    <cellStyle name="Input 5 3 2 8 2" xfId="45780" xr:uid="{00000000-0005-0000-0000-00007D7C0000}"/>
    <cellStyle name="Input 5 3 2 8 3" xfId="49686" xr:uid="{00000000-0005-0000-0000-00007E7C0000}"/>
    <cellStyle name="Input 5 3 2 9" xfId="39940" xr:uid="{00000000-0005-0000-0000-00007F7C0000}"/>
    <cellStyle name="Input 5 3 3" xfId="53206" xr:uid="{00000000-0005-0000-0000-0000807C0000}"/>
    <cellStyle name="Input 5 4" xfId="4244" xr:uid="{00000000-0005-0000-0000-0000817C0000}"/>
    <cellStyle name="Input 5 4 2" xfId="10466" xr:uid="{00000000-0005-0000-0000-0000827C0000}"/>
    <cellStyle name="Input 5 4 2 2" xfId="18259" xr:uid="{00000000-0005-0000-0000-0000837C0000}"/>
    <cellStyle name="Input 5 4 2 2 2" xfId="43806" xr:uid="{00000000-0005-0000-0000-0000847C0000}"/>
    <cellStyle name="Input 5 4 2 2 3" xfId="47715" xr:uid="{00000000-0005-0000-0000-0000857C0000}"/>
    <cellStyle name="Input 5 4 2 2 4" xfId="35896" xr:uid="{00000000-0005-0000-0000-0000867C0000}"/>
    <cellStyle name="Input 5 4 2 3" xfId="19439" xr:uid="{00000000-0005-0000-0000-0000877C0000}"/>
    <cellStyle name="Input 5 4 2 3 2" xfId="44976" xr:uid="{00000000-0005-0000-0000-0000887C0000}"/>
    <cellStyle name="Input 5 4 2 3 3" xfId="48882" xr:uid="{00000000-0005-0000-0000-0000897C0000}"/>
    <cellStyle name="Input 5 4 2 3 4" xfId="37004" xr:uid="{00000000-0005-0000-0000-00008A7C0000}"/>
    <cellStyle name="Input 5 4 2 4" xfId="20328" xr:uid="{00000000-0005-0000-0000-00008B7C0000}"/>
    <cellStyle name="Input 5 4 2 4 2" xfId="45865" xr:uid="{00000000-0005-0000-0000-00008C7C0000}"/>
    <cellStyle name="Input 5 4 2 4 3" xfId="49771" xr:uid="{00000000-0005-0000-0000-00008D7C0000}"/>
    <cellStyle name="Input 5 4 2 4 4" xfId="37792" xr:uid="{00000000-0005-0000-0000-00008E7C0000}"/>
    <cellStyle name="Input 5 4 2 5" xfId="20672" xr:uid="{00000000-0005-0000-0000-00008F7C0000}"/>
    <cellStyle name="Input 5 4 2 5 2" xfId="46209" xr:uid="{00000000-0005-0000-0000-0000907C0000}"/>
    <cellStyle name="Input 5 4 2 5 3" xfId="50115" xr:uid="{00000000-0005-0000-0000-0000917C0000}"/>
    <cellStyle name="Input 5 4 2 5 4" xfId="38078" xr:uid="{00000000-0005-0000-0000-0000927C0000}"/>
    <cellStyle name="Input 5 4 2 6" xfId="21325" xr:uid="{00000000-0005-0000-0000-0000937C0000}"/>
    <cellStyle name="Input 5 4 2 6 2" xfId="46862" xr:uid="{00000000-0005-0000-0000-0000947C0000}"/>
    <cellStyle name="Input 5 4 2 6 3" xfId="50768" xr:uid="{00000000-0005-0000-0000-0000957C0000}"/>
    <cellStyle name="Input 5 4 2 7" xfId="40665" xr:uid="{00000000-0005-0000-0000-0000967C0000}"/>
    <cellStyle name="Input 5 4 2 8" xfId="40501" xr:uid="{00000000-0005-0000-0000-0000977C0000}"/>
    <cellStyle name="Input 5 4 3" xfId="8468" xr:uid="{00000000-0005-0000-0000-0000987C0000}"/>
    <cellStyle name="Input 5 4 3 2" xfId="16264" xr:uid="{00000000-0005-0000-0000-0000997C0000}"/>
    <cellStyle name="Input 5 4 3 2 2" xfId="43415" xr:uid="{00000000-0005-0000-0000-00009A7C0000}"/>
    <cellStyle name="Input 5 4 3 2 3" xfId="39523" xr:uid="{00000000-0005-0000-0000-00009B7C0000}"/>
    <cellStyle name="Input 5 4 3 2 4" xfId="33899" xr:uid="{00000000-0005-0000-0000-00009C7C0000}"/>
    <cellStyle name="Input 5 4 3 3" xfId="13901" xr:uid="{00000000-0005-0000-0000-00009D7C0000}"/>
    <cellStyle name="Input 5 4 3 3 2" xfId="42636" xr:uid="{00000000-0005-0000-0000-00009E7C0000}"/>
    <cellStyle name="Input 5 4 3 3 3" xfId="42680" xr:uid="{00000000-0005-0000-0000-00009F7C0000}"/>
    <cellStyle name="Input 5 4 3 3 4" xfId="31541" xr:uid="{00000000-0005-0000-0000-0000A07C0000}"/>
    <cellStyle name="Input 5 4 3 4" xfId="19521" xr:uid="{00000000-0005-0000-0000-0000A17C0000}"/>
    <cellStyle name="Input 5 4 3 4 2" xfId="45058" xr:uid="{00000000-0005-0000-0000-0000A27C0000}"/>
    <cellStyle name="Input 5 4 3 4 3" xfId="48964" xr:uid="{00000000-0005-0000-0000-0000A37C0000}"/>
    <cellStyle name="Input 5 4 3 4 4" xfId="37069" xr:uid="{00000000-0005-0000-0000-0000A47C0000}"/>
    <cellStyle name="Input 5 4 3 5" xfId="20098" xr:uid="{00000000-0005-0000-0000-0000A57C0000}"/>
    <cellStyle name="Input 5 4 3 5 2" xfId="45635" xr:uid="{00000000-0005-0000-0000-0000A67C0000}"/>
    <cellStyle name="Input 5 4 3 5 3" xfId="49541" xr:uid="{00000000-0005-0000-0000-0000A77C0000}"/>
    <cellStyle name="Input 5 4 3 5 4" xfId="37587" xr:uid="{00000000-0005-0000-0000-0000A87C0000}"/>
    <cellStyle name="Input 5 4 3 6" xfId="11440" xr:uid="{00000000-0005-0000-0000-0000A97C0000}"/>
    <cellStyle name="Input 5 4 3 6 2" xfId="41456" xr:uid="{00000000-0005-0000-0000-0000AA7C0000}"/>
    <cellStyle name="Input 5 4 3 6 3" xfId="40219" xr:uid="{00000000-0005-0000-0000-0000AB7C0000}"/>
    <cellStyle name="Input 5 4 3 7" xfId="40277" xr:uid="{00000000-0005-0000-0000-0000AC7C0000}"/>
    <cellStyle name="Input 5 4 3 8" xfId="39225" xr:uid="{00000000-0005-0000-0000-0000AD7C0000}"/>
    <cellStyle name="Input 5 5" xfId="4245" xr:uid="{00000000-0005-0000-0000-0000AE7C0000}"/>
    <cellStyle name="Input 5 5 2" xfId="10467" xr:uid="{00000000-0005-0000-0000-0000AF7C0000}"/>
    <cellStyle name="Input 5 5 2 2" xfId="18260" xr:uid="{00000000-0005-0000-0000-0000B07C0000}"/>
    <cellStyle name="Input 5 5 2 2 2" xfId="43807" xr:uid="{00000000-0005-0000-0000-0000B17C0000}"/>
    <cellStyle name="Input 5 5 2 2 3" xfId="47716" xr:uid="{00000000-0005-0000-0000-0000B27C0000}"/>
    <cellStyle name="Input 5 5 2 2 4" xfId="35897" xr:uid="{00000000-0005-0000-0000-0000B37C0000}"/>
    <cellStyle name="Input 5 5 2 3" xfId="20046" xr:uid="{00000000-0005-0000-0000-0000B47C0000}"/>
    <cellStyle name="Input 5 5 2 3 2" xfId="45583" xr:uid="{00000000-0005-0000-0000-0000B57C0000}"/>
    <cellStyle name="Input 5 5 2 3 3" xfId="49489" xr:uid="{00000000-0005-0000-0000-0000B67C0000}"/>
    <cellStyle name="Input 5 5 2 3 4" xfId="37544" xr:uid="{00000000-0005-0000-0000-0000B77C0000}"/>
    <cellStyle name="Input 5 5 2 4" xfId="11439" xr:uid="{00000000-0005-0000-0000-0000B87C0000}"/>
    <cellStyle name="Input 5 5 2 4 2" xfId="41455" xr:uid="{00000000-0005-0000-0000-0000B97C0000}"/>
    <cellStyle name="Input 5 5 2 4 3" xfId="43356" xr:uid="{00000000-0005-0000-0000-0000BA7C0000}"/>
    <cellStyle name="Input 5 5 2 4 4" xfId="29160" xr:uid="{00000000-0005-0000-0000-0000BB7C0000}"/>
    <cellStyle name="Input 5 5 2 5" xfId="20673" xr:uid="{00000000-0005-0000-0000-0000BC7C0000}"/>
    <cellStyle name="Input 5 5 2 5 2" xfId="46210" xr:uid="{00000000-0005-0000-0000-0000BD7C0000}"/>
    <cellStyle name="Input 5 5 2 5 3" xfId="50116" xr:uid="{00000000-0005-0000-0000-0000BE7C0000}"/>
    <cellStyle name="Input 5 5 2 5 4" xfId="38079" xr:uid="{00000000-0005-0000-0000-0000BF7C0000}"/>
    <cellStyle name="Input 5 5 2 6" xfId="21326" xr:uid="{00000000-0005-0000-0000-0000C07C0000}"/>
    <cellStyle name="Input 5 5 2 6 2" xfId="46863" xr:uid="{00000000-0005-0000-0000-0000C17C0000}"/>
    <cellStyle name="Input 5 5 2 6 3" xfId="50769" xr:uid="{00000000-0005-0000-0000-0000C27C0000}"/>
    <cellStyle name="Input 5 5 2 7" xfId="40666" xr:uid="{00000000-0005-0000-0000-0000C37C0000}"/>
    <cellStyle name="Input 5 5 2 8" xfId="39611" xr:uid="{00000000-0005-0000-0000-0000C47C0000}"/>
    <cellStyle name="Input 5 5 3" xfId="8469" xr:uid="{00000000-0005-0000-0000-0000C57C0000}"/>
    <cellStyle name="Input 5 5 3 2" xfId="16265" xr:uid="{00000000-0005-0000-0000-0000C67C0000}"/>
    <cellStyle name="Input 5 5 3 2 2" xfId="43416" xr:uid="{00000000-0005-0000-0000-0000C77C0000}"/>
    <cellStyle name="Input 5 5 3 2 3" xfId="42533" xr:uid="{00000000-0005-0000-0000-0000C87C0000}"/>
    <cellStyle name="Input 5 5 3 2 4" xfId="33900" xr:uid="{00000000-0005-0000-0000-0000C97C0000}"/>
    <cellStyle name="Input 5 5 3 3" xfId="20391" xr:uid="{00000000-0005-0000-0000-0000CA7C0000}"/>
    <cellStyle name="Input 5 5 3 3 2" xfId="45928" xr:uid="{00000000-0005-0000-0000-0000CB7C0000}"/>
    <cellStyle name="Input 5 5 3 3 3" xfId="49834" xr:uid="{00000000-0005-0000-0000-0000CC7C0000}"/>
    <cellStyle name="Input 5 5 3 3 4" xfId="37845" xr:uid="{00000000-0005-0000-0000-0000CD7C0000}"/>
    <cellStyle name="Input 5 5 3 4" xfId="20535" xr:uid="{00000000-0005-0000-0000-0000CE7C0000}"/>
    <cellStyle name="Input 5 5 3 4 2" xfId="46072" xr:uid="{00000000-0005-0000-0000-0000CF7C0000}"/>
    <cellStyle name="Input 5 5 3 4 3" xfId="49978" xr:uid="{00000000-0005-0000-0000-0000D07C0000}"/>
    <cellStyle name="Input 5 5 3 4 4" xfId="37963" xr:uid="{00000000-0005-0000-0000-0000D17C0000}"/>
    <cellStyle name="Input 5 5 3 5" xfId="11480" xr:uid="{00000000-0005-0000-0000-0000D27C0000}"/>
    <cellStyle name="Input 5 5 3 5 2" xfId="41491" xr:uid="{00000000-0005-0000-0000-0000D37C0000}"/>
    <cellStyle name="Input 5 5 3 5 3" xfId="40570" xr:uid="{00000000-0005-0000-0000-0000D47C0000}"/>
    <cellStyle name="Input 5 5 3 5 4" xfId="29196" xr:uid="{00000000-0005-0000-0000-0000D57C0000}"/>
    <cellStyle name="Input 5 5 3 6" xfId="20052" xr:uid="{00000000-0005-0000-0000-0000D67C0000}"/>
    <cellStyle name="Input 5 5 3 6 2" xfId="45589" xr:uid="{00000000-0005-0000-0000-0000D77C0000}"/>
    <cellStyle name="Input 5 5 3 6 3" xfId="49495" xr:uid="{00000000-0005-0000-0000-0000D87C0000}"/>
    <cellStyle name="Input 5 5 3 7" xfId="40278" xr:uid="{00000000-0005-0000-0000-0000D97C0000}"/>
    <cellStyle name="Input 5 5 3 8" xfId="39224" xr:uid="{00000000-0005-0000-0000-0000DA7C0000}"/>
    <cellStyle name="Input 5 6" xfId="4246" xr:uid="{00000000-0005-0000-0000-0000DB7C0000}"/>
    <cellStyle name="Input 5 6 2" xfId="10468" xr:uid="{00000000-0005-0000-0000-0000DC7C0000}"/>
    <cellStyle name="Input 5 6 2 2" xfId="18261" xr:uid="{00000000-0005-0000-0000-0000DD7C0000}"/>
    <cellStyle name="Input 5 6 2 2 2" xfId="43808" xr:uid="{00000000-0005-0000-0000-0000DE7C0000}"/>
    <cellStyle name="Input 5 6 2 2 3" xfId="47717" xr:uid="{00000000-0005-0000-0000-0000DF7C0000}"/>
    <cellStyle name="Input 5 6 2 2 4" xfId="35898" xr:uid="{00000000-0005-0000-0000-0000E07C0000}"/>
    <cellStyle name="Input 5 6 2 3" xfId="19312" xr:uid="{00000000-0005-0000-0000-0000E17C0000}"/>
    <cellStyle name="Input 5 6 2 3 2" xfId="44849" xr:uid="{00000000-0005-0000-0000-0000E27C0000}"/>
    <cellStyle name="Input 5 6 2 3 3" xfId="48755" xr:uid="{00000000-0005-0000-0000-0000E37C0000}"/>
    <cellStyle name="Input 5 6 2 3 4" xfId="36890" xr:uid="{00000000-0005-0000-0000-0000E47C0000}"/>
    <cellStyle name="Input 5 6 2 4" xfId="19704" xr:uid="{00000000-0005-0000-0000-0000E57C0000}"/>
    <cellStyle name="Input 5 6 2 4 2" xfId="45241" xr:uid="{00000000-0005-0000-0000-0000E67C0000}"/>
    <cellStyle name="Input 5 6 2 4 3" xfId="49147" xr:uid="{00000000-0005-0000-0000-0000E77C0000}"/>
    <cellStyle name="Input 5 6 2 4 4" xfId="37232" xr:uid="{00000000-0005-0000-0000-0000E87C0000}"/>
    <cellStyle name="Input 5 6 2 5" xfId="20674" xr:uid="{00000000-0005-0000-0000-0000E97C0000}"/>
    <cellStyle name="Input 5 6 2 5 2" xfId="46211" xr:uid="{00000000-0005-0000-0000-0000EA7C0000}"/>
    <cellStyle name="Input 5 6 2 5 3" xfId="50117" xr:uid="{00000000-0005-0000-0000-0000EB7C0000}"/>
    <cellStyle name="Input 5 6 2 5 4" xfId="38080" xr:uid="{00000000-0005-0000-0000-0000EC7C0000}"/>
    <cellStyle name="Input 5 6 2 6" xfId="21327" xr:uid="{00000000-0005-0000-0000-0000ED7C0000}"/>
    <cellStyle name="Input 5 6 2 6 2" xfId="46864" xr:uid="{00000000-0005-0000-0000-0000EE7C0000}"/>
    <cellStyle name="Input 5 6 2 6 3" xfId="50770" xr:uid="{00000000-0005-0000-0000-0000EF7C0000}"/>
    <cellStyle name="Input 5 6 2 7" xfId="40667" xr:uid="{00000000-0005-0000-0000-0000F07C0000}"/>
    <cellStyle name="Input 5 6 2 8" xfId="42619" xr:uid="{00000000-0005-0000-0000-0000F17C0000}"/>
    <cellStyle name="Input 5 6 3" xfId="8470" xr:uid="{00000000-0005-0000-0000-0000F27C0000}"/>
    <cellStyle name="Input 5 6 3 2" xfId="16266" xr:uid="{00000000-0005-0000-0000-0000F37C0000}"/>
    <cellStyle name="Input 5 6 3 2 2" xfId="43417" xr:uid="{00000000-0005-0000-0000-0000F47C0000}"/>
    <cellStyle name="Input 5 6 3 2 3" xfId="43444" xr:uid="{00000000-0005-0000-0000-0000F57C0000}"/>
    <cellStyle name="Input 5 6 3 2 4" xfId="33901" xr:uid="{00000000-0005-0000-0000-0000F67C0000}"/>
    <cellStyle name="Input 5 6 3 3" xfId="19650" xr:uid="{00000000-0005-0000-0000-0000F77C0000}"/>
    <cellStyle name="Input 5 6 3 3 2" xfId="45187" xr:uid="{00000000-0005-0000-0000-0000F87C0000}"/>
    <cellStyle name="Input 5 6 3 3 3" xfId="49093" xr:uid="{00000000-0005-0000-0000-0000F97C0000}"/>
    <cellStyle name="Input 5 6 3 3 4" xfId="37185" xr:uid="{00000000-0005-0000-0000-0000FA7C0000}"/>
    <cellStyle name="Input 5 6 3 4" xfId="11227" xr:uid="{00000000-0005-0000-0000-0000FB7C0000}"/>
    <cellStyle name="Input 5 6 3 4 2" xfId="41306" xr:uid="{00000000-0005-0000-0000-0000FC7C0000}"/>
    <cellStyle name="Input 5 6 3 4 3" xfId="39688" xr:uid="{00000000-0005-0000-0000-0000FD7C0000}"/>
    <cellStyle name="Input 5 6 3 4 4" xfId="28955" xr:uid="{00000000-0005-0000-0000-0000FE7C0000}"/>
    <cellStyle name="Input 5 6 3 5" xfId="11677" xr:uid="{00000000-0005-0000-0000-0000FF7C0000}"/>
    <cellStyle name="Input 5 6 3 5 2" xfId="41688" xr:uid="{00000000-0005-0000-0000-0000007D0000}"/>
    <cellStyle name="Input 5 6 3 5 3" xfId="43489" xr:uid="{00000000-0005-0000-0000-0000017D0000}"/>
    <cellStyle name="Input 5 6 3 5 4" xfId="29371" xr:uid="{00000000-0005-0000-0000-0000027D0000}"/>
    <cellStyle name="Input 5 6 3 6" xfId="20516" xr:uid="{00000000-0005-0000-0000-0000037D0000}"/>
    <cellStyle name="Input 5 6 3 6 2" xfId="46053" xr:uid="{00000000-0005-0000-0000-0000047D0000}"/>
    <cellStyle name="Input 5 6 3 6 3" xfId="49959" xr:uid="{00000000-0005-0000-0000-0000057D0000}"/>
    <cellStyle name="Input 5 6 3 7" xfId="40279" xr:uid="{00000000-0005-0000-0000-0000067D0000}"/>
    <cellStyle name="Input 5 6 3 8" xfId="39223" xr:uid="{00000000-0005-0000-0000-0000077D0000}"/>
    <cellStyle name="Input 5 7" xfId="7173" xr:uid="{00000000-0005-0000-0000-0000087D0000}"/>
    <cellStyle name="Input 5 7 10" xfId="40283" xr:uid="{00000000-0005-0000-0000-0000097D0000}"/>
    <cellStyle name="Input 5 7 2" xfId="10703" xr:uid="{00000000-0005-0000-0000-00000A7D0000}"/>
    <cellStyle name="Input 5 7 2 2" xfId="18496" xr:uid="{00000000-0005-0000-0000-00000B7D0000}"/>
    <cellStyle name="Input 5 7 2 2 2" xfId="44043" xr:uid="{00000000-0005-0000-0000-00000C7D0000}"/>
    <cellStyle name="Input 5 7 2 2 3" xfId="47952" xr:uid="{00000000-0005-0000-0000-00000D7D0000}"/>
    <cellStyle name="Input 5 7 2 2 4" xfId="36133" xr:uid="{00000000-0005-0000-0000-00000E7D0000}"/>
    <cellStyle name="Input 5 7 2 3" xfId="19899" xr:uid="{00000000-0005-0000-0000-00000F7D0000}"/>
    <cellStyle name="Input 5 7 2 3 2" xfId="45436" xr:uid="{00000000-0005-0000-0000-0000107D0000}"/>
    <cellStyle name="Input 5 7 2 3 3" xfId="49342" xr:uid="{00000000-0005-0000-0000-0000117D0000}"/>
    <cellStyle name="Input 5 7 2 3 4" xfId="37413" xr:uid="{00000000-0005-0000-0000-0000127D0000}"/>
    <cellStyle name="Input 5 7 2 4" xfId="12812" xr:uid="{00000000-0005-0000-0000-0000137D0000}"/>
    <cellStyle name="Input 5 7 2 4 2" xfId="42226" xr:uid="{00000000-0005-0000-0000-0000147D0000}"/>
    <cellStyle name="Input 5 7 2 4 3" xfId="40186" xr:uid="{00000000-0005-0000-0000-0000157D0000}"/>
    <cellStyle name="Input 5 7 2 4 4" xfId="30468" xr:uid="{00000000-0005-0000-0000-0000167D0000}"/>
    <cellStyle name="Input 5 7 2 5" xfId="20909" xr:uid="{00000000-0005-0000-0000-0000177D0000}"/>
    <cellStyle name="Input 5 7 2 5 2" xfId="46446" xr:uid="{00000000-0005-0000-0000-0000187D0000}"/>
    <cellStyle name="Input 5 7 2 5 3" xfId="50352" xr:uid="{00000000-0005-0000-0000-0000197D0000}"/>
    <cellStyle name="Input 5 7 2 5 4" xfId="38315" xr:uid="{00000000-0005-0000-0000-00001A7D0000}"/>
    <cellStyle name="Input 5 7 2 6" xfId="21562" xr:uid="{00000000-0005-0000-0000-00001B7D0000}"/>
    <cellStyle name="Input 5 7 2 6 2" xfId="47099" xr:uid="{00000000-0005-0000-0000-00001C7D0000}"/>
    <cellStyle name="Input 5 7 2 6 3" xfId="51005" xr:uid="{00000000-0005-0000-0000-00001D7D0000}"/>
    <cellStyle name="Input 5 7 2 7" xfId="40902" xr:uid="{00000000-0005-0000-0000-00001E7D0000}"/>
    <cellStyle name="Input 5 7 2 8" xfId="43521" xr:uid="{00000000-0005-0000-0000-00001F7D0000}"/>
    <cellStyle name="Input 5 7 3" xfId="10998" xr:uid="{00000000-0005-0000-0000-0000207D0000}"/>
    <cellStyle name="Input 5 7 3 2" xfId="18791" xr:uid="{00000000-0005-0000-0000-0000217D0000}"/>
    <cellStyle name="Input 5 7 3 2 2" xfId="44338" xr:uid="{00000000-0005-0000-0000-0000227D0000}"/>
    <cellStyle name="Input 5 7 3 2 3" xfId="48247" xr:uid="{00000000-0005-0000-0000-0000237D0000}"/>
    <cellStyle name="Input 5 7 3 2 4" xfId="36428" xr:uid="{00000000-0005-0000-0000-0000247D0000}"/>
    <cellStyle name="Input 5 7 3 3" xfId="19707" xr:uid="{00000000-0005-0000-0000-0000257D0000}"/>
    <cellStyle name="Input 5 7 3 3 2" xfId="45244" xr:uid="{00000000-0005-0000-0000-0000267D0000}"/>
    <cellStyle name="Input 5 7 3 3 3" xfId="49150" xr:uid="{00000000-0005-0000-0000-0000277D0000}"/>
    <cellStyle name="Input 5 7 3 3 4" xfId="37234" xr:uid="{00000000-0005-0000-0000-0000287D0000}"/>
    <cellStyle name="Input 5 7 3 4" xfId="11820" xr:uid="{00000000-0005-0000-0000-0000297D0000}"/>
    <cellStyle name="Input 5 7 3 4 2" xfId="41758" xr:uid="{00000000-0005-0000-0000-00002A7D0000}"/>
    <cellStyle name="Input 5 7 3 4 3" xfId="40204" xr:uid="{00000000-0005-0000-0000-00002B7D0000}"/>
    <cellStyle name="Input 5 7 3 4 4" xfId="29506" xr:uid="{00000000-0005-0000-0000-00002C7D0000}"/>
    <cellStyle name="Input 5 7 3 5" xfId="21204" xr:uid="{00000000-0005-0000-0000-00002D7D0000}"/>
    <cellStyle name="Input 5 7 3 5 2" xfId="46741" xr:uid="{00000000-0005-0000-0000-00002E7D0000}"/>
    <cellStyle name="Input 5 7 3 5 3" xfId="50647" xr:uid="{00000000-0005-0000-0000-00002F7D0000}"/>
    <cellStyle name="Input 5 7 3 5 4" xfId="38610" xr:uid="{00000000-0005-0000-0000-0000307D0000}"/>
    <cellStyle name="Input 5 7 3 6" xfId="21857" xr:uid="{00000000-0005-0000-0000-0000317D0000}"/>
    <cellStyle name="Input 5 7 3 6 2" xfId="47394" xr:uid="{00000000-0005-0000-0000-0000327D0000}"/>
    <cellStyle name="Input 5 7 3 6 3" xfId="51300" xr:uid="{00000000-0005-0000-0000-0000337D0000}"/>
    <cellStyle name="Input 5 7 3 7" xfId="41197" xr:uid="{00000000-0005-0000-0000-0000347D0000}"/>
    <cellStyle name="Input 5 7 3 8" xfId="39371" xr:uid="{00000000-0005-0000-0000-0000357D0000}"/>
    <cellStyle name="Input 5 7 4" xfId="14961" xr:uid="{00000000-0005-0000-0000-0000367D0000}"/>
    <cellStyle name="Input 5 7 4 2" xfId="43077" xr:uid="{00000000-0005-0000-0000-0000377D0000}"/>
    <cellStyle name="Input 5 7 4 3" xfId="40310" xr:uid="{00000000-0005-0000-0000-0000387D0000}"/>
    <cellStyle name="Input 5 7 4 4" xfId="32596" xr:uid="{00000000-0005-0000-0000-0000397D0000}"/>
    <cellStyle name="Input 5 7 5" xfId="13183" xr:uid="{00000000-0005-0000-0000-00003A7D0000}"/>
    <cellStyle name="Input 5 7 5 2" xfId="42404" xr:uid="{00000000-0005-0000-0000-00003B7D0000}"/>
    <cellStyle name="Input 5 7 5 3" xfId="39078" xr:uid="{00000000-0005-0000-0000-00003C7D0000}"/>
    <cellStyle name="Input 5 7 5 4" xfId="30832" xr:uid="{00000000-0005-0000-0000-00003D7D0000}"/>
    <cellStyle name="Input 5 7 6" xfId="20319" xr:uid="{00000000-0005-0000-0000-00003E7D0000}"/>
    <cellStyle name="Input 5 7 6 2" xfId="45856" xr:uid="{00000000-0005-0000-0000-00003F7D0000}"/>
    <cellStyle name="Input 5 7 6 3" xfId="49762" xr:uid="{00000000-0005-0000-0000-0000407D0000}"/>
    <cellStyle name="Input 5 7 6 4" xfId="37783" xr:uid="{00000000-0005-0000-0000-0000417D0000}"/>
    <cellStyle name="Input 5 7 7" xfId="19636" xr:uid="{00000000-0005-0000-0000-0000427D0000}"/>
    <cellStyle name="Input 5 7 7 2" xfId="45173" xr:uid="{00000000-0005-0000-0000-0000437D0000}"/>
    <cellStyle name="Input 5 7 7 3" xfId="49079" xr:uid="{00000000-0005-0000-0000-0000447D0000}"/>
    <cellStyle name="Input 5 7 7 4" xfId="37173" xr:uid="{00000000-0005-0000-0000-0000457D0000}"/>
    <cellStyle name="Input 5 7 8" xfId="19182" xr:uid="{00000000-0005-0000-0000-0000467D0000}"/>
    <cellStyle name="Input 5 7 8 2" xfId="44719" xr:uid="{00000000-0005-0000-0000-0000477D0000}"/>
    <cellStyle name="Input 5 7 8 3" xfId="48625" xr:uid="{00000000-0005-0000-0000-0000487D0000}"/>
    <cellStyle name="Input 5 7 9" xfId="39937" xr:uid="{00000000-0005-0000-0000-0000497D0000}"/>
    <cellStyle name="Input 5 8" xfId="53203" xr:uid="{00000000-0005-0000-0000-00004A7D0000}"/>
    <cellStyle name="Input 5_Sheet1" xfId="2019" xr:uid="{00000000-0005-0000-0000-00004B7D0000}"/>
    <cellStyle name="Input 50" xfId="22697" xr:uid="{00000000-0005-0000-0000-00004C7D0000}"/>
    <cellStyle name="Input 51" xfId="22699" xr:uid="{00000000-0005-0000-0000-00004D7D0000}"/>
    <cellStyle name="Input 52" xfId="22701" xr:uid="{00000000-0005-0000-0000-00004E7D0000}"/>
    <cellStyle name="Input 53" xfId="22702" xr:uid="{00000000-0005-0000-0000-00004F7D0000}"/>
    <cellStyle name="Input 54" xfId="22708" xr:uid="{00000000-0005-0000-0000-0000507D0000}"/>
    <cellStyle name="Input 55" xfId="22427" xr:uid="{00000000-0005-0000-0000-0000517D0000}"/>
    <cellStyle name="Input 55 2" xfId="23035" xr:uid="{00000000-0005-0000-0000-0000527D0000}"/>
    <cellStyle name="Input 55 2 2" xfId="47636" xr:uid="{00000000-0005-0000-0000-0000537D0000}"/>
    <cellStyle name="Input 55 2 3" xfId="51447" xr:uid="{00000000-0005-0000-0000-0000547D0000}"/>
    <cellStyle name="Input 55 3" xfId="47529" xr:uid="{00000000-0005-0000-0000-0000557D0000}"/>
    <cellStyle name="Input 55 4" xfId="51383" xr:uid="{00000000-0005-0000-0000-0000567D0000}"/>
    <cellStyle name="Input 55 5" xfId="53207" xr:uid="{00000000-0005-0000-0000-0000577D0000}"/>
    <cellStyle name="Input 6" xfId="2020" xr:uid="{00000000-0005-0000-0000-0000587D0000}"/>
    <cellStyle name="Input 6 2" xfId="2021" xr:uid="{00000000-0005-0000-0000-0000597D0000}"/>
    <cellStyle name="Input 6 2 2" xfId="2022" xr:uid="{00000000-0005-0000-0000-00005A7D0000}"/>
    <cellStyle name="Input 6 2 2 2" xfId="7179" xr:uid="{00000000-0005-0000-0000-00005B7D0000}"/>
    <cellStyle name="Input 6 2 2 2 10" xfId="40131" xr:uid="{00000000-0005-0000-0000-00005C7D0000}"/>
    <cellStyle name="Input 6 2 2 2 2" xfId="10709" xr:uid="{00000000-0005-0000-0000-00005D7D0000}"/>
    <cellStyle name="Input 6 2 2 2 2 2" xfId="18502" xr:uid="{00000000-0005-0000-0000-00005E7D0000}"/>
    <cellStyle name="Input 6 2 2 2 2 2 2" xfId="44049" xr:uid="{00000000-0005-0000-0000-00005F7D0000}"/>
    <cellStyle name="Input 6 2 2 2 2 2 3" xfId="47958" xr:uid="{00000000-0005-0000-0000-0000607D0000}"/>
    <cellStyle name="Input 6 2 2 2 2 2 4" xfId="36139" xr:uid="{00000000-0005-0000-0000-0000617D0000}"/>
    <cellStyle name="Input 6 2 2 2 2 3" xfId="20157" xr:uid="{00000000-0005-0000-0000-0000627D0000}"/>
    <cellStyle name="Input 6 2 2 2 2 3 2" xfId="45694" xr:uid="{00000000-0005-0000-0000-0000637D0000}"/>
    <cellStyle name="Input 6 2 2 2 2 3 3" xfId="49600" xr:uid="{00000000-0005-0000-0000-0000647D0000}"/>
    <cellStyle name="Input 6 2 2 2 2 3 4" xfId="37643" xr:uid="{00000000-0005-0000-0000-0000657D0000}"/>
    <cellStyle name="Input 6 2 2 2 2 4" xfId="11541" xr:uid="{00000000-0005-0000-0000-0000667D0000}"/>
    <cellStyle name="Input 6 2 2 2 2 4 2" xfId="41552" xr:uid="{00000000-0005-0000-0000-0000677D0000}"/>
    <cellStyle name="Input 6 2 2 2 2 4 3" xfId="39676" xr:uid="{00000000-0005-0000-0000-0000687D0000}"/>
    <cellStyle name="Input 6 2 2 2 2 4 4" xfId="29255" xr:uid="{00000000-0005-0000-0000-0000697D0000}"/>
    <cellStyle name="Input 6 2 2 2 2 5" xfId="20915" xr:uid="{00000000-0005-0000-0000-00006A7D0000}"/>
    <cellStyle name="Input 6 2 2 2 2 5 2" xfId="46452" xr:uid="{00000000-0005-0000-0000-00006B7D0000}"/>
    <cellStyle name="Input 6 2 2 2 2 5 3" xfId="50358" xr:uid="{00000000-0005-0000-0000-00006C7D0000}"/>
    <cellStyle name="Input 6 2 2 2 2 5 4" xfId="38321" xr:uid="{00000000-0005-0000-0000-00006D7D0000}"/>
    <cellStyle name="Input 6 2 2 2 2 6" xfId="21568" xr:uid="{00000000-0005-0000-0000-00006E7D0000}"/>
    <cellStyle name="Input 6 2 2 2 2 6 2" xfId="47105" xr:uid="{00000000-0005-0000-0000-00006F7D0000}"/>
    <cellStyle name="Input 6 2 2 2 2 6 3" xfId="51011" xr:uid="{00000000-0005-0000-0000-0000707D0000}"/>
    <cellStyle name="Input 6 2 2 2 2 7" xfId="40908" xr:uid="{00000000-0005-0000-0000-0000717D0000}"/>
    <cellStyle name="Input 6 2 2 2 2 8" xfId="39388" xr:uid="{00000000-0005-0000-0000-0000727D0000}"/>
    <cellStyle name="Input 6 2 2 2 3" xfId="11004" xr:uid="{00000000-0005-0000-0000-0000737D0000}"/>
    <cellStyle name="Input 6 2 2 2 3 2" xfId="18797" xr:uid="{00000000-0005-0000-0000-0000747D0000}"/>
    <cellStyle name="Input 6 2 2 2 3 2 2" xfId="44344" xr:uid="{00000000-0005-0000-0000-0000757D0000}"/>
    <cellStyle name="Input 6 2 2 2 3 2 3" xfId="48253" xr:uid="{00000000-0005-0000-0000-0000767D0000}"/>
    <cellStyle name="Input 6 2 2 2 3 2 4" xfId="36434" xr:uid="{00000000-0005-0000-0000-0000777D0000}"/>
    <cellStyle name="Input 6 2 2 2 3 3" xfId="13362" xr:uid="{00000000-0005-0000-0000-0000787D0000}"/>
    <cellStyle name="Input 6 2 2 2 3 3 2" xfId="42532" xr:uid="{00000000-0005-0000-0000-0000797D0000}"/>
    <cellStyle name="Input 6 2 2 2 3 3 3" xfId="40430" xr:uid="{00000000-0005-0000-0000-00007A7D0000}"/>
    <cellStyle name="Input 6 2 2 2 3 3 4" xfId="31002" xr:uid="{00000000-0005-0000-0000-00007B7D0000}"/>
    <cellStyle name="Input 6 2 2 2 3 4" xfId="20296" xr:uid="{00000000-0005-0000-0000-00007C7D0000}"/>
    <cellStyle name="Input 6 2 2 2 3 4 2" xfId="45833" xr:uid="{00000000-0005-0000-0000-00007D7D0000}"/>
    <cellStyle name="Input 6 2 2 2 3 4 3" xfId="49739" xr:uid="{00000000-0005-0000-0000-00007E7D0000}"/>
    <cellStyle name="Input 6 2 2 2 3 4 4" xfId="37762" xr:uid="{00000000-0005-0000-0000-00007F7D0000}"/>
    <cellStyle name="Input 6 2 2 2 3 5" xfId="21210" xr:uid="{00000000-0005-0000-0000-0000807D0000}"/>
    <cellStyle name="Input 6 2 2 2 3 5 2" xfId="46747" xr:uid="{00000000-0005-0000-0000-0000817D0000}"/>
    <cellStyle name="Input 6 2 2 2 3 5 3" xfId="50653" xr:uid="{00000000-0005-0000-0000-0000827D0000}"/>
    <cellStyle name="Input 6 2 2 2 3 5 4" xfId="38616" xr:uid="{00000000-0005-0000-0000-0000837D0000}"/>
    <cellStyle name="Input 6 2 2 2 3 6" xfId="21863" xr:uid="{00000000-0005-0000-0000-0000847D0000}"/>
    <cellStyle name="Input 6 2 2 2 3 6 2" xfId="47400" xr:uid="{00000000-0005-0000-0000-0000857D0000}"/>
    <cellStyle name="Input 6 2 2 2 3 6 3" xfId="51306" xr:uid="{00000000-0005-0000-0000-0000867D0000}"/>
    <cellStyle name="Input 6 2 2 2 3 7" xfId="41203" xr:uid="{00000000-0005-0000-0000-0000877D0000}"/>
    <cellStyle name="Input 6 2 2 2 3 8" xfId="42832" xr:uid="{00000000-0005-0000-0000-0000887D0000}"/>
    <cellStyle name="Input 6 2 2 2 4" xfId="14967" xr:uid="{00000000-0005-0000-0000-0000897D0000}"/>
    <cellStyle name="Input 6 2 2 2 4 2" xfId="43083" xr:uid="{00000000-0005-0000-0000-00008A7D0000}"/>
    <cellStyle name="Input 6 2 2 2 4 3" xfId="41940" xr:uid="{00000000-0005-0000-0000-00008B7D0000}"/>
    <cellStyle name="Input 6 2 2 2 4 4" xfId="32602" xr:uid="{00000000-0005-0000-0000-00008C7D0000}"/>
    <cellStyle name="Input 6 2 2 2 5" xfId="13189" xr:uid="{00000000-0005-0000-0000-00008D7D0000}"/>
    <cellStyle name="Input 6 2 2 2 5 2" xfId="42410" xr:uid="{00000000-0005-0000-0000-00008E7D0000}"/>
    <cellStyle name="Input 6 2 2 2 5 3" xfId="47483" xr:uid="{00000000-0005-0000-0000-00008F7D0000}"/>
    <cellStyle name="Input 6 2 2 2 5 4" xfId="30838" xr:uid="{00000000-0005-0000-0000-0000907D0000}"/>
    <cellStyle name="Input 6 2 2 2 6" xfId="12619" xr:uid="{00000000-0005-0000-0000-0000917D0000}"/>
    <cellStyle name="Input 6 2 2 2 6 2" xfId="42098" xr:uid="{00000000-0005-0000-0000-0000927D0000}"/>
    <cellStyle name="Input 6 2 2 2 6 3" xfId="39455" xr:uid="{00000000-0005-0000-0000-0000937D0000}"/>
    <cellStyle name="Input 6 2 2 2 6 4" xfId="30284" xr:uid="{00000000-0005-0000-0000-0000947D0000}"/>
    <cellStyle name="Input 6 2 2 2 7" xfId="12079" xr:uid="{00000000-0005-0000-0000-0000957D0000}"/>
    <cellStyle name="Input 6 2 2 2 7 2" xfId="41824" xr:uid="{00000000-0005-0000-0000-0000967D0000}"/>
    <cellStyle name="Input 6 2 2 2 7 3" xfId="39332" xr:uid="{00000000-0005-0000-0000-0000977D0000}"/>
    <cellStyle name="Input 6 2 2 2 7 4" xfId="29755" xr:uid="{00000000-0005-0000-0000-0000987D0000}"/>
    <cellStyle name="Input 6 2 2 2 8" xfId="18915" xr:uid="{00000000-0005-0000-0000-0000997D0000}"/>
    <cellStyle name="Input 6 2 2 2 8 2" xfId="44452" xr:uid="{00000000-0005-0000-0000-00009A7D0000}"/>
    <cellStyle name="Input 6 2 2 2 8 3" xfId="48358" xr:uid="{00000000-0005-0000-0000-00009B7D0000}"/>
    <cellStyle name="Input 6 2 2 2 9" xfId="39943" xr:uid="{00000000-0005-0000-0000-00009C7D0000}"/>
    <cellStyle name="Input 6 2 2 3" xfId="53210" xr:uid="{00000000-0005-0000-0000-00009D7D0000}"/>
    <cellStyle name="Input 6 2 3" xfId="7178" xr:uid="{00000000-0005-0000-0000-00009E7D0000}"/>
    <cellStyle name="Input 6 2 3 10" xfId="43272" xr:uid="{00000000-0005-0000-0000-00009F7D0000}"/>
    <cellStyle name="Input 6 2 3 2" xfId="10708" xr:uid="{00000000-0005-0000-0000-0000A07D0000}"/>
    <cellStyle name="Input 6 2 3 2 2" xfId="18501" xr:uid="{00000000-0005-0000-0000-0000A17D0000}"/>
    <cellStyle name="Input 6 2 3 2 2 2" xfId="44048" xr:uid="{00000000-0005-0000-0000-0000A27D0000}"/>
    <cellStyle name="Input 6 2 3 2 2 3" xfId="47957" xr:uid="{00000000-0005-0000-0000-0000A37D0000}"/>
    <cellStyle name="Input 6 2 3 2 2 4" xfId="36138" xr:uid="{00000000-0005-0000-0000-0000A47D0000}"/>
    <cellStyle name="Input 6 2 3 2 3" xfId="19603" xr:uid="{00000000-0005-0000-0000-0000A57D0000}"/>
    <cellStyle name="Input 6 2 3 2 3 2" xfId="45140" xr:uid="{00000000-0005-0000-0000-0000A67D0000}"/>
    <cellStyle name="Input 6 2 3 2 3 3" xfId="49046" xr:uid="{00000000-0005-0000-0000-0000A77D0000}"/>
    <cellStyle name="Input 6 2 3 2 3 4" xfId="37143" xr:uid="{00000000-0005-0000-0000-0000A87D0000}"/>
    <cellStyle name="Input 6 2 3 2 4" xfId="12827" xr:uid="{00000000-0005-0000-0000-0000A97D0000}"/>
    <cellStyle name="Input 6 2 3 2 4 2" xfId="42230" xr:uid="{00000000-0005-0000-0000-0000AA7D0000}"/>
    <cellStyle name="Input 6 2 3 2 4 3" xfId="43472" xr:uid="{00000000-0005-0000-0000-0000AB7D0000}"/>
    <cellStyle name="Input 6 2 3 2 4 4" xfId="30482" xr:uid="{00000000-0005-0000-0000-0000AC7D0000}"/>
    <cellStyle name="Input 6 2 3 2 5" xfId="20914" xr:uid="{00000000-0005-0000-0000-0000AD7D0000}"/>
    <cellStyle name="Input 6 2 3 2 5 2" xfId="46451" xr:uid="{00000000-0005-0000-0000-0000AE7D0000}"/>
    <cellStyle name="Input 6 2 3 2 5 3" xfId="50357" xr:uid="{00000000-0005-0000-0000-0000AF7D0000}"/>
    <cellStyle name="Input 6 2 3 2 5 4" xfId="38320" xr:uid="{00000000-0005-0000-0000-0000B07D0000}"/>
    <cellStyle name="Input 6 2 3 2 6" xfId="21567" xr:uid="{00000000-0005-0000-0000-0000B17D0000}"/>
    <cellStyle name="Input 6 2 3 2 6 2" xfId="47104" xr:uid="{00000000-0005-0000-0000-0000B27D0000}"/>
    <cellStyle name="Input 6 2 3 2 6 3" xfId="51010" xr:uid="{00000000-0005-0000-0000-0000B37D0000}"/>
    <cellStyle name="Input 6 2 3 2 7" xfId="40907" xr:uid="{00000000-0005-0000-0000-0000B47D0000}"/>
    <cellStyle name="Input 6 2 3 2 8" xfId="40248" xr:uid="{00000000-0005-0000-0000-0000B57D0000}"/>
    <cellStyle name="Input 6 2 3 3" xfId="11003" xr:uid="{00000000-0005-0000-0000-0000B67D0000}"/>
    <cellStyle name="Input 6 2 3 3 2" xfId="18796" xr:uid="{00000000-0005-0000-0000-0000B77D0000}"/>
    <cellStyle name="Input 6 2 3 3 2 2" xfId="44343" xr:uid="{00000000-0005-0000-0000-0000B87D0000}"/>
    <cellStyle name="Input 6 2 3 3 2 3" xfId="48252" xr:uid="{00000000-0005-0000-0000-0000B97D0000}"/>
    <cellStyle name="Input 6 2 3 3 2 4" xfId="36433" xr:uid="{00000000-0005-0000-0000-0000BA7D0000}"/>
    <cellStyle name="Input 6 2 3 3 3" xfId="11536" xr:uid="{00000000-0005-0000-0000-0000BB7D0000}"/>
    <cellStyle name="Input 6 2 3 3 3 2" xfId="41547" xr:uid="{00000000-0005-0000-0000-0000BC7D0000}"/>
    <cellStyle name="Input 6 2 3 3 3 3" xfId="43214" xr:uid="{00000000-0005-0000-0000-0000BD7D0000}"/>
    <cellStyle name="Input 6 2 3 3 3 4" xfId="29251" xr:uid="{00000000-0005-0000-0000-0000BE7D0000}"/>
    <cellStyle name="Input 6 2 3 3 4" xfId="20336" xr:uid="{00000000-0005-0000-0000-0000BF7D0000}"/>
    <cellStyle name="Input 6 2 3 3 4 2" xfId="45873" xr:uid="{00000000-0005-0000-0000-0000C07D0000}"/>
    <cellStyle name="Input 6 2 3 3 4 3" xfId="49779" xr:uid="{00000000-0005-0000-0000-0000C17D0000}"/>
    <cellStyle name="Input 6 2 3 3 4 4" xfId="37800" xr:uid="{00000000-0005-0000-0000-0000C27D0000}"/>
    <cellStyle name="Input 6 2 3 3 5" xfId="21209" xr:uid="{00000000-0005-0000-0000-0000C37D0000}"/>
    <cellStyle name="Input 6 2 3 3 5 2" xfId="46746" xr:uid="{00000000-0005-0000-0000-0000C47D0000}"/>
    <cellStyle name="Input 6 2 3 3 5 3" xfId="50652" xr:uid="{00000000-0005-0000-0000-0000C57D0000}"/>
    <cellStyle name="Input 6 2 3 3 5 4" xfId="38615" xr:uid="{00000000-0005-0000-0000-0000C67D0000}"/>
    <cellStyle name="Input 6 2 3 3 6" xfId="21862" xr:uid="{00000000-0005-0000-0000-0000C77D0000}"/>
    <cellStyle name="Input 6 2 3 3 6 2" xfId="47399" xr:uid="{00000000-0005-0000-0000-0000C87D0000}"/>
    <cellStyle name="Input 6 2 3 3 6 3" xfId="51305" xr:uid="{00000000-0005-0000-0000-0000C97D0000}"/>
    <cellStyle name="Input 6 2 3 3 7" xfId="41202" xr:uid="{00000000-0005-0000-0000-0000CA7D0000}"/>
    <cellStyle name="Input 6 2 3 3 8" xfId="40085" xr:uid="{00000000-0005-0000-0000-0000CB7D0000}"/>
    <cellStyle name="Input 6 2 3 4" xfId="14966" xr:uid="{00000000-0005-0000-0000-0000CC7D0000}"/>
    <cellStyle name="Input 6 2 3 4 2" xfId="43082" xr:uid="{00000000-0005-0000-0000-0000CD7D0000}"/>
    <cellStyle name="Input 6 2 3 4 3" xfId="39266" xr:uid="{00000000-0005-0000-0000-0000CE7D0000}"/>
    <cellStyle name="Input 6 2 3 4 4" xfId="32601" xr:uid="{00000000-0005-0000-0000-0000CF7D0000}"/>
    <cellStyle name="Input 6 2 3 5" xfId="13188" xr:uid="{00000000-0005-0000-0000-0000D07D0000}"/>
    <cellStyle name="Input 6 2 3 5 2" xfId="42409" xr:uid="{00000000-0005-0000-0000-0000D17D0000}"/>
    <cellStyle name="Input 6 2 3 5 3" xfId="39073" xr:uid="{00000000-0005-0000-0000-0000D27D0000}"/>
    <cellStyle name="Input 6 2 3 5 4" xfId="30837" xr:uid="{00000000-0005-0000-0000-0000D37D0000}"/>
    <cellStyle name="Input 6 2 3 6" xfId="12046" xr:uid="{00000000-0005-0000-0000-0000D47D0000}"/>
    <cellStyle name="Input 6 2 3 6 2" xfId="41802" xr:uid="{00000000-0005-0000-0000-0000D57D0000}"/>
    <cellStyle name="Input 6 2 3 6 3" xfId="47588" xr:uid="{00000000-0005-0000-0000-0000D67D0000}"/>
    <cellStyle name="Input 6 2 3 6 4" xfId="29725" xr:uid="{00000000-0005-0000-0000-0000D77D0000}"/>
    <cellStyle name="Input 6 2 3 7" xfId="19186" xr:uid="{00000000-0005-0000-0000-0000D87D0000}"/>
    <cellStyle name="Input 6 2 3 7 2" xfId="44723" xr:uid="{00000000-0005-0000-0000-0000D97D0000}"/>
    <cellStyle name="Input 6 2 3 7 3" xfId="48629" xr:uid="{00000000-0005-0000-0000-0000DA7D0000}"/>
    <cellStyle name="Input 6 2 3 7 4" xfId="36773" xr:uid="{00000000-0005-0000-0000-0000DB7D0000}"/>
    <cellStyle name="Input 6 2 3 8" xfId="13199" xr:uid="{00000000-0005-0000-0000-0000DC7D0000}"/>
    <cellStyle name="Input 6 2 3 8 2" xfId="42420" xr:uid="{00000000-0005-0000-0000-0000DD7D0000}"/>
    <cellStyle name="Input 6 2 3 8 3" xfId="47485" xr:uid="{00000000-0005-0000-0000-0000DE7D0000}"/>
    <cellStyle name="Input 6 2 3 9" xfId="39942" xr:uid="{00000000-0005-0000-0000-0000DF7D0000}"/>
    <cellStyle name="Input 6 2 4" xfId="53209" xr:uid="{00000000-0005-0000-0000-0000E07D0000}"/>
    <cellStyle name="Input 6 2_Sheet1" xfId="2023" xr:uid="{00000000-0005-0000-0000-0000E17D0000}"/>
    <cellStyle name="Input 6 3" xfId="2024" xr:uid="{00000000-0005-0000-0000-0000E27D0000}"/>
    <cellStyle name="Input 6 3 2" xfId="7180" xr:uid="{00000000-0005-0000-0000-0000E37D0000}"/>
    <cellStyle name="Input 6 3 2 10" xfId="43100" xr:uid="{00000000-0005-0000-0000-0000E47D0000}"/>
    <cellStyle name="Input 6 3 2 2" xfId="10710" xr:uid="{00000000-0005-0000-0000-0000E57D0000}"/>
    <cellStyle name="Input 6 3 2 2 2" xfId="18503" xr:uid="{00000000-0005-0000-0000-0000E67D0000}"/>
    <cellStyle name="Input 6 3 2 2 2 2" xfId="44050" xr:uid="{00000000-0005-0000-0000-0000E77D0000}"/>
    <cellStyle name="Input 6 3 2 2 2 3" xfId="47959" xr:uid="{00000000-0005-0000-0000-0000E87D0000}"/>
    <cellStyle name="Input 6 3 2 2 2 4" xfId="36140" xr:uid="{00000000-0005-0000-0000-0000E97D0000}"/>
    <cellStyle name="Input 6 3 2 2 3" xfId="19416" xr:uid="{00000000-0005-0000-0000-0000EA7D0000}"/>
    <cellStyle name="Input 6 3 2 2 3 2" xfId="44953" xr:uid="{00000000-0005-0000-0000-0000EB7D0000}"/>
    <cellStyle name="Input 6 3 2 2 3 3" xfId="48859" xr:uid="{00000000-0005-0000-0000-0000EC7D0000}"/>
    <cellStyle name="Input 6 3 2 2 3 4" xfId="36981" xr:uid="{00000000-0005-0000-0000-0000ED7D0000}"/>
    <cellStyle name="Input 6 3 2 2 4" xfId="20323" xr:uid="{00000000-0005-0000-0000-0000EE7D0000}"/>
    <cellStyle name="Input 6 3 2 2 4 2" xfId="45860" xr:uid="{00000000-0005-0000-0000-0000EF7D0000}"/>
    <cellStyle name="Input 6 3 2 2 4 3" xfId="49766" xr:uid="{00000000-0005-0000-0000-0000F07D0000}"/>
    <cellStyle name="Input 6 3 2 2 4 4" xfId="37787" xr:uid="{00000000-0005-0000-0000-0000F17D0000}"/>
    <cellStyle name="Input 6 3 2 2 5" xfId="20916" xr:uid="{00000000-0005-0000-0000-0000F27D0000}"/>
    <cellStyle name="Input 6 3 2 2 5 2" xfId="46453" xr:uid="{00000000-0005-0000-0000-0000F37D0000}"/>
    <cellStyle name="Input 6 3 2 2 5 3" xfId="50359" xr:uid="{00000000-0005-0000-0000-0000F47D0000}"/>
    <cellStyle name="Input 6 3 2 2 5 4" xfId="38322" xr:uid="{00000000-0005-0000-0000-0000F57D0000}"/>
    <cellStyle name="Input 6 3 2 2 6" xfId="21569" xr:uid="{00000000-0005-0000-0000-0000F67D0000}"/>
    <cellStyle name="Input 6 3 2 2 6 2" xfId="47106" xr:uid="{00000000-0005-0000-0000-0000F77D0000}"/>
    <cellStyle name="Input 6 3 2 2 6 3" xfId="51012" xr:uid="{00000000-0005-0000-0000-0000F87D0000}"/>
    <cellStyle name="Input 6 3 2 2 7" xfId="40909" xr:uid="{00000000-0005-0000-0000-0000F97D0000}"/>
    <cellStyle name="Input 6 3 2 2 8" xfId="39194" xr:uid="{00000000-0005-0000-0000-0000FA7D0000}"/>
    <cellStyle name="Input 6 3 2 3" xfId="11005" xr:uid="{00000000-0005-0000-0000-0000FB7D0000}"/>
    <cellStyle name="Input 6 3 2 3 2" xfId="18798" xr:uid="{00000000-0005-0000-0000-0000FC7D0000}"/>
    <cellStyle name="Input 6 3 2 3 2 2" xfId="44345" xr:uid="{00000000-0005-0000-0000-0000FD7D0000}"/>
    <cellStyle name="Input 6 3 2 3 2 3" xfId="48254" xr:uid="{00000000-0005-0000-0000-0000FE7D0000}"/>
    <cellStyle name="Input 6 3 2 3 2 4" xfId="36435" xr:uid="{00000000-0005-0000-0000-0000FF7D0000}"/>
    <cellStyle name="Input 6 3 2 3 3" xfId="13358" xr:uid="{00000000-0005-0000-0000-0000007E0000}"/>
    <cellStyle name="Input 6 3 2 3 3 2" xfId="42528" xr:uid="{00000000-0005-0000-0000-0000017E0000}"/>
    <cellStyle name="Input 6 3 2 3 3 3" xfId="40536" xr:uid="{00000000-0005-0000-0000-0000027E0000}"/>
    <cellStyle name="Input 6 3 2 3 3 4" xfId="30998" xr:uid="{00000000-0005-0000-0000-0000037E0000}"/>
    <cellStyle name="Input 6 3 2 3 4" xfId="20306" xr:uid="{00000000-0005-0000-0000-0000047E0000}"/>
    <cellStyle name="Input 6 3 2 3 4 2" xfId="45843" xr:uid="{00000000-0005-0000-0000-0000057E0000}"/>
    <cellStyle name="Input 6 3 2 3 4 3" xfId="49749" xr:uid="{00000000-0005-0000-0000-0000067E0000}"/>
    <cellStyle name="Input 6 3 2 3 4 4" xfId="37772" xr:uid="{00000000-0005-0000-0000-0000077E0000}"/>
    <cellStyle name="Input 6 3 2 3 5" xfId="21211" xr:uid="{00000000-0005-0000-0000-0000087E0000}"/>
    <cellStyle name="Input 6 3 2 3 5 2" xfId="46748" xr:uid="{00000000-0005-0000-0000-0000097E0000}"/>
    <cellStyle name="Input 6 3 2 3 5 3" xfId="50654" xr:uid="{00000000-0005-0000-0000-00000A7E0000}"/>
    <cellStyle name="Input 6 3 2 3 5 4" xfId="38617" xr:uid="{00000000-0005-0000-0000-00000B7E0000}"/>
    <cellStyle name="Input 6 3 2 3 6" xfId="21864" xr:uid="{00000000-0005-0000-0000-00000C7E0000}"/>
    <cellStyle name="Input 6 3 2 3 6 2" xfId="47401" xr:uid="{00000000-0005-0000-0000-00000D7E0000}"/>
    <cellStyle name="Input 6 3 2 3 6 3" xfId="51307" xr:uid="{00000000-0005-0000-0000-00000E7E0000}"/>
    <cellStyle name="Input 6 3 2 3 7" xfId="41204" xr:uid="{00000000-0005-0000-0000-00000F7E0000}"/>
    <cellStyle name="Input 6 3 2 3 8" xfId="43721" xr:uid="{00000000-0005-0000-0000-0000107E0000}"/>
    <cellStyle name="Input 6 3 2 4" xfId="14968" xr:uid="{00000000-0005-0000-0000-0000117E0000}"/>
    <cellStyle name="Input 6 3 2 4 2" xfId="43084" xr:uid="{00000000-0005-0000-0000-0000127E0000}"/>
    <cellStyle name="Input 6 3 2 4 3" xfId="43294" xr:uid="{00000000-0005-0000-0000-0000137E0000}"/>
    <cellStyle name="Input 6 3 2 4 4" xfId="32603" xr:uid="{00000000-0005-0000-0000-0000147E0000}"/>
    <cellStyle name="Input 6 3 2 5" xfId="13190" xr:uid="{00000000-0005-0000-0000-0000157E0000}"/>
    <cellStyle name="Input 6 3 2 5 2" xfId="42411" xr:uid="{00000000-0005-0000-0000-0000167E0000}"/>
    <cellStyle name="Input 6 3 2 5 3" xfId="47579" xr:uid="{00000000-0005-0000-0000-0000177E0000}"/>
    <cellStyle name="Input 6 3 2 5 4" xfId="30839" xr:uid="{00000000-0005-0000-0000-0000187E0000}"/>
    <cellStyle name="Input 6 3 2 6" xfId="19646" xr:uid="{00000000-0005-0000-0000-0000197E0000}"/>
    <cellStyle name="Input 6 3 2 6 2" xfId="45183" xr:uid="{00000000-0005-0000-0000-00001A7E0000}"/>
    <cellStyle name="Input 6 3 2 6 3" xfId="49089" xr:uid="{00000000-0005-0000-0000-00001B7E0000}"/>
    <cellStyle name="Input 6 3 2 6 4" xfId="37182" xr:uid="{00000000-0005-0000-0000-00001C7E0000}"/>
    <cellStyle name="Input 6 3 2 7" xfId="18941" xr:uid="{00000000-0005-0000-0000-00001D7E0000}"/>
    <cellStyle name="Input 6 3 2 7 2" xfId="44478" xr:uid="{00000000-0005-0000-0000-00001E7E0000}"/>
    <cellStyle name="Input 6 3 2 7 3" xfId="48384" xr:uid="{00000000-0005-0000-0000-00001F7E0000}"/>
    <cellStyle name="Input 6 3 2 7 4" xfId="36568" xr:uid="{00000000-0005-0000-0000-0000207E0000}"/>
    <cellStyle name="Input 6 3 2 8" xfId="19011" xr:uid="{00000000-0005-0000-0000-0000217E0000}"/>
    <cellStyle name="Input 6 3 2 8 2" xfId="44548" xr:uid="{00000000-0005-0000-0000-0000227E0000}"/>
    <cellStyle name="Input 6 3 2 8 3" xfId="48454" xr:uid="{00000000-0005-0000-0000-0000237E0000}"/>
    <cellStyle name="Input 6 3 2 9" xfId="39944" xr:uid="{00000000-0005-0000-0000-0000247E0000}"/>
    <cellStyle name="Input 6 3 3" xfId="53211" xr:uid="{00000000-0005-0000-0000-0000257E0000}"/>
    <cellStyle name="Input 6 4" xfId="7177" xr:uid="{00000000-0005-0000-0000-0000267E0000}"/>
    <cellStyle name="Input 6 4 10" xfId="41720" xr:uid="{00000000-0005-0000-0000-0000277E0000}"/>
    <cellStyle name="Input 6 4 2" xfId="10707" xr:uid="{00000000-0005-0000-0000-0000287E0000}"/>
    <cellStyle name="Input 6 4 2 2" xfId="18500" xr:uid="{00000000-0005-0000-0000-0000297E0000}"/>
    <cellStyle name="Input 6 4 2 2 2" xfId="44047" xr:uid="{00000000-0005-0000-0000-00002A7E0000}"/>
    <cellStyle name="Input 6 4 2 2 3" xfId="47956" xr:uid="{00000000-0005-0000-0000-00002B7E0000}"/>
    <cellStyle name="Input 6 4 2 2 4" xfId="36137" xr:uid="{00000000-0005-0000-0000-00002C7E0000}"/>
    <cellStyle name="Input 6 4 2 3" xfId="12163" xr:uid="{00000000-0005-0000-0000-00002D7E0000}"/>
    <cellStyle name="Input 6 4 2 3 2" xfId="41908" xr:uid="{00000000-0005-0000-0000-00002E7E0000}"/>
    <cellStyle name="Input 6 4 2 3 3" xfId="40454" xr:uid="{00000000-0005-0000-0000-00002F7E0000}"/>
    <cellStyle name="Input 6 4 2 3 4" xfId="29835" xr:uid="{00000000-0005-0000-0000-0000307E0000}"/>
    <cellStyle name="Input 6 4 2 4" xfId="12691" xr:uid="{00000000-0005-0000-0000-0000317E0000}"/>
    <cellStyle name="Input 6 4 2 4 2" xfId="42170" xr:uid="{00000000-0005-0000-0000-0000327E0000}"/>
    <cellStyle name="Input 6 4 2 4 3" xfId="42696" xr:uid="{00000000-0005-0000-0000-0000337E0000}"/>
    <cellStyle name="Input 6 4 2 4 4" xfId="30352" xr:uid="{00000000-0005-0000-0000-0000347E0000}"/>
    <cellStyle name="Input 6 4 2 5" xfId="20913" xr:uid="{00000000-0005-0000-0000-0000357E0000}"/>
    <cellStyle name="Input 6 4 2 5 2" xfId="46450" xr:uid="{00000000-0005-0000-0000-0000367E0000}"/>
    <cellStyle name="Input 6 4 2 5 3" xfId="50356" xr:uid="{00000000-0005-0000-0000-0000377E0000}"/>
    <cellStyle name="Input 6 4 2 5 4" xfId="38319" xr:uid="{00000000-0005-0000-0000-0000387E0000}"/>
    <cellStyle name="Input 6 4 2 6" xfId="21566" xr:uid="{00000000-0005-0000-0000-0000397E0000}"/>
    <cellStyle name="Input 6 4 2 6 2" xfId="47103" xr:uid="{00000000-0005-0000-0000-00003A7E0000}"/>
    <cellStyle name="Input 6 4 2 6 3" xfId="51009" xr:uid="{00000000-0005-0000-0000-00003B7E0000}"/>
    <cellStyle name="Input 6 4 2 7" xfId="40906" xr:uid="{00000000-0005-0000-0000-00003C7E0000}"/>
    <cellStyle name="Input 6 4 2 8" xfId="43386" xr:uid="{00000000-0005-0000-0000-00003D7E0000}"/>
    <cellStyle name="Input 6 4 3" xfId="11002" xr:uid="{00000000-0005-0000-0000-00003E7E0000}"/>
    <cellStyle name="Input 6 4 3 2" xfId="18795" xr:uid="{00000000-0005-0000-0000-00003F7E0000}"/>
    <cellStyle name="Input 6 4 3 2 2" xfId="44342" xr:uid="{00000000-0005-0000-0000-0000407E0000}"/>
    <cellStyle name="Input 6 4 3 2 3" xfId="48251" xr:uid="{00000000-0005-0000-0000-0000417E0000}"/>
    <cellStyle name="Input 6 4 3 2 4" xfId="36432" xr:uid="{00000000-0005-0000-0000-0000427E0000}"/>
    <cellStyle name="Input 6 4 3 3" xfId="19706" xr:uid="{00000000-0005-0000-0000-0000437E0000}"/>
    <cellStyle name="Input 6 4 3 3 2" xfId="45243" xr:uid="{00000000-0005-0000-0000-0000447E0000}"/>
    <cellStyle name="Input 6 4 3 3 3" xfId="49149" xr:uid="{00000000-0005-0000-0000-0000457E0000}"/>
    <cellStyle name="Input 6 4 3 3 4" xfId="37233" xr:uid="{00000000-0005-0000-0000-0000467E0000}"/>
    <cellStyle name="Input 6 4 3 4" xfId="11463" xr:uid="{00000000-0005-0000-0000-0000477E0000}"/>
    <cellStyle name="Input 6 4 3 4 2" xfId="41474" xr:uid="{00000000-0005-0000-0000-0000487E0000}"/>
    <cellStyle name="Input 6 4 3 4 3" xfId="43499" xr:uid="{00000000-0005-0000-0000-0000497E0000}"/>
    <cellStyle name="Input 6 4 3 4 4" xfId="29182" xr:uid="{00000000-0005-0000-0000-00004A7E0000}"/>
    <cellStyle name="Input 6 4 3 5" xfId="21208" xr:uid="{00000000-0005-0000-0000-00004B7E0000}"/>
    <cellStyle name="Input 6 4 3 5 2" xfId="46745" xr:uid="{00000000-0005-0000-0000-00004C7E0000}"/>
    <cellStyle name="Input 6 4 3 5 3" xfId="50651" xr:uid="{00000000-0005-0000-0000-00004D7E0000}"/>
    <cellStyle name="Input 6 4 3 5 4" xfId="38614" xr:uid="{00000000-0005-0000-0000-00004E7E0000}"/>
    <cellStyle name="Input 6 4 3 6" xfId="21861" xr:uid="{00000000-0005-0000-0000-00004F7E0000}"/>
    <cellStyle name="Input 6 4 3 6 2" xfId="47398" xr:uid="{00000000-0005-0000-0000-0000507E0000}"/>
    <cellStyle name="Input 6 4 3 6 3" xfId="51304" xr:uid="{00000000-0005-0000-0000-0000517E0000}"/>
    <cellStyle name="Input 6 4 3 7" xfId="41201" xr:uid="{00000000-0005-0000-0000-0000527E0000}"/>
    <cellStyle name="Input 6 4 3 8" xfId="43226" xr:uid="{00000000-0005-0000-0000-0000537E0000}"/>
    <cellStyle name="Input 6 4 4" xfId="14965" xr:uid="{00000000-0005-0000-0000-0000547E0000}"/>
    <cellStyle name="Input 6 4 4 2" xfId="43081" xr:uid="{00000000-0005-0000-0000-0000557E0000}"/>
    <cellStyle name="Input 6 4 4 3" xfId="40152" xr:uid="{00000000-0005-0000-0000-0000567E0000}"/>
    <cellStyle name="Input 6 4 4 4" xfId="32600" xr:uid="{00000000-0005-0000-0000-0000577E0000}"/>
    <cellStyle name="Input 6 4 5" xfId="13187" xr:uid="{00000000-0005-0000-0000-0000587E0000}"/>
    <cellStyle name="Input 6 4 5 2" xfId="42408" xr:uid="{00000000-0005-0000-0000-0000597E0000}"/>
    <cellStyle name="Input 6 4 5 3" xfId="39074" xr:uid="{00000000-0005-0000-0000-00005A7E0000}"/>
    <cellStyle name="Input 6 4 5 4" xfId="30836" xr:uid="{00000000-0005-0000-0000-00005B7E0000}"/>
    <cellStyle name="Input 6 4 6" xfId="19323" xr:uid="{00000000-0005-0000-0000-00005C7E0000}"/>
    <cellStyle name="Input 6 4 6 2" xfId="44860" xr:uid="{00000000-0005-0000-0000-00005D7E0000}"/>
    <cellStyle name="Input 6 4 6 3" xfId="48766" xr:uid="{00000000-0005-0000-0000-00005E7E0000}"/>
    <cellStyle name="Input 6 4 6 4" xfId="36901" xr:uid="{00000000-0005-0000-0000-00005F7E0000}"/>
    <cellStyle name="Input 6 4 7" xfId="11787" xr:uid="{00000000-0005-0000-0000-0000607E0000}"/>
    <cellStyle name="Input 6 4 7 2" xfId="41740" xr:uid="{00000000-0005-0000-0000-0000617E0000}"/>
    <cellStyle name="Input 6 4 7 3" xfId="39341" xr:uid="{00000000-0005-0000-0000-0000627E0000}"/>
    <cellStyle name="Input 6 4 7 4" xfId="29473" xr:uid="{00000000-0005-0000-0000-0000637E0000}"/>
    <cellStyle name="Input 6 4 8" xfId="20606" xr:uid="{00000000-0005-0000-0000-0000647E0000}"/>
    <cellStyle name="Input 6 4 8 2" xfId="46143" xr:uid="{00000000-0005-0000-0000-0000657E0000}"/>
    <cellStyle name="Input 6 4 8 3" xfId="50049" xr:uid="{00000000-0005-0000-0000-0000667E0000}"/>
    <cellStyle name="Input 6 4 9" xfId="39941" xr:uid="{00000000-0005-0000-0000-0000677E0000}"/>
    <cellStyle name="Input 6 5" xfId="53208" xr:uid="{00000000-0005-0000-0000-0000687E0000}"/>
    <cellStyle name="Input 6_Sheet1" xfId="2025" xr:uid="{00000000-0005-0000-0000-0000697E0000}"/>
    <cellStyle name="Input 7" xfId="2026" xr:uid="{00000000-0005-0000-0000-00006A7E0000}"/>
    <cellStyle name="Input 7 2" xfId="2027" xr:uid="{00000000-0005-0000-0000-00006B7E0000}"/>
    <cellStyle name="Input 7 2 2" xfId="2028" xr:uid="{00000000-0005-0000-0000-00006C7E0000}"/>
    <cellStyle name="Input 7 2 2 2" xfId="7183" xr:uid="{00000000-0005-0000-0000-00006D7E0000}"/>
    <cellStyle name="Input 7 2 2 2 10" xfId="39960" xr:uid="{00000000-0005-0000-0000-00006E7E0000}"/>
    <cellStyle name="Input 7 2 2 2 2" xfId="10713" xr:uid="{00000000-0005-0000-0000-00006F7E0000}"/>
    <cellStyle name="Input 7 2 2 2 2 2" xfId="18506" xr:uid="{00000000-0005-0000-0000-0000707E0000}"/>
    <cellStyle name="Input 7 2 2 2 2 2 2" xfId="44053" xr:uid="{00000000-0005-0000-0000-0000717E0000}"/>
    <cellStyle name="Input 7 2 2 2 2 2 3" xfId="47962" xr:uid="{00000000-0005-0000-0000-0000727E0000}"/>
    <cellStyle name="Input 7 2 2 2 2 2 4" xfId="36143" xr:uid="{00000000-0005-0000-0000-0000737E0000}"/>
    <cellStyle name="Input 7 2 2 2 2 3" xfId="19898" xr:uid="{00000000-0005-0000-0000-0000747E0000}"/>
    <cellStyle name="Input 7 2 2 2 2 3 2" xfId="45435" xr:uid="{00000000-0005-0000-0000-0000757E0000}"/>
    <cellStyle name="Input 7 2 2 2 2 3 3" xfId="49341" xr:uid="{00000000-0005-0000-0000-0000767E0000}"/>
    <cellStyle name="Input 7 2 2 2 2 3 4" xfId="37412" xr:uid="{00000000-0005-0000-0000-0000777E0000}"/>
    <cellStyle name="Input 7 2 2 2 2 4" xfId="13913" xr:uid="{00000000-0005-0000-0000-0000787E0000}"/>
    <cellStyle name="Input 7 2 2 2 2 4 2" xfId="42648" xr:uid="{00000000-0005-0000-0000-0000797E0000}"/>
    <cellStyle name="Input 7 2 2 2 2 4 3" xfId="39068" xr:uid="{00000000-0005-0000-0000-00007A7E0000}"/>
    <cellStyle name="Input 7 2 2 2 2 4 4" xfId="31550" xr:uid="{00000000-0005-0000-0000-00007B7E0000}"/>
    <cellStyle name="Input 7 2 2 2 2 5" xfId="20919" xr:uid="{00000000-0005-0000-0000-00007C7E0000}"/>
    <cellStyle name="Input 7 2 2 2 2 5 2" xfId="46456" xr:uid="{00000000-0005-0000-0000-00007D7E0000}"/>
    <cellStyle name="Input 7 2 2 2 2 5 3" xfId="50362" xr:uid="{00000000-0005-0000-0000-00007E7E0000}"/>
    <cellStyle name="Input 7 2 2 2 2 5 4" xfId="38325" xr:uid="{00000000-0005-0000-0000-00007F7E0000}"/>
    <cellStyle name="Input 7 2 2 2 2 6" xfId="21572" xr:uid="{00000000-0005-0000-0000-0000807E0000}"/>
    <cellStyle name="Input 7 2 2 2 2 6 2" xfId="47109" xr:uid="{00000000-0005-0000-0000-0000817E0000}"/>
    <cellStyle name="Input 7 2 2 2 2 6 3" xfId="51015" xr:uid="{00000000-0005-0000-0000-0000827E0000}"/>
    <cellStyle name="Input 7 2 2 2 2 7" xfId="40912" xr:uid="{00000000-0005-0000-0000-0000837E0000}"/>
    <cellStyle name="Input 7 2 2 2 2 8" xfId="40097" xr:uid="{00000000-0005-0000-0000-0000847E0000}"/>
    <cellStyle name="Input 7 2 2 2 3" xfId="11008" xr:uid="{00000000-0005-0000-0000-0000857E0000}"/>
    <cellStyle name="Input 7 2 2 2 3 2" xfId="18801" xr:uid="{00000000-0005-0000-0000-0000867E0000}"/>
    <cellStyle name="Input 7 2 2 2 3 2 2" xfId="44348" xr:uid="{00000000-0005-0000-0000-0000877E0000}"/>
    <cellStyle name="Input 7 2 2 2 3 2 3" xfId="48257" xr:uid="{00000000-0005-0000-0000-0000887E0000}"/>
    <cellStyle name="Input 7 2 2 2 3 2 4" xfId="36438" xr:uid="{00000000-0005-0000-0000-0000897E0000}"/>
    <cellStyle name="Input 7 2 2 2 3 3" xfId="20394" xr:uid="{00000000-0005-0000-0000-00008A7E0000}"/>
    <cellStyle name="Input 7 2 2 2 3 3 2" xfId="45931" xr:uid="{00000000-0005-0000-0000-00008B7E0000}"/>
    <cellStyle name="Input 7 2 2 2 3 3 3" xfId="49837" xr:uid="{00000000-0005-0000-0000-00008C7E0000}"/>
    <cellStyle name="Input 7 2 2 2 3 3 4" xfId="37848" xr:uid="{00000000-0005-0000-0000-00008D7E0000}"/>
    <cellStyle name="Input 7 2 2 2 3 4" xfId="20538" xr:uid="{00000000-0005-0000-0000-00008E7E0000}"/>
    <cellStyle name="Input 7 2 2 2 3 4 2" xfId="46075" xr:uid="{00000000-0005-0000-0000-00008F7E0000}"/>
    <cellStyle name="Input 7 2 2 2 3 4 3" xfId="49981" xr:uid="{00000000-0005-0000-0000-0000907E0000}"/>
    <cellStyle name="Input 7 2 2 2 3 4 4" xfId="37965" xr:uid="{00000000-0005-0000-0000-0000917E0000}"/>
    <cellStyle name="Input 7 2 2 2 3 5" xfId="21214" xr:uid="{00000000-0005-0000-0000-0000927E0000}"/>
    <cellStyle name="Input 7 2 2 2 3 5 2" xfId="46751" xr:uid="{00000000-0005-0000-0000-0000937E0000}"/>
    <cellStyle name="Input 7 2 2 2 3 5 3" xfId="50657" xr:uid="{00000000-0005-0000-0000-0000947E0000}"/>
    <cellStyle name="Input 7 2 2 2 3 5 4" xfId="38620" xr:uid="{00000000-0005-0000-0000-0000957E0000}"/>
    <cellStyle name="Input 7 2 2 2 3 6" xfId="21867" xr:uid="{00000000-0005-0000-0000-0000967E0000}"/>
    <cellStyle name="Input 7 2 2 2 3 6 2" xfId="47404" xr:uid="{00000000-0005-0000-0000-0000977E0000}"/>
    <cellStyle name="Input 7 2 2 2 3 6 3" xfId="51310" xr:uid="{00000000-0005-0000-0000-0000987E0000}"/>
    <cellStyle name="Input 7 2 2 2 3 7" xfId="41207" xr:uid="{00000000-0005-0000-0000-0000997E0000}"/>
    <cellStyle name="Input 7 2 2 2 3 8" xfId="42728" xr:uid="{00000000-0005-0000-0000-00009A7E0000}"/>
    <cellStyle name="Input 7 2 2 2 4" xfId="14971" xr:uid="{00000000-0005-0000-0000-00009B7E0000}"/>
    <cellStyle name="Input 7 2 2 2 4 2" xfId="43087" xr:uid="{00000000-0005-0000-0000-00009C7E0000}"/>
    <cellStyle name="Input 7 2 2 2 4 3" xfId="39057" xr:uid="{00000000-0005-0000-0000-00009D7E0000}"/>
    <cellStyle name="Input 7 2 2 2 4 4" xfId="32606" xr:uid="{00000000-0005-0000-0000-00009E7E0000}"/>
    <cellStyle name="Input 7 2 2 2 5" xfId="13191" xr:uid="{00000000-0005-0000-0000-00009F7E0000}"/>
    <cellStyle name="Input 7 2 2 2 5 2" xfId="42412" xr:uid="{00000000-0005-0000-0000-0000A07E0000}"/>
    <cellStyle name="Input 7 2 2 2 5 3" xfId="47487" xr:uid="{00000000-0005-0000-0000-0000A17E0000}"/>
    <cellStyle name="Input 7 2 2 2 5 4" xfId="30840" xr:uid="{00000000-0005-0000-0000-0000A27E0000}"/>
    <cellStyle name="Input 7 2 2 2 6" xfId="19529" xr:uid="{00000000-0005-0000-0000-0000A37E0000}"/>
    <cellStyle name="Input 7 2 2 2 6 2" xfId="45066" xr:uid="{00000000-0005-0000-0000-0000A47E0000}"/>
    <cellStyle name="Input 7 2 2 2 6 3" xfId="48972" xr:uid="{00000000-0005-0000-0000-0000A57E0000}"/>
    <cellStyle name="Input 7 2 2 2 6 4" xfId="37076" xr:uid="{00000000-0005-0000-0000-0000A67E0000}"/>
    <cellStyle name="Input 7 2 2 2 7" xfId="19639" xr:uid="{00000000-0005-0000-0000-0000A77E0000}"/>
    <cellStyle name="Input 7 2 2 2 7 2" xfId="45176" xr:uid="{00000000-0005-0000-0000-0000A87E0000}"/>
    <cellStyle name="Input 7 2 2 2 7 3" xfId="49082" xr:uid="{00000000-0005-0000-0000-0000A97E0000}"/>
    <cellStyle name="Input 7 2 2 2 7 4" xfId="37176" xr:uid="{00000000-0005-0000-0000-0000AA7E0000}"/>
    <cellStyle name="Input 7 2 2 2 8" xfId="19806" xr:uid="{00000000-0005-0000-0000-0000AB7E0000}"/>
    <cellStyle name="Input 7 2 2 2 8 2" xfId="45343" xr:uid="{00000000-0005-0000-0000-0000AC7E0000}"/>
    <cellStyle name="Input 7 2 2 2 8 3" xfId="49249" xr:uid="{00000000-0005-0000-0000-0000AD7E0000}"/>
    <cellStyle name="Input 7 2 2 2 9" xfId="39947" xr:uid="{00000000-0005-0000-0000-0000AE7E0000}"/>
    <cellStyle name="Input 7 2 2 3" xfId="53214" xr:uid="{00000000-0005-0000-0000-0000AF7E0000}"/>
    <cellStyle name="Input 7 2 3" xfId="7182" xr:uid="{00000000-0005-0000-0000-0000B07E0000}"/>
    <cellStyle name="Input 7 2 3 10" xfId="40626" xr:uid="{00000000-0005-0000-0000-0000B17E0000}"/>
    <cellStyle name="Input 7 2 3 2" xfId="10712" xr:uid="{00000000-0005-0000-0000-0000B27E0000}"/>
    <cellStyle name="Input 7 2 3 2 2" xfId="18505" xr:uid="{00000000-0005-0000-0000-0000B37E0000}"/>
    <cellStyle name="Input 7 2 3 2 2 2" xfId="44052" xr:uid="{00000000-0005-0000-0000-0000B47E0000}"/>
    <cellStyle name="Input 7 2 3 2 2 3" xfId="47961" xr:uid="{00000000-0005-0000-0000-0000B57E0000}"/>
    <cellStyle name="Input 7 2 3 2 2 4" xfId="36142" xr:uid="{00000000-0005-0000-0000-0000B67E0000}"/>
    <cellStyle name="Input 7 2 3 2 3" xfId="19289" xr:uid="{00000000-0005-0000-0000-0000B77E0000}"/>
    <cellStyle name="Input 7 2 3 2 3 2" xfId="44826" xr:uid="{00000000-0005-0000-0000-0000B87E0000}"/>
    <cellStyle name="Input 7 2 3 2 3 3" xfId="48732" xr:uid="{00000000-0005-0000-0000-0000B97E0000}"/>
    <cellStyle name="Input 7 2 3 2 3 4" xfId="36867" xr:uid="{00000000-0005-0000-0000-0000BA7E0000}"/>
    <cellStyle name="Input 7 2 3 2 4" xfId="12666" xr:uid="{00000000-0005-0000-0000-0000BB7E0000}"/>
    <cellStyle name="Input 7 2 3 2 4 2" xfId="42145" xr:uid="{00000000-0005-0000-0000-0000BC7E0000}"/>
    <cellStyle name="Input 7 2 3 2 4 3" xfId="43199" xr:uid="{00000000-0005-0000-0000-0000BD7E0000}"/>
    <cellStyle name="Input 7 2 3 2 4 4" xfId="30330" xr:uid="{00000000-0005-0000-0000-0000BE7E0000}"/>
    <cellStyle name="Input 7 2 3 2 5" xfId="20918" xr:uid="{00000000-0005-0000-0000-0000BF7E0000}"/>
    <cellStyle name="Input 7 2 3 2 5 2" xfId="46455" xr:uid="{00000000-0005-0000-0000-0000C07E0000}"/>
    <cellStyle name="Input 7 2 3 2 5 3" xfId="50361" xr:uid="{00000000-0005-0000-0000-0000C17E0000}"/>
    <cellStyle name="Input 7 2 3 2 5 4" xfId="38324" xr:uid="{00000000-0005-0000-0000-0000C27E0000}"/>
    <cellStyle name="Input 7 2 3 2 6" xfId="21571" xr:uid="{00000000-0005-0000-0000-0000C37E0000}"/>
    <cellStyle name="Input 7 2 3 2 6 2" xfId="47108" xr:uid="{00000000-0005-0000-0000-0000C47E0000}"/>
    <cellStyle name="Input 7 2 3 2 6 3" xfId="51014" xr:uid="{00000000-0005-0000-0000-0000C57E0000}"/>
    <cellStyle name="Input 7 2 3 2 7" xfId="40911" xr:uid="{00000000-0005-0000-0000-0000C67E0000}"/>
    <cellStyle name="Input 7 2 3 2 8" xfId="43238" xr:uid="{00000000-0005-0000-0000-0000C77E0000}"/>
    <cellStyle name="Input 7 2 3 3" xfId="11007" xr:uid="{00000000-0005-0000-0000-0000C87E0000}"/>
    <cellStyle name="Input 7 2 3 3 2" xfId="18800" xr:uid="{00000000-0005-0000-0000-0000C97E0000}"/>
    <cellStyle name="Input 7 2 3 3 2 2" xfId="44347" xr:uid="{00000000-0005-0000-0000-0000CA7E0000}"/>
    <cellStyle name="Input 7 2 3 3 2 3" xfId="48256" xr:uid="{00000000-0005-0000-0000-0000CB7E0000}"/>
    <cellStyle name="Input 7 2 3 3 2 4" xfId="36437" xr:uid="{00000000-0005-0000-0000-0000CC7E0000}"/>
    <cellStyle name="Input 7 2 3 3 3" xfId="20393" xr:uid="{00000000-0005-0000-0000-0000CD7E0000}"/>
    <cellStyle name="Input 7 2 3 3 3 2" xfId="45930" xr:uid="{00000000-0005-0000-0000-0000CE7E0000}"/>
    <cellStyle name="Input 7 2 3 3 3 3" xfId="49836" xr:uid="{00000000-0005-0000-0000-0000CF7E0000}"/>
    <cellStyle name="Input 7 2 3 3 3 4" xfId="37847" xr:uid="{00000000-0005-0000-0000-0000D07E0000}"/>
    <cellStyle name="Input 7 2 3 3 4" xfId="20537" xr:uid="{00000000-0005-0000-0000-0000D17E0000}"/>
    <cellStyle name="Input 7 2 3 3 4 2" xfId="46074" xr:uid="{00000000-0005-0000-0000-0000D27E0000}"/>
    <cellStyle name="Input 7 2 3 3 4 3" xfId="49980" xr:uid="{00000000-0005-0000-0000-0000D37E0000}"/>
    <cellStyle name="Input 7 2 3 3 4 4" xfId="37964" xr:uid="{00000000-0005-0000-0000-0000D47E0000}"/>
    <cellStyle name="Input 7 2 3 3 5" xfId="21213" xr:uid="{00000000-0005-0000-0000-0000D57E0000}"/>
    <cellStyle name="Input 7 2 3 3 5 2" xfId="46750" xr:uid="{00000000-0005-0000-0000-0000D67E0000}"/>
    <cellStyle name="Input 7 2 3 3 5 3" xfId="50656" xr:uid="{00000000-0005-0000-0000-0000D77E0000}"/>
    <cellStyle name="Input 7 2 3 3 5 4" xfId="38619" xr:uid="{00000000-0005-0000-0000-0000D87E0000}"/>
    <cellStyle name="Input 7 2 3 3 6" xfId="21866" xr:uid="{00000000-0005-0000-0000-0000D97E0000}"/>
    <cellStyle name="Input 7 2 3 3 6 2" xfId="47403" xr:uid="{00000000-0005-0000-0000-0000DA7E0000}"/>
    <cellStyle name="Input 7 2 3 3 6 3" xfId="51309" xr:uid="{00000000-0005-0000-0000-0000DB7E0000}"/>
    <cellStyle name="Input 7 2 3 3 7" xfId="41206" xr:uid="{00000000-0005-0000-0000-0000DC7E0000}"/>
    <cellStyle name="Input 7 2 3 3 8" xfId="39691" xr:uid="{00000000-0005-0000-0000-0000DD7E0000}"/>
    <cellStyle name="Input 7 2 3 4" xfId="14970" xr:uid="{00000000-0005-0000-0000-0000DE7E0000}"/>
    <cellStyle name="Input 7 2 3 4 2" xfId="43086" xr:uid="{00000000-0005-0000-0000-0000DF7E0000}"/>
    <cellStyle name="Input 7 2 3 4 3" xfId="39267" xr:uid="{00000000-0005-0000-0000-0000E07E0000}"/>
    <cellStyle name="Input 7 2 3 4 4" xfId="32605" xr:uid="{00000000-0005-0000-0000-0000E17E0000}"/>
    <cellStyle name="Input 7 2 3 5" xfId="11327" xr:uid="{00000000-0005-0000-0000-0000E27E0000}"/>
    <cellStyle name="Input 7 2 3 5 2" xfId="41372" xr:uid="{00000000-0005-0000-0000-0000E37E0000}"/>
    <cellStyle name="Input 7 2 3 5 3" xfId="42588" xr:uid="{00000000-0005-0000-0000-0000E47E0000}"/>
    <cellStyle name="Input 7 2 3 5 4" xfId="29055" xr:uid="{00000000-0005-0000-0000-0000E57E0000}"/>
    <cellStyle name="Input 7 2 3 6" xfId="13200" xr:uid="{00000000-0005-0000-0000-0000E67E0000}"/>
    <cellStyle name="Input 7 2 3 6 2" xfId="42421" xr:uid="{00000000-0005-0000-0000-0000E77E0000}"/>
    <cellStyle name="Input 7 2 3 6 3" xfId="41966" xr:uid="{00000000-0005-0000-0000-0000E87E0000}"/>
    <cellStyle name="Input 7 2 3 6 4" xfId="30847" xr:uid="{00000000-0005-0000-0000-0000E97E0000}"/>
    <cellStyle name="Input 7 2 3 7" xfId="12071" xr:uid="{00000000-0005-0000-0000-0000EA7E0000}"/>
    <cellStyle name="Input 7 2 3 7 2" xfId="41820" xr:uid="{00000000-0005-0000-0000-0000EB7E0000}"/>
    <cellStyle name="Input 7 2 3 7 3" xfId="39567" xr:uid="{00000000-0005-0000-0000-0000EC7E0000}"/>
    <cellStyle name="Input 7 2 3 7 4" xfId="29749" xr:uid="{00000000-0005-0000-0000-0000ED7E0000}"/>
    <cellStyle name="Input 7 2 3 8" xfId="19007" xr:uid="{00000000-0005-0000-0000-0000EE7E0000}"/>
    <cellStyle name="Input 7 2 3 8 2" xfId="44544" xr:uid="{00000000-0005-0000-0000-0000EF7E0000}"/>
    <cellStyle name="Input 7 2 3 8 3" xfId="48450" xr:uid="{00000000-0005-0000-0000-0000F07E0000}"/>
    <cellStyle name="Input 7 2 3 9" xfId="39946" xr:uid="{00000000-0005-0000-0000-0000F17E0000}"/>
    <cellStyle name="Input 7 2 4" xfId="53213" xr:uid="{00000000-0005-0000-0000-0000F27E0000}"/>
    <cellStyle name="Input 7 2_Sheet1" xfId="2029" xr:uid="{00000000-0005-0000-0000-0000F37E0000}"/>
    <cellStyle name="Input 7 3" xfId="2030" xr:uid="{00000000-0005-0000-0000-0000F47E0000}"/>
    <cellStyle name="Input 7 3 2" xfId="7184" xr:uid="{00000000-0005-0000-0000-0000F57E0000}"/>
    <cellStyle name="Input 7 3 2 10" xfId="42760" xr:uid="{00000000-0005-0000-0000-0000F67E0000}"/>
    <cellStyle name="Input 7 3 2 2" xfId="10714" xr:uid="{00000000-0005-0000-0000-0000F77E0000}"/>
    <cellStyle name="Input 7 3 2 2 2" xfId="18507" xr:uid="{00000000-0005-0000-0000-0000F87E0000}"/>
    <cellStyle name="Input 7 3 2 2 2 2" xfId="44054" xr:uid="{00000000-0005-0000-0000-0000F97E0000}"/>
    <cellStyle name="Input 7 3 2 2 2 3" xfId="47963" xr:uid="{00000000-0005-0000-0000-0000FA7E0000}"/>
    <cellStyle name="Input 7 3 2 2 2 4" xfId="36144" xr:uid="{00000000-0005-0000-0000-0000FB7E0000}"/>
    <cellStyle name="Input 7 3 2 2 3" xfId="19121" xr:uid="{00000000-0005-0000-0000-0000FC7E0000}"/>
    <cellStyle name="Input 7 3 2 2 3 2" xfId="44658" xr:uid="{00000000-0005-0000-0000-0000FD7E0000}"/>
    <cellStyle name="Input 7 3 2 2 3 3" xfId="48564" xr:uid="{00000000-0005-0000-0000-0000FE7E0000}"/>
    <cellStyle name="Input 7 3 2 2 3 4" xfId="36716" xr:uid="{00000000-0005-0000-0000-0000FF7E0000}"/>
    <cellStyle name="Input 7 3 2 2 4" xfId="20258" xr:uid="{00000000-0005-0000-0000-0000007F0000}"/>
    <cellStyle name="Input 7 3 2 2 4 2" xfId="45795" xr:uid="{00000000-0005-0000-0000-0000017F0000}"/>
    <cellStyle name="Input 7 3 2 2 4 3" xfId="49701" xr:uid="{00000000-0005-0000-0000-0000027F0000}"/>
    <cellStyle name="Input 7 3 2 2 4 4" xfId="37729" xr:uid="{00000000-0005-0000-0000-0000037F0000}"/>
    <cellStyle name="Input 7 3 2 2 5" xfId="20920" xr:uid="{00000000-0005-0000-0000-0000047F0000}"/>
    <cellStyle name="Input 7 3 2 2 5 2" xfId="46457" xr:uid="{00000000-0005-0000-0000-0000057F0000}"/>
    <cellStyle name="Input 7 3 2 2 5 3" xfId="50363" xr:uid="{00000000-0005-0000-0000-0000067F0000}"/>
    <cellStyle name="Input 7 3 2 2 5 4" xfId="38326" xr:uid="{00000000-0005-0000-0000-0000077F0000}"/>
    <cellStyle name="Input 7 3 2 2 6" xfId="21573" xr:uid="{00000000-0005-0000-0000-0000087F0000}"/>
    <cellStyle name="Input 7 3 2 2 6 2" xfId="47110" xr:uid="{00000000-0005-0000-0000-0000097F0000}"/>
    <cellStyle name="Input 7 3 2 2 6 3" xfId="51016" xr:uid="{00000000-0005-0000-0000-00000A7F0000}"/>
    <cellStyle name="Input 7 3 2 2 7" xfId="40913" xr:uid="{00000000-0005-0000-0000-00000B7F0000}"/>
    <cellStyle name="Input 7 3 2 2 8" xfId="42846" xr:uid="{00000000-0005-0000-0000-00000C7F0000}"/>
    <cellStyle name="Input 7 3 2 3" xfId="11009" xr:uid="{00000000-0005-0000-0000-00000D7F0000}"/>
    <cellStyle name="Input 7 3 2 3 2" xfId="18802" xr:uid="{00000000-0005-0000-0000-00000E7F0000}"/>
    <cellStyle name="Input 7 3 2 3 2 2" xfId="44349" xr:uid="{00000000-0005-0000-0000-00000F7F0000}"/>
    <cellStyle name="Input 7 3 2 3 2 3" xfId="48258" xr:uid="{00000000-0005-0000-0000-0000107F0000}"/>
    <cellStyle name="Input 7 3 2 3 2 4" xfId="36439" xr:uid="{00000000-0005-0000-0000-0000117F0000}"/>
    <cellStyle name="Input 7 3 2 3 3" xfId="20395" xr:uid="{00000000-0005-0000-0000-0000127F0000}"/>
    <cellStyle name="Input 7 3 2 3 3 2" xfId="45932" xr:uid="{00000000-0005-0000-0000-0000137F0000}"/>
    <cellStyle name="Input 7 3 2 3 3 3" xfId="49838" xr:uid="{00000000-0005-0000-0000-0000147F0000}"/>
    <cellStyle name="Input 7 3 2 3 3 4" xfId="37849" xr:uid="{00000000-0005-0000-0000-0000157F0000}"/>
    <cellStyle name="Input 7 3 2 3 4" xfId="20539" xr:uid="{00000000-0005-0000-0000-0000167F0000}"/>
    <cellStyle name="Input 7 3 2 3 4 2" xfId="46076" xr:uid="{00000000-0005-0000-0000-0000177F0000}"/>
    <cellStyle name="Input 7 3 2 3 4 3" xfId="49982" xr:uid="{00000000-0005-0000-0000-0000187F0000}"/>
    <cellStyle name="Input 7 3 2 3 4 4" xfId="37966" xr:uid="{00000000-0005-0000-0000-0000197F0000}"/>
    <cellStyle name="Input 7 3 2 3 5" xfId="21215" xr:uid="{00000000-0005-0000-0000-00001A7F0000}"/>
    <cellStyle name="Input 7 3 2 3 5 2" xfId="46752" xr:uid="{00000000-0005-0000-0000-00001B7F0000}"/>
    <cellStyle name="Input 7 3 2 3 5 3" xfId="50658" xr:uid="{00000000-0005-0000-0000-00001C7F0000}"/>
    <cellStyle name="Input 7 3 2 3 5 4" xfId="38621" xr:uid="{00000000-0005-0000-0000-00001D7F0000}"/>
    <cellStyle name="Input 7 3 2 3 6" xfId="21868" xr:uid="{00000000-0005-0000-0000-00001E7F0000}"/>
    <cellStyle name="Input 7 3 2 3 6 2" xfId="47405" xr:uid="{00000000-0005-0000-0000-00001F7F0000}"/>
    <cellStyle name="Input 7 3 2 3 6 3" xfId="51311" xr:uid="{00000000-0005-0000-0000-0000207F0000}"/>
    <cellStyle name="Input 7 3 2 3 7" xfId="41208" xr:uid="{00000000-0005-0000-0000-0000217F0000}"/>
    <cellStyle name="Input 7 3 2 3 8" xfId="43617" xr:uid="{00000000-0005-0000-0000-0000227F0000}"/>
    <cellStyle name="Input 7 3 2 4" xfId="14972" xr:uid="{00000000-0005-0000-0000-0000237F0000}"/>
    <cellStyle name="Input 7 3 2 4 2" xfId="43088" xr:uid="{00000000-0005-0000-0000-0000247F0000}"/>
    <cellStyle name="Input 7 3 2 4 3" xfId="41285" xr:uid="{00000000-0005-0000-0000-0000257F0000}"/>
    <cellStyle name="Input 7 3 2 4 4" xfId="32607" xr:uid="{00000000-0005-0000-0000-0000267F0000}"/>
    <cellStyle name="Input 7 3 2 5" xfId="13192" xr:uid="{00000000-0005-0000-0000-0000277F0000}"/>
    <cellStyle name="Input 7 3 2 5 2" xfId="42413" xr:uid="{00000000-0005-0000-0000-0000287F0000}"/>
    <cellStyle name="Input 7 3 2 5 3" xfId="43169" xr:uid="{00000000-0005-0000-0000-0000297F0000}"/>
    <cellStyle name="Input 7 3 2 5 4" xfId="30841" xr:uid="{00000000-0005-0000-0000-00002A7F0000}"/>
    <cellStyle name="Input 7 3 2 6" xfId="11789" xr:uid="{00000000-0005-0000-0000-00002B7F0000}"/>
    <cellStyle name="Input 7 3 2 6 2" xfId="41742" xr:uid="{00000000-0005-0000-0000-00002C7F0000}"/>
    <cellStyle name="Input 7 3 2 6 3" xfId="39156" xr:uid="{00000000-0005-0000-0000-00002D7F0000}"/>
    <cellStyle name="Input 7 3 2 6 4" xfId="29475" xr:uid="{00000000-0005-0000-0000-00002E7F0000}"/>
    <cellStyle name="Input 7 3 2 7" xfId="20513" xr:uid="{00000000-0005-0000-0000-00002F7F0000}"/>
    <cellStyle name="Input 7 3 2 7 2" xfId="46050" xr:uid="{00000000-0005-0000-0000-0000307F0000}"/>
    <cellStyle name="Input 7 3 2 7 3" xfId="49956" xr:uid="{00000000-0005-0000-0000-0000317F0000}"/>
    <cellStyle name="Input 7 3 2 7 4" xfId="37949" xr:uid="{00000000-0005-0000-0000-0000327F0000}"/>
    <cellStyle name="Input 7 3 2 8" xfId="12697" xr:uid="{00000000-0005-0000-0000-0000337F0000}"/>
    <cellStyle name="Input 7 3 2 8 2" xfId="42176" xr:uid="{00000000-0005-0000-0000-0000347F0000}"/>
    <cellStyle name="Input 7 3 2 8 3" xfId="40337" xr:uid="{00000000-0005-0000-0000-0000357F0000}"/>
    <cellStyle name="Input 7 3 2 9" xfId="39948" xr:uid="{00000000-0005-0000-0000-0000367F0000}"/>
    <cellStyle name="Input 7 3 3" xfId="53215" xr:uid="{00000000-0005-0000-0000-0000377F0000}"/>
    <cellStyle name="Input 7 4" xfId="7181" xr:uid="{00000000-0005-0000-0000-0000387F0000}"/>
    <cellStyle name="Input 7 4 10" xfId="43767" xr:uid="{00000000-0005-0000-0000-0000397F0000}"/>
    <cellStyle name="Input 7 4 11" xfId="53216" xr:uid="{00000000-0005-0000-0000-00003A7F0000}"/>
    <cellStyle name="Input 7 4 2" xfId="10711" xr:uid="{00000000-0005-0000-0000-00003B7F0000}"/>
    <cellStyle name="Input 7 4 2 2" xfId="18504" xr:uid="{00000000-0005-0000-0000-00003C7F0000}"/>
    <cellStyle name="Input 7 4 2 2 2" xfId="44051" xr:uid="{00000000-0005-0000-0000-00003D7F0000}"/>
    <cellStyle name="Input 7 4 2 2 3" xfId="47960" xr:uid="{00000000-0005-0000-0000-00003E7F0000}"/>
    <cellStyle name="Input 7 4 2 2 4" xfId="36141" xr:uid="{00000000-0005-0000-0000-00003F7F0000}"/>
    <cellStyle name="Input 7 4 2 3" xfId="20023" xr:uid="{00000000-0005-0000-0000-0000407F0000}"/>
    <cellStyle name="Input 7 4 2 3 2" xfId="45560" xr:uid="{00000000-0005-0000-0000-0000417F0000}"/>
    <cellStyle name="Input 7 4 2 3 3" xfId="49466" xr:uid="{00000000-0005-0000-0000-0000427F0000}"/>
    <cellStyle name="Input 7 4 2 3 4" xfId="37521" xr:uid="{00000000-0005-0000-0000-0000437F0000}"/>
    <cellStyle name="Input 7 4 2 4" xfId="11804" xr:uid="{00000000-0005-0000-0000-0000447F0000}"/>
    <cellStyle name="Input 7 4 2 4 2" xfId="41753" xr:uid="{00000000-0005-0000-0000-0000457F0000}"/>
    <cellStyle name="Input 7 4 2 4 3" xfId="43207" xr:uid="{00000000-0005-0000-0000-0000467F0000}"/>
    <cellStyle name="Input 7 4 2 4 4" xfId="29490" xr:uid="{00000000-0005-0000-0000-0000477F0000}"/>
    <cellStyle name="Input 7 4 2 5" xfId="20917" xr:uid="{00000000-0005-0000-0000-0000487F0000}"/>
    <cellStyle name="Input 7 4 2 5 2" xfId="46454" xr:uid="{00000000-0005-0000-0000-0000497F0000}"/>
    <cellStyle name="Input 7 4 2 5 3" xfId="50360" xr:uid="{00000000-0005-0000-0000-00004A7F0000}"/>
    <cellStyle name="Input 7 4 2 5 4" xfId="38323" xr:uid="{00000000-0005-0000-0000-00004B7F0000}"/>
    <cellStyle name="Input 7 4 2 6" xfId="21570" xr:uid="{00000000-0005-0000-0000-00004C7F0000}"/>
    <cellStyle name="Input 7 4 2 6 2" xfId="47107" xr:uid="{00000000-0005-0000-0000-00004D7F0000}"/>
    <cellStyle name="Input 7 4 2 6 3" xfId="51013" xr:uid="{00000000-0005-0000-0000-00004E7F0000}"/>
    <cellStyle name="Input 7 4 2 7" xfId="40910" xr:uid="{00000000-0005-0000-0000-00004F7F0000}"/>
    <cellStyle name="Input 7 4 2 8" xfId="41435" xr:uid="{00000000-0005-0000-0000-0000507F0000}"/>
    <cellStyle name="Input 7 4 3" xfId="11006" xr:uid="{00000000-0005-0000-0000-0000517F0000}"/>
    <cellStyle name="Input 7 4 3 2" xfId="18799" xr:uid="{00000000-0005-0000-0000-0000527F0000}"/>
    <cellStyle name="Input 7 4 3 2 2" xfId="44346" xr:uid="{00000000-0005-0000-0000-0000537F0000}"/>
    <cellStyle name="Input 7 4 3 2 3" xfId="48255" xr:uid="{00000000-0005-0000-0000-0000547F0000}"/>
    <cellStyle name="Input 7 4 3 2 4" xfId="36436" xr:uid="{00000000-0005-0000-0000-0000557F0000}"/>
    <cellStyle name="Input 7 4 3 3" xfId="19576" xr:uid="{00000000-0005-0000-0000-0000567F0000}"/>
    <cellStyle name="Input 7 4 3 3 2" xfId="45113" xr:uid="{00000000-0005-0000-0000-0000577F0000}"/>
    <cellStyle name="Input 7 4 3 3 3" xfId="49019" xr:uid="{00000000-0005-0000-0000-0000587F0000}"/>
    <cellStyle name="Input 7 4 3 3 4" xfId="37116" xr:uid="{00000000-0005-0000-0000-0000597F0000}"/>
    <cellStyle name="Input 7 4 3 4" xfId="18935" xr:uid="{00000000-0005-0000-0000-00005A7F0000}"/>
    <cellStyle name="Input 7 4 3 4 2" xfId="44472" xr:uid="{00000000-0005-0000-0000-00005B7F0000}"/>
    <cellStyle name="Input 7 4 3 4 3" xfId="48378" xr:uid="{00000000-0005-0000-0000-00005C7F0000}"/>
    <cellStyle name="Input 7 4 3 4 4" xfId="36562" xr:uid="{00000000-0005-0000-0000-00005D7F0000}"/>
    <cellStyle name="Input 7 4 3 5" xfId="21212" xr:uid="{00000000-0005-0000-0000-00005E7F0000}"/>
    <cellStyle name="Input 7 4 3 5 2" xfId="46749" xr:uid="{00000000-0005-0000-0000-00005F7F0000}"/>
    <cellStyle name="Input 7 4 3 5 3" xfId="50655" xr:uid="{00000000-0005-0000-0000-0000607F0000}"/>
    <cellStyle name="Input 7 4 3 5 4" xfId="38618" xr:uid="{00000000-0005-0000-0000-0000617F0000}"/>
    <cellStyle name="Input 7 4 3 6" xfId="21865" xr:uid="{00000000-0005-0000-0000-0000627F0000}"/>
    <cellStyle name="Input 7 4 3 6 2" xfId="47402" xr:uid="{00000000-0005-0000-0000-0000637F0000}"/>
    <cellStyle name="Input 7 4 3 6 3" xfId="51308" xr:uid="{00000000-0005-0000-0000-0000647F0000}"/>
    <cellStyle name="Input 7 4 3 7" xfId="41205" xr:uid="{00000000-0005-0000-0000-0000657F0000}"/>
    <cellStyle name="Input 7 4 3 8" xfId="40580" xr:uid="{00000000-0005-0000-0000-0000667F0000}"/>
    <cellStyle name="Input 7 4 4" xfId="14969" xr:uid="{00000000-0005-0000-0000-0000677F0000}"/>
    <cellStyle name="Input 7 4 4 2" xfId="43085" xr:uid="{00000000-0005-0000-0000-0000687F0000}"/>
    <cellStyle name="Input 7 4 4 3" xfId="40153" xr:uid="{00000000-0005-0000-0000-0000697F0000}"/>
    <cellStyle name="Input 7 4 4 4" xfId="32604" xr:uid="{00000000-0005-0000-0000-00006A7F0000}"/>
    <cellStyle name="Input 7 4 5" xfId="11326" xr:uid="{00000000-0005-0000-0000-00006B7F0000}"/>
    <cellStyle name="Input 7 4 5 2" xfId="41371" xr:uid="{00000000-0005-0000-0000-00006C7F0000}"/>
    <cellStyle name="Input 7 4 5 3" xfId="39581" xr:uid="{00000000-0005-0000-0000-00006D7F0000}"/>
    <cellStyle name="Input 7 4 5 4" xfId="29054" xr:uid="{00000000-0005-0000-0000-00006E7F0000}"/>
    <cellStyle name="Input 7 4 6" xfId="11465" xr:uid="{00000000-0005-0000-0000-00006F7F0000}"/>
    <cellStyle name="Input 7 4 6 2" xfId="41476" xr:uid="{00000000-0005-0000-0000-0000707F0000}"/>
    <cellStyle name="Input 7 4 6 3" xfId="39472" xr:uid="{00000000-0005-0000-0000-0000717F0000}"/>
    <cellStyle name="Input 7 4 6 4" xfId="29183" xr:uid="{00000000-0005-0000-0000-0000727F0000}"/>
    <cellStyle name="Input 7 4 7" xfId="19466" xr:uid="{00000000-0005-0000-0000-0000737F0000}"/>
    <cellStyle name="Input 7 4 7 2" xfId="45003" xr:uid="{00000000-0005-0000-0000-0000747F0000}"/>
    <cellStyle name="Input 7 4 7 3" xfId="48909" xr:uid="{00000000-0005-0000-0000-0000757F0000}"/>
    <cellStyle name="Input 7 4 7 4" xfId="37024" xr:uid="{00000000-0005-0000-0000-0000767F0000}"/>
    <cellStyle name="Input 7 4 8" xfId="19462" xr:uid="{00000000-0005-0000-0000-0000777F0000}"/>
    <cellStyle name="Input 7 4 8 2" xfId="44999" xr:uid="{00000000-0005-0000-0000-0000787F0000}"/>
    <cellStyle name="Input 7 4 8 3" xfId="48905" xr:uid="{00000000-0005-0000-0000-0000797F0000}"/>
    <cellStyle name="Input 7 4 9" xfId="39945" xr:uid="{00000000-0005-0000-0000-00007A7F0000}"/>
    <cellStyle name="Input 7 5" xfId="22490" xr:uid="{00000000-0005-0000-0000-00007B7F0000}"/>
    <cellStyle name="Input 7 6" xfId="22908" xr:uid="{00000000-0005-0000-0000-00007C7F0000}"/>
    <cellStyle name="Input 7 7" xfId="53212" xr:uid="{00000000-0005-0000-0000-00007D7F0000}"/>
    <cellStyle name="Input 7_Sheet1" xfId="2031" xr:uid="{00000000-0005-0000-0000-00007E7F0000}"/>
    <cellStyle name="Input 8" xfId="2032" xr:uid="{00000000-0005-0000-0000-00007F7F0000}"/>
    <cellStyle name="Input 8 2" xfId="2033" xr:uid="{00000000-0005-0000-0000-0000807F0000}"/>
    <cellStyle name="Input 8 2 2" xfId="2034" xr:uid="{00000000-0005-0000-0000-0000817F0000}"/>
    <cellStyle name="Input 8 2 2 2" xfId="7187" xr:uid="{00000000-0005-0000-0000-0000827F0000}"/>
    <cellStyle name="Input 8 2 2 2 10" xfId="39616" xr:uid="{00000000-0005-0000-0000-0000837F0000}"/>
    <cellStyle name="Input 8 2 2 2 2" xfId="10717" xr:uid="{00000000-0005-0000-0000-0000847F0000}"/>
    <cellStyle name="Input 8 2 2 2 2 2" xfId="18510" xr:uid="{00000000-0005-0000-0000-0000857F0000}"/>
    <cellStyle name="Input 8 2 2 2 2 2 2" xfId="44057" xr:uid="{00000000-0005-0000-0000-0000867F0000}"/>
    <cellStyle name="Input 8 2 2 2 2 2 3" xfId="47966" xr:uid="{00000000-0005-0000-0000-0000877F0000}"/>
    <cellStyle name="Input 8 2 2 2 2 2 4" xfId="36147" xr:uid="{00000000-0005-0000-0000-0000887F0000}"/>
    <cellStyle name="Input 8 2 2 2 2 3" xfId="12164" xr:uid="{00000000-0005-0000-0000-0000897F0000}"/>
    <cellStyle name="Input 8 2 2 2 2 3 2" xfId="41909" xr:uid="{00000000-0005-0000-0000-00008A7F0000}"/>
    <cellStyle name="Input 8 2 2 2 2 3 3" xfId="39565" xr:uid="{00000000-0005-0000-0000-00008B7F0000}"/>
    <cellStyle name="Input 8 2 2 2 2 3 4" xfId="29836" xr:uid="{00000000-0005-0000-0000-00008C7F0000}"/>
    <cellStyle name="Input 8 2 2 2 2 4" xfId="12761" xr:uid="{00000000-0005-0000-0000-00008D7F0000}"/>
    <cellStyle name="Input 8 2 2 2 2 4 2" xfId="42206" xr:uid="{00000000-0005-0000-0000-00008E7F0000}"/>
    <cellStyle name="Input 8 2 2 2 2 4 3" xfId="39311" xr:uid="{00000000-0005-0000-0000-00008F7F0000}"/>
    <cellStyle name="Input 8 2 2 2 2 4 4" xfId="30419" xr:uid="{00000000-0005-0000-0000-0000907F0000}"/>
    <cellStyle name="Input 8 2 2 2 2 5" xfId="20923" xr:uid="{00000000-0005-0000-0000-0000917F0000}"/>
    <cellStyle name="Input 8 2 2 2 2 5 2" xfId="46460" xr:uid="{00000000-0005-0000-0000-0000927F0000}"/>
    <cellStyle name="Input 8 2 2 2 2 5 3" xfId="50366" xr:uid="{00000000-0005-0000-0000-0000937F0000}"/>
    <cellStyle name="Input 8 2 2 2 2 5 4" xfId="38329" xr:uid="{00000000-0005-0000-0000-0000947F0000}"/>
    <cellStyle name="Input 8 2 2 2 2 6" xfId="21576" xr:uid="{00000000-0005-0000-0000-0000957F0000}"/>
    <cellStyle name="Input 8 2 2 2 2 6 2" xfId="47113" xr:uid="{00000000-0005-0000-0000-0000967F0000}"/>
    <cellStyle name="Input 8 2 2 2 2 6 3" xfId="51019" xr:uid="{00000000-0005-0000-0000-0000977F0000}"/>
    <cellStyle name="Input 8 2 2 2 2 7" xfId="40916" xr:uid="{00000000-0005-0000-0000-0000987F0000}"/>
    <cellStyle name="Input 8 2 2 2 2 8" xfId="39705" xr:uid="{00000000-0005-0000-0000-0000997F0000}"/>
    <cellStyle name="Input 8 2 2 2 3" xfId="11012" xr:uid="{00000000-0005-0000-0000-00009A7F0000}"/>
    <cellStyle name="Input 8 2 2 2 3 2" xfId="18805" xr:uid="{00000000-0005-0000-0000-00009B7F0000}"/>
    <cellStyle name="Input 8 2 2 2 3 2 2" xfId="44352" xr:uid="{00000000-0005-0000-0000-00009C7F0000}"/>
    <cellStyle name="Input 8 2 2 2 3 2 3" xfId="48261" xr:uid="{00000000-0005-0000-0000-00009D7F0000}"/>
    <cellStyle name="Input 8 2 2 2 3 2 4" xfId="36442" xr:uid="{00000000-0005-0000-0000-00009E7F0000}"/>
    <cellStyle name="Input 8 2 2 2 3 3" xfId="20398" xr:uid="{00000000-0005-0000-0000-00009F7F0000}"/>
    <cellStyle name="Input 8 2 2 2 3 3 2" xfId="45935" xr:uid="{00000000-0005-0000-0000-0000A07F0000}"/>
    <cellStyle name="Input 8 2 2 2 3 3 3" xfId="49841" xr:uid="{00000000-0005-0000-0000-0000A17F0000}"/>
    <cellStyle name="Input 8 2 2 2 3 3 4" xfId="37852" xr:uid="{00000000-0005-0000-0000-0000A27F0000}"/>
    <cellStyle name="Input 8 2 2 2 3 4" xfId="20542" xr:uid="{00000000-0005-0000-0000-0000A37F0000}"/>
    <cellStyle name="Input 8 2 2 2 3 4 2" xfId="46079" xr:uid="{00000000-0005-0000-0000-0000A47F0000}"/>
    <cellStyle name="Input 8 2 2 2 3 4 3" xfId="49985" xr:uid="{00000000-0005-0000-0000-0000A57F0000}"/>
    <cellStyle name="Input 8 2 2 2 3 4 4" xfId="37969" xr:uid="{00000000-0005-0000-0000-0000A67F0000}"/>
    <cellStyle name="Input 8 2 2 2 3 5" xfId="21218" xr:uid="{00000000-0005-0000-0000-0000A77F0000}"/>
    <cellStyle name="Input 8 2 2 2 3 5 2" xfId="46755" xr:uid="{00000000-0005-0000-0000-0000A87F0000}"/>
    <cellStyle name="Input 8 2 2 2 3 5 3" xfId="50661" xr:uid="{00000000-0005-0000-0000-0000A97F0000}"/>
    <cellStyle name="Input 8 2 2 2 3 5 4" xfId="38624" xr:uid="{00000000-0005-0000-0000-0000AA7F0000}"/>
    <cellStyle name="Input 8 2 2 2 3 6" xfId="21871" xr:uid="{00000000-0005-0000-0000-0000AB7F0000}"/>
    <cellStyle name="Input 8 2 2 2 3 6 2" xfId="47408" xr:uid="{00000000-0005-0000-0000-0000AC7F0000}"/>
    <cellStyle name="Input 8 2 2 2 3 6 3" xfId="51314" xr:uid="{00000000-0005-0000-0000-0000AD7F0000}"/>
    <cellStyle name="Input 8 2 2 2 3 7" xfId="41211" xr:uid="{00000000-0005-0000-0000-0000AE7F0000}"/>
    <cellStyle name="Input 8 2 2 2 3 8" xfId="42593" xr:uid="{00000000-0005-0000-0000-0000AF7F0000}"/>
    <cellStyle name="Input 8 2 2 2 4" xfId="14975" xr:uid="{00000000-0005-0000-0000-0000B07F0000}"/>
    <cellStyle name="Input 8 2 2 2 4 2" xfId="43091" xr:uid="{00000000-0005-0000-0000-0000B17F0000}"/>
    <cellStyle name="Input 8 2 2 2 4 3" xfId="42778" xr:uid="{00000000-0005-0000-0000-0000B27F0000}"/>
    <cellStyle name="Input 8 2 2 2 4 4" xfId="32610" xr:uid="{00000000-0005-0000-0000-0000B37F0000}"/>
    <cellStyle name="Input 8 2 2 2 5" xfId="11329" xr:uid="{00000000-0005-0000-0000-0000B47F0000}"/>
    <cellStyle name="Input 8 2 2 2 5 2" xfId="41374" xr:uid="{00000000-0005-0000-0000-0000B57F0000}"/>
    <cellStyle name="Input 8 2 2 2 5 3" xfId="40363" xr:uid="{00000000-0005-0000-0000-0000B67F0000}"/>
    <cellStyle name="Input 8 2 2 2 5 4" xfId="29057" xr:uid="{00000000-0005-0000-0000-0000B77F0000}"/>
    <cellStyle name="Input 8 2 2 2 6" xfId="20082" xr:uid="{00000000-0005-0000-0000-0000B87F0000}"/>
    <cellStyle name="Input 8 2 2 2 6 2" xfId="45619" xr:uid="{00000000-0005-0000-0000-0000B97F0000}"/>
    <cellStyle name="Input 8 2 2 2 6 3" xfId="49525" xr:uid="{00000000-0005-0000-0000-0000BA7F0000}"/>
    <cellStyle name="Input 8 2 2 2 6 4" xfId="37575" xr:uid="{00000000-0005-0000-0000-0000BB7F0000}"/>
    <cellStyle name="Input 8 2 2 2 7" xfId="20484" xr:uid="{00000000-0005-0000-0000-0000BC7F0000}"/>
    <cellStyle name="Input 8 2 2 2 7 2" xfId="46021" xr:uid="{00000000-0005-0000-0000-0000BD7F0000}"/>
    <cellStyle name="Input 8 2 2 2 7 3" xfId="49927" xr:uid="{00000000-0005-0000-0000-0000BE7F0000}"/>
    <cellStyle name="Input 8 2 2 2 7 4" xfId="37934" xr:uid="{00000000-0005-0000-0000-0000BF7F0000}"/>
    <cellStyle name="Input 8 2 2 2 8" xfId="20605" xr:uid="{00000000-0005-0000-0000-0000C07F0000}"/>
    <cellStyle name="Input 8 2 2 2 8 2" xfId="46142" xr:uid="{00000000-0005-0000-0000-0000C17F0000}"/>
    <cellStyle name="Input 8 2 2 2 8 3" xfId="50048" xr:uid="{00000000-0005-0000-0000-0000C27F0000}"/>
    <cellStyle name="Input 8 2 2 2 9" xfId="39951" xr:uid="{00000000-0005-0000-0000-0000C37F0000}"/>
    <cellStyle name="Input 8 2 2 3" xfId="53219" xr:uid="{00000000-0005-0000-0000-0000C47F0000}"/>
    <cellStyle name="Input 8 2 3" xfId="7186" xr:uid="{00000000-0005-0000-0000-0000C57F0000}"/>
    <cellStyle name="Input 8 2 3 10" xfId="40506" xr:uid="{00000000-0005-0000-0000-0000C67F0000}"/>
    <cellStyle name="Input 8 2 3 2" xfId="10716" xr:uid="{00000000-0005-0000-0000-0000C77F0000}"/>
    <cellStyle name="Input 8 2 3 2 2" xfId="18509" xr:uid="{00000000-0005-0000-0000-0000C87F0000}"/>
    <cellStyle name="Input 8 2 3 2 2 2" xfId="44056" xr:uid="{00000000-0005-0000-0000-0000C97F0000}"/>
    <cellStyle name="Input 8 2 3 2 2 3" xfId="47965" xr:uid="{00000000-0005-0000-0000-0000CA7F0000}"/>
    <cellStyle name="Input 8 2 3 2 2 4" xfId="36146" xr:uid="{00000000-0005-0000-0000-0000CB7F0000}"/>
    <cellStyle name="Input 8 2 3 2 3" xfId="12632" xr:uid="{00000000-0005-0000-0000-0000CC7F0000}"/>
    <cellStyle name="Input 8 2 3 2 3 2" xfId="42111" xr:uid="{00000000-0005-0000-0000-0000CD7F0000}"/>
    <cellStyle name="Input 8 2 3 2 3 3" xfId="42698" xr:uid="{00000000-0005-0000-0000-0000CE7F0000}"/>
    <cellStyle name="Input 8 2 3 2 3 4" xfId="30297" xr:uid="{00000000-0005-0000-0000-0000CF7F0000}"/>
    <cellStyle name="Input 8 2 3 2 4" xfId="20094" xr:uid="{00000000-0005-0000-0000-0000D07F0000}"/>
    <cellStyle name="Input 8 2 3 2 4 2" xfId="45631" xr:uid="{00000000-0005-0000-0000-0000D17F0000}"/>
    <cellStyle name="Input 8 2 3 2 4 3" xfId="49537" xr:uid="{00000000-0005-0000-0000-0000D27F0000}"/>
    <cellStyle name="Input 8 2 3 2 4 4" xfId="37584" xr:uid="{00000000-0005-0000-0000-0000D37F0000}"/>
    <cellStyle name="Input 8 2 3 2 5" xfId="20922" xr:uid="{00000000-0005-0000-0000-0000D47F0000}"/>
    <cellStyle name="Input 8 2 3 2 5 2" xfId="46459" xr:uid="{00000000-0005-0000-0000-0000D57F0000}"/>
    <cellStyle name="Input 8 2 3 2 5 3" xfId="50365" xr:uid="{00000000-0005-0000-0000-0000D67F0000}"/>
    <cellStyle name="Input 8 2 3 2 5 4" xfId="38328" xr:uid="{00000000-0005-0000-0000-0000D77F0000}"/>
    <cellStyle name="Input 8 2 3 2 6" xfId="21575" xr:uid="{00000000-0005-0000-0000-0000D87F0000}"/>
    <cellStyle name="Input 8 2 3 2 6 2" xfId="47112" xr:uid="{00000000-0005-0000-0000-0000D97F0000}"/>
    <cellStyle name="Input 8 2 3 2 6 3" xfId="51018" xr:uid="{00000000-0005-0000-0000-0000DA7F0000}"/>
    <cellStyle name="Input 8 2 3 2 7" xfId="40915" xr:uid="{00000000-0005-0000-0000-0000DB7F0000}"/>
    <cellStyle name="Input 8 2 3 2 8" xfId="40594" xr:uid="{00000000-0005-0000-0000-0000DC7F0000}"/>
    <cellStyle name="Input 8 2 3 3" xfId="11011" xr:uid="{00000000-0005-0000-0000-0000DD7F0000}"/>
    <cellStyle name="Input 8 2 3 3 2" xfId="18804" xr:uid="{00000000-0005-0000-0000-0000DE7F0000}"/>
    <cellStyle name="Input 8 2 3 3 2 2" xfId="44351" xr:uid="{00000000-0005-0000-0000-0000DF7F0000}"/>
    <cellStyle name="Input 8 2 3 3 2 3" xfId="48260" xr:uid="{00000000-0005-0000-0000-0000E07F0000}"/>
    <cellStyle name="Input 8 2 3 3 2 4" xfId="36441" xr:uid="{00000000-0005-0000-0000-0000E17F0000}"/>
    <cellStyle name="Input 8 2 3 3 3" xfId="20397" xr:uid="{00000000-0005-0000-0000-0000E27F0000}"/>
    <cellStyle name="Input 8 2 3 3 3 2" xfId="45934" xr:uid="{00000000-0005-0000-0000-0000E37F0000}"/>
    <cellStyle name="Input 8 2 3 3 3 3" xfId="49840" xr:uid="{00000000-0005-0000-0000-0000E47F0000}"/>
    <cellStyle name="Input 8 2 3 3 3 4" xfId="37851" xr:uid="{00000000-0005-0000-0000-0000E57F0000}"/>
    <cellStyle name="Input 8 2 3 3 4" xfId="20541" xr:uid="{00000000-0005-0000-0000-0000E67F0000}"/>
    <cellStyle name="Input 8 2 3 3 4 2" xfId="46078" xr:uid="{00000000-0005-0000-0000-0000E77F0000}"/>
    <cellStyle name="Input 8 2 3 3 4 3" xfId="49984" xr:uid="{00000000-0005-0000-0000-0000E87F0000}"/>
    <cellStyle name="Input 8 2 3 3 4 4" xfId="37968" xr:uid="{00000000-0005-0000-0000-0000E97F0000}"/>
    <cellStyle name="Input 8 2 3 3 5" xfId="21217" xr:uid="{00000000-0005-0000-0000-0000EA7F0000}"/>
    <cellStyle name="Input 8 2 3 3 5 2" xfId="46754" xr:uid="{00000000-0005-0000-0000-0000EB7F0000}"/>
    <cellStyle name="Input 8 2 3 3 5 3" xfId="50660" xr:uid="{00000000-0005-0000-0000-0000EC7F0000}"/>
    <cellStyle name="Input 8 2 3 3 5 4" xfId="38623" xr:uid="{00000000-0005-0000-0000-0000ED7F0000}"/>
    <cellStyle name="Input 8 2 3 3 6" xfId="21870" xr:uid="{00000000-0005-0000-0000-0000EE7F0000}"/>
    <cellStyle name="Input 8 2 3 3 6 2" xfId="47407" xr:uid="{00000000-0005-0000-0000-0000EF7F0000}"/>
    <cellStyle name="Input 8 2 3 3 6 3" xfId="51313" xr:uid="{00000000-0005-0000-0000-0000F07F0000}"/>
    <cellStyle name="Input 8 2 3 3 7" xfId="41210" xr:uid="{00000000-0005-0000-0000-0000F17F0000}"/>
    <cellStyle name="Input 8 2 3 3 8" xfId="39585" xr:uid="{00000000-0005-0000-0000-0000F27F0000}"/>
    <cellStyle name="Input 8 2 3 4" xfId="14974" xr:uid="{00000000-0005-0000-0000-0000F37F0000}"/>
    <cellStyle name="Input 8 2 3 4 2" xfId="43090" xr:uid="{00000000-0005-0000-0000-0000F47F0000}"/>
    <cellStyle name="Input 8 2 3 4 3" xfId="40037" xr:uid="{00000000-0005-0000-0000-0000F57F0000}"/>
    <cellStyle name="Input 8 2 3 4 4" xfId="32609" xr:uid="{00000000-0005-0000-0000-0000F67F0000}"/>
    <cellStyle name="Input 8 2 3 5" xfId="11328" xr:uid="{00000000-0005-0000-0000-0000F77F0000}"/>
    <cellStyle name="Input 8 2 3 5 2" xfId="41373" xr:uid="{00000000-0005-0000-0000-0000F87F0000}"/>
    <cellStyle name="Input 8 2 3 5 3" xfId="43502" xr:uid="{00000000-0005-0000-0000-0000F97F0000}"/>
    <cellStyle name="Input 8 2 3 5 4" xfId="29056" xr:uid="{00000000-0005-0000-0000-0000FA7F0000}"/>
    <cellStyle name="Input 8 2 3 6" xfId="11479" xr:uid="{00000000-0005-0000-0000-0000FB7F0000}"/>
    <cellStyle name="Input 8 2 3 6 2" xfId="41490" xr:uid="{00000000-0005-0000-0000-0000FC7F0000}"/>
    <cellStyle name="Input 8 2 3 6 3" xfId="43712" xr:uid="{00000000-0005-0000-0000-0000FD7F0000}"/>
    <cellStyle name="Input 8 2 3 6 4" xfId="29195" xr:uid="{00000000-0005-0000-0000-0000FE7F0000}"/>
    <cellStyle name="Input 8 2 3 7" xfId="19995" xr:uid="{00000000-0005-0000-0000-0000FF7F0000}"/>
    <cellStyle name="Input 8 2 3 7 2" xfId="45532" xr:uid="{00000000-0005-0000-0000-000000800000}"/>
    <cellStyle name="Input 8 2 3 7 3" xfId="49438" xr:uid="{00000000-0005-0000-0000-000001800000}"/>
    <cellStyle name="Input 8 2 3 7 4" xfId="37493" xr:uid="{00000000-0005-0000-0000-000002800000}"/>
    <cellStyle name="Input 8 2 3 8" xfId="20181" xr:uid="{00000000-0005-0000-0000-000003800000}"/>
    <cellStyle name="Input 8 2 3 8 2" xfId="45718" xr:uid="{00000000-0005-0000-0000-000004800000}"/>
    <cellStyle name="Input 8 2 3 8 3" xfId="49624" xr:uid="{00000000-0005-0000-0000-000005800000}"/>
    <cellStyle name="Input 8 2 3 9" xfId="39950" xr:uid="{00000000-0005-0000-0000-000006800000}"/>
    <cellStyle name="Input 8 2 4" xfId="53218" xr:uid="{00000000-0005-0000-0000-000007800000}"/>
    <cellStyle name="Input 8 2_Sheet1" xfId="2035" xr:uid="{00000000-0005-0000-0000-000008800000}"/>
    <cellStyle name="Input 8 3" xfId="2036" xr:uid="{00000000-0005-0000-0000-000009800000}"/>
    <cellStyle name="Input 8 3 2" xfId="7188" xr:uid="{00000000-0005-0000-0000-00000A800000}"/>
    <cellStyle name="Input 8 3 2 10" xfId="42624" xr:uid="{00000000-0005-0000-0000-00000B800000}"/>
    <cellStyle name="Input 8 3 2 2" xfId="10718" xr:uid="{00000000-0005-0000-0000-00000C800000}"/>
    <cellStyle name="Input 8 3 2 2 2" xfId="18511" xr:uid="{00000000-0005-0000-0000-00000D800000}"/>
    <cellStyle name="Input 8 3 2 2 2 2" xfId="44058" xr:uid="{00000000-0005-0000-0000-00000E800000}"/>
    <cellStyle name="Input 8 3 2 2 2 3" xfId="47967" xr:uid="{00000000-0005-0000-0000-00000F800000}"/>
    <cellStyle name="Input 8 3 2 2 2 4" xfId="36148" xr:uid="{00000000-0005-0000-0000-000010800000}"/>
    <cellStyle name="Input 8 3 2 2 3" xfId="19601" xr:uid="{00000000-0005-0000-0000-000011800000}"/>
    <cellStyle name="Input 8 3 2 2 3 2" xfId="45138" xr:uid="{00000000-0005-0000-0000-000012800000}"/>
    <cellStyle name="Input 8 3 2 2 3 3" xfId="49044" xr:uid="{00000000-0005-0000-0000-000013800000}"/>
    <cellStyle name="Input 8 3 2 2 3 4" xfId="37141" xr:uid="{00000000-0005-0000-0000-000014800000}"/>
    <cellStyle name="Input 8 3 2 2 4" xfId="12401" xr:uid="{00000000-0005-0000-0000-000015800000}"/>
    <cellStyle name="Input 8 3 2 2 4 2" xfId="41967" xr:uid="{00000000-0005-0000-0000-000016800000}"/>
    <cellStyle name="Input 8 3 2 2 4 3" xfId="43483" xr:uid="{00000000-0005-0000-0000-000017800000}"/>
    <cellStyle name="Input 8 3 2 2 4 4" xfId="30072" xr:uid="{00000000-0005-0000-0000-000018800000}"/>
    <cellStyle name="Input 8 3 2 2 5" xfId="20924" xr:uid="{00000000-0005-0000-0000-000019800000}"/>
    <cellStyle name="Input 8 3 2 2 5 2" xfId="46461" xr:uid="{00000000-0005-0000-0000-00001A800000}"/>
    <cellStyle name="Input 8 3 2 2 5 3" xfId="50367" xr:uid="{00000000-0005-0000-0000-00001B800000}"/>
    <cellStyle name="Input 8 3 2 2 5 4" xfId="38330" xr:uid="{00000000-0005-0000-0000-00001C800000}"/>
    <cellStyle name="Input 8 3 2 2 6" xfId="21577" xr:uid="{00000000-0005-0000-0000-00001D800000}"/>
    <cellStyle name="Input 8 3 2 2 6 2" xfId="47114" xr:uid="{00000000-0005-0000-0000-00001E800000}"/>
    <cellStyle name="Input 8 3 2 2 6 3" xfId="51020" xr:uid="{00000000-0005-0000-0000-00001F800000}"/>
    <cellStyle name="Input 8 3 2 2 7" xfId="40917" xr:uid="{00000000-0005-0000-0000-000020800000}"/>
    <cellStyle name="Input 8 3 2 2 8" xfId="42742" xr:uid="{00000000-0005-0000-0000-000021800000}"/>
    <cellStyle name="Input 8 3 2 3" xfId="11013" xr:uid="{00000000-0005-0000-0000-000022800000}"/>
    <cellStyle name="Input 8 3 2 3 2" xfId="18806" xr:uid="{00000000-0005-0000-0000-000023800000}"/>
    <cellStyle name="Input 8 3 2 3 2 2" xfId="44353" xr:uid="{00000000-0005-0000-0000-000024800000}"/>
    <cellStyle name="Input 8 3 2 3 2 3" xfId="48262" xr:uid="{00000000-0005-0000-0000-000025800000}"/>
    <cellStyle name="Input 8 3 2 3 2 4" xfId="36443" xr:uid="{00000000-0005-0000-0000-000026800000}"/>
    <cellStyle name="Input 8 3 2 3 3" xfId="20399" xr:uid="{00000000-0005-0000-0000-000027800000}"/>
    <cellStyle name="Input 8 3 2 3 3 2" xfId="45936" xr:uid="{00000000-0005-0000-0000-000028800000}"/>
    <cellStyle name="Input 8 3 2 3 3 3" xfId="49842" xr:uid="{00000000-0005-0000-0000-000029800000}"/>
    <cellStyle name="Input 8 3 2 3 3 4" xfId="37853" xr:uid="{00000000-0005-0000-0000-00002A800000}"/>
    <cellStyle name="Input 8 3 2 3 4" xfId="20543" xr:uid="{00000000-0005-0000-0000-00002B800000}"/>
    <cellStyle name="Input 8 3 2 3 4 2" xfId="46080" xr:uid="{00000000-0005-0000-0000-00002C800000}"/>
    <cellStyle name="Input 8 3 2 3 4 3" xfId="49986" xr:uid="{00000000-0005-0000-0000-00002D800000}"/>
    <cellStyle name="Input 8 3 2 3 4 4" xfId="37970" xr:uid="{00000000-0005-0000-0000-00002E800000}"/>
    <cellStyle name="Input 8 3 2 3 5" xfId="21219" xr:uid="{00000000-0005-0000-0000-00002F800000}"/>
    <cellStyle name="Input 8 3 2 3 5 2" xfId="46756" xr:uid="{00000000-0005-0000-0000-000030800000}"/>
    <cellStyle name="Input 8 3 2 3 5 3" xfId="50662" xr:uid="{00000000-0005-0000-0000-000031800000}"/>
    <cellStyle name="Input 8 3 2 3 5 4" xfId="38625" xr:uid="{00000000-0005-0000-0000-000032800000}"/>
    <cellStyle name="Input 8 3 2 3 6" xfId="21872" xr:uid="{00000000-0005-0000-0000-000033800000}"/>
    <cellStyle name="Input 8 3 2 3 6 2" xfId="47409" xr:uid="{00000000-0005-0000-0000-000034800000}"/>
    <cellStyle name="Input 8 3 2 3 6 3" xfId="51315" xr:uid="{00000000-0005-0000-0000-000035800000}"/>
    <cellStyle name="Input 8 3 2 3 7" xfId="41212" xr:uid="{00000000-0005-0000-0000-000036800000}"/>
    <cellStyle name="Input 8 3 2 3 8" xfId="43506" xr:uid="{00000000-0005-0000-0000-000037800000}"/>
    <cellStyle name="Input 8 3 2 4" xfId="14976" xr:uid="{00000000-0005-0000-0000-000038800000}"/>
    <cellStyle name="Input 8 3 2 4 2" xfId="43092" xr:uid="{00000000-0005-0000-0000-000039800000}"/>
    <cellStyle name="Input 8 3 2 4 3" xfId="43665" xr:uid="{00000000-0005-0000-0000-00003A800000}"/>
    <cellStyle name="Input 8 3 2 4 4" xfId="32611" xr:uid="{00000000-0005-0000-0000-00003B800000}"/>
    <cellStyle name="Input 8 3 2 5" xfId="11330" xr:uid="{00000000-0005-0000-0000-00003C800000}"/>
    <cellStyle name="Input 8 3 2 5 2" xfId="41375" xr:uid="{00000000-0005-0000-0000-00003D800000}"/>
    <cellStyle name="Input 8 3 2 5 3" xfId="39475" xr:uid="{00000000-0005-0000-0000-00003E800000}"/>
    <cellStyle name="Input 8 3 2 5 4" xfId="29058" xr:uid="{00000000-0005-0000-0000-00003F800000}"/>
    <cellStyle name="Input 8 3 2 6" xfId="18995" xr:uid="{00000000-0005-0000-0000-000040800000}"/>
    <cellStyle name="Input 8 3 2 6 2" xfId="44532" xr:uid="{00000000-0005-0000-0000-000041800000}"/>
    <cellStyle name="Input 8 3 2 6 3" xfId="48438" xr:uid="{00000000-0005-0000-0000-000042800000}"/>
    <cellStyle name="Input 8 3 2 6 4" xfId="36617" xr:uid="{00000000-0005-0000-0000-000043800000}"/>
    <cellStyle name="Input 8 3 2 7" xfId="11626" xr:uid="{00000000-0005-0000-0000-000044800000}"/>
    <cellStyle name="Input 8 3 2 7 2" xfId="41637" xr:uid="{00000000-0005-0000-0000-000045800000}"/>
    <cellStyle name="Input 8 3 2 7 3" xfId="39464" xr:uid="{00000000-0005-0000-0000-000046800000}"/>
    <cellStyle name="Input 8 3 2 7 4" xfId="29329" xr:uid="{00000000-0005-0000-0000-000047800000}"/>
    <cellStyle name="Input 8 3 2 8" xfId="12851" xr:uid="{00000000-0005-0000-0000-000048800000}"/>
    <cellStyle name="Input 8 3 2 8 2" xfId="42234" xr:uid="{00000000-0005-0000-0000-000049800000}"/>
    <cellStyle name="Input 8 3 2 8 3" xfId="43324" xr:uid="{00000000-0005-0000-0000-00004A800000}"/>
    <cellStyle name="Input 8 3 2 9" xfId="39952" xr:uid="{00000000-0005-0000-0000-00004B800000}"/>
    <cellStyle name="Input 8 3 3" xfId="53220" xr:uid="{00000000-0005-0000-0000-00004C800000}"/>
    <cellStyle name="Input 8 4" xfId="7185" xr:uid="{00000000-0005-0000-0000-00004D800000}"/>
    <cellStyle name="Input 8 4 10" xfId="43648" xr:uid="{00000000-0005-0000-0000-00004E800000}"/>
    <cellStyle name="Input 8 4 11" xfId="53221" xr:uid="{00000000-0005-0000-0000-00004F800000}"/>
    <cellStyle name="Input 8 4 2" xfId="10715" xr:uid="{00000000-0005-0000-0000-000050800000}"/>
    <cellStyle name="Input 8 4 2 2" xfId="18508" xr:uid="{00000000-0005-0000-0000-000051800000}"/>
    <cellStyle name="Input 8 4 2 2 2" xfId="44055" xr:uid="{00000000-0005-0000-0000-000052800000}"/>
    <cellStyle name="Input 8 4 2 2 3" xfId="47964" xr:uid="{00000000-0005-0000-0000-000053800000}"/>
    <cellStyle name="Input 8 4 2 2 4" xfId="36145" xr:uid="{00000000-0005-0000-0000-000054800000}"/>
    <cellStyle name="Input 8 4 2 3" xfId="19737" xr:uid="{00000000-0005-0000-0000-000055800000}"/>
    <cellStyle name="Input 8 4 2 3 2" xfId="45274" xr:uid="{00000000-0005-0000-0000-000056800000}"/>
    <cellStyle name="Input 8 4 2 3 3" xfId="49180" xr:uid="{00000000-0005-0000-0000-000057800000}"/>
    <cellStyle name="Input 8 4 2 3 4" xfId="37264" xr:uid="{00000000-0005-0000-0000-000058800000}"/>
    <cellStyle name="Input 8 4 2 4" xfId="19541" xr:uid="{00000000-0005-0000-0000-000059800000}"/>
    <cellStyle name="Input 8 4 2 4 2" xfId="45078" xr:uid="{00000000-0005-0000-0000-00005A800000}"/>
    <cellStyle name="Input 8 4 2 4 3" xfId="48984" xr:uid="{00000000-0005-0000-0000-00005B800000}"/>
    <cellStyle name="Input 8 4 2 4 4" xfId="37086" xr:uid="{00000000-0005-0000-0000-00005C800000}"/>
    <cellStyle name="Input 8 4 2 5" xfId="20921" xr:uid="{00000000-0005-0000-0000-00005D800000}"/>
    <cellStyle name="Input 8 4 2 5 2" xfId="46458" xr:uid="{00000000-0005-0000-0000-00005E800000}"/>
    <cellStyle name="Input 8 4 2 5 3" xfId="50364" xr:uid="{00000000-0005-0000-0000-00005F800000}"/>
    <cellStyle name="Input 8 4 2 5 4" xfId="38327" xr:uid="{00000000-0005-0000-0000-000060800000}"/>
    <cellStyle name="Input 8 4 2 6" xfId="21574" xr:uid="{00000000-0005-0000-0000-000061800000}"/>
    <cellStyle name="Input 8 4 2 6 2" xfId="47111" xr:uid="{00000000-0005-0000-0000-000062800000}"/>
    <cellStyle name="Input 8 4 2 6 3" xfId="51017" xr:uid="{00000000-0005-0000-0000-000063800000}"/>
    <cellStyle name="Input 8 4 2 7" xfId="40914" xr:uid="{00000000-0005-0000-0000-000064800000}"/>
    <cellStyle name="Input 8 4 2 8" xfId="43735" xr:uid="{00000000-0005-0000-0000-000065800000}"/>
    <cellStyle name="Input 8 4 3" xfId="11010" xr:uid="{00000000-0005-0000-0000-000066800000}"/>
    <cellStyle name="Input 8 4 3 2" xfId="18803" xr:uid="{00000000-0005-0000-0000-000067800000}"/>
    <cellStyle name="Input 8 4 3 2 2" xfId="44350" xr:uid="{00000000-0005-0000-0000-000068800000}"/>
    <cellStyle name="Input 8 4 3 2 3" xfId="48259" xr:uid="{00000000-0005-0000-0000-000069800000}"/>
    <cellStyle name="Input 8 4 3 2 4" xfId="36440" xr:uid="{00000000-0005-0000-0000-00006A800000}"/>
    <cellStyle name="Input 8 4 3 3" xfId="20396" xr:uid="{00000000-0005-0000-0000-00006B800000}"/>
    <cellStyle name="Input 8 4 3 3 2" xfId="45933" xr:uid="{00000000-0005-0000-0000-00006C800000}"/>
    <cellStyle name="Input 8 4 3 3 3" xfId="49839" xr:uid="{00000000-0005-0000-0000-00006D800000}"/>
    <cellStyle name="Input 8 4 3 3 4" xfId="37850" xr:uid="{00000000-0005-0000-0000-00006E800000}"/>
    <cellStyle name="Input 8 4 3 4" xfId="20540" xr:uid="{00000000-0005-0000-0000-00006F800000}"/>
    <cellStyle name="Input 8 4 3 4 2" xfId="46077" xr:uid="{00000000-0005-0000-0000-000070800000}"/>
    <cellStyle name="Input 8 4 3 4 3" xfId="49983" xr:uid="{00000000-0005-0000-0000-000071800000}"/>
    <cellStyle name="Input 8 4 3 4 4" xfId="37967" xr:uid="{00000000-0005-0000-0000-000072800000}"/>
    <cellStyle name="Input 8 4 3 5" xfId="21216" xr:uid="{00000000-0005-0000-0000-000073800000}"/>
    <cellStyle name="Input 8 4 3 5 2" xfId="46753" xr:uid="{00000000-0005-0000-0000-000074800000}"/>
    <cellStyle name="Input 8 4 3 5 3" xfId="50659" xr:uid="{00000000-0005-0000-0000-000075800000}"/>
    <cellStyle name="Input 8 4 3 5 4" xfId="38622" xr:uid="{00000000-0005-0000-0000-000076800000}"/>
    <cellStyle name="Input 8 4 3 6" xfId="21869" xr:uid="{00000000-0005-0000-0000-000077800000}"/>
    <cellStyle name="Input 8 4 3 6 2" xfId="47406" xr:uid="{00000000-0005-0000-0000-000078800000}"/>
    <cellStyle name="Input 8 4 3 6 3" xfId="51312" xr:uid="{00000000-0005-0000-0000-000079800000}"/>
    <cellStyle name="Input 8 4 3 7" xfId="41209" xr:uid="{00000000-0005-0000-0000-00007A800000}"/>
    <cellStyle name="Input 8 4 3 8" xfId="40475" xr:uid="{00000000-0005-0000-0000-00007B800000}"/>
    <cellStyle name="Input 8 4 4" xfId="14973" xr:uid="{00000000-0005-0000-0000-00007C800000}"/>
    <cellStyle name="Input 8 4 4 2" xfId="43089" xr:uid="{00000000-0005-0000-0000-00007D800000}"/>
    <cellStyle name="Input 8 4 4 3" xfId="43178" xr:uid="{00000000-0005-0000-0000-00007E800000}"/>
    <cellStyle name="Input 8 4 4 4" xfId="32608" xr:uid="{00000000-0005-0000-0000-00007F800000}"/>
    <cellStyle name="Input 8 4 5" xfId="13193" xr:uid="{00000000-0005-0000-0000-000080800000}"/>
    <cellStyle name="Input 8 4 5 2" xfId="42414" xr:uid="{00000000-0005-0000-0000-000081800000}"/>
    <cellStyle name="Input 8 4 5 3" xfId="47486" xr:uid="{00000000-0005-0000-0000-000082800000}"/>
    <cellStyle name="Input 8 4 5 4" xfId="30842" xr:uid="{00000000-0005-0000-0000-000083800000}"/>
    <cellStyle name="Input 8 4 6" xfId="19165" xr:uid="{00000000-0005-0000-0000-000084800000}"/>
    <cellStyle name="Input 8 4 6 2" xfId="44702" xr:uid="{00000000-0005-0000-0000-000085800000}"/>
    <cellStyle name="Input 8 4 6 3" xfId="48608" xr:uid="{00000000-0005-0000-0000-000086800000}"/>
    <cellStyle name="Input 8 4 6 4" xfId="36757" xr:uid="{00000000-0005-0000-0000-000087800000}"/>
    <cellStyle name="Input 8 4 7" xfId="19238" xr:uid="{00000000-0005-0000-0000-000088800000}"/>
    <cellStyle name="Input 8 4 7 2" xfId="44775" xr:uid="{00000000-0005-0000-0000-000089800000}"/>
    <cellStyle name="Input 8 4 7 3" xfId="48681" xr:uid="{00000000-0005-0000-0000-00008A800000}"/>
    <cellStyle name="Input 8 4 7 4" xfId="36818" xr:uid="{00000000-0005-0000-0000-00008B800000}"/>
    <cellStyle name="Input 8 4 8" xfId="19794" xr:uid="{00000000-0005-0000-0000-00008C800000}"/>
    <cellStyle name="Input 8 4 8 2" xfId="45331" xr:uid="{00000000-0005-0000-0000-00008D800000}"/>
    <cellStyle name="Input 8 4 8 3" xfId="49237" xr:uid="{00000000-0005-0000-0000-00008E800000}"/>
    <cellStyle name="Input 8 4 9" xfId="39949" xr:uid="{00000000-0005-0000-0000-00008F800000}"/>
    <cellStyle name="Input 8 5" xfId="22491" xr:uid="{00000000-0005-0000-0000-000090800000}"/>
    <cellStyle name="Input 8 6" xfId="22907" xr:uid="{00000000-0005-0000-0000-000091800000}"/>
    <cellStyle name="Input 8 7" xfId="53217" xr:uid="{00000000-0005-0000-0000-000092800000}"/>
    <cellStyle name="Input 8_Sheet1" xfId="2037" xr:uid="{00000000-0005-0000-0000-000093800000}"/>
    <cellStyle name="Input 9" xfId="2038" xr:uid="{00000000-0005-0000-0000-000094800000}"/>
    <cellStyle name="Input 9 2" xfId="2039" xr:uid="{00000000-0005-0000-0000-000095800000}"/>
    <cellStyle name="Input 9 2 2" xfId="2040" xr:uid="{00000000-0005-0000-0000-000096800000}"/>
    <cellStyle name="Input 9 2 2 2" xfId="7191" xr:uid="{00000000-0005-0000-0000-000097800000}"/>
    <cellStyle name="Input 9 2 2 2 10" xfId="39512" xr:uid="{00000000-0005-0000-0000-000098800000}"/>
    <cellStyle name="Input 9 2 2 2 2" xfId="10721" xr:uid="{00000000-0005-0000-0000-000099800000}"/>
    <cellStyle name="Input 9 2 2 2 2 2" xfId="18514" xr:uid="{00000000-0005-0000-0000-00009A800000}"/>
    <cellStyle name="Input 9 2 2 2 2 2 2" xfId="44061" xr:uid="{00000000-0005-0000-0000-00009B800000}"/>
    <cellStyle name="Input 9 2 2 2 2 2 3" xfId="47970" xr:uid="{00000000-0005-0000-0000-00009C800000}"/>
    <cellStyle name="Input 9 2 2 2 2 2 4" xfId="36151" xr:uid="{00000000-0005-0000-0000-00009D800000}"/>
    <cellStyle name="Input 9 2 2 2 2 3" xfId="20020" xr:uid="{00000000-0005-0000-0000-00009E800000}"/>
    <cellStyle name="Input 9 2 2 2 2 3 2" xfId="45557" xr:uid="{00000000-0005-0000-0000-00009F800000}"/>
    <cellStyle name="Input 9 2 2 2 2 3 3" xfId="49463" xr:uid="{00000000-0005-0000-0000-0000A0800000}"/>
    <cellStyle name="Input 9 2 2 2 2 3 4" xfId="37518" xr:uid="{00000000-0005-0000-0000-0000A1800000}"/>
    <cellStyle name="Input 9 2 2 2 2 4" xfId="20058" xr:uid="{00000000-0005-0000-0000-0000A2800000}"/>
    <cellStyle name="Input 9 2 2 2 2 4 2" xfId="45595" xr:uid="{00000000-0005-0000-0000-0000A3800000}"/>
    <cellStyle name="Input 9 2 2 2 2 4 3" xfId="49501" xr:uid="{00000000-0005-0000-0000-0000A4800000}"/>
    <cellStyle name="Input 9 2 2 2 2 4 4" xfId="37553" xr:uid="{00000000-0005-0000-0000-0000A5800000}"/>
    <cellStyle name="Input 9 2 2 2 2 5" xfId="20927" xr:uid="{00000000-0005-0000-0000-0000A6800000}"/>
    <cellStyle name="Input 9 2 2 2 2 5 2" xfId="46464" xr:uid="{00000000-0005-0000-0000-0000A7800000}"/>
    <cellStyle name="Input 9 2 2 2 2 5 3" xfId="50370" xr:uid="{00000000-0005-0000-0000-0000A8800000}"/>
    <cellStyle name="Input 9 2 2 2 2 5 4" xfId="38333" xr:uid="{00000000-0005-0000-0000-0000A9800000}"/>
    <cellStyle name="Input 9 2 2 2 2 6" xfId="21580" xr:uid="{00000000-0005-0000-0000-0000AA800000}"/>
    <cellStyle name="Input 9 2 2 2 2 6 2" xfId="47117" xr:uid="{00000000-0005-0000-0000-0000AB800000}"/>
    <cellStyle name="Input 9 2 2 2 2 6 3" xfId="51023" xr:uid="{00000000-0005-0000-0000-0000AC800000}"/>
    <cellStyle name="Input 9 2 2 2 2 7" xfId="40920" xr:uid="{00000000-0005-0000-0000-0000AD800000}"/>
    <cellStyle name="Input 9 2 2 2 2 8" xfId="39599" xr:uid="{00000000-0005-0000-0000-0000AE800000}"/>
    <cellStyle name="Input 9 2 2 2 3" xfId="11016" xr:uid="{00000000-0005-0000-0000-0000AF800000}"/>
    <cellStyle name="Input 9 2 2 2 3 2" xfId="18809" xr:uid="{00000000-0005-0000-0000-0000B0800000}"/>
    <cellStyle name="Input 9 2 2 2 3 2 2" xfId="44356" xr:uid="{00000000-0005-0000-0000-0000B1800000}"/>
    <cellStyle name="Input 9 2 2 2 3 2 3" xfId="48265" xr:uid="{00000000-0005-0000-0000-0000B2800000}"/>
    <cellStyle name="Input 9 2 2 2 3 2 4" xfId="36446" xr:uid="{00000000-0005-0000-0000-0000B3800000}"/>
    <cellStyle name="Input 9 2 2 2 3 3" xfId="20402" xr:uid="{00000000-0005-0000-0000-0000B4800000}"/>
    <cellStyle name="Input 9 2 2 2 3 3 2" xfId="45939" xr:uid="{00000000-0005-0000-0000-0000B5800000}"/>
    <cellStyle name="Input 9 2 2 2 3 3 3" xfId="49845" xr:uid="{00000000-0005-0000-0000-0000B6800000}"/>
    <cellStyle name="Input 9 2 2 2 3 3 4" xfId="37856" xr:uid="{00000000-0005-0000-0000-0000B7800000}"/>
    <cellStyle name="Input 9 2 2 2 3 4" xfId="20546" xr:uid="{00000000-0005-0000-0000-0000B8800000}"/>
    <cellStyle name="Input 9 2 2 2 3 4 2" xfId="46083" xr:uid="{00000000-0005-0000-0000-0000B9800000}"/>
    <cellStyle name="Input 9 2 2 2 3 4 3" xfId="49989" xr:uid="{00000000-0005-0000-0000-0000BA800000}"/>
    <cellStyle name="Input 9 2 2 2 3 4 4" xfId="37973" xr:uid="{00000000-0005-0000-0000-0000BB800000}"/>
    <cellStyle name="Input 9 2 2 2 3 5" xfId="21222" xr:uid="{00000000-0005-0000-0000-0000BC800000}"/>
    <cellStyle name="Input 9 2 2 2 3 5 2" xfId="46759" xr:uid="{00000000-0005-0000-0000-0000BD800000}"/>
    <cellStyle name="Input 9 2 2 2 3 5 3" xfId="50665" xr:uid="{00000000-0005-0000-0000-0000BE800000}"/>
    <cellStyle name="Input 9 2 2 2 3 5 4" xfId="38628" xr:uid="{00000000-0005-0000-0000-0000BF800000}"/>
    <cellStyle name="Input 9 2 2 2 3 6" xfId="21875" xr:uid="{00000000-0005-0000-0000-0000C0800000}"/>
    <cellStyle name="Input 9 2 2 2 3 6 2" xfId="47412" xr:uid="{00000000-0005-0000-0000-0000C1800000}"/>
    <cellStyle name="Input 9 2 2 2 3 6 3" xfId="51318" xr:uid="{00000000-0005-0000-0000-0000C2800000}"/>
    <cellStyle name="Input 9 2 2 2 3 7" xfId="41215" xr:uid="{00000000-0005-0000-0000-0000C3800000}"/>
    <cellStyle name="Input 9 2 2 2 3 8" xfId="42049" xr:uid="{00000000-0005-0000-0000-0000C4800000}"/>
    <cellStyle name="Input 9 2 2 2 4" xfId="14979" xr:uid="{00000000-0005-0000-0000-0000C5800000}"/>
    <cellStyle name="Input 9 2 2 2 4 2" xfId="43095" xr:uid="{00000000-0005-0000-0000-0000C6800000}"/>
    <cellStyle name="Input 9 2 2 2 4 3" xfId="42668" xr:uid="{00000000-0005-0000-0000-0000C7800000}"/>
    <cellStyle name="Input 9 2 2 2 4 4" xfId="32614" xr:uid="{00000000-0005-0000-0000-0000C8800000}"/>
    <cellStyle name="Input 9 2 2 2 5" xfId="13196" xr:uid="{00000000-0005-0000-0000-0000C9800000}"/>
    <cellStyle name="Input 9 2 2 2 5 2" xfId="42417" xr:uid="{00000000-0005-0000-0000-0000CA800000}"/>
    <cellStyle name="Input 9 2 2 2 5 3" xfId="41304" xr:uid="{00000000-0005-0000-0000-0000CB800000}"/>
    <cellStyle name="Input 9 2 2 2 5 4" xfId="30845" xr:uid="{00000000-0005-0000-0000-0000CC800000}"/>
    <cellStyle name="Input 9 2 2 2 6" xfId="12047" xr:uid="{00000000-0005-0000-0000-0000CD800000}"/>
    <cellStyle name="Input 9 2 2 2 6 2" xfId="41803" xr:uid="{00000000-0005-0000-0000-0000CE800000}"/>
    <cellStyle name="Input 9 2 2 2 6 3" xfId="43593" xr:uid="{00000000-0005-0000-0000-0000CF800000}"/>
    <cellStyle name="Input 9 2 2 2 6 4" xfId="29726" xr:uid="{00000000-0005-0000-0000-0000D0800000}"/>
    <cellStyle name="Input 9 2 2 2 7" xfId="19250" xr:uid="{00000000-0005-0000-0000-0000D1800000}"/>
    <cellStyle name="Input 9 2 2 2 7 2" xfId="44787" xr:uid="{00000000-0005-0000-0000-0000D2800000}"/>
    <cellStyle name="Input 9 2 2 2 7 3" xfId="48693" xr:uid="{00000000-0005-0000-0000-0000D3800000}"/>
    <cellStyle name="Input 9 2 2 2 7 4" xfId="36828" xr:uid="{00000000-0005-0000-0000-0000D4800000}"/>
    <cellStyle name="Input 9 2 2 2 8" xfId="11823" xr:uid="{00000000-0005-0000-0000-0000D5800000}"/>
    <cellStyle name="Input 9 2 2 2 8 2" xfId="41761" xr:uid="{00000000-0005-0000-0000-0000D6800000}"/>
    <cellStyle name="Input 9 2 2 2 8 3" xfId="47507" xr:uid="{00000000-0005-0000-0000-0000D7800000}"/>
    <cellStyle name="Input 9 2 2 2 9" xfId="39955" xr:uid="{00000000-0005-0000-0000-0000D8800000}"/>
    <cellStyle name="Input 9 2 2 3" xfId="53224" xr:uid="{00000000-0005-0000-0000-0000D9800000}"/>
    <cellStyle name="Input 9 2 3" xfId="7190" xr:uid="{00000000-0005-0000-0000-0000DA800000}"/>
    <cellStyle name="Input 9 2 3 10" xfId="40400" xr:uid="{00000000-0005-0000-0000-0000DB800000}"/>
    <cellStyle name="Input 9 2 3 2" xfId="10720" xr:uid="{00000000-0005-0000-0000-0000DC800000}"/>
    <cellStyle name="Input 9 2 3 2 2" xfId="18513" xr:uid="{00000000-0005-0000-0000-0000DD800000}"/>
    <cellStyle name="Input 9 2 3 2 2 2" xfId="44060" xr:uid="{00000000-0005-0000-0000-0000DE800000}"/>
    <cellStyle name="Input 9 2 3 2 2 3" xfId="47969" xr:uid="{00000000-0005-0000-0000-0000DF800000}"/>
    <cellStyle name="Input 9 2 3 2 2 4" xfId="36150" xr:uid="{00000000-0005-0000-0000-0000E0800000}"/>
    <cellStyle name="Input 9 2 3 2 3" xfId="19413" xr:uid="{00000000-0005-0000-0000-0000E1800000}"/>
    <cellStyle name="Input 9 2 3 2 3 2" xfId="44950" xr:uid="{00000000-0005-0000-0000-0000E2800000}"/>
    <cellStyle name="Input 9 2 3 2 3 3" xfId="48856" xr:uid="{00000000-0005-0000-0000-0000E3800000}"/>
    <cellStyle name="Input 9 2 3 2 3 4" xfId="36978" xr:uid="{00000000-0005-0000-0000-0000E4800000}"/>
    <cellStyle name="Input 9 2 3 2 4" xfId="11640" xr:uid="{00000000-0005-0000-0000-0000E5800000}"/>
    <cellStyle name="Input 9 2 3 2 4 2" xfId="41651" xr:uid="{00000000-0005-0000-0000-0000E6800000}"/>
    <cellStyle name="Input 9 2 3 2 4 3" xfId="39165" xr:uid="{00000000-0005-0000-0000-0000E7800000}"/>
    <cellStyle name="Input 9 2 3 2 4 4" xfId="29341" xr:uid="{00000000-0005-0000-0000-0000E8800000}"/>
    <cellStyle name="Input 9 2 3 2 5" xfId="20926" xr:uid="{00000000-0005-0000-0000-0000E9800000}"/>
    <cellStyle name="Input 9 2 3 2 5 2" xfId="46463" xr:uid="{00000000-0005-0000-0000-0000EA800000}"/>
    <cellStyle name="Input 9 2 3 2 5 3" xfId="50369" xr:uid="{00000000-0005-0000-0000-0000EB800000}"/>
    <cellStyle name="Input 9 2 3 2 5 4" xfId="38332" xr:uid="{00000000-0005-0000-0000-0000EC800000}"/>
    <cellStyle name="Input 9 2 3 2 6" xfId="21579" xr:uid="{00000000-0005-0000-0000-0000ED800000}"/>
    <cellStyle name="Input 9 2 3 2 6 2" xfId="47116" xr:uid="{00000000-0005-0000-0000-0000EE800000}"/>
    <cellStyle name="Input 9 2 3 2 6 3" xfId="51022" xr:uid="{00000000-0005-0000-0000-0000EF800000}"/>
    <cellStyle name="Input 9 2 3 2 7" xfId="40919" xr:uid="{00000000-0005-0000-0000-0000F0800000}"/>
    <cellStyle name="Input 9 2 3 2 8" xfId="40489" xr:uid="{00000000-0005-0000-0000-0000F1800000}"/>
    <cellStyle name="Input 9 2 3 3" xfId="11015" xr:uid="{00000000-0005-0000-0000-0000F2800000}"/>
    <cellStyle name="Input 9 2 3 3 2" xfId="18808" xr:uid="{00000000-0005-0000-0000-0000F3800000}"/>
    <cellStyle name="Input 9 2 3 3 2 2" xfId="44355" xr:uid="{00000000-0005-0000-0000-0000F4800000}"/>
    <cellStyle name="Input 9 2 3 3 2 3" xfId="48264" xr:uid="{00000000-0005-0000-0000-0000F5800000}"/>
    <cellStyle name="Input 9 2 3 3 2 4" xfId="36445" xr:uid="{00000000-0005-0000-0000-0000F6800000}"/>
    <cellStyle name="Input 9 2 3 3 3" xfId="20401" xr:uid="{00000000-0005-0000-0000-0000F7800000}"/>
    <cellStyle name="Input 9 2 3 3 3 2" xfId="45938" xr:uid="{00000000-0005-0000-0000-0000F8800000}"/>
    <cellStyle name="Input 9 2 3 3 3 3" xfId="49844" xr:uid="{00000000-0005-0000-0000-0000F9800000}"/>
    <cellStyle name="Input 9 2 3 3 3 4" xfId="37855" xr:uid="{00000000-0005-0000-0000-0000FA800000}"/>
    <cellStyle name="Input 9 2 3 3 4" xfId="20545" xr:uid="{00000000-0005-0000-0000-0000FB800000}"/>
    <cellStyle name="Input 9 2 3 3 4 2" xfId="46082" xr:uid="{00000000-0005-0000-0000-0000FC800000}"/>
    <cellStyle name="Input 9 2 3 3 4 3" xfId="49988" xr:uid="{00000000-0005-0000-0000-0000FD800000}"/>
    <cellStyle name="Input 9 2 3 3 4 4" xfId="37972" xr:uid="{00000000-0005-0000-0000-0000FE800000}"/>
    <cellStyle name="Input 9 2 3 3 5" xfId="21221" xr:uid="{00000000-0005-0000-0000-0000FF800000}"/>
    <cellStyle name="Input 9 2 3 3 5 2" xfId="46758" xr:uid="{00000000-0005-0000-0000-000000810000}"/>
    <cellStyle name="Input 9 2 3 3 5 3" xfId="50664" xr:uid="{00000000-0005-0000-0000-000001810000}"/>
    <cellStyle name="Input 9 2 3 3 5 4" xfId="38627" xr:uid="{00000000-0005-0000-0000-000002810000}"/>
    <cellStyle name="Input 9 2 3 3 6" xfId="21874" xr:uid="{00000000-0005-0000-0000-000003810000}"/>
    <cellStyle name="Input 9 2 3 3 6 2" xfId="47411" xr:uid="{00000000-0005-0000-0000-000004810000}"/>
    <cellStyle name="Input 9 2 3 3 6 3" xfId="51317" xr:uid="{00000000-0005-0000-0000-000005810000}"/>
    <cellStyle name="Input 9 2 3 3 7" xfId="41214" xr:uid="{00000000-0005-0000-0000-000006810000}"/>
    <cellStyle name="Input 9 2 3 3 8" xfId="39481" xr:uid="{00000000-0005-0000-0000-000007810000}"/>
    <cellStyle name="Input 9 2 3 4" xfId="14978" xr:uid="{00000000-0005-0000-0000-000008810000}"/>
    <cellStyle name="Input 9 2 3 4 2" xfId="43094" xr:uid="{00000000-0005-0000-0000-000009810000}"/>
    <cellStyle name="Input 9 2 3 4 3" xfId="39632" xr:uid="{00000000-0005-0000-0000-00000A810000}"/>
    <cellStyle name="Input 9 2 3 4 4" xfId="32613" xr:uid="{00000000-0005-0000-0000-00000B810000}"/>
    <cellStyle name="Input 9 2 3 5" xfId="13195" xr:uid="{00000000-0005-0000-0000-00000C810000}"/>
    <cellStyle name="Input 9 2 3 5 2" xfId="42416" xr:uid="{00000000-0005-0000-0000-00000D810000}"/>
    <cellStyle name="Input 9 2 3 5 3" xfId="47484" xr:uid="{00000000-0005-0000-0000-00000E810000}"/>
    <cellStyle name="Input 9 2 3 5 4" xfId="30844" xr:uid="{00000000-0005-0000-0000-00000F810000}"/>
    <cellStyle name="Input 9 2 3 6" xfId="19933" xr:uid="{00000000-0005-0000-0000-000010810000}"/>
    <cellStyle name="Input 9 2 3 6 2" xfId="45470" xr:uid="{00000000-0005-0000-0000-000011810000}"/>
    <cellStyle name="Input 9 2 3 6 3" xfId="49376" xr:uid="{00000000-0005-0000-0000-000012810000}"/>
    <cellStyle name="Input 9 2 3 6 4" xfId="37444" xr:uid="{00000000-0005-0000-0000-000013810000}"/>
    <cellStyle name="Input 9 2 3 7" xfId="11725" xr:uid="{00000000-0005-0000-0000-000014810000}"/>
    <cellStyle name="Input 9 2 3 7 2" xfId="41714" xr:uid="{00000000-0005-0000-0000-000015810000}"/>
    <cellStyle name="Input 9 2 3 7 3" xfId="42018" xr:uid="{00000000-0005-0000-0000-000016810000}"/>
    <cellStyle name="Input 9 2 3 7 4" xfId="29412" xr:uid="{00000000-0005-0000-0000-000017810000}"/>
    <cellStyle name="Input 9 2 3 8" xfId="20097" xr:uid="{00000000-0005-0000-0000-000018810000}"/>
    <cellStyle name="Input 9 2 3 8 2" xfId="45634" xr:uid="{00000000-0005-0000-0000-000019810000}"/>
    <cellStyle name="Input 9 2 3 8 3" xfId="49540" xr:uid="{00000000-0005-0000-0000-00001A810000}"/>
    <cellStyle name="Input 9 2 3 9" xfId="39954" xr:uid="{00000000-0005-0000-0000-00001B810000}"/>
    <cellStyle name="Input 9 2 4" xfId="53223" xr:uid="{00000000-0005-0000-0000-00001C810000}"/>
    <cellStyle name="Input 9 2_Sheet1" xfId="2041" xr:uid="{00000000-0005-0000-0000-00001D810000}"/>
    <cellStyle name="Input 9 3" xfId="2042" xr:uid="{00000000-0005-0000-0000-00001E810000}"/>
    <cellStyle name="Input 9 3 2" xfId="7192" xr:uid="{00000000-0005-0000-0000-00001F810000}"/>
    <cellStyle name="Input 9 3 2 10" xfId="42193" xr:uid="{00000000-0005-0000-0000-000020810000}"/>
    <cellStyle name="Input 9 3 2 2" xfId="10722" xr:uid="{00000000-0005-0000-0000-000021810000}"/>
    <cellStyle name="Input 9 3 2 2 2" xfId="18515" xr:uid="{00000000-0005-0000-0000-000022810000}"/>
    <cellStyle name="Input 9 3 2 2 2 2" xfId="44062" xr:uid="{00000000-0005-0000-0000-000023810000}"/>
    <cellStyle name="Input 9 3 2 2 2 3" xfId="47971" xr:uid="{00000000-0005-0000-0000-000024810000}"/>
    <cellStyle name="Input 9 3 2 2 2 4" xfId="36152" xr:uid="{00000000-0005-0000-0000-000025810000}"/>
    <cellStyle name="Input 9 3 2 2 3" xfId="19286" xr:uid="{00000000-0005-0000-0000-000026810000}"/>
    <cellStyle name="Input 9 3 2 2 3 2" xfId="44823" xr:uid="{00000000-0005-0000-0000-000027810000}"/>
    <cellStyle name="Input 9 3 2 2 3 3" xfId="48729" xr:uid="{00000000-0005-0000-0000-000028810000}"/>
    <cellStyle name="Input 9 3 2 2 3 4" xfId="36864" xr:uid="{00000000-0005-0000-0000-000029810000}"/>
    <cellStyle name="Input 9 3 2 2 4" xfId="19703" xr:uid="{00000000-0005-0000-0000-00002A810000}"/>
    <cellStyle name="Input 9 3 2 2 4 2" xfId="45240" xr:uid="{00000000-0005-0000-0000-00002B810000}"/>
    <cellStyle name="Input 9 3 2 2 4 3" xfId="49146" xr:uid="{00000000-0005-0000-0000-00002C810000}"/>
    <cellStyle name="Input 9 3 2 2 4 4" xfId="37231" xr:uid="{00000000-0005-0000-0000-00002D810000}"/>
    <cellStyle name="Input 9 3 2 2 5" xfId="20928" xr:uid="{00000000-0005-0000-0000-00002E810000}"/>
    <cellStyle name="Input 9 3 2 2 5 2" xfId="46465" xr:uid="{00000000-0005-0000-0000-00002F810000}"/>
    <cellStyle name="Input 9 3 2 2 5 3" xfId="50371" xr:uid="{00000000-0005-0000-0000-000030810000}"/>
    <cellStyle name="Input 9 3 2 2 5 4" xfId="38334" xr:uid="{00000000-0005-0000-0000-000031810000}"/>
    <cellStyle name="Input 9 3 2 2 6" xfId="21581" xr:uid="{00000000-0005-0000-0000-000032810000}"/>
    <cellStyle name="Input 9 3 2 2 6 2" xfId="47118" xr:uid="{00000000-0005-0000-0000-000033810000}"/>
    <cellStyle name="Input 9 3 2 2 6 3" xfId="51024" xr:uid="{00000000-0005-0000-0000-000034810000}"/>
    <cellStyle name="Input 9 3 2 2 7" xfId="40921" xr:uid="{00000000-0005-0000-0000-000035810000}"/>
    <cellStyle name="Input 9 3 2 2 8" xfId="42607" xr:uid="{00000000-0005-0000-0000-000036810000}"/>
    <cellStyle name="Input 9 3 2 3" xfId="11017" xr:uid="{00000000-0005-0000-0000-000037810000}"/>
    <cellStyle name="Input 9 3 2 3 2" xfId="18810" xr:uid="{00000000-0005-0000-0000-000038810000}"/>
    <cellStyle name="Input 9 3 2 3 2 2" xfId="44357" xr:uid="{00000000-0005-0000-0000-000039810000}"/>
    <cellStyle name="Input 9 3 2 3 2 3" xfId="48266" xr:uid="{00000000-0005-0000-0000-00003A810000}"/>
    <cellStyle name="Input 9 3 2 3 2 4" xfId="36447" xr:uid="{00000000-0005-0000-0000-00003B810000}"/>
    <cellStyle name="Input 9 3 2 3 3" xfId="20403" xr:uid="{00000000-0005-0000-0000-00003C810000}"/>
    <cellStyle name="Input 9 3 2 3 3 2" xfId="45940" xr:uid="{00000000-0005-0000-0000-00003D810000}"/>
    <cellStyle name="Input 9 3 2 3 3 3" xfId="49846" xr:uid="{00000000-0005-0000-0000-00003E810000}"/>
    <cellStyle name="Input 9 3 2 3 3 4" xfId="37857" xr:uid="{00000000-0005-0000-0000-00003F810000}"/>
    <cellStyle name="Input 9 3 2 3 4" xfId="20547" xr:uid="{00000000-0005-0000-0000-000040810000}"/>
    <cellStyle name="Input 9 3 2 3 4 2" xfId="46084" xr:uid="{00000000-0005-0000-0000-000041810000}"/>
    <cellStyle name="Input 9 3 2 3 4 3" xfId="49990" xr:uid="{00000000-0005-0000-0000-000042810000}"/>
    <cellStyle name="Input 9 3 2 3 4 4" xfId="37974" xr:uid="{00000000-0005-0000-0000-000043810000}"/>
    <cellStyle name="Input 9 3 2 3 5" xfId="21223" xr:uid="{00000000-0005-0000-0000-000044810000}"/>
    <cellStyle name="Input 9 3 2 3 5 2" xfId="46760" xr:uid="{00000000-0005-0000-0000-000045810000}"/>
    <cellStyle name="Input 9 3 2 3 5 3" xfId="50666" xr:uid="{00000000-0005-0000-0000-000046810000}"/>
    <cellStyle name="Input 9 3 2 3 5 4" xfId="38629" xr:uid="{00000000-0005-0000-0000-000047810000}"/>
    <cellStyle name="Input 9 3 2 3 6" xfId="21876" xr:uid="{00000000-0005-0000-0000-000048810000}"/>
    <cellStyle name="Input 9 3 2 3 6 2" xfId="47413" xr:uid="{00000000-0005-0000-0000-000049810000}"/>
    <cellStyle name="Input 9 3 2 3 6 3" xfId="51319" xr:uid="{00000000-0005-0000-0000-00004A810000}"/>
    <cellStyle name="Input 9 3 2 3 7" xfId="41216" xr:uid="{00000000-0005-0000-0000-00004B810000}"/>
    <cellStyle name="Input 9 3 2 3 8" xfId="43368" xr:uid="{00000000-0005-0000-0000-00004C810000}"/>
    <cellStyle name="Input 9 3 2 4" xfId="14980" xr:uid="{00000000-0005-0000-0000-00004D810000}"/>
    <cellStyle name="Input 9 3 2 4 2" xfId="43096" xr:uid="{00000000-0005-0000-0000-00004E810000}"/>
    <cellStyle name="Input 9 3 2 4 3" xfId="43556" xr:uid="{00000000-0005-0000-0000-00004F810000}"/>
    <cellStyle name="Input 9 3 2 4 4" xfId="32615" xr:uid="{00000000-0005-0000-0000-000050810000}"/>
    <cellStyle name="Input 9 3 2 5" xfId="13197" xr:uid="{00000000-0005-0000-0000-000051810000}"/>
    <cellStyle name="Input 9 3 2 5 2" xfId="42418" xr:uid="{00000000-0005-0000-0000-000052810000}"/>
    <cellStyle name="Input 9 3 2 5 3" xfId="43193" xr:uid="{00000000-0005-0000-0000-000053810000}"/>
    <cellStyle name="Input 9 3 2 5 4" xfId="30846" xr:uid="{00000000-0005-0000-0000-000054810000}"/>
    <cellStyle name="Input 9 3 2 6" xfId="13316" xr:uid="{00000000-0005-0000-0000-000055810000}"/>
    <cellStyle name="Input 9 3 2 6 2" xfId="42486" xr:uid="{00000000-0005-0000-0000-000056810000}"/>
    <cellStyle name="Input 9 3 2 6 3" xfId="41963" xr:uid="{00000000-0005-0000-0000-000057810000}"/>
    <cellStyle name="Input 9 3 2 6 4" xfId="30956" xr:uid="{00000000-0005-0000-0000-000058810000}"/>
    <cellStyle name="Input 9 3 2 7" xfId="11476" xr:uid="{00000000-0005-0000-0000-000059810000}"/>
    <cellStyle name="Input 9 3 2 7 2" xfId="41487" xr:uid="{00000000-0005-0000-0000-00005A810000}"/>
    <cellStyle name="Input 9 3 2 7 3" xfId="43218" xr:uid="{00000000-0005-0000-0000-00005B810000}"/>
    <cellStyle name="Input 9 3 2 7 4" xfId="29192" xr:uid="{00000000-0005-0000-0000-00005C810000}"/>
    <cellStyle name="Input 9 3 2 8" xfId="20118" xr:uid="{00000000-0005-0000-0000-00005D810000}"/>
    <cellStyle name="Input 9 3 2 8 2" xfId="45655" xr:uid="{00000000-0005-0000-0000-00005E810000}"/>
    <cellStyle name="Input 9 3 2 8 3" xfId="49561" xr:uid="{00000000-0005-0000-0000-00005F810000}"/>
    <cellStyle name="Input 9 3 2 9" xfId="39956" xr:uid="{00000000-0005-0000-0000-000060810000}"/>
    <cellStyle name="Input 9 3 3" xfId="53225" xr:uid="{00000000-0005-0000-0000-000061810000}"/>
    <cellStyle name="Input 9 4" xfId="7189" xr:uid="{00000000-0005-0000-0000-000062810000}"/>
    <cellStyle name="Input 9 4 10" xfId="43537" xr:uid="{00000000-0005-0000-0000-000063810000}"/>
    <cellStyle name="Input 9 4 11" xfId="53226" xr:uid="{00000000-0005-0000-0000-000064810000}"/>
    <cellStyle name="Input 9 4 2" xfId="10719" xr:uid="{00000000-0005-0000-0000-000065810000}"/>
    <cellStyle name="Input 9 4 2 2" xfId="18512" xr:uid="{00000000-0005-0000-0000-000066810000}"/>
    <cellStyle name="Input 9 4 2 2 2" xfId="44059" xr:uid="{00000000-0005-0000-0000-000067810000}"/>
    <cellStyle name="Input 9 4 2 2 3" xfId="47968" xr:uid="{00000000-0005-0000-0000-000068810000}"/>
    <cellStyle name="Input 9 4 2 2 4" xfId="36149" xr:uid="{00000000-0005-0000-0000-000069810000}"/>
    <cellStyle name="Input 9 4 2 3" xfId="20154" xr:uid="{00000000-0005-0000-0000-00006A810000}"/>
    <cellStyle name="Input 9 4 2 3 2" xfId="45691" xr:uid="{00000000-0005-0000-0000-00006B810000}"/>
    <cellStyle name="Input 9 4 2 3 3" xfId="49597" xr:uid="{00000000-0005-0000-0000-00006C810000}"/>
    <cellStyle name="Input 9 4 2 3 4" xfId="37640" xr:uid="{00000000-0005-0000-0000-00006D810000}"/>
    <cellStyle name="Input 9 4 2 4" xfId="11542" xr:uid="{00000000-0005-0000-0000-00006E810000}"/>
    <cellStyle name="Input 9 4 2 4 2" xfId="41553" xr:uid="{00000000-0005-0000-0000-00006F810000}"/>
    <cellStyle name="Input 9 4 2 4 3" xfId="42713" xr:uid="{00000000-0005-0000-0000-000070810000}"/>
    <cellStyle name="Input 9 4 2 4 4" xfId="29256" xr:uid="{00000000-0005-0000-0000-000071810000}"/>
    <cellStyle name="Input 9 4 2 5" xfId="20925" xr:uid="{00000000-0005-0000-0000-000072810000}"/>
    <cellStyle name="Input 9 4 2 5 2" xfId="46462" xr:uid="{00000000-0005-0000-0000-000073810000}"/>
    <cellStyle name="Input 9 4 2 5 3" xfId="50368" xr:uid="{00000000-0005-0000-0000-000074810000}"/>
    <cellStyle name="Input 9 4 2 5 4" xfId="38331" xr:uid="{00000000-0005-0000-0000-000075810000}"/>
    <cellStyle name="Input 9 4 2 6" xfId="21578" xr:uid="{00000000-0005-0000-0000-000076810000}"/>
    <cellStyle name="Input 9 4 2 6 2" xfId="47115" xr:uid="{00000000-0005-0000-0000-000077810000}"/>
    <cellStyle name="Input 9 4 2 6 3" xfId="51021" xr:uid="{00000000-0005-0000-0000-000078810000}"/>
    <cellStyle name="Input 9 4 2 7" xfId="40918" xr:uid="{00000000-0005-0000-0000-000079810000}"/>
    <cellStyle name="Input 9 4 2 8" xfId="43631" xr:uid="{00000000-0005-0000-0000-00007A810000}"/>
    <cellStyle name="Input 9 4 3" xfId="11014" xr:uid="{00000000-0005-0000-0000-00007B810000}"/>
    <cellStyle name="Input 9 4 3 2" xfId="18807" xr:uid="{00000000-0005-0000-0000-00007C810000}"/>
    <cellStyle name="Input 9 4 3 2 2" xfId="44354" xr:uid="{00000000-0005-0000-0000-00007D810000}"/>
    <cellStyle name="Input 9 4 3 2 3" xfId="48263" xr:uid="{00000000-0005-0000-0000-00007E810000}"/>
    <cellStyle name="Input 9 4 3 2 4" xfId="36444" xr:uid="{00000000-0005-0000-0000-00007F810000}"/>
    <cellStyle name="Input 9 4 3 3" xfId="20400" xr:uid="{00000000-0005-0000-0000-000080810000}"/>
    <cellStyle name="Input 9 4 3 3 2" xfId="45937" xr:uid="{00000000-0005-0000-0000-000081810000}"/>
    <cellStyle name="Input 9 4 3 3 3" xfId="49843" xr:uid="{00000000-0005-0000-0000-000082810000}"/>
    <cellStyle name="Input 9 4 3 3 4" xfId="37854" xr:uid="{00000000-0005-0000-0000-000083810000}"/>
    <cellStyle name="Input 9 4 3 4" xfId="20544" xr:uid="{00000000-0005-0000-0000-000084810000}"/>
    <cellStyle name="Input 9 4 3 4 2" xfId="46081" xr:uid="{00000000-0005-0000-0000-000085810000}"/>
    <cellStyle name="Input 9 4 3 4 3" xfId="49987" xr:uid="{00000000-0005-0000-0000-000086810000}"/>
    <cellStyle name="Input 9 4 3 4 4" xfId="37971" xr:uid="{00000000-0005-0000-0000-000087810000}"/>
    <cellStyle name="Input 9 4 3 5" xfId="21220" xr:uid="{00000000-0005-0000-0000-000088810000}"/>
    <cellStyle name="Input 9 4 3 5 2" xfId="46757" xr:uid="{00000000-0005-0000-0000-000089810000}"/>
    <cellStyle name="Input 9 4 3 5 3" xfId="50663" xr:uid="{00000000-0005-0000-0000-00008A810000}"/>
    <cellStyle name="Input 9 4 3 5 4" xfId="38626" xr:uid="{00000000-0005-0000-0000-00008B810000}"/>
    <cellStyle name="Input 9 4 3 6" xfId="21873" xr:uid="{00000000-0005-0000-0000-00008C810000}"/>
    <cellStyle name="Input 9 4 3 6 2" xfId="47410" xr:uid="{00000000-0005-0000-0000-00008D810000}"/>
    <cellStyle name="Input 9 4 3 6 3" xfId="51316" xr:uid="{00000000-0005-0000-0000-00008E810000}"/>
    <cellStyle name="Input 9 4 3 7" xfId="41213" xr:uid="{00000000-0005-0000-0000-00008F810000}"/>
    <cellStyle name="Input 9 4 3 8" xfId="40369" xr:uid="{00000000-0005-0000-0000-000090810000}"/>
    <cellStyle name="Input 9 4 4" xfId="14977" xr:uid="{00000000-0005-0000-0000-000091810000}"/>
    <cellStyle name="Input 9 4 4 2" xfId="43093" xr:uid="{00000000-0005-0000-0000-000092810000}"/>
    <cellStyle name="Input 9 4 4 3" xfId="40524" xr:uid="{00000000-0005-0000-0000-000093810000}"/>
    <cellStyle name="Input 9 4 4 4" xfId="32612" xr:uid="{00000000-0005-0000-0000-000094810000}"/>
    <cellStyle name="Input 9 4 5" xfId="13194" xr:uid="{00000000-0005-0000-0000-000095810000}"/>
    <cellStyle name="Input 9 4 5 2" xfId="42415" xr:uid="{00000000-0005-0000-0000-000096810000}"/>
    <cellStyle name="Input 9 4 5 3" xfId="44416" xr:uid="{00000000-0005-0000-0000-000097810000}"/>
    <cellStyle name="Input 9 4 5 4" xfId="30843" xr:uid="{00000000-0005-0000-0000-000098810000}"/>
    <cellStyle name="Input 9 4 6" xfId="12865" xr:uid="{00000000-0005-0000-0000-000099810000}"/>
    <cellStyle name="Input 9 4 6 2" xfId="42248" xr:uid="{00000000-0005-0000-0000-00009A810000}"/>
    <cellStyle name="Input 9 4 6 3" xfId="39550" xr:uid="{00000000-0005-0000-0000-00009B810000}"/>
    <cellStyle name="Input 9 4 6 4" xfId="30517" xr:uid="{00000000-0005-0000-0000-00009C810000}"/>
    <cellStyle name="Input 9 4 7" xfId="20265" xr:uid="{00000000-0005-0000-0000-00009D810000}"/>
    <cellStyle name="Input 9 4 7 2" xfId="45802" xr:uid="{00000000-0005-0000-0000-00009E810000}"/>
    <cellStyle name="Input 9 4 7 3" xfId="49708" xr:uid="{00000000-0005-0000-0000-00009F810000}"/>
    <cellStyle name="Input 9 4 7 4" xfId="37735" xr:uid="{00000000-0005-0000-0000-0000A0810000}"/>
    <cellStyle name="Input 9 4 8" xfId="19027" xr:uid="{00000000-0005-0000-0000-0000A1810000}"/>
    <cellStyle name="Input 9 4 8 2" xfId="44564" xr:uid="{00000000-0005-0000-0000-0000A2810000}"/>
    <cellStyle name="Input 9 4 8 3" xfId="48470" xr:uid="{00000000-0005-0000-0000-0000A3810000}"/>
    <cellStyle name="Input 9 4 9" xfId="39953" xr:uid="{00000000-0005-0000-0000-0000A4810000}"/>
    <cellStyle name="Input 9 5" xfId="22492" xr:uid="{00000000-0005-0000-0000-0000A5810000}"/>
    <cellStyle name="Input 9 6" xfId="22906" xr:uid="{00000000-0005-0000-0000-0000A6810000}"/>
    <cellStyle name="Input 9 7" xfId="53222" xr:uid="{00000000-0005-0000-0000-0000A7810000}"/>
    <cellStyle name="Input 9_Sheet1" xfId="2043" xr:uid="{00000000-0005-0000-0000-0000A8810000}"/>
    <cellStyle name="Linked Cell" xfId="157" builtinId="24" customBuiltin="1"/>
    <cellStyle name="Linked Cell 2" xfId="109" xr:uid="{00000000-0005-0000-0000-0000AA810000}"/>
    <cellStyle name="Linked Cell 2 2" xfId="2044" xr:uid="{00000000-0005-0000-0000-0000AB810000}"/>
    <cellStyle name="Linked Cell 2 2 2" xfId="2045" xr:uid="{00000000-0005-0000-0000-0000AC810000}"/>
    <cellStyle name="Linked Cell 2 2_Sheet1" xfId="2046" xr:uid="{00000000-0005-0000-0000-0000AD810000}"/>
    <cellStyle name="Linked Cell 2 3" xfId="2047" xr:uid="{00000000-0005-0000-0000-0000AE810000}"/>
    <cellStyle name="Linked Cell 2 4" xfId="2048" xr:uid="{00000000-0005-0000-0000-0000AF810000}"/>
    <cellStyle name="Linked Cell 2 5" xfId="4247" xr:uid="{00000000-0005-0000-0000-0000B0810000}"/>
    <cellStyle name="Linked Cell 2_Sheet1" xfId="2049" xr:uid="{00000000-0005-0000-0000-0000B1810000}"/>
    <cellStyle name="Linked Cell 3" xfId="110" xr:uid="{00000000-0005-0000-0000-0000B2810000}"/>
    <cellStyle name="Linked Cell 3 2" xfId="2050" xr:uid="{00000000-0005-0000-0000-0000B3810000}"/>
    <cellStyle name="Linked Cell 3 3" xfId="2051" xr:uid="{00000000-0005-0000-0000-0000B4810000}"/>
    <cellStyle name="Linked Cell 3 4" xfId="4248" xr:uid="{00000000-0005-0000-0000-0000B5810000}"/>
    <cellStyle name="Linked Cell 4" xfId="111" xr:uid="{00000000-0005-0000-0000-0000B6810000}"/>
    <cellStyle name="Linked Cell 4 2" xfId="2052" xr:uid="{00000000-0005-0000-0000-0000B7810000}"/>
    <cellStyle name="Linked Cell 4 3" xfId="2053" xr:uid="{00000000-0005-0000-0000-0000B8810000}"/>
    <cellStyle name="Linked Cell 4 4" xfId="4249" xr:uid="{00000000-0005-0000-0000-0000B9810000}"/>
    <cellStyle name="Linked Cell 4 5" xfId="4250" xr:uid="{00000000-0005-0000-0000-0000BA810000}"/>
    <cellStyle name="Linked Cell 5" xfId="2054" xr:uid="{00000000-0005-0000-0000-0000BB810000}"/>
    <cellStyle name="Linked Cell 5 2" xfId="4251" xr:uid="{00000000-0005-0000-0000-0000BC810000}"/>
    <cellStyle name="Linked Cell 5 3" xfId="4252" xr:uid="{00000000-0005-0000-0000-0000BD810000}"/>
    <cellStyle name="Linked Cell 6" xfId="22494" xr:uid="{00000000-0005-0000-0000-0000BE810000}"/>
    <cellStyle name="Linked Cell 7" xfId="22495" xr:uid="{00000000-0005-0000-0000-0000BF810000}"/>
    <cellStyle name="Linked Cell 8" xfId="22496" xr:uid="{00000000-0005-0000-0000-0000C0810000}"/>
    <cellStyle name="Linked Cell 9" xfId="22493" xr:uid="{00000000-0005-0000-0000-0000C1810000}"/>
    <cellStyle name="Neutral" xfId="148" builtinId="28" customBuiltin="1"/>
    <cellStyle name="Neutral 2" xfId="112" xr:uid="{00000000-0005-0000-0000-0000C3810000}"/>
    <cellStyle name="Neutral 2 10" xfId="2056" xr:uid="{00000000-0005-0000-0000-0000C4810000}"/>
    <cellStyle name="Neutral 2 11" xfId="2057" xr:uid="{00000000-0005-0000-0000-0000C5810000}"/>
    <cellStyle name="Neutral 2 12" xfId="2058" xr:uid="{00000000-0005-0000-0000-0000C6810000}"/>
    <cellStyle name="Neutral 2 13" xfId="2059" xr:uid="{00000000-0005-0000-0000-0000C7810000}"/>
    <cellStyle name="Neutral 2 14" xfId="2060" xr:uid="{00000000-0005-0000-0000-0000C8810000}"/>
    <cellStyle name="Neutral 2 15" xfId="4253" xr:uid="{00000000-0005-0000-0000-0000C9810000}"/>
    <cellStyle name="Neutral 2 16" xfId="4254" xr:uid="{00000000-0005-0000-0000-0000CA810000}"/>
    <cellStyle name="Neutral 2 17" xfId="4255" xr:uid="{00000000-0005-0000-0000-0000CB810000}"/>
    <cellStyle name="Neutral 2 18" xfId="2055" xr:uid="{00000000-0005-0000-0000-0000CC810000}"/>
    <cellStyle name="Neutral 2 2" xfId="2061" xr:uid="{00000000-0005-0000-0000-0000CD810000}"/>
    <cellStyle name="Neutral 2 2 2" xfId="2062" xr:uid="{00000000-0005-0000-0000-0000CE810000}"/>
    <cellStyle name="Neutral 2 2 3" xfId="2063" xr:uid="{00000000-0005-0000-0000-0000CF810000}"/>
    <cellStyle name="Neutral 2 2 4" xfId="4256" xr:uid="{00000000-0005-0000-0000-0000D0810000}"/>
    <cellStyle name="Neutral 2 2 5" xfId="4257" xr:uid="{00000000-0005-0000-0000-0000D1810000}"/>
    <cellStyle name="Neutral 2 2_Sheet1" xfId="2064" xr:uid="{00000000-0005-0000-0000-0000D2810000}"/>
    <cellStyle name="Neutral 2 3" xfId="2065" xr:uid="{00000000-0005-0000-0000-0000D3810000}"/>
    <cellStyle name="Neutral 2 4" xfId="2066" xr:uid="{00000000-0005-0000-0000-0000D4810000}"/>
    <cellStyle name="Neutral 2 5" xfId="2067" xr:uid="{00000000-0005-0000-0000-0000D5810000}"/>
    <cellStyle name="Neutral 2 6" xfId="2068" xr:uid="{00000000-0005-0000-0000-0000D6810000}"/>
    <cellStyle name="Neutral 2 7" xfId="2069" xr:uid="{00000000-0005-0000-0000-0000D7810000}"/>
    <cellStyle name="Neutral 2 8" xfId="2070" xr:uid="{00000000-0005-0000-0000-0000D8810000}"/>
    <cellStyle name="Neutral 2 9" xfId="2071" xr:uid="{00000000-0005-0000-0000-0000D9810000}"/>
    <cellStyle name="Neutral 2_BallGrid" xfId="2072" xr:uid="{00000000-0005-0000-0000-0000DA810000}"/>
    <cellStyle name="Neutral 3" xfId="113" xr:uid="{00000000-0005-0000-0000-0000DB810000}"/>
    <cellStyle name="Neutral 3 2" xfId="2073" xr:uid="{00000000-0005-0000-0000-0000DC810000}"/>
    <cellStyle name="Neutral 3 2 2" xfId="22498" xr:uid="{00000000-0005-0000-0000-0000DD810000}"/>
    <cellStyle name="Neutral 3 3" xfId="2074" xr:uid="{00000000-0005-0000-0000-0000DE810000}"/>
    <cellStyle name="Neutral 3 4" xfId="4258" xr:uid="{00000000-0005-0000-0000-0000DF810000}"/>
    <cellStyle name="Neutral 4" xfId="114" xr:uid="{00000000-0005-0000-0000-0000E0810000}"/>
    <cellStyle name="Neutral 4 2" xfId="2075" xr:uid="{00000000-0005-0000-0000-0000E1810000}"/>
    <cellStyle name="Neutral 4 3" xfId="2076" xr:uid="{00000000-0005-0000-0000-0000E2810000}"/>
    <cellStyle name="Neutral 4 4" xfId="4259" xr:uid="{00000000-0005-0000-0000-0000E3810000}"/>
    <cellStyle name="Neutral 4 5" xfId="4260" xr:uid="{00000000-0005-0000-0000-0000E4810000}"/>
    <cellStyle name="Neutral 5" xfId="2077" xr:uid="{00000000-0005-0000-0000-0000E5810000}"/>
    <cellStyle name="Neutral 5 2" xfId="4261" xr:uid="{00000000-0005-0000-0000-0000E6810000}"/>
    <cellStyle name="Neutral 5 3" xfId="4262" xr:uid="{00000000-0005-0000-0000-0000E7810000}"/>
    <cellStyle name="Neutral 5 4" xfId="22499" xr:uid="{00000000-0005-0000-0000-0000E8810000}"/>
    <cellStyle name="Neutral 6" xfId="22500" xr:uid="{00000000-0005-0000-0000-0000E9810000}"/>
    <cellStyle name="Neutral 7" xfId="22501" xr:uid="{00000000-0005-0000-0000-0000EA810000}"/>
    <cellStyle name="Neutral 8" xfId="22497" xr:uid="{00000000-0005-0000-0000-0000EB810000}"/>
    <cellStyle name="Normal" xfId="0" builtinId="0"/>
    <cellStyle name="Normal - Style1" xfId="2078" xr:uid="{00000000-0005-0000-0000-0000ED810000}"/>
    <cellStyle name="Normal 10" xfId="192" xr:uid="{00000000-0005-0000-0000-0000EE810000}"/>
    <cellStyle name="Normal 10 2" xfId="209" xr:uid="{00000000-0005-0000-0000-0000EF810000}"/>
    <cellStyle name="Normal 10 2 2" xfId="22752" xr:uid="{00000000-0005-0000-0000-0000F0810000}"/>
    <cellStyle name="Normal 10 2 2 2" xfId="38959" xr:uid="{00000000-0005-0000-0000-0000F1810000}"/>
    <cellStyle name="Normal 10 3" xfId="202" xr:uid="{00000000-0005-0000-0000-0000F2810000}"/>
    <cellStyle name="Normal 10 4" xfId="22502" xr:uid="{00000000-0005-0000-0000-0000F3810000}"/>
    <cellStyle name="Normal 10 4 2" xfId="38839" xr:uid="{00000000-0005-0000-0000-0000F4810000}"/>
    <cellStyle name="Normal 10 5" xfId="51900" xr:uid="{00000000-0005-0000-0000-0000F5810000}"/>
    <cellStyle name="Normal 100" xfId="2079" xr:uid="{00000000-0005-0000-0000-0000F6810000}"/>
    <cellStyle name="Normal 100 2" xfId="4263" xr:uid="{00000000-0005-0000-0000-0000F7810000}"/>
    <cellStyle name="Normal 100 3" xfId="22503" xr:uid="{00000000-0005-0000-0000-0000F8810000}"/>
    <cellStyle name="Normal 100 3 2" xfId="38840" xr:uid="{00000000-0005-0000-0000-0000F9810000}"/>
    <cellStyle name="Normal 100 4" xfId="51901" xr:uid="{00000000-0005-0000-0000-0000FA810000}"/>
    <cellStyle name="Normal 101" xfId="2080" xr:uid="{00000000-0005-0000-0000-0000FB810000}"/>
    <cellStyle name="Normal 101 2" xfId="4264" xr:uid="{00000000-0005-0000-0000-0000FC810000}"/>
    <cellStyle name="Normal 101 3" xfId="22504" xr:uid="{00000000-0005-0000-0000-0000FD810000}"/>
    <cellStyle name="Normal 101 3 2" xfId="38841" xr:uid="{00000000-0005-0000-0000-0000FE810000}"/>
    <cellStyle name="Normal 101 4" xfId="51902" xr:uid="{00000000-0005-0000-0000-0000FF810000}"/>
    <cellStyle name="Normal 102" xfId="2081" xr:uid="{00000000-0005-0000-0000-000000820000}"/>
    <cellStyle name="Normal 102 10" xfId="51903" xr:uid="{00000000-0005-0000-0000-000001820000}"/>
    <cellStyle name="Normal 102 2" xfId="4265" xr:uid="{00000000-0005-0000-0000-000002820000}"/>
    <cellStyle name="Normal 102 2 2" xfId="8471" xr:uid="{00000000-0005-0000-0000-000003820000}"/>
    <cellStyle name="Normal 102 2 2 2" xfId="16267" xr:uid="{00000000-0005-0000-0000-000004820000}"/>
    <cellStyle name="Normal 102 2 2 2 2" xfId="33902" xr:uid="{00000000-0005-0000-0000-000005820000}"/>
    <cellStyle name="Normal 102 2 2 3" xfId="26872" xr:uid="{00000000-0005-0000-0000-000006820000}"/>
    <cellStyle name="Normal 102 2 3" xfId="12700" xr:uid="{00000000-0005-0000-0000-000007820000}"/>
    <cellStyle name="Normal 102 2 3 2" xfId="30360" xr:uid="{00000000-0005-0000-0000-000008820000}"/>
    <cellStyle name="Normal 102 2 4" xfId="24007" xr:uid="{00000000-0005-0000-0000-000009820000}"/>
    <cellStyle name="Normal 102 3" xfId="5787" xr:uid="{00000000-0005-0000-0000-00000A820000}"/>
    <cellStyle name="Normal 102 3 2" xfId="9087" xr:uid="{00000000-0005-0000-0000-00000B820000}"/>
    <cellStyle name="Normal 102 3 2 2" xfId="16882" xr:uid="{00000000-0005-0000-0000-00000C820000}"/>
    <cellStyle name="Normal 102 3 2 2 2" xfId="34518" xr:uid="{00000000-0005-0000-0000-00000D820000}"/>
    <cellStyle name="Normal 102 3 2 3" xfId="27475" xr:uid="{00000000-0005-0000-0000-00000E820000}"/>
    <cellStyle name="Normal 102 3 3" xfId="13643" xr:uid="{00000000-0005-0000-0000-00000F820000}"/>
    <cellStyle name="Normal 102 3 3 2" xfId="31283" xr:uid="{00000000-0005-0000-0000-000010820000}"/>
    <cellStyle name="Normal 102 3 4" xfId="24610" xr:uid="{00000000-0005-0000-0000-000011820000}"/>
    <cellStyle name="Normal 102 4" xfId="6417" xr:uid="{00000000-0005-0000-0000-000012820000}"/>
    <cellStyle name="Normal 102 4 2" xfId="9627" xr:uid="{00000000-0005-0000-0000-000013820000}"/>
    <cellStyle name="Normal 102 4 2 2" xfId="17421" xr:uid="{00000000-0005-0000-0000-000014820000}"/>
    <cellStyle name="Normal 102 4 2 2 2" xfId="35058" xr:uid="{00000000-0005-0000-0000-000015820000}"/>
    <cellStyle name="Normal 102 4 2 3" xfId="28011" xr:uid="{00000000-0005-0000-0000-000016820000}"/>
    <cellStyle name="Normal 102 4 3" xfId="14206" xr:uid="{00000000-0005-0000-0000-000017820000}"/>
    <cellStyle name="Normal 102 4 3 2" xfId="31841" xr:uid="{00000000-0005-0000-0000-000018820000}"/>
    <cellStyle name="Normal 102 4 4" xfId="25147" xr:uid="{00000000-0005-0000-0000-000019820000}"/>
    <cellStyle name="Normal 102 5" xfId="7193" xr:uid="{00000000-0005-0000-0000-00001A820000}"/>
    <cellStyle name="Normal 102 5 2" xfId="10181" xr:uid="{00000000-0005-0000-0000-00001B820000}"/>
    <cellStyle name="Normal 102 5 2 2" xfId="17974" xr:uid="{00000000-0005-0000-0000-00001C820000}"/>
    <cellStyle name="Normal 102 5 2 2 2" xfId="35611" xr:uid="{00000000-0005-0000-0000-00001D820000}"/>
    <cellStyle name="Normal 102 5 2 3" xfId="28548" xr:uid="{00000000-0005-0000-0000-00001E820000}"/>
    <cellStyle name="Normal 102 5 3" xfId="14981" xr:uid="{00000000-0005-0000-0000-00001F820000}"/>
    <cellStyle name="Normal 102 5 3 2" xfId="32616" xr:uid="{00000000-0005-0000-0000-000020820000}"/>
    <cellStyle name="Normal 102 5 4" xfId="25685" xr:uid="{00000000-0005-0000-0000-000021820000}"/>
    <cellStyle name="Normal 102 6" xfId="7792" xr:uid="{00000000-0005-0000-0000-000022820000}"/>
    <cellStyle name="Normal 102 6 2" xfId="15589" xr:uid="{00000000-0005-0000-0000-000023820000}"/>
    <cellStyle name="Normal 102 6 2 2" xfId="33224" xr:uid="{00000000-0005-0000-0000-000024820000}"/>
    <cellStyle name="Normal 102 6 3" xfId="26208" xr:uid="{00000000-0005-0000-0000-000025820000}"/>
    <cellStyle name="Normal 102 7" xfId="11686" xr:uid="{00000000-0005-0000-0000-000026820000}"/>
    <cellStyle name="Normal 102 7 2" xfId="29379" xr:uid="{00000000-0005-0000-0000-000027820000}"/>
    <cellStyle name="Normal 102 8" xfId="21960" xr:uid="{00000000-0005-0000-0000-000028820000}"/>
    <cellStyle name="Normal 102 8 2" xfId="38711" xr:uid="{00000000-0005-0000-0000-000029820000}"/>
    <cellStyle name="Normal 102 9" xfId="23343" xr:uid="{00000000-0005-0000-0000-00002A820000}"/>
    <cellStyle name="Normal 103" xfId="2082" xr:uid="{00000000-0005-0000-0000-00002B820000}"/>
    <cellStyle name="Normal 103 10" xfId="51904" xr:uid="{00000000-0005-0000-0000-00002C820000}"/>
    <cellStyle name="Normal 103 2" xfId="4266" xr:uid="{00000000-0005-0000-0000-00002D820000}"/>
    <cellStyle name="Normal 103 2 2" xfId="8472" xr:uid="{00000000-0005-0000-0000-00002E820000}"/>
    <cellStyle name="Normal 103 2 2 2" xfId="16268" xr:uid="{00000000-0005-0000-0000-00002F820000}"/>
    <cellStyle name="Normal 103 2 2 2 2" xfId="33903" xr:uid="{00000000-0005-0000-0000-000030820000}"/>
    <cellStyle name="Normal 103 2 2 3" xfId="26873" xr:uid="{00000000-0005-0000-0000-000031820000}"/>
    <cellStyle name="Normal 103 2 3" xfId="12701" xr:uid="{00000000-0005-0000-0000-000032820000}"/>
    <cellStyle name="Normal 103 2 3 2" xfId="30361" xr:uid="{00000000-0005-0000-0000-000033820000}"/>
    <cellStyle name="Normal 103 2 4" xfId="24008" xr:uid="{00000000-0005-0000-0000-000034820000}"/>
    <cellStyle name="Normal 103 3" xfId="5788" xr:uid="{00000000-0005-0000-0000-000035820000}"/>
    <cellStyle name="Normal 103 3 2" xfId="9088" xr:uid="{00000000-0005-0000-0000-000036820000}"/>
    <cellStyle name="Normal 103 3 2 2" xfId="16883" xr:uid="{00000000-0005-0000-0000-000037820000}"/>
    <cellStyle name="Normal 103 3 2 2 2" xfId="34519" xr:uid="{00000000-0005-0000-0000-000038820000}"/>
    <cellStyle name="Normal 103 3 2 3" xfId="27476" xr:uid="{00000000-0005-0000-0000-000039820000}"/>
    <cellStyle name="Normal 103 3 3" xfId="13644" xr:uid="{00000000-0005-0000-0000-00003A820000}"/>
    <cellStyle name="Normal 103 3 3 2" xfId="31284" xr:uid="{00000000-0005-0000-0000-00003B820000}"/>
    <cellStyle name="Normal 103 3 4" xfId="24611" xr:uid="{00000000-0005-0000-0000-00003C820000}"/>
    <cellStyle name="Normal 103 4" xfId="6418" xr:uid="{00000000-0005-0000-0000-00003D820000}"/>
    <cellStyle name="Normal 103 4 2" xfId="9628" xr:uid="{00000000-0005-0000-0000-00003E820000}"/>
    <cellStyle name="Normal 103 4 2 2" xfId="17422" xr:uid="{00000000-0005-0000-0000-00003F820000}"/>
    <cellStyle name="Normal 103 4 2 2 2" xfId="35059" xr:uid="{00000000-0005-0000-0000-000040820000}"/>
    <cellStyle name="Normal 103 4 2 3" xfId="28012" xr:uid="{00000000-0005-0000-0000-000041820000}"/>
    <cellStyle name="Normal 103 4 3" xfId="14207" xr:uid="{00000000-0005-0000-0000-000042820000}"/>
    <cellStyle name="Normal 103 4 3 2" xfId="31842" xr:uid="{00000000-0005-0000-0000-000043820000}"/>
    <cellStyle name="Normal 103 4 4" xfId="25148" xr:uid="{00000000-0005-0000-0000-000044820000}"/>
    <cellStyle name="Normal 103 5" xfId="7194" xr:uid="{00000000-0005-0000-0000-000045820000}"/>
    <cellStyle name="Normal 103 5 2" xfId="10182" xr:uid="{00000000-0005-0000-0000-000046820000}"/>
    <cellStyle name="Normal 103 5 2 2" xfId="17975" xr:uid="{00000000-0005-0000-0000-000047820000}"/>
    <cellStyle name="Normal 103 5 2 2 2" xfId="35612" xr:uid="{00000000-0005-0000-0000-000048820000}"/>
    <cellStyle name="Normal 103 5 2 3" xfId="28549" xr:uid="{00000000-0005-0000-0000-000049820000}"/>
    <cellStyle name="Normal 103 5 3" xfId="14982" xr:uid="{00000000-0005-0000-0000-00004A820000}"/>
    <cellStyle name="Normal 103 5 3 2" xfId="32617" xr:uid="{00000000-0005-0000-0000-00004B820000}"/>
    <cellStyle name="Normal 103 5 4" xfId="25686" xr:uid="{00000000-0005-0000-0000-00004C820000}"/>
    <cellStyle name="Normal 103 6" xfId="7793" xr:uid="{00000000-0005-0000-0000-00004D820000}"/>
    <cellStyle name="Normal 103 6 2" xfId="15590" xr:uid="{00000000-0005-0000-0000-00004E820000}"/>
    <cellStyle name="Normal 103 6 2 2" xfId="33225" xr:uid="{00000000-0005-0000-0000-00004F820000}"/>
    <cellStyle name="Normal 103 6 3" xfId="26209" xr:uid="{00000000-0005-0000-0000-000050820000}"/>
    <cellStyle name="Normal 103 7" xfId="11687" xr:uid="{00000000-0005-0000-0000-000051820000}"/>
    <cellStyle name="Normal 103 7 2" xfId="29380" xr:uid="{00000000-0005-0000-0000-000052820000}"/>
    <cellStyle name="Normal 103 8" xfId="21961" xr:uid="{00000000-0005-0000-0000-000053820000}"/>
    <cellStyle name="Normal 103 8 2" xfId="38712" xr:uid="{00000000-0005-0000-0000-000054820000}"/>
    <cellStyle name="Normal 103 9" xfId="23344" xr:uid="{00000000-0005-0000-0000-000055820000}"/>
    <cellStyle name="Normal 104" xfId="2083" xr:uid="{00000000-0005-0000-0000-000056820000}"/>
    <cellStyle name="Normal 104 10" xfId="51905" xr:uid="{00000000-0005-0000-0000-000057820000}"/>
    <cellStyle name="Normal 104 2" xfId="4267" xr:uid="{00000000-0005-0000-0000-000058820000}"/>
    <cellStyle name="Normal 104 2 2" xfId="8473" xr:uid="{00000000-0005-0000-0000-000059820000}"/>
    <cellStyle name="Normal 104 2 2 2" xfId="16269" xr:uid="{00000000-0005-0000-0000-00005A820000}"/>
    <cellStyle name="Normal 104 2 2 2 2" xfId="33904" xr:uid="{00000000-0005-0000-0000-00005B820000}"/>
    <cellStyle name="Normal 104 2 2 3" xfId="26874" xr:uid="{00000000-0005-0000-0000-00005C820000}"/>
    <cellStyle name="Normal 104 2 3" xfId="12702" xr:uid="{00000000-0005-0000-0000-00005D820000}"/>
    <cellStyle name="Normal 104 2 3 2" xfId="30362" xr:uid="{00000000-0005-0000-0000-00005E820000}"/>
    <cellStyle name="Normal 104 2 4" xfId="24009" xr:uid="{00000000-0005-0000-0000-00005F820000}"/>
    <cellStyle name="Normal 104 3" xfId="5789" xr:uid="{00000000-0005-0000-0000-000060820000}"/>
    <cellStyle name="Normal 104 3 2" xfId="9089" xr:uid="{00000000-0005-0000-0000-000061820000}"/>
    <cellStyle name="Normal 104 3 2 2" xfId="16884" xr:uid="{00000000-0005-0000-0000-000062820000}"/>
    <cellStyle name="Normal 104 3 2 2 2" xfId="34520" xr:uid="{00000000-0005-0000-0000-000063820000}"/>
    <cellStyle name="Normal 104 3 2 3" xfId="27477" xr:uid="{00000000-0005-0000-0000-000064820000}"/>
    <cellStyle name="Normal 104 3 3" xfId="13645" xr:uid="{00000000-0005-0000-0000-000065820000}"/>
    <cellStyle name="Normal 104 3 3 2" xfId="31285" xr:uid="{00000000-0005-0000-0000-000066820000}"/>
    <cellStyle name="Normal 104 3 4" xfId="24612" xr:uid="{00000000-0005-0000-0000-000067820000}"/>
    <cellStyle name="Normal 104 4" xfId="6419" xr:uid="{00000000-0005-0000-0000-000068820000}"/>
    <cellStyle name="Normal 104 4 2" xfId="9629" xr:uid="{00000000-0005-0000-0000-000069820000}"/>
    <cellStyle name="Normal 104 4 2 2" xfId="17423" xr:uid="{00000000-0005-0000-0000-00006A820000}"/>
    <cellStyle name="Normal 104 4 2 2 2" xfId="35060" xr:uid="{00000000-0005-0000-0000-00006B820000}"/>
    <cellStyle name="Normal 104 4 2 3" xfId="28013" xr:uid="{00000000-0005-0000-0000-00006C820000}"/>
    <cellStyle name="Normal 104 4 3" xfId="14208" xr:uid="{00000000-0005-0000-0000-00006D820000}"/>
    <cellStyle name="Normal 104 4 3 2" xfId="31843" xr:uid="{00000000-0005-0000-0000-00006E820000}"/>
    <cellStyle name="Normal 104 4 4" xfId="25149" xr:uid="{00000000-0005-0000-0000-00006F820000}"/>
    <cellStyle name="Normal 104 5" xfId="7195" xr:uid="{00000000-0005-0000-0000-000070820000}"/>
    <cellStyle name="Normal 104 5 2" xfId="10183" xr:uid="{00000000-0005-0000-0000-000071820000}"/>
    <cellStyle name="Normal 104 5 2 2" xfId="17976" xr:uid="{00000000-0005-0000-0000-000072820000}"/>
    <cellStyle name="Normal 104 5 2 2 2" xfId="35613" xr:uid="{00000000-0005-0000-0000-000073820000}"/>
    <cellStyle name="Normal 104 5 2 3" xfId="28550" xr:uid="{00000000-0005-0000-0000-000074820000}"/>
    <cellStyle name="Normal 104 5 3" xfId="14983" xr:uid="{00000000-0005-0000-0000-000075820000}"/>
    <cellStyle name="Normal 104 5 3 2" xfId="32618" xr:uid="{00000000-0005-0000-0000-000076820000}"/>
    <cellStyle name="Normal 104 5 4" xfId="25687" xr:uid="{00000000-0005-0000-0000-000077820000}"/>
    <cellStyle name="Normal 104 6" xfId="7794" xr:uid="{00000000-0005-0000-0000-000078820000}"/>
    <cellStyle name="Normal 104 6 2" xfId="15591" xr:uid="{00000000-0005-0000-0000-000079820000}"/>
    <cellStyle name="Normal 104 6 2 2" xfId="33226" xr:uid="{00000000-0005-0000-0000-00007A820000}"/>
    <cellStyle name="Normal 104 6 3" xfId="26210" xr:uid="{00000000-0005-0000-0000-00007B820000}"/>
    <cellStyle name="Normal 104 7" xfId="11688" xr:uid="{00000000-0005-0000-0000-00007C820000}"/>
    <cellStyle name="Normal 104 7 2" xfId="29381" xr:uid="{00000000-0005-0000-0000-00007D820000}"/>
    <cellStyle name="Normal 104 8" xfId="21962" xr:uid="{00000000-0005-0000-0000-00007E820000}"/>
    <cellStyle name="Normal 104 8 2" xfId="38713" xr:uid="{00000000-0005-0000-0000-00007F820000}"/>
    <cellStyle name="Normal 104 9" xfId="23345" xr:uid="{00000000-0005-0000-0000-000080820000}"/>
    <cellStyle name="Normal 105" xfId="2084" xr:uid="{00000000-0005-0000-0000-000081820000}"/>
    <cellStyle name="Normal 105 10" xfId="51906" xr:uid="{00000000-0005-0000-0000-000082820000}"/>
    <cellStyle name="Normal 105 2" xfId="4268" xr:uid="{00000000-0005-0000-0000-000083820000}"/>
    <cellStyle name="Normal 105 2 2" xfId="8474" xr:uid="{00000000-0005-0000-0000-000084820000}"/>
    <cellStyle name="Normal 105 2 2 2" xfId="16270" xr:uid="{00000000-0005-0000-0000-000085820000}"/>
    <cellStyle name="Normal 105 2 2 2 2" xfId="33905" xr:uid="{00000000-0005-0000-0000-000086820000}"/>
    <cellStyle name="Normal 105 2 2 3" xfId="26875" xr:uid="{00000000-0005-0000-0000-000087820000}"/>
    <cellStyle name="Normal 105 2 3" xfId="12703" xr:uid="{00000000-0005-0000-0000-000088820000}"/>
    <cellStyle name="Normal 105 2 3 2" xfId="30363" xr:uid="{00000000-0005-0000-0000-000089820000}"/>
    <cellStyle name="Normal 105 2 4" xfId="24010" xr:uid="{00000000-0005-0000-0000-00008A820000}"/>
    <cellStyle name="Normal 105 3" xfId="5790" xr:uid="{00000000-0005-0000-0000-00008B820000}"/>
    <cellStyle name="Normal 105 3 2" xfId="9090" xr:uid="{00000000-0005-0000-0000-00008C820000}"/>
    <cellStyle name="Normal 105 3 2 2" xfId="16885" xr:uid="{00000000-0005-0000-0000-00008D820000}"/>
    <cellStyle name="Normal 105 3 2 2 2" xfId="34521" xr:uid="{00000000-0005-0000-0000-00008E820000}"/>
    <cellStyle name="Normal 105 3 2 3" xfId="27478" xr:uid="{00000000-0005-0000-0000-00008F820000}"/>
    <cellStyle name="Normal 105 3 3" xfId="13646" xr:uid="{00000000-0005-0000-0000-000090820000}"/>
    <cellStyle name="Normal 105 3 3 2" xfId="31286" xr:uid="{00000000-0005-0000-0000-000091820000}"/>
    <cellStyle name="Normal 105 3 4" xfId="24613" xr:uid="{00000000-0005-0000-0000-000092820000}"/>
    <cellStyle name="Normal 105 4" xfId="6420" xr:uid="{00000000-0005-0000-0000-000093820000}"/>
    <cellStyle name="Normal 105 4 2" xfId="9630" xr:uid="{00000000-0005-0000-0000-000094820000}"/>
    <cellStyle name="Normal 105 4 2 2" xfId="17424" xr:uid="{00000000-0005-0000-0000-000095820000}"/>
    <cellStyle name="Normal 105 4 2 2 2" xfId="35061" xr:uid="{00000000-0005-0000-0000-000096820000}"/>
    <cellStyle name="Normal 105 4 2 3" xfId="28014" xr:uid="{00000000-0005-0000-0000-000097820000}"/>
    <cellStyle name="Normal 105 4 3" xfId="14209" xr:uid="{00000000-0005-0000-0000-000098820000}"/>
    <cellStyle name="Normal 105 4 3 2" xfId="31844" xr:uid="{00000000-0005-0000-0000-000099820000}"/>
    <cellStyle name="Normal 105 4 4" xfId="25150" xr:uid="{00000000-0005-0000-0000-00009A820000}"/>
    <cellStyle name="Normal 105 5" xfId="7196" xr:uid="{00000000-0005-0000-0000-00009B820000}"/>
    <cellStyle name="Normal 105 5 2" xfId="10184" xr:uid="{00000000-0005-0000-0000-00009C820000}"/>
    <cellStyle name="Normal 105 5 2 2" xfId="17977" xr:uid="{00000000-0005-0000-0000-00009D820000}"/>
    <cellStyle name="Normal 105 5 2 2 2" xfId="35614" xr:uid="{00000000-0005-0000-0000-00009E820000}"/>
    <cellStyle name="Normal 105 5 2 3" xfId="28551" xr:uid="{00000000-0005-0000-0000-00009F820000}"/>
    <cellStyle name="Normal 105 5 3" xfId="14984" xr:uid="{00000000-0005-0000-0000-0000A0820000}"/>
    <cellStyle name="Normal 105 5 3 2" xfId="32619" xr:uid="{00000000-0005-0000-0000-0000A1820000}"/>
    <cellStyle name="Normal 105 5 4" xfId="25688" xr:uid="{00000000-0005-0000-0000-0000A2820000}"/>
    <cellStyle name="Normal 105 6" xfId="7795" xr:uid="{00000000-0005-0000-0000-0000A3820000}"/>
    <cellStyle name="Normal 105 6 2" xfId="15592" xr:uid="{00000000-0005-0000-0000-0000A4820000}"/>
    <cellStyle name="Normal 105 6 2 2" xfId="33227" xr:uid="{00000000-0005-0000-0000-0000A5820000}"/>
    <cellStyle name="Normal 105 6 3" xfId="26211" xr:uid="{00000000-0005-0000-0000-0000A6820000}"/>
    <cellStyle name="Normal 105 7" xfId="11689" xr:uid="{00000000-0005-0000-0000-0000A7820000}"/>
    <cellStyle name="Normal 105 7 2" xfId="29382" xr:uid="{00000000-0005-0000-0000-0000A8820000}"/>
    <cellStyle name="Normal 105 8" xfId="21963" xr:uid="{00000000-0005-0000-0000-0000A9820000}"/>
    <cellStyle name="Normal 105 8 2" xfId="38714" xr:uid="{00000000-0005-0000-0000-0000AA820000}"/>
    <cellStyle name="Normal 105 9" xfId="23346" xr:uid="{00000000-0005-0000-0000-0000AB820000}"/>
    <cellStyle name="Normal 106" xfId="2085" xr:uid="{00000000-0005-0000-0000-0000AC820000}"/>
    <cellStyle name="Normal 106 2" xfId="4269" xr:uid="{00000000-0005-0000-0000-0000AD820000}"/>
    <cellStyle name="Normal 106 3" xfId="22505" xr:uid="{00000000-0005-0000-0000-0000AE820000}"/>
    <cellStyle name="Normal 106 3 2" xfId="38842" xr:uid="{00000000-0005-0000-0000-0000AF820000}"/>
    <cellStyle name="Normal 106 4" xfId="51907" xr:uid="{00000000-0005-0000-0000-0000B0820000}"/>
    <cellStyle name="Normal 107" xfId="115" xr:uid="{00000000-0005-0000-0000-0000B1820000}"/>
    <cellStyle name="Normal 107 10" xfId="2086" xr:uid="{00000000-0005-0000-0000-0000B2820000}"/>
    <cellStyle name="Normal 107 10 2" xfId="2087" xr:uid="{00000000-0005-0000-0000-0000B3820000}"/>
    <cellStyle name="Normal 107 10 3" xfId="51908" xr:uid="{00000000-0005-0000-0000-0000B4820000}"/>
    <cellStyle name="Normal 107 11" xfId="2088" xr:uid="{00000000-0005-0000-0000-0000B5820000}"/>
    <cellStyle name="Normal 107 11 2" xfId="2089" xr:uid="{00000000-0005-0000-0000-0000B6820000}"/>
    <cellStyle name="Normal 107 11 2 2" xfId="51910" xr:uid="{00000000-0005-0000-0000-0000B7820000}"/>
    <cellStyle name="Normal 107 11 3" xfId="2090" xr:uid="{00000000-0005-0000-0000-0000B8820000}"/>
    <cellStyle name="Normal 107 11 3 2" xfId="2091" xr:uid="{00000000-0005-0000-0000-0000B9820000}"/>
    <cellStyle name="Normal 107 11 3 3" xfId="2092" xr:uid="{00000000-0005-0000-0000-0000BA820000}"/>
    <cellStyle name="Normal 107 11 3 4" xfId="2093" xr:uid="{00000000-0005-0000-0000-0000BB820000}"/>
    <cellStyle name="Normal 107 11 4" xfId="51909" xr:uid="{00000000-0005-0000-0000-0000BC820000}"/>
    <cellStyle name="Normal 107 12" xfId="2094" xr:uid="{00000000-0005-0000-0000-0000BD820000}"/>
    <cellStyle name="Normal 107 12 2" xfId="2095" xr:uid="{00000000-0005-0000-0000-0000BE820000}"/>
    <cellStyle name="Normal 107 12 3" xfId="2096" xr:uid="{00000000-0005-0000-0000-0000BF820000}"/>
    <cellStyle name="Normal 107 13" xfId="2097" xr:uid="{00000000-0005-0000-0000-0000C0820000}"/>
    <cellStyle name="Normal 107 14" xfId="2098" xr:uid="{00000000-0005-0000-0000-0000C1820000}"/>
    <cellStyle name="Normal 107 15" xfId="2099" xr:uid="{00000000-0005-0000-0000-0000C2820000}"/>
    <cellStyle name="Normal 107 2" xfId="116" xr:uid="{00000000-0005-0000-0000-0000C3820000}"/>
    <cellStyle name="Normal 107 2 2" xfId="4270" xr:uid="{00000000-0005-0000-0000-0000C4820000}"/>
    <cellStyle name="Normal 107 2 3" xfId="51911" xr:uid="{00000000-0005-0000-0000-0000C5820000}"/>
    <cellStyle name="Normal 107 3" xfId="188" xr:uid="{00000000-0005-0000-0000-0000C6820000}"/>
    <cellStyle name="Normal 107 3 2" xfId="2100" xr:uid="{00000000-0005-0000-0000-0000C7820000}"/>
    <cellStyle name="Normal 107 3 2 2" xfId="4272" xr:uid="{00000000-0005-0000-0000-0000C8820000}"/>
    <cellStyle name="Normal 107 3 2 3" xfId="51913" xr:uid="{00000000-0005-0000-0000-0000C9820000}"/>
    <cellStyle name="Normal 107 3 3" xfId="4271" xr:uid="{00000000-0005-0000-0000-0000CA820000}"/>
    <cellStyle name="Normal 107 3 4" xfId="51912" xr:uid="{00000000-0005-0000-0000-0000CB820000}"/>
    <cellStyle name="Normal 107 4" xfId="2101" xr:uid="{00000000-0005-0000-0000-0000CC820000}"/>
    <cellStyle name="Normal 107 4 2" xfId="2102" xr:uid="{00000000-0005-0000-0000-0000CD820000}"/>
    <cellStyle name="Normal 107 4 2 2" xfId="4274" xr:uid="{00000000-0005-0000-0000-0000CE820000}"/>
    <cellStyle name="Normal 107 4 2 3" xfId="51915" xr:uid="{00000000-0005-0000-0000-0000CF820000}"/>
    <cellStyle name="Normal 107 4 3" xfId="2103" xr:uid="{00000000-0005-0000-0000-0000D0820000}"/>
    <cellStyle name="Normal 107 4 3 2" xfId="4275" xr:uid="{00000000-0005-0000-0000-0000D1820000}"/>
    <cellStyle name="Normal 107 4 3 3" xfId="51916" xr:uid="{00000000-0005-0000-0000-0000D2820000}"/>
    <cellStyle name="Normal 107 4 4" xfId="2104" xr:uid="{00000000-0005-0000-0000-0000D3820000}"/>
    <cellStyle name="Normal 107 4 4 2" xfId="2105" xr:uid="{00000000-0005-0000-0000-0000D4820000}"/>
    <cellStyle name="Normal 107 4 4 2 2" xfId="4277" xr:uid="{00000000-0005-0000-0000-0000D5820000}"/>
    <cellStyle name="Normal 107 4 4 2 3" xfId="51918" xr:uid="{00000000-0005-0000-0000-0000D6820000}"/>
    <cellStyle name="Normal 107 4 4 3" xfId="4276" xr:uid="{00000000-0005-0000-0000-0000D7820000}"/>
    <cellStyle name="Normal 107 4 4 4" xfId="51917" xr:uid="{00000000-0005-0000-0000-0000D8820000}"/>
    <cellStyle name="Normal 107 4 5" xfId="2106" xr:uid="{00000000-0005-0000-0000-0000D9820000}"/>
    <cellStyle name="Normal 107 4 5 2" xfId="2107" xr:uid="{00000000-0005-0000-0000-0000DA820000}"/>
    <cellStyle name="Normal 107 4 5 2 2" xfId="4279" xr:uid="{00000000-0005-0000-0000-0000DB820000}"/>
    <cellStyle name="Normal 107 4 5 2 3" xfId="51920" xr:uid="{00000000-0005-0000-0000-0000DC820000}"/>
    <cellStyle name="Normal 107 4 5 3" xfId="2108" xr:uid="{00000000-0005-0000-0000-0000DD820000}"/>
    <cellStyle name="Normal 107 4 5 3 2" xfId="2109" xr:uid="{00000000-0005-0000-0000-0000DE820000}"/>
    <cellStyle name="Normal 107 4 5 3 2 2" xfId="4281" xr:uid="{00000000-0005-0000-0000-0000DF820000}"/>
    <cellStyle name="Normal 107 4 5 3 2 3" xfId="51922" xr:uid="{00000000-0005-0000-0000-0000E0820000}"/>
    <cellStyle name="Normal 107 4 5 3 3" xfId="2110" xr:uid="{00000000-0005-0000-0000-0000E1820000}"/>
    <cellStyle name="Normal 107 4 5 3 3 2" xfId="2111" xr:uid="{00000000-0005-0000-0000-0000E2820000}"/>
    <cellStyle name="Normal 107 4 5 3 3 2 2" xfId="4283" xr:uid="{00000000-0005-0000-0000-0000E3820000}"/>
    <cellStyle name="Normal 107 4 5 3 3 2 3" xfId="51924" xr:uid="{00000000-0005-0000-0000-0000E4820000}"/>
    <cellStyle name="Normal 107 4 5 3 3 3" xfId="4282" xr:uid="{00000000-0005-0000-0000-0000E5820000}"/>
    <cellStyle name="Normal 107 4 5 3 3 4" xfId="51923" xr:uid="{00000000-0005-0000-0000-0000E6820000}"/>
    <cellStyle name="Normal 107 4 5 3 4" xfId="4284" xr:uid="{00000000-0005-0000-0000-0000E7820000}"/>
    <cellStyle name="Normal 107 4 5 3 5" xfId="4280" xr:uid="{00000000-0005-0000-0000-0000E8820000}"/>
    <cellStyle name="Normal 107 4 5 3 6" xfId="51921" xr:uid="{00000000-0005-0000-0000-0000E9820000}"/>
    <cellStyle name="Normal 107 4 5 4" xfId="4278" xr:uid="{00000000-0005-0000-0000-0000EA820000}"/>
    <cellStyle name="Normal 107 4 5 5" xfId="51919" xr:uid="{00000000-0005-0000-0000-0000EB820000}"/>
    <cellStyle name="Normal 107 4 6" xfId="4273" xr:uid="{00000000-0005-0000-0000-0000EC820000}"/>
    <cellStyle name="Normal 107 4 7" xfId="22506" xr:uid="{00000000-0005-0000-0000-0000ED820000}"/>
    <cellStyle name="Normal 107 4 7 2" xfId="38843" xr:uid="{00000000-0005-0000-0000-0000EE820000}"/>
    <cellStyle name="Normal 107 4 8" xfId="51914" xr:uid="{00000000-0005-0000-0000-0000EF820000}"/>
    <cellStyle name="Normal 107 5" xfId="2112" xr:uid="{00000000-0005-0000-0000-0000F0820000}"/>
    <cellStyle name="Normal 107 5 2" xfId="4285" xr:uid="{00000000-0005-0000-0000-0000F1820000}"/>
    <cellStyle name="Normal 107 5 3" xfId="51925" xr:uid="{00000000-0005-0000-0000-0000F2820000}"/>
    <cellStyle name="Normal 107 6" xfId="2113" xr:uid="{00000000-0005-0000-0000-0000F3820000}"/>
    <cellStyle name="Normal 107 6 2" xfId="2114" xr:uid="{00000000-0005-0000-0000-0000F4820000}"/>
    <cellStyle name="Normal 107 6 2 2" xfId="4287" xr:uid="{00000000-0005-0000-0000-0000F5820000}"/>
    <cellStyle name="Normal 107 6 2 3" xfId="51927" xr:uid="{00000000-0005-0000-0000-0000F6820000}"/>
    <cellStyle name="Normal 107 6 3" xfId="4286" xr:uid="{00000000-0005-0000-0000-0000F7820000}"/>
    <cellStyle name="Normal 107 6 4" xfId="51926" xr:uid="{00000000-0005-0000-0000-0000F8820000}"/>
    <cellStyle name="Normal 107 7" xfId="2115" xr:uid="{00000000-0005-0000-0000-0000F9820000}"/>
    <cellStyle name="Normal 107 7 2" xfId="2116" xr:uid="{00000000-0005-0000-0000-0000FA820000}"/>
    <cellStyle name="Normal 107 7 2 2" xfId="4289" xr:uid="{00000000-0005-0000-0000-0000FB820000}"/>
    <cellStyle name="Normal 107 7 2 3" xfId="51929" xr:uid="{00000000-0005-0000-0000-0000FC820000}"/>
    <cellStyle name="Normal 107 7 3" xfId="2117" xr:uid="{00000000-0005-0000-0000-0000FD820000}"/>
    <cellStyle name="Normal 107 7 3 2" xfId="2118" xr:uid="{00000000-0005-0000-0000-0000FE820000}"/>
    <cellStyle name="Normal 107 7 3 2 2" xfId="4291" xr:uid="{00000000-0005-0000-0000-0000FF820000}"/>
    <cellStyle name="Normal 107 7 3 2 3" xfId="51931" xr:uid="{00000000-0005-0000-0000-000000830000}"/>
    <cellStyle name="Normal 107 7 3 3" xfId="2119" xr:uid="{00000000-0005-0000-0000-000001830000}"/>
    <cellStyle name="Normal 107 7 3 3 2" xfId="2120" xr:uid="{00000000-0005-0000-0000-000002830000}"/>
    <cellStyle name="Normal 107 7 3 3 2 2" xfId="4293" xr:uid="{00000000-0005-0000-0000-000003830000}"/>
    <cellStyle name="Normal 107 7 3 3 2 3" xfId="51933" xr:uid="{00000000-0005-0000-0000-000004830000}"/>
    <cellStyle name="Normal 107 7 3 3 3" xfId="4292" xr:uid="{00000000-0005-0000-0000-000005830000}"/>
    <cellStyle name="Normal 107 7 3 3 4" xfId="51932" xr:uid="{00000000-0005-0000-0000-000006830000}"/>
    <cellStyle name="Normal 107 7 3 4" xfId="4294" xr:uid="{00000000-0005-0000-0000-000007830000}"/>
    <cellStyle name="Normal 107 7 3 5" xfId="4290" xr:uid="{00000000-0005-0000-0000-000008830000}"/>
    <cellStyle name="Normal 107 7 3 6" xfId="51930" xr:uid="{00000000-0005-0000-0000-000009830000}"/>
    <cellStyle name="Normal 107 7 4" xfId="4288" xr:uid="{00000000-0005-0000-0000-00000A830000}"/>
    <cellStyle name="Normal 107 7 5" xfId="51928" xr:uid="{00000000-0005-0000-0000-00000B830000}"/>
    <cellStyle name="Normal 107 8" xfId="2121" xr:uid="{00000000-0005-0000-0000-00000C830000}"/>
    <cellStyle name="Normal 107 8 2" xfId="2122" xr:uid="{00000000-0005-0000-0000-00000D830000}"/>
    <cellStyle name="Normal 107 8 2 2" xfId="4296" xr:uid="{00000000-0005-0000-0000-00000E830000}"/>
    <cellStyle name="Normal 107 8 2 3" xfId="51935" xr:uid="{00000000-0005-0000-0000-00000F830000}"/>
    <cellStyle name="Normal 107 8 3" xfId="2123" xr:uid="{00000000-0005-0000-0000-000010830000}"/>
    <cellStyle name="Normal 107 8 3 2" xfId="2124" xr:uid="{00000000-0005-0000-0000-000011830000}"/>
    <cellStyle name="Normal 107 8 3 2 2" xfId="4298" xr:uid="{00000000-0005-0000-0000-000012830000}"/>
    <cellStyle name="Normal 107 8 3 2 3" xfId="51937" xr:uid="{00000000-0005-0000-0000-000013830000}"/>
    <cellStyle name="Normal 107 8 3 3" xfId="4297" xr:uid="{00000000-0005-0000-0000-000014830000}"/>
    <cellStyle name="Normal 107 8 3 4" xfId="51936" xr:uid="{00000000-0005-0000-0000-000015830000}"/>
    <cellStyle name="Normal 107 8 4" xfId="4299" xr:uid="{00000000-0005-0000-0000-000016830000}"/>
    <cellStyle name="Normal 107 8 5" xfId="4295" xr:uid="{00000000-0005-0000-0000-000017830000}"/>
    <cellStyle name="Normal 107 8 6" xfId="51934" xr:uid="{00000000-0005-0000-0000-000018830000}"/>
    <cellStyle name="Normal 107 9" xfId="2125" xr:uid="{00000000-0005-0000-0000-000019830000}"/>
    <cellStyle name="Normal 107 9 2" xfId="2126" xr:uid="{00000000-0005-0000-0000-00001A830000}"/>
    <cellStyle name="Normal 107 9 2 2" xfId="4300" xr:uid="{00000000-0005-0000-0000-00001B830000}"/>
    <cellStyle name="Normal 107 9 2 3" xfId="51939" xr:uid="{00000000-0005-0000-0000-00001C830000}"/>
    <cellStyle name="Normal 107 9 3" xfId="2127" xr:uid="{00000000-0005-0000-0000-00001D830000}"/>
    <cellStyle name="Normal 107 9 3 2" xfId="4302" xr:uid="{00000000-0005-0000-0000-00001E830000}"/>
    <cellStyle name="Normal 107 9 3 3" xfId="4301" xr:uid="{00000000-0005-0000-0000-00001F830000}"/>
    <cellStyle name="Normal 107 9 3 4" xfId="51940" xr:uid="{00000000-0005-0000-0000-000020830000}"/>
    <cellStyle name="Normal 107 9 4" xfId="2128" xr:uid="{00000000-0005-0000-0000-000021830000}"/>
    <cellStyle name="Normal 107 9 5" xfId="51938" xr:uid="{00000000-0005-0000-0000-000022830000}"/>
    <cellStyle name="Normal 108" xfId="2129" xr:uid="{00000000-0005-0000-0000-000023830000}"/>
    <cellStyle name="Normal 108 2" xfId="4303" xr:uid="{00000000-0005-0000-0000-000024830000}"/>
    <cellStyle name="Normal 108 3" xfId="22507" xr:uid="{00000000-0005-0000-0000-000025830000}"/>
    <cellStyle name="Normal 108 3 2" xfId="38844" xr:uid="{00000000-0005-0000-0000-000026830000}"/>
    <cellStyle name="Normal 108 4" xfId="51941" xr:uid="{00000000-0005-0000-0000-000027830000}"/>
    <cellStyle name="Normal 109" xfId="2130" xr:uid="{00000000-0005-0000-0000-000028830000}"/>
    <cellStyle name="Normal 109 2" xfId="4304" xr:uid="{00000000-0005-0000-0000-000029830000}"/>
    <cellStyle name="Normal 109 3" xfId="22508" xr:uid="{00000000-0005-0000-0000-00002A830000}"/>
    <cellStyle name="Normal 109 3 2" xfId="38845" xr:uid="{00000000-0005-0000-0000-00002B830000}"/>
    <cellStyle name="Normal 109 4" xfId="51942" xr:uid="{00000000-0005-0000-0000-00002C830000}"/>
    <cellStyle name="Normal 11" xfId="196" xr:uid="{00000000-0005-0000-0000-00002D830000}"/>
    <cellStyle name="Normal 11 2" xfId="210" xr:uid="{00000000-0005-0000-0000-00002E830000}"/>
    <cellStyle name="Normal 11 2 2" xfId="22753" xr:uid="{00000000-0005-0000-0000-00002F830000}"/>
    <cellStyle name="Normal 11 2 2 2" xfId="38960" xr:uid="{00000000-0005-0000-0000-000030830000}"/>
    <cellStyle name="Normal 11 3" xfId="203" xr:uid="{00000000-0005-0000-0000-000031830000}"/>
    <cellStyle name="Normal 11 4" xfId="22509" xr:uid="{00000000-0005-0000-0000-000032830000}"/>
    <cellStyle name="Normal 11 4 2" xfId="38846" xr:uid="{00000000-0005-0000-0000-000033830000}"/>
    <cellStyle name="Normal 11 5" xfId="51943" xr:uid="{00000000-0005-0000-0000-000034830000}"/>
    <cellStyle name="Normal 110" xfId="2131" xr:uid="{00000000-0005-0000-0000-000035830000}"/>
    <cellStyle name="Normal 110 2" xfId="4305" xr:uid="{00000000-0005-0000-0000-000036830000}"/>
    <cellStyle name="Normal 110 3" xfId="22510" xr:uid="{00000000-0005-0000-0000-000037830000}"/>
    <cellStyle name="Normal 110 3 2" xfId="38847" xr:uid="{00000000-0005-0000-0000-000038830000}"/>
    <cellStyle name="Normal 110 4" xfId="51944" xr:uid="{00000000-0005-0000-0000-000039830000}"/>
    <cellStyle name="Normal 111" xfId="2132" xr:uid="{00000000-0005-0000-0000-00003A830000}"/>
    <cellStyle name="Normal 111 2" xfId="4306" xr:uid="{00000000-0005-0000-0000-00003B830000}"/>
    <cellStyle name="Normal 111 3" xfId="22511" xr:uid="{00000000-0005-0000-0000-00003C830000}"/>
    <cellStyle name="Normal 111 3 2" xfId="38848" xr:uid="{00000000-0005-0000-0000-00003D830000}"/>
    <cellStyle name="Normal 111 4" xfId="51945" xr:uid="{00000000-0005-0000-0000-00003E830000}"/>
    <cellStyle name="Normal 112" xfId="2133" xr:uid="{00000000-0005-0000-0000-00003F830000}"/>
    <cellStyle name="Normal 112 2" xfId="4307" xr:uid="{00000000-0005-0000-0000-000040830000}"/>
    <cellStyle name="Normal 112 3" xfId="51946" xr:uid="{00000000-0005-0000-0000-000041830000}"/>
    <cellStyle name="Normal 113" xfId="2134" xr:uid="{00000000-0005-0000-0000-000042830000}"/>
    <cellStyle name="Normal 113 2" xfId="4308" xr:uid="{00000000-0005-0000-0000-000043830000}"/>
    <cellStyle name="Normal 113 3" xfId="51947" xr:uid="{00000000-0005-0000-0000-000044830000}"/>
    <cellStyle name="Normal 114" xfId="2135" xr:uid="{00000000-0005-0000-0000-000045830000}"/>
    <cellStyle name="Normal 114 2" xfId="4309" xr:uid="{00000000-0005-0000-0000-000046830000}"/>
    <cellStyle name="Normal 114 3" xfId="51948" xr:uid="{00000000-0005-0000-0000-000047830000}"/>
    <cellStyle name="Normal 115" xfId="2136" xr:uid="{00000000-0005-0000-0000-000048830000}"/>
    <cellStyle name="Normal 115 2" xfId="4310" xr:uid="{00000000-0005-0000-0000-000049830000}"/>
    <cellStyle name="Normal 115 3" xfId="22512" xr:uid="{00000000-0005-0000-0000-00004A830000}"/>
    <cellStyle name="Normal 115 3 2" xfId="38849" xr:uid="{00000000-0005-0000-0000-00004B830000}"/>
    <cellStyle name="Normal 115 4" xfId="51949" xr:uid="{00000000-0005-0000-0000-00004C830000}"/>
    <cellStyle name="Normal 116" xfId="2137" xr:uid="{00000000-0005-0000-0000-00004D830000}"/>
    <cellStyle name="Normal 116 2" xfId="4311" xr:uid="{00000000-0005-0000-0000-00004E830000}"/>
    <cellStyle name="Normal 116 3" xfId="22513" xr:uid="{00000000-0005-0000-0000-00004F830000}"/>
    <cellStyle name="Normal 116 3 2" xfId="38850" xr:uid="{00000000-0005-0000-0000-000050830000}"/>
    <cellStyle name="Normal 116 4" xfId="51950" xr:uid="{00000000-0005-0000-0000-000051830000}"/>
    <cellStyle name="Normal 117" xfId="2138" xr:uid="{00000000-0005-0000-0000-000052830000}"/>
    <cellStyle name="Normal 117 2" xfId="4312" xr:uid="{00000000-0005-0000-0000-000053830000}"/>
    <cellStyle name="Normal 117 3" xfId="22514" xr:uid="{00000000-0005-0000-0000-000054830000}"/>
    <cellStyle name="Normal 117 3 2" xfId="38851" xr:uid="{00000000-0005-0000-0000-000055830000}"/>
    <cellStyle name="Normal 117 4" xfId="51951" xr:uid="{00000000-0005-0000-0000-000056830000}"/>
    <cellStyle name="Normal 118" xfId="2139" xr:uid="{00000000-0005-0000-0000-000057830000}"/>
    <cellStyle name="Normal 118 2" xfId="4313" xr:uid="{00000000-0005-0000-0000-000058830000}"/>
    <cellStyle name="Normal 118 3" xfId="22515" xr:uid="{00000000-0005-0000-0000-000059830000}"/>
    <cellStyle name="Normal 118 3 2" xfId="38852" xr:uid="{00000000-0005-0000-0000-00005A830000}"/>
    <cellStyle name="Normal 118 4" xfId="51952" xr:uid="{00000000-0005-0000-0000-00005B830000}"/>
    <cellStyle name="Normal 119" xfId="2140" xr:uid="{00000000-0005-0000-0000-00005C830000}"/>
    <cellStyle name="Normal 119 2" xfId="4314" xr:uid="{00000000-0005-0000-0000-00005D830000}"/>
    <cellStyle name="Normal 119 3" xfId="51953" xr:uid="{00000000-0005-0000-0000-00005E830000}"/>
    <cellStyle name="Normal 12" xfId="199" xr:uid="{00000000-0005-0000-0000-00005F830000}"/>
    <cellStyle name="Normal 12 2" xfId="213" xr:uid="{00000000-0005-0000-0000-000060830000}"/>
    <cellStyle name="Normal 12 2 2" xfId="2143" xr:uid="{00000000-0005-0000-0000-000061830000}"/>
    <cellStyle name="Normal 12 2 3" xfId="22929" xr:uid="{00000000-0005-0000-0000-000062830000}"/>
    <cellStyle name="Normal 12 2 4" xfId="22754" xr:uid="{00000000-0005-0000-0000-000063830000}"/>
    <cellStyle name="Normal 12 2 4 2" xfId="38961" xr:uid="{00000000-0005-0000-0000-000064830000}"/>
    <cellStyle name="Normal 12 2 5" xfId="2142" xr:uid="{00000000-0005-0000-0000-000065830000}"/>
    <cellStyle name="Normal 12 2_Sheet1" xfId="2144" xr:uid="{00000000-0005-0000-0000-000066830000}"/>
    <cellStyle name="Normal 12 3" xfId="206" xr:uid="{00000000-0005-0000-0000-000067830000}"/>
    <cellStyle name="Normal 12 3 2" xfId="2145" xr:uid="{00000000-0005-0000-0000-000068830000}"/>
    <cellStyle name="Normal 12 4" xfId="22928" xr:uid="{00000000-0005-0000-0000-000069830000}"/>
    <cellStyle name="Normal 12 5" xfId="22516" xr:uid="{00000000-0005-0000-0000-00006A830000}"/>
    <cellStyle name="Normal 12 5 2" xfId="38853" xr:uid="{00000000-0005-0000-0000-00006B830000}"/>
    <cellStyle name="Normal 12 6" xfId="2141" xr:uid="{00000000-0005-0000-0000-00006C830000}"/>
    <cellStyle name="Normal 12_Sheet1" xfId="2146" xr:uid="{00000000-0005-0000-0000-00006D830000}"/>
    <cellStyle name="Normal 120" xfId="2147" xr:uid="{00000000-0005-0000-0000-00006E830000}"/>
    <cellStyle name="Normal 120 10" xfId="51954" xr:uid="{00000000-0005-0000-0000-00006F830000}"/>
    <cellStyle name="Normal 120 2" xfId="4315" xr:uid="{00000000-0005-0000-0000-000070830000}"/>
    <cellStyle name="Normal 120 2 2" xfId="8475" xr:uid="{00000000-0005-0000-0000-000071830000}"/>
    <cellStyle name="Normal 120 2 2 2" xfId="16271" xr:uid="{00000000-0005-0000-0000-000072830000}"/>
    <cellStyle name="Normal 120 2 2 2 2" xfId="33906" xr:uid="{00000000-0005-0000-0000-000073830000}"/>
    <cellStyle name="Normal 120 2 2 3" xfId="26876" xr:uid="{00000000-0005-0000-0000-000074830000}"/>
    <cellStyle name="Normal 120 2 3" xfId="12709" xr:uid="{00000000-0005-0000-0000-000075830000}"/>
    <cellStyle name="Normal 120 2 3 2" xfId="30367" xr:uid="{00000000-0005-0000-0000-000076830000}"/>
    <cellStyle name="Normal 120 2 4" xfId="22518" xr:uid="{00000000-0005-0000-0000-000077830000}"/>
    <cellStyle name="Normal 120 2 5" xfId="24011" xr:uid="{00000000-0005-0000-0000-000078830000}"/>
    <cellStyle name="Normal 120 3" xfId="5791" xr:uid="{00000000-0005-0000-0000-000079830000}"/>
    <cellStyle name="Normal 120 3 2" xfId="9091" xr:uid="{00000000-0005-0000-0000-00007A830000}"/>
    <cellStyle name="Normal 120 3 2 2" xfId="16886" xr:uid="{00000000-0005-0000-0000-00007B830000}"/>
    <cellStyle name="Normal 120 3 2 2 2" xfId="34522" xr:uid="{00000000-0005-0000-0000-00007C830000}"/>
    <cellStyle name="Normal 120 3 2 3" xfId="27479" xr:uid="{00000000-0005-0000-0000-00007D830000}"/>
    <cellStyle name="Normal 120 3 3" xfId="13647" xr:uid="{00000000-0005-0000-0000-00007E830000}"/>
    <cellStyle name="Normal 120 3 3 2" xfId="31287" xr:uid="{00000000-0005-0000-0000-00007F830000}"/>
    <cellStyle name="Normal 120 3 4" xfId="22930" xr:uid="{00000000-0005-0000-0000-000080830000}"/>
    <cellStyle name="Normal 120 3 4 2" xfId="39036" xr:uid="{00000000-0005-0000-0000-000081830000}"/>
    <cellStyle name="Normal 120 3 5" xfId="24614" xr:uid="{00000000-0005-0000-0000-000082830000}"/>
    <cellStyle name="Normal 120 4" xfId="6421" xr:uid="{00000000-0005-0000-0000-000083830000}"/>
    <cellStyle name="Normal 120 4 2" xfId="9631" xr:uid="{00000000-0005-0000-0000-000084830000}"/>
    <cellStyle name="Normal 120 4 2 2" xfId="17425" xr:uid="{00000000-0005-0000-0000-000085830000}"/>
    <cellStyle name="Normal 120 4 2 2 2" xfId="35062" xr:uid="{00000000-0005-0000-0000-000086830000}"/>
    <cellStyle name="Normal 120 4 2 3" xfId="28015" xr:uid="{00000000-0005-0000-0000-000087830000}"/>
    <cellStyle name="Normal 120 4 3" xfId="14210" xr:uid="{00000000-0005-0000-0000-000088830000}"/>
    <cellStyle name="Normal 120 4 3 2" xfId="31845" xr:uid="{00000000-0005-0000-0000-000089830000}"/>
    <cellStyle name="Normal 120 4 4" xfId="22517" xr:uid="{00000000-0005-0000-0000-00008A830000}"/>
    <cellStyle name="Normal 120 4 5" xfId="25151" xr:uid="{00000000-0005-0000-0000-00008B830000}"/>
    <cellStyle name="Normal 120 5" xfId="7197" xr:uid="{00000000-0005-0000-0000-00008C830000}"/>
    <cellStyle name="Normal 120 5 2" xfId="10185" xr:uid="{00000000-0005-0000-0000-00008D830000}"/>
    <cellStyle name="Normal 120 5 2 2" xfId="17978" xr:uid="{00000000-0005-0000-0000-00008E830000}"/>
    <cellStyle name="Normal 120 5 2 2 2" xfId="35615" xr:uid="{00000000-0005-0000-0000-00008F830000}"/>
    <cellStyle name="Normal 120 5 2 3" xfId="28552" xr:uid="{00000000-0005-0000-0000-000090830000}"/>
    <cellStyle name="Normal 120 5 3" xfId="14985" xr:uid="{00000000-0005-0000-0000-000091830000}"/>
    <cellStyle name="Normal 120 5 3 2" xfId="32620" xr:uid="{00000000-0005-0000-0000-000092830000}"/>
    <cellStyle name="Normal 120 5 4" xfId="25689" xr:uid="{00000000-0005-0000-0000-000093830000}"/>
    <cellStyle name="Normal 120 6" xfId="7796" xr:uid="{00000000-0005-0000-0000-000094830000}"/>
    <cellStyle name="Normal 120 6 2" xfId="15593" xr:uid="{00000000-0005-0000-0000-000095830000}"/>
    <cellStyle name="Normal 120 6 2 2" xfId="33228" xr:uid="{00000000-0005-0000-0000-000096830000}"/>
    <cellStyle name="Normal 120 6 3" xfId="26212" xr:uid="{00000000-0005-0000-0000-000097830000}"/>
    <cellStyle name="Normal 120 7" xfId="11696" xr:uid="{00000000-0005-0000-0000-000098830000}"/>
    <cellStyle name="Normal 120 7 2" xfId="29389" xr:uid="{00000000-0005-0000-0000-000099830000}"/>
    <cellStyle name="Normal 120 8" xfId="21964" xr:uid="{00000000-0005-0000-0000-00009A830000}"/>
    <cellStyle name="Normal 120 8 2" xfId="38715" xr:uid="{00000000-0005-0000-0000-00009B830000}"/>
    <cellStyle name="Normal 120 9" xfId="23347" xr:uid="{00000000-0005-0000-0000-00009C830000}"/>
    <cellStyle name="Normal 121" xfId="2148" xr:uid="{00000000-0005-0000-0000-00009D830000}"/>
    <cellStyle name="Normal 121 10" xfId="51955" xr:uid="{00000000-0005-0000-0000-00009E830000}"/>
    <cellStyle name="Normal 121 2" xfId="4316" xr:uid="{00000000-0005-0000-0000-00009F830000}"/>
    <cellStyle name="Normal 121 2 2" xfId="8476" xr:uid="{00000000-0005-0000-0000-0000A0830000}"/>
    <cellStyle name="Normal 121 2 2 2" xfId="16272" xr:uid="{00000000-0005-0000-0000-0000A1830000}"/>
    <cellStyle name="Normal 121 2 2 2 2" xfId="33907" xr:uid="{00000000-0005-0000-0000-0000A2830000}"/>
    <cellStyle name="Normal 121 2 2 3" xfId="26877" xr:uid="{00000000-0005-0000-0000-0000A3830000}"/>
    <cellStyle name="Normal 121 2 3" xfId="12710" xr:uid="{00000000-0005-0000-0000-0000A4830000}"/>
    <cellStyle name="Normal 121 2 3 2" xfId="30368" xr:uid="{00000000-0005-0000-0000-0000A5830000}"/>
    <cellStyle name="Normal 121 2 4" xfId="22520" xr:uid="{00000000-0005-0000-0000-0000A6830000}"/>
    <cellStyle name="Normal 121 2 5" xfId="24012" xr:uid="{00000000-0005-0000-0000-0000A7830000}"/>
    <cellStyle name="Normal 121 3" xfId="5792" xr:uid="{00000000-0005-0000-0000-0000A8830000}"/>
    <cellStyle name="Normal 121 3 2" xfId="9092" xr:uid="{00000000-0005-0000-0000-0000A9830000}"/>
    <cellStyle name="Normal 121 3 2 2" xfId="16887" xr:uid="{00000000-0005-0000-0000-0000AA830000}"/>
    <cellStyle name="Normal 121 3 2 2 2" xfId="34523" xr:uid="{00000000-0005-0000-0000-0000AB830000}"/>
    <cellStyle name="Normal 121 3 2 3" xfId="27480" xr:uid="{00000000-0005-0000-0000-0000AC830000}"/>
    <cellStyle name="Normal 121 3 3" xfId="13648" xr:uid="{00000000-0005-0000-0000-0000AD830000}"/>
    <cellStyle name="Normal 121 3 3 2" xfId="31288" xr:uid="{00000000-0005-0000-0000-0000AE830000}"/>
    <cellStyle name="Normal 121 3 4" xfId="22931" xr:uid="{00000000-0005-0000-0000-0000AF830000}"/>
    <cellStyle name="Normal 121 3 4 2" xfId="39037" xr:uid="{00000000-0005-0000-0000-0000B0830000}"/>
    <cellStyle name="Normal 121 3 5" xfId="24615" xr:uid="{00000000-0005-0000-0000-0000B1830000}"/>
    <cellStyle name="Normal 121 4" xfId="6422" xr:uid="{00000000-0005-0000-0000-0000B2830000}"/>
    <cellStyle name="Normal 121 4 2" xfId="9632" xr:uid="{00000000-0005-0000-0000-0000B3830000}"/>
    <cellStyle name="Normal 121 4 2 2" xfId="17426" xr:uid="{00000000-0005-0000-0000-0000B4830000}"/>
    <cellStyle name="Normal 121 4 2 2 2" xfId="35063" xr:uid="{00000000-0005-0000-0000-0000B5830000}"/>
    <cellStyle name="Normal 121 4 2 3" xfId="28016" xr:uid="{00000000-0005-0000-0000-0000B6830000}"/>
    <cellStyle name="Normal 121 4 3" xfId="14211" xr:uid="{00000000-0005-0000-0000-0000B7830000}"/>
    <cellStyle name="Normal 121 4 3 2" xfId="31846" xr:uid="{00000000-0005-0000-0000-0000B8830000}"/>
    <cellStyle name="Normal 121 4 4" xfId="22519" xr:uid="{00000000-0005-0000-0000-0000B9830000}"/>
    <cellStyle name="Normal 121 4 5" xfId="25152" xr:uid="{00000000-0005-0000-0000-0000BA830000}"/>
    <cellStyle name="Normal 121 5" xfId="7198" xr:uid="{00000000-0005-0000-0000-0000BB830000}"/>
    <cellStyle name="Normal 121 5 2" xfId="10186" xr:uid="{00000000-0005-0000-0000-0000BC830000}"/>
    <cellStyle name="Normal 121 5 2 2" xfId="17979" xr:uid="{00000000-0005-0000-0000-0000BD830000}"/>
    <cellStyle name="Normal 121 5 2 2 2" xfId="35616" xr:uid="{00000000-0005-0000-0000-0000BE830000}"/>
    <cellStyle name="Normal 121 5 2 3" xfId="28553" xr:uid="{00000000-0005-0000-0000-0000BF830000}"/>
    <cellStyle name="Normal 121 5 3" xfId="14986" xr:uid="{00000000-0005-0000-0000-0000C0830000}"/>
    <cellStyle name="Normal 121 5 3 2" xfId="32621" xr:uid="{00000000-0005-0000-0000-0000C1830000}"/>
    <cellStyle name="Normal 121 5 4" xfId="25690" xr:uid="{00000000-0005-0000-0000-0000C2830000}"/>
    <cellStyle name="Normal 121 6" xfId="7797" xr:uid="{00000000-0005-0000-0000-0000C3830000}"/>
    <cellStyle name="Normal 121 6 2" xfId="15594" xr:uid="{00000000-0005-0000-0000-0000C4830000}"/>
    <cellStyle name="Normal 121 6 2 2" xfId="33229" xr:uid="{00000000-0005-0000-0000-0000C5830000}"/>
    <cellStyle name="Normal 121 6 3" xfId="26213" xr:uid="{00000000-0005-0000-0000-0000C6830000}"/>
    <cellStyle name="Normal 121 7" xfId="11697" xr:uid="{00000000-0005-0000-0000-0000C7830000}"/>
    <cellStyle name="Normal 121 7 2" xfId="29390" xr:uid="{00000000-0005-0000-0000-0000C8830000}"/>
    <cellStyle name="Normal 121 8" xfId="21965" xr:uid="{00000000-0005-0000-0000-0000C9830000}"/>
    <cellStyle name="Normal 121 8 2" xfId="38716" xr:uid="{00000000-0005-0000-0000-0000CA830000}"/>
    <cellStyle name="Normal 121 9" xfId="23348" xr:uid="{00000000-0005-0000-0000-0000CB830000}"/>
    <cellStyle name="Normal 122" xfId="2149" xr:uid="{00000000-0005-0000-0000-0000CC830000}"/>
    <cellStyle name="Normal 122 10" xfId="51956" xr:uid="{00000000-0005-0000-0000-0000CD830000}"/>
    <cellStyle name="Normal 122 2" xfId="4317" xr:uid="{00000000-0005-0000-0000-0000CE830000}"/>
    <cellStyle name="Normal 122 2 2" xfId="8477" xr:uid="{00000000-0005-0000-0000-0000CF830000}"/>
    <cellStyle name="Normal 122 2 2 2" xfId="16273" xr:uid="{00000000-0005-0000-0000-0000D0830000}"/>
    <cellStyle name="Normal 122 2 2 2 2" xfId="33908" xr:uid="{00000000-0005-0000-0000-0000D1830000}"/>
    <cellStyle name="Normal 122 2 2 3" xfId="26878" xr:uid="{00000000-0005-0000-0000-0000D2830000}"/>
    <cellStyle name="Normal 122 2 3" xfId="12711" xr:uid="{00000000-0005-0000-0000-0000D3830000}"/>
    <cellStyle name="Normal 122 2 3 2" xfId="30369" xr:uid="{00000000-0005-0000-0000-0000D4830000}"/>
    <cellStyle name="Normal 122 2 4" xfId="22932" xr:uid="{00000000-0005-0000-0000-0000D5830000}"/>
    <cellStyle name="Normal 122 2 4 2" xfId="39038" xr:uid="{00000000-0005-0000-0000-0000D6830000}"/>
    <cellStyle name="Normal 122 2 5" xfId="24013" xr:uid="{00000000-0005-0000-0000-0000D7830000}"/>
    <cellStyle name="Normal 122 3" xfId="5793" xr:uid="{00000000-0005-0000-0000-0000D8830000}"/>
    <cellStyle name="Normal 122 3 2" xfId="9093" xr:uid="{00000000-0005-0000-0000-0000D9830000}"/>
    <cellStyle name="Normal 122 3 2 2" xfId="16888" xr:uid="{00000000-0005-0000-0000-0000DA830000}"/>
    <cellStyle name="Normal 122 3 2 2 2" xfId="34524" xr:uid="{00000000-0005-0000-0000-0000DB830000}"/>
    <cellStyle name="Normal 122 3 2 3" xfId="27481" xr:uid="{00000000-0005-0000-0000-0000DC830000}"/>
    <cellStyle name="Normal 122 3 3" xfId="13649" xr:uid="{00000000-0005-0000-0000-0000DD830000}"/>
    <cellStyle name="Normal 122 3 3 2" xfId="31289" xr:uid="{00000000-0005-0000-0000-0000DE830000}"/>
    <cellStyle name="Normal 122 3 4" xfId="22521" xr:uid="{00000000-0005-0000-0000-0000DF830000}"/>
    <cellStyle name="Normal 122 3 5" xfId="24616" xr:uid="{00000000-0005-0000-0000-0000E0830000}"/>
    <cellStyle name="Normal 122 4" xfId="6423" xr:uid="{00000000-0005-0000-0000-0000E1830000}"/>
    <cellStyle name="Normal 122 4 2" xfId="9633" xr:uid="{00000000-0005-0000-0000-0000E2830000}"/>
    <cellStyle name="Normal 122 4 2 2" xfId="17427" xr:uid="{00000000-0005-0000-0000-0000E3830000}"/>
    <cellStyle name="Normal 122 4 2 2 2" xfId="35064" xr:uid="{00000000-0005-0000-0000-0000E4830000}"/>
    <cellStyle name="Normal 122 4 2 3" xfId="28017" xr:uid="{00000000-0005-0000-0000-0000E5830000}"/>
    <cellStyle name="Normal 122 4 3" xfId="14212" xr:uid="{00000000-0005-0000-0000-0000E6830000}"/>
    <cellStyle name="Normal 122 4 3 2" xfId="31847" xr:uid="{00000000-0005-0000-0000-0000E7830000}"/>
    <cellStyle name="Normal 122 4 4" xfId="25153" xr:uid="{00000000-0005-0000-0000-0000E8830000}"/>
    <cellStyle name="Normal 122 5" xfId="7199" xr:uid="{00000000-0005-0000-0000-0000E9830000}"/>
    <cellStyle name="Normal 122 5 2" xfId="10187" xr:uid="{00000000-0005-0000-0000-0000EA830000}"/>
    <cellStyle name="Normal 122 5 2 2" xfId="17980" xr:uid="{00000000-0005-0000-0000-0000EB830000}"/>
    <cellStyle name="Normal 122 5 2 2 2" xfId="35617" xr:uid="{00000000-0005-0000-0000-0000EC830000}"/>
    <cellStyle name="Normal 122 5 2 3" xfId="28554" xr:uid="{00000000-0005-0000-0000-0000ED830000}"/>
    <cellStyle name="Normal 122 5 3" xfId="14987" xr:uid="{00000000-0005-0000-0000-0000EE830000}"/>
    <cellStyle name="Normal 122 5 3 2" xfId="32622" xr:uid="{00000000-0005-0000-0000-0000EF830000}"/>
    <cellStyle name="Normal 122 5 4" xfId="25691" xr:uid="{00000000-0005-0000-0000-0000F0830000}"/>
    <cellStyle name="Normal 122 6" xfId="7798" xr:uid="{00000000-0005-0000-0000-0000F1830000}"/>
    <cellStyle name="Normal 122 6 2" xfId="15595" xr:uid="{00000000-0005-0000-0000-0000F2830000}"/>
    <cellStyle name="Normal 122 6 2 2" xfId="33230" xr:uid="{00000000-0005-0000-0000-0000F3830000}"/>
    <cellStyle name="Normal 122 6 3" xfId="26214" xr:uid="{00000000-0005-0000-0000-0000F4830000}"/>
    <cellStyle name="Normal 122 7" xfId="11698" xr:uid="{00000000-0005-0000-0000-0000F5830000}"/>
    <cellStyle name="Normal 122 7 2" xfId="29391" xr:uid="{00000000-0005-0000-0000-0000F6830000}"/>
    <cellStyle name="Normal 122 8" xfId="21966" xr:uid="{00000000-0005-0000-0000-0000F7830000}"/>
    <cellStyle name="Normal 122 8 2" xfId="38717" xr:uid="{00000000-0005-0000-0000-0000F8830000}"/>
    <cellStyle name="Normal 122 9" xfId="23349" xr:uid="{00000000-0005-0000-0000-0000F9830000}"/>
    <cellStyle name="Normal 123" xfId="2150" xr:uid="{00000000-0005-0000-0000-0000FA830000}"/>
    <cellStyle name="Normal 123 10" xfId="51957" xr:uid="{00000000-0005-0000-0000-0000FB830000}"/>
    <cellStyle name="Normal 123 2" xfId="4318" xr:uid="{00000000-0005-0000-0000-0000FC830000}"/>
    <cellStyle name="Normal 123 2 2" xfId="8478" xr:uid="{00000000-0005-0000-0000-0000FD830000}"/>
    <cellStyle name="Normal 123 2 2 2" xfId="16274" xr:uid="{00000000-0005-0000-0000-0000FE830000}"/>
    <cellStyle name="Normal 123 2 2 2 2" xfId="33909" xr:uid="{00000000-0005-0000-0000-0000FF830000}"/>
    <cellStyle name="Normal 123 2 2 3" xfId="26879" xr:uid="{00000000-0005-0000-0000-000000840000}"/>
    <cellStyle name="Normal 123 2 3" xfId="12712" xr:uid="{00000000-0005-0000-0000-000001840000}"/>
    <cellStyle name="Normal 123 2 3 2" xfId="30370" xr:uid="{00000000-0005-0000-0000-000002840000}"/>
    <cellStyle name="Normal 123 2 4" xfId="22933" xr:uid="{00000000-0005-0000-0000-000003840000}"/>
    <cellStyle name="Normal 123 2 4 2" xfId="39039" xr:uid="{00000000-0005-0000-0000-000004840000}"/>
    <cellStyle name="Normal 123 2 5" xfId="24014" xr:uid="{00000000-0005-0000-0000-000005840000}"/>
    <cellStyle name="Normal 123 3" xfId="5794" xr:uid="{00000000-0005-0000-0000-000006840000}"/>
    <cellStyle name="Normal 123 3 2" xfId="9094" xr:uid="{00000000-0005-0000-0000-000007840000}"/>
    <cellStyle name="Normal 123 3 2 2" xfId="16889" xr:uid="{00000000-0005-0000-0000-000008840000}"/>
    <cellStyle name="Normal 123 3 2 2 2" xfId="34525" xr:uid="{00000000-0005-0000-0000-000009840000}"/>
    <cellStyle name="Normal 123 3 2 3" xfId="27482" xr:uid="{00000000-0005-0000-0000-00000A840000}"/>
    <cellStyle name="Normal 123 3 3" xfId="13650" xr:uid="{00000000-0005-0000-0000-00000B840000}"/>
    <cellStyle name="Normal 123 3 3 2" xfId="31290" xr:uid="{00000000-0005-0000-0000-00000C840000}"/>
    <cellStyle name="Normal 123 3 4" xfId="22522" xr:uid="{00000000-0005-0000-0000-00000D840000}"/>
    <cellStyle name="Normal 123 3 5" xfId="24617" xr:uid="{00000000-0005-0000-0000-00000E840000}"/>
    <cellStyle name="Normal 123 4" xfId="6424" xr:uid="{00000000-0005-0000-0000-00000F840000}"/>
    <cellStyle name="Normal 123 4 2" xfId="9634" xr:uid="{00000000-0005-0000-0000-000010840000}"/>
    <cellStyle name="Normal 123 4 2 2" xfId="17428" xr:uid="{00000000-0005-0000-0000-000011840000}"/>
    <cellStyle name="Normal 123 4 2 2 2" xfId="35065" xr:uid="{00000000-0005-0000-0000-000012840000}"/>
    <cellStyle name="Normal 123 4 2 3" xfId="28018" xr:uid="{00000000-0005-0000-0000-000013840000}"/>
    <cellStyle name="Normal 123 4 3" xfId="14213" xr:uid="{00000000-0005-0000-0000-000014840000}"/>
    <cellStyle name="Normal 123 4 3 2" xfId="31848" xr:uid="{00000000-0005-0000-0000-000015840000}"/>
    <cellStyle name="Normal 123 4 4" xfId="25154" xr:uid="{00000000-0005-0000-0000-000016840000}"/>
    <cellStyle name="Normal 123 5" xfId="7200" xr:uid="{00000000-0005-0000-0000-000017840000}"/>
    <cellStyle name="Normal 123 5 2" xfId="10188" xr:uid="{00000000-0005-0000-0000-000018840000}"/>
    <cellStyle name="Normal 123 5 2 2" xfId="17981" xr:uid="{00000000-0005-0000-0000-000019840000}"/>
    <cellStyle name="Normal 123 5 2 2 2" xfId="35618" xr:uid="{00000000-0005-0000-0000-00001A840000}"/>
    <cellStyle name="Normal 123 5 2 3" xfId="28555" xr:uid="{00000000-0005-0000-0000-00001B840000}"/>
    <cellStyle name="Normal 123 5 3" xfId="14988" xr:uid="{00000000-0005-0000-0000-00001C840000}"/>
    <cellStyle name="Normal 123 5 3 2" xfId="32623" xr:uid="{00000000-0005-0000-0000-00001D840000}"/>
    <cellStyle name="Normal 123 5 4" xfId="25692" xr:uid="{00000000-0005-0000-0000-00001E840000}"/>
    <cellStyle name="Normal 123 6" xfId="7799" xr:uid="{00000000-0005-0000-0000-00001F840000}"/>
    <cellStyle name="Normal 123 6 2" xfId="15596" xr:uid="{00000000-0005-0000-0000-000020840000}"/>
    <cellStyle name="Normal 123 6 2 2" xfId="33231" xr:uid="{00000000-0005-0000-0000-000021840000}"/>
    <cellStyle name="Normal 123 6 3" xfId="26215" xr:uid="{00000000-0005-0000-0000-000022840000}"/>
    <cellStyle name="Normal 123 7" xfId="11699" xr:uid="{00000000-0005-0000-0000-000023840000}"/>
    <cellStyle name="Normal 123 7 2" xfId="29392" xr:uid="{00000000-0005-0000-0000-000024840000}"/>
    <cellStyle name="Normal 123 8" xfId="21967" xr:uid="{00000000-0005-0000-0000-000025840000}"/>
    <cellStyle name="Normal 123 8 2" xfId="38718" xr:uid="{00000000-0005-0000-0000-000026840000}"/>
    <cellStyle name="Normal 123 9" xfId="23350" xr:uid="{00000000-0005-0000-0000-000027840000}"/>
    <cellStyle name="Normal 124" xfId="2151" xr:uid="{00000000-0005-0000-0000-000028840000}"/>
    <cellStyle name="Normal 124 10" xfId="51958" xr:uid="{00000000-0005-0000-0000-000029840000}"/>
    <cellStyle name="Normal 124 2" xfId="4319" xr:uid="{00000000-0005-0000-0000-00002A840000}"/>
    <cellStyle name="Normal 124 2 2" xfId="8479" xr:uid="{00000000-0005-0000-0000-00002B840000}"/>
    <cellStyle name="Normal 124 2 2 2" xfId="16275" xr:uid="{00000000-0005-0000-0000-00002C840000}"/>
    <cellStyle name="Normal 124 2 2 2 2" xfId="33910" xr:uid="{00000000-0005-0000-0000-00002D840000}"/>
    <cellStyle name="Normal 124 2 2 3" xfId="26880" xr:uid="{00000000-0005-0000-0000-00002E840000}"/>
    <cellStyle name="Normal 124 2 3" xfId="12713" xr:uid="{00000000-0005-0000-0000-00002F840000}"/>
    <cellStyle name="Normal 124 2 3 2" xfId="30371" xr:uid="{00000000-0005-0000-0000-000030840000}"/>
    <cellStyle name="Normal 124 2 4" xfId="22934" xr:uid="{00000000-0005-0000-0000-000031840000}"/>
    <cellStyle name="Normal 124 2 4 2" xfId="39040" xr:uid="{00000000-0005-0000-0000-000032840000}"/>
    <cellStyle name="Normal 124 2 5" xfId="24015" xr:uid="{00000000-0005-0000-0000-000033840000}"/>
    <cellStyle name="Normal 124 3" xfId="5795" xr:uid="{00000000-0005-0000-0000-000034840000}"/>
    <cellStyle name="Normal 124 3 2" xfId="9095" xr:uid="{00000000-0005-0000-0000-000035840000}"/>
    <cellStyle name="Normal 124 3 2 2" xfId="16890" xr:uid="{00000000-0005-0000-0000-000036840000}"/>
    <cellStyle name="Normal 124 3 2 2 2" xfId="34526" xr:uid="{00000000-0005-0000-0000-000037840000}"/>
    <cellStyle name="Normal 124 3 2 3" xfId="27483" xr:uid="{00000000-0005-0000-0000-000038840000}"/>
    <cellStyle name="Normal 124 3 3" xfId="13651" xr:uid="{00000000-0005-0000-0000-000039840000}"/>
    <cellStyle name="Normal 124 3 3 2" xfId="31291" xr:uid="{00000000-0005-0000-0000-00003A840000}"/>
    <cellStyle name="Normal 124 3 4" xfId="22523" xr:uid="{00000000-0005-0000-0000-00003B840000}"/>
    <cellStyle name="Normal 124 3 5" xfId="24618" xr:uid="{00000000-0005-0000-0000-00003C840000}"/>
    <cellStyle name="Normal 124 4" xfId="6425" xr:uid="{00000000-0005-0000-0000-00003D840000}"/>
    <cellStyle name="Normal 124 4 2" xfId="9635" xr:uid="{00000000-0005-0000-0000-00003E840000}"/>
    <cellStyle name="Normal 124 4 2 2" xfId="17429" xr:uid="{00000000-0005-0000-0000-00003F840000}"/>
    <cellStyle name="Normal 124 4 2 2 2" xfId="35066" xr:uid="{00000000-0005-0000-0000-000040840000}"/>
    <cellStyle name="Normal 124 4 2 3" xfId="28019" xr:uid="{00000000-0005-0000-0000-000041840000}"/>
    <cellStyle name="Normal 124 4 3" xfId="14214" xr:uid="{00000000-0005-0000-0000-000042840000}"/>
    <cellStyle name="Normal 124 4 3 2" xfId="31849" xr:uid="{00000000-0005-0000-0000-000043840000}"/>
    <cellStyle name="Normal 124 4 4" xfId="25155" xr:uid="{00000000-0005-0000-0000-000044840000}"/>
    <cellStyle name="Normal 124 5" xfId="7201" xr:uid="{00000000-0005-0000-0000-000045840000}"/>
    <cellStyle name="Normal 124 5 2" xfId="10189" xr:uid="{00000000-0005-0000-0000-000046840000}"/>
    <cellStyle name="Normal 124 5 2 2" xfId="17982" xr:uid="{00000000-0005-0000-0000-000047840000}"/>
    <cellStyle name="Normal 124 5 2 2 2" xfId="35619" xr:uid="{00000000-0005-0000-0000-000048840000}"/>
    <cellStyle name="Normal 124 5 2 3" xfId="28556" xr:uid="{00000000-0005-0000-0000-000049840000}"/>
    <cellStyle name="Normal 124 5 3" xfId="14989" xr:uid="{00000000-0005-0000-0000-00004A840000}"/>
    <cellStyle name="Normal 124 5 3 2" xfId="32624" xr:uid="{00000000-0005-0000-0000-00004B840000}"/>
    <cellStyle name="Normal 124 5 4" xfId="25693" xr:uid="{00000000-0005-0000-0000-00004C840000}"/>
    <cellStyle name="Normal 124 6" xfId="7800" xr:uid="{00000000-0005-0000-0000-00004D840000}"/>
    <cellStyle name="Normal 124 6 2" xfId="15597" xr:uid="{00000000-0005-0000-0000-00004E840000}"/>
    <cellStyle name="Normal 124 6 2 2" xfId="33232" xr:uid="{00000000-0005-0000-0000-00004F840000}"/>
    <cellStyle name="Normal 124 6 3" xfId="26216" xr:uid="{00000000-0005-0000-0000-000050840000}"/>
    <cellStyle name="Normal 124 7" xfId="11700" xr:uid="{00000000-0005-0000-0000-000051840000}"/>
    <cellStyle name="Normal 124 7 2" xfId="29393" xr:uid="{00000000-0005-0000-0000-000052840000}"/>
    <cellStyle name="Normal 124 8" xfId="21968" xr:uid="{00000000-0005-0000-0000-000053840000}"/>
    <cellStyle name="Normal 124 8 2" xfId="38719" xr:uid="{00000000-0005-0000-0000-000054840000}"/>
    <cellStyle name="Normal 124 9" xfId="23351" xr:uid="{00000000-0005-0000-0000-000055840000}"/>
    <cellStyle name="Normal 125" xfId="2152" xr:uid="{00000000-0005-0000-0000-000056840000}"/>
    <cellStyle name="Normal 125 10" xfId="51959" xr:uid="{00000000-0005-0000-0000-000057840000}"/>
    <cellStyle name="Normal 125 2" xfId="4320" xr:uid="{00000000-0005-0000-0000-000058840000}"/>
    <cellStyle name="Normal 125 2 2" xfId="8480" xr:uid="{00000000-0005-0000-0000-000059840000}"/>
    <cellStyle name="Normal 125 2 2 2" xfId="16276" xr:uid="{00000000-0005-0000-0000-00005A840000}"/>
    <cellStyle name="Normal 125 2 2 2 2" xfId="33911" xr:uid="{00000000-0005-0000-0000-00005B840000}"/>
    <cellStyle name="Normal 125 2 2 3" xfId="26881" xr:uid="{00000000-0005-0000-0000-00005C840000}"/>
    <cellStyle name="Normal 125 2 3" xfId="12714" xr:uid="{00000000-0005-0000-0000-00005D840000}"/>
    <cellStyle name="Normal 125 2 3 2" xfId="30372" xr:uid="{00000000-0005-0000-0000-00005E840000}"/>
    <cellStyle name="Normal 125 2 4" xfId="22935" xr:uid="{00000000-0005-0000-0000-00005F840000}"/>
    <cellStyle name="Normal 125 2 4 2" xfId="39041" xr:uid="{00000000-0005-0000-0000-000060840000}"/>
    <cellStyle name="Normal 125 2 5" xfId="24016" xr:uid="{00000000-0005-0000-0000-000061840000}"/>
    <cellStyle name="Normal 125 3" xfId="5796" xr:uid="{00000000-0005-0000-0000-000062840000}"/>
    <cellStyle name="Normal 125 3 2" xfId="9096" xr:uid="{00000000-0005-0000-0000-000063840000}"/>
    <cellStyle name="Normal 125 3 2 2" xfId="16891" xr:uid="{00000000-0005-0000-0000-000064840000}"/>
    <cellStyle name="Normal 125 3 2 2 2" xfId="34527" xr:uid="{00000000-0005-0000-0000-000065840000}"/>
    <cellStyle name="Normal 125 3 2 3" xfId="27484" xr:uid="{00000000-0005-0000-0000-000066840000}"/>
    <cellStyle name="Normal 125 3 3" xfId="13652" xr:uid="{00000000-0005-0000-0000-000067840000}"/>
    <cellStyle name="Normal 125 3 3 2" xfId="31292" xr:uid="{00000000-0005-0000-0000-000068840000}"/>
    <cellStyle name="Normal 125 3 4" xfId="22524" xr:uid="{00000000-0005-0000-0000-000069840000}"/>
    <cellStyle name="Normal 125 3 5" xfId="24619" xr:uid="{00000000-0005-0000-0000-00006A840000}"/>
    <cellStyle name="Normal 125 4" xfId="6426" xr:uid="{00000000-0005-0000-0000-00006B840000}"/>
    <cellStyle name="Normal 125 4 2" xfId="9636" xr:uid="{00000000-0005-0000-0000-00006C840000}"/>
    <cellStyle name="Normal 125 4 2 2" xfId="17430" xr:uid="{00000000-0005-0000-0000-00006D840000}"/>
    <cellStyle name="Normal 125 4 2 2 2" xfId="35067" xr:uid="{00000000-0005-0000-0000-00006E840000}"/>
    <cellStyle name="Normal 125 4 2 3" xfId="28020" xr:uid="{00000000-0005-0000-0000-00006F840000}"/>
    <cellStyle name="Normal 125 4 3" xfId="14215" xr:uid="{00000000-0005-0000-0000-000070840000}"/>
    <cellStyle name="Normal 125 4 3 2" xfId="31850" xr:uid="{00000000-0005-0000-0000-000071840000}"/>
    <cellStyle name="Normal 125 4 4" xfId="25156" xr:uid="{00000000-0005-0000-0000-000072840000}"/>
    <cellStyle name="Normal 125 5" xfId="7202" xr:uid="{00000000-0005-0000-0000-000073840000}"/>
    <cellStyle name="Normal 125 5 2" xfId="10190" xr:uid="{00000000-0005-0000-0000-000074840000}"/>
    <cellStyle name="Normal 125 5 2 2" xfId="17983" xr:uid="{00000000-0005-0000-0000-000075840000}"/>
    <cellStyle name="Normal 125 5 2 2 2" xfId="35620" xr:uid="{00000000-0005-0000-0000-000076840000}"/>
    <cellStyle name="Normal 125 5 2 3" xfId="28557" xr:uid="{00000000-0005-0000-0000-000077840000}"/>
    <cellStyle name="Normal 125 5 3" xfId="14990" xr:uid="{00000000-0005-0000-0000-000078840000}"/>
    <cellStyle name="Normal 125 5 3 2" xfId="32625" xr:uid="{00000000-0005-0000-0000-000079840000}"/>
    <cellStyle name="Normal 125 5 4" xfId="25694" xr:uid="{00000000-0005-0000-0000-00007A840000}"/>
    <cellStyle name="Normal 125 6" xfId="7801" xr:uid="{00000000-0005-0000-0000-00007B840000}"/>
    <cellStyle name="Normal 125 6 2" xfId="15598" xr:uid="{00000000-0005-0000-0000-00007C840000}"/>
    <cellStyle name="Normal 125 6 2 2" xfId="33233" xr:uid="{00000000-0005-0000-0000-00007D840000}"/>
    <cellStyle name="Normal 125 6 3" xfId="26217" xr:uid="{00000000-0005-0000-0000-00007E840000}"/>
    <cellStyle name="Normal 125 7" xfId="11701" xr:uid="{00000000-0005-0000-0000-00007F840000}"/>
    <cellStyle name="Normal 125 7 2" xfId="29394" xr:uid="{00000000-0005-0000-0000-000080840000}"/>
    <cellStyle name="Normal 125 8" xfId="21969" xr:uid="{00000000-0005-0000-0000-000081840000}"/>
    <cellStyle name="Normal 125 8 2" xfId="38720" xr:uid="{00000000-0005-0000-0000-000082840000}"/>
    <cellStyle name="Normal 125 9" xfId="23352" xr:uid="{00000000-0005-0000-0000-000083840000}"/>
    <cellStyle name="Normal 126" xfId="2153" xr:uid="{00000000-0005-0000-0000-000084840000}"/>
    <cellStyle name="Normal 126 10" xfId="51960" xr:uid="{00000000-0005-0000-0000-000085840000}"/>
    <cellStyle name="Normal 126 2" xfId="4321" xr:uid="{00000000-0005-0000-0000-000086840000}"/>
    <cellStyle name="Normal 126 2 2" xfId="8481" xr:uid="{00000000-0005-0000-0000-000087840000}"/>
    <cellStyle name="Normal 126 2 2 2" xfId="16277" xr:uid="{00000000-0005-0000-0000-000088840000}"/>
    <cellStyle name="Normal 126 2 2 2 2" xfId="33912" xr:uid="{00000000-0005-0000-0000-000089840000}"/>
    <cellStyle name="Normal 126 2 2 3" xfId="26882" xr:uid="{00000000-0005-0000-0000-00008A840000}"/>
    <cellStyle name="Normal 126 2 3" xfId="12715" xr:uid="{00000000-0005-0000-0000-00008B840000}"/>
    <cellStyle name="Normal 126 2 3 2" xfId="30373" xr:uid="{00000000-0005-0000-0000-00008C840000}"/>
    <cellStyle name="Normal 126 2 4" xfId="22936" xr:uid="{00000000-0005-0000-0000-00008D840000}"/>
    <cellStyle name="Normal 126 2 4 2" xfId="39042" xr:uid="{00000000-0005-0000-0000-00008E840000}"/>
    <cellStyle name="Normal 126 2 5" xfId="24017" xr:uid="{00000000-0005-0000-0000-00008F840000}"/>
    <cellStyle name="Normal 126 3" xfId="5797" xr:uid="{00000000-0005-0000-0000-000090840000}"/>
    <cellStyle name="Normal 126 3 2" xfId="9097" xr:uid="{00000000-0005-0000-0000-000091840000}"/>
    <cellStyle name="Normal 126 3 2 2" xfId="16892" xr:uid="{00000000-0005-0000-0000-000092840000}"/>
    <cellStyle name="Normal 126 3 2 2 2" xfId="34528" xr:uid="{00000000-0005-0000-0000-000093840000}"/>
    <cellStyle name="Normal 126 3 2 3" xfId="27485" xr:uid="{00000000-0005-0000-0000-000094840000}"/>
    <cellStyle name="Normal 126 3 3" xfId="13653" xr:uid="{00000000-0005-0000-0000-000095840000}"/>
    <cellStyle name="Normal 126 3 3 2" xfId="31293" xr:uid="{00000000-0005-0000-0000-000096840000}"/>
    <cellStyle name="Normal 126 3 4" xfId="22525" xr:uid="{00000000-0005-0000-0000-000097840000}"/>
    <cellStyle name="Normal 126 3 5" xfId="24620" xr:uid="{00000000-0005-0000-0000-000098840000}"/>
    <cellStyle name="Normal 126 4" xfId="6427" xr:uid="{00000000-0005-0000-0000-000099840000}"/>
    <cellStyle name="Normal 126 4 2" xfId="9637" xr:uid="{00000000-0005-0000-0000-00009A840000}"/>
    <cellStyle name="Normal 126 4 2 2" xfId="17431" xr:uid="{00000000-0005-0000-0000-00009B840000}"/>
    <cellStyle name="Normal 126 4 2 2 2" xfId="35068" xr:uid="{00000000-0005-0000-0000-00009C840000}"/>
    <cellStyle name="Normal 126 4 2 3" xfId="28021" xr:uid="{00000000-0005-0000-0000-00009D840000}"/>
    <cellStyle name="Normal 126 4 3" xfId="14216" xr:uid="{00000000-0005-0000-0000-00009E840000}"/>
    <cellStyle name="Normal 126 4 3 2" xfId="31851" xr:uid="{00000000-0005-0000-0000-00009F840000}"/>
    <cellStyle name="Normal 126 4 4" xfId="25157" xr:uid="{00000000-0005-0000-0000-0000A0840000}"/>
    <cellStyle name="Normal 126 5" xfId="7203" xr:uid="{00000000-0005-0000-0000-0000A1840000}"/>
    <cellStyle name="Normal 126 5 2" xfId="10191" xr:uid="{00000000-0005-0000-0000-0000A2840000}"/>
    <cellStyle name="Normal 126 5 2 2" xfId="17984" xr:uid="{00000000-0005-0000-0000-0000A3840000}"/>
    <cellStyle name="Normal 126 5 2 2 2" xfId="35621" xr:uid="{00000000-0005-0000-0000-0000A4840000}"/>
    <cellStyle name="Normal 126 5 2 3" xfId="28558" xr:uid="{00000000-0005-0000-0000-0000A5840000}"/>
    <cellStyle name="Normal 126 5 3" xfId="14991" xr:uid="{00000000-0005-0000-0000-0000A6840000}"/>
    <cellStyle name="Normal 126 5 3 2" xfId="32626" xr:uid="{00000000-0005-0000-0000-0000A7840000}"/>
    <cellStyle name="Normal 126 5 4" xfId="25695" xr:uid="{00000000-0005-0000-0000-0000A8840000}"/>
    <cellStyle name="Normal 126 6" xfId="7802" xr:uid="{00000000-0005-0000-0000-0000A9840000}"/>
    <cellStyle name="Normal 126 6 2" xfId="15599" xr:uid="{00000000-0005-0000-0000-0000AA840000}"/>
    <cellStyle name="Normal 126 6 2 2" xfId="33234" xr:uid="{00000000-0005-0000-0000-0000AB840000}"/>
    <cellStyle name="Normal 126 6 3" xfId="26218" xr:uid="{00000000-0005-0000-0000-0000AC840000}"/>
    <cellStyle name="Normal 126 7" xfId="11702" xr:uid="{00000000-0005-0000-0000-0000AD840000}"/>
    <cellStyle name="Normal 126 7 2" xfId="29395" xr:uid="{00000000-0005-0000-0000-0000AE840000}"/>
    <cellStyle name="Normal 126 8" xfId="21970" xr:uid="{00000000-0005-0000-0000-0000AF840000}"/>
    <cellStyle name="Normal 126 8 2" xfId="38721" xr:uid="{00000000-0005-0000-0000-0000B0840000}"/>
    <cellStyle name="Normal 126 9" xfId="23353" xr:uid="{00000000-0005-0000-0000-0000B1840000}"/>
    <cellStyle name="Normal 127" xfId="2154" xr:uid="{00000000-0005-0000-0000-0000B2840000}"/>
    <cellStyle name="Normal 127 10" xfId="51961" xr:uid="{00000000-0005-0000-0000-0000B3840000}"/>
    <cellStyle name="Normal 127 2" xfId="4322" xr:uid="{00000000-0005-0000-0000-0000B4840000}"/>
    <cellStyle name="Normal 127 2 2" xfId="8482" xr:uid="{00000000-0005-0000-0000-0000B5840000}"/>
    <cellStyle name="Normal 127 2 2 2" xfId="16278" xr:uid="{00000000-0005-0000-0000-0000B6840000}"/>
    <cellStyle name="Normal 127 2 2 2 2" xfId="33913" xr:uid="{00000000-0005-0000-0000-0000B7840000}"/>
    <cellStyle name="Normal 127 2 2 3" xfId="26883" xr:uid="{00000000-0005-0000-0000-0000B8840000}"/>
    <cellStyle name="Normal 127 2 3" xfId="12716" xr:uid="{00000000-0005-0000-0000-0000B9840000}"/>
    <cellStyle name="Normal 127 2 3 2" xfId="30374" xr:uid="{00000000-0005-0000-0000-0000BA840000}"/>
    <cellStyle name="Normal 127 2 4" xfId="22937" xr:uid="{00000000-0005-0000-0000-0000BB840000}"/>
    <cellStyle name="Normal 127 2 4 2" xfId="39043" xr:uid="{00000000-0005-0000-0000-0000BC840000}"/>
    <cellStyle name="Normal 127 2 5" xfId="24018" xr:uid="{00000000-0005-0000-0000-0000BD840000}"/>
    <cellStyle name="Normal 127 3" xfId="5798" xr:uid="{00000000-0005-0000-0000-0000BE840000}"/>
    <cellStyle name="Normal 127 3 2" xfId="9098" xr:uid="{00000000-0005-0000-0000-0000BF840000}"/>
    <cellStyle name="Normal 127 3 2 2" xfId="16893" xr:uid="{00000000-0005-0000-0000-0000C0840000}"/>
    <cellStyle name="Normal 127 3 2 2 2" xfId="34529" xr:uid="{00000000-0005-0000-0000-0000C1840000}"/>
    <cellStyle name="Normal 127 3 2 3" xfId="27486" xr:uid="{00000000-0005-0000-0000-0000C2840000}"/>
    <cellStyle name="Normal 127 3 3" xfId="13654" xr:uid="{00000000-0005-0000-0000-0000C3840000}"/>
    <cellStyle name="Normal 127 3 3 2" xfId="31294" xr:uid="{00000000-0005-0000-0000-0000C4840000}"/>
    <cellStyle name="Normal 127 3 4" xfId="22526" xr:uid="{00000000-0005-0000-0000-0000C5840000}"/>
    <cellStyle name="Normal 127 3 5" xfId="24621" xr:uid="{00000000-0005-0000-0000-0000C6840000}"/>
    <cellStyle name="Normal 127 4" xfId="6428" xr:uid="{00000000-0005-0000-0000-0000C7840000}"/>
    <cellStyle name="Normal 127 4 2" xfId="9638" xr:uid="{00000000-0005-0000-0000-0000C8840000}"/>
    <cellStyle name="Normal 127 4 2 2" xfId="17432" xr:uid="{00000000-0005-0000-0000-0000C9840000}"/>
    <cellStyle name="Normal 127 4 2 2 2" xfId="35069" xr:uid="{00000000-0005-0000-0000-0000CA840000}"/>
    <cellStyle name="Normal 127 4 2 3" xfId="28022" xr:uid="{00000000-0005-0000-0000-0000CB840000}"/>
    <cellStyle name="Normal 127 4 3" xfId="14217" xr:uid="{00000000-0005-0000-0000-0000CC840000}"/>
    <cellStyle name="Normal 127 4 3 2" xfId="31852" xr:uid="{00000000-0005-0000-0000-0000CD840000}"/>
    <cellStyle name="Normal 127 4 4" xfId="25158" xr:uid="{00000000-0005-0000-0000-0000CE840000}"/>
    <cellStyle name="Normal 127 5" xfId="7204" xr:uid="{00000000-0005-0000-0000-0000CF840000}"/>
    <cellStyle name="Normal 127 5 2" xfId="10192" xr:uid="{00000000-0005-0000-0000-0000D0840000}"/>
    <cellStyle name="Normal 127 5 2 2" xfId="17985" xr:uid="{00000000-0005-0000-0000-0000D1840000}"/>
    <cellStyle name="Normal 127 5 2 2 2" xfId="35622" xr:uid="{00000000-0005-0000-0000-0000D2840000}"/>
    <cellStyle name="Normal 127 5 2 3" xfId="28559" xr:uid="{00000000-0005-0000-0000-0000D3840000}"/>
    <cellStyle name="Normal 127 5 3" xfId="14992" xr:uid="{00000000-0005-0000-0000-0000D4840000}"/>
    <cellStyle name="Normal 127 5 3 2" xfId="32627" xr:uid="{00000000-0005-0000-0000-0000D5840000}"/>
    <cellStyle name="Normal 127 5 4" xfId="25696" xr:uid="{00000000-0005-0000-0000-0000D6840000}"/>
    <cellStyle name="Normal 127 6" xfId="7803" xr:uid="{00000000-0005-0000-0000-0000D7840000}"/>
    <cellStyle name="Normal 127 6 2" xfId="15600" xr:uid="{00000000-0005-0000-0000-0000D8840000}"/>
    <cellStyle name="Normal 127 6 2 2" xfId="33235" xr:uid="{00000000-0005-0000-0000-0000D9840000}"/>
    <cellStyle name="Normal 127 6 3" xfId="26219" xr:uid="{00000000-0005-0000-0000-0000DA840000}"/>
    <cellStyle name="Normal 127 7" xfId="11703" xr:uid="{00000000-0005-0000-0000-0000DB840000}"/>
    <cellStyle name="Normal 127 7 2" xfId="29396" xr:uid="{00000000-0005-0000-0000-0000DC840000}"/>
    <cellStyle name="Normal 127 8" xfId="21971" xr:uid="{00000000-0005-0000-0000-0000DD840000}"/>
    <cellStyle name="Normal 127 8 2" xfId="38722" xr:uid="{00000000-0005-0000-0000-0000DE840000}"/>
    <cellStyle name="Normal 127 9" xfId="23354" xr:uid="{00000000-0005-0000-0000-0000DF840000}"/>
    <cellStyle name="Normal 128" xfId="2155" xr:uid="{00000000-0005-0000-0000-0000E0840000}"/>
    <cellStyle name="Normal 128 10" xfId="51962" xr:uid="{00000000-0005-0000-0000-0000E1840000}"/>
    <cellStyle name="Normal 128 2" xfId="4323" xr:uid="{00000000-0005-0000-0000-0000E2840000}"/>
    <cellStyle name="Normal 128 2 2" xfId="8483" xr:uid="{00000000-0005-0000-0000-0000E3840000}"/>
    <cellStyle name="Normal 128 2 2 2" xfId="16279" xr:uid="{00000000-0005-0000-0000-0000E4840000}"/>
    <cellStyle name="Normal 128 2 2 2 2" xfId="33914" xr:uid="{00000000-0005-0000-0000-0000E5840000}"/>
    <cellStyle name="Normal 128 2 2 3" xfId="26884" xr:uid="{00000000-0005-0000-0000-0000E6840000}"/>
    <cellStyle name="Normal 128 2 3" xfId="12717" xr:uid="{00000000-0005-0000-0000-0000E7840000}"/>
    <cellStyle name="Normal 128 2 3 2" xfId="30375" xr:uid="{00000000-0005-0000-0000-0000E8840000}"/>
    <cellStyle name="Normal 128 2 4" xfId="22938" xr:uid="{00000000-0005-0000-0000-0000E9840000}"/>
    <cellStyle name="Normal 128 2 4 2" xfId="39044" xr:uid="{00000000-0005-0000-0000-0000EA840000}"/>
    <cellStyle name="Normal 128 2 5" xfId="24019" xr:uid="{00000000-0005-0000-0000-0000EB840000}"/>
    <cellStyle name="Normal 128 3" xfId="5799" xr:uid="{00000000-0005-0000-0000-0000EC840000}"/>
    <cellStyle name="Normal 128 3 2" xfId="9099" xr:uid="{00000000-0005-0000-0000-0000ED840000}"/>
    <cellStyle name="Normal 128 3 2 2" xfId="16894" xr:uid="{00000000-0005-0000-0000-0000EE840000}"/>
    <cellStyle name="Normal 128 3 2 2 2" xfId="34530" xr:uid="{00000000-0005-0000-0000-0000EF840000}"/>
    <cellStyle name="Normal 128 3 2 3" xfId="27487" xr:uid="{00000000-0005-0000-0000-0000F0840000}"/>
    <cellStyle name="Normal 128 3 3" xfId="13655" xr:uid="{00000000-0005-0000-0000-0000F1840000}"/>
    <cellStyle name="Normal 128 3 3 2" xfId="31295" xr:uid="{00000000-0005-0000-0000-0000F2840000}"/>
    <cellStyle name="Normal 128 3 4" xfId="22527" xr:uid="{00000000-0005-0000-0000-0000F3840000}"/>
    <cellStyle name="Normal 128 3 5" xfId="24622" xr:uid="{00000000-0005-0000-0000-0000F4840000}"/>
    <cellStyle name="Normal 128 4" xfId="6429" xr:uid="{00000000-0005-0000-0000-0000F5840000}"/>
    <cellStyle name="Normal 128 4 2" xfId="9639" xr:uid="{00000000-0005-0000-0000-0000F6840000}"/>
    <cellStyle name="Normal 128 4 2 2" xfId="17433" xr:uid="{00000000-0005-0000-0000-0000F7840000}"/>
    <cellStyle name="Normal 128 4 2 2 2" xfId="35070" xr:uid="{00000000-0005-0000-0000-0000F8840000}"/>
    <cellStyle name="Normal 128 4 2 3" xfId="28023" xr:uid="{00000000-0005-0000-0000-0000F9840000}"/>
    <cellStyle name="Normal 128 4 3" xfId="14218" xr:uid="{00000000-0005-0000-0000-0000FA840000}"/>
    <cellStyle name="Normal 128 4 3 2" xfId="31853" xr:uid="{00000000-0005-0000-0000-0000FB840000}"/>
    <cellStyle name="Normal 128 4 4" xfId="25159" xr:uid="{00000000-0005-0000-0000-0000FC840000}"/>
    <cellStyle name="Normal 128 5" xfId="7205" xr:uid="{00000000-0005-0000-0000-0000FD840000}"/>
    <cellStyle name="Normal 128 5 2" xfId="10193" xr:uid="{00000000-0005-0000-0000-0000FE840000}"/>
    <cellStyle name="Normal 128 5 2 2" xfId="17986" xr:uid="{00000000-0005-0000-0000-0000FF840000}"/>
    <cellStyle name="Normal 128 5 2 2 2" xfId="35623" xr:uid="{00000000-0005-0000-0000-000000850000}"/>
    <cellStyle name="Normal 128 5 2 3" xfId="28560" xr:uid="{00000000-0005-0000-0000-000001850000}"/>
    <cellStyle name="Normal 128 5 3" xfId="14993" xr:uid="{00000000-0005-0000-0000-000002850000}"/>
    <cellStyle name="Normal 128 5 3 2" xfId="32628" xr:uid="{00000000-0005-0000-0000-000003850000}"/>
    <cellStyle name="Normal 128 5 4" xfId="25697" xr:uid="{00000000-0005-0000-0000-000004850000}"/>
    <cellStyle name="Normal 128 6" xfId="7804" xr:uid="{00000000-0005-0000-0000-000005850000}"/>
    <cellStyle name="Normal 128 6 2" xfId="15601" xr:uid="{00000000-0005-0000-0000-000006850000}"/>
    <cellStyle name="Normal 128 6 2 2" xfId="33236" xr:uid="{00000000-0005-0000-0000-000007850000}"/>
    <cellStyle name="Normal 128 6 3" xfId="26220" xr:uid="{00000000-0005-0000-0000-000008850000}"/>
    <cellStyle name="Normal 128 7" xfId="11704" xr:uid="{00000000-0005-0000-0000-000009850000}"/>
    <cellStyle name="Normal 128 7 2" xfId="29397" xr:uid="{00000000-0005-0000-0000-00000A850000}"/>
    <cellStyle name="Normal 128 8" xfId="21972" xr:uid="{00000000-0005-0000-0000-00000B850000}"/>
    <cellStyle name="Normal 128 8 2" xfId="38723" xr:uid="{00000000-0005-0000-0000-00000C850000}"/>
    <cellStyle name="Normal 128 9" xfId="23355" xr:uid="{00000000-0005-0000-0000-00000D850000}"/>
    <cellStyle name="Normal 129" xfId="2156" xr:uid="{00000000-0005-0000-0000-00000E850000}"/>
    <cellStyle name="Normal 129 10" xfId="51963" xr:uid="{00000000-0005-0000-0000-00000F850000}"/>
    <cellStyle name="Normal 129 2" xfId="4324" xr:uid="{00000000-0005-0000-0000-000010850000}"/>
    <cellStyle name="Normal 129 2 2" xfId="8484" xr:uid="{00000000-0005-0000-0000-000011850000}"/>
    <cellStyle name="Normal 129 2 2 2" xfId="16280" xr:uid="{00000000-0005-0000-0000-000012850000}"/>
    <cellStyle name="Normal 129 2 2 2 2" xfId="33915" xr:uid="{00000000-0005-0000-0000-000013850000}"/>
    <cellStyle name="Normal 129 2 2 3" xfId="26885" xr:uid="{00000000-0005-0000-0000-000014850000}"/>
    <cellStyle name="Normal 129 2 3" xfId="12718" xr:uid="{00000000-0005-0000-0000-000015850000}"/>
    <cellStyle name="Normal 129 2 3 2" xfId="30376" xr:uid="{00000000-0005-0000-0000-000016850000}"/>
    <cellStyle name="Normal 129 2 4" xfId="22939" xr:uid="{00000000-0005-0000-0000-000017850000}"/>
    <cellStyle name="Normal 129 2 4 2" xfId="39045" xr:uid="{00000000-0005-0000-0000-000018850000}"/>
    <cellStyle name="Normal 129 2 5" xfId="24020" xr:uid="{00000000-0005-0000-0000-000019850000}"/>
    <cellStyle name="Normal 129 3" xfId="5800" xr:uid="{00000000-0005-0000-0000-00001A850000}"/>
    <cellStyle name="Normal 129 3 2" xfId="9100" xr:uid="{00000000-0005-0000-0000-00001B850000}"/>
    <cellStyle name="Normal 129 3 2 2" xfId="16895" xr:uid="{00000000-0005-0000-0000-00001C850000}"/>
    <cellStyle name="Normal 129 3 2 2 2" xfId="34531" xr:uid="{00000000-0005-0000-0000-00001D850000}"/>
    <cellStyle name="Normal 129 3 2 3" xfId="27488" xr:uid="{00000000-0005-0000-0000-00001E850000}"/>
    <cellStyle name="Normal 129 3 3" xfId="13656" xr:uid="{00000000-0005-0000-0000-00001F850000}"/>
    <cellStyle name="Normal 129 3 3 2" xfId="31296" xr:uid="{00000000-0005-0000-0000-000020850000}"/>
    <cellStyle name="Normal 129 3 4" xfId="22528" xr:uid="{00000000-0005-0000-0000-000021850000}"/>
    <cellStyle name="Normal 129 3 5" xfId="24623" xr:uid="{00000000-0005-0000-0000-000022850000}"/>
    <cellStyle name="Normal 129 4" xfId="6430" xr:uid="{00000000-0005-0000-0000-000023850000}"/>
    <cellStyle name="Normal 129 4 2" xfId="9640" xr:uid="{00000000-0005-0000-0000-000024850000}"/>
    <cellStyle name="Normal 129 4 2 2" xfId="17434" xr:uid="{00000000-0005-0000-0000-000025850000}"/>
    <cellStyle name="Normal 129 4 2 2 2" xfId="35071" xr:uid="{00000000-0005-0000-0000-000026850000}"/>
    <cellStyle name="Normal 129 4 2 3" xfId="28024" xr:uid="{00000000-0005-0000-0000-000027850000}"/>
    <cellStyle name="Normal 129 4 3" xfId="14219" xr:uid="{00000000-0005-0000-0000-000028850000}"/>
    <cellStyle name="Normal 129 4 3 2" xfId="31854" xr:uid="{00000000-0005-0000-0000-000029850000}"/>
    <cellStyle name="Normal 129 4 4" xfId="25160" xr:uid="{00000000-0005-0000-0000-00002A850000}"/>
    <cellStyle name="Normal 129 5" xfId="7206" xr:uid="{00000000-0005-0000-0000-00002B850000}"/>
    <cellStyle name="Normal 129 5 2" xfId="10194" xr:uid="{00000000-0005-0000-0000-00002C850000}"/>
    <cellStyle name="Normal 129 5 2 2" xfId="17987" xr:uid="{00000000-0005-0000-0000-00002D850000}"/>
    <cellStyle name="Normal 129 5 2 2 2" xfId="35624" xr:uid="{00000000-0005-0000-0000-00002E850000}"/>
    <cellStyle name="Normal 129 5 2 3" xfId="28561" xr:uid="{00000000-0005-0000-0000-00002F850000}"/>
    <cellStyle name="Normal 129 5 3" xfId="14994" xr:uid="{00000000-0005-0000-0000-000030850000}"/>
    <cellStyle name="Normal 129 5 3 2" xfId="32629" xr:uid="{00000000-0005-0000-0000-000031850000}"/>
    <cellStyle name="Normal 129 5 4" xfId="25698" xr:uid="{00000000-0005-0000-0000-000032850000}"/>
    <cellStyle name="Normal 129 6" xfId="7805" xr:uid="{00000000-0005-0000-0000-000033850000}"/>
    <cellStyle name="Normal 129 6 2" xfId="15602" xr:uid="{00000000-0005-0000-0000-000034850000}"/>
    <cellStyle name="Normal 129 6 2 2" xfId="33237" xr:uid="{00000000-0005-0000-0000-000035850000}"/>
    <cellStyle name="Normal 129 6 3" xfId="26221" xr:uid="{00000000-0005-0000-0000-000036850000}"/>
    <cellStyle name="Normal 129 7" xfId="11705" xr:uid="{00000000-0005-0000-0000-000037850000}"/>
    <cellStyle name="Normal 129 7 2" xfId="29398" xr:uid="{00000000-0005-0000-0000-000038850000}"/>
    <cellStyle name="Normal 129 8" xfId="21973" xr:uid="{00000000-0005-0000-0000-000039850000}"/>
    <cellStyle name="Normal 129 8 2" xfId="38724" xr:uid="{00000000-0005-0000-0000-00003A850000}"/>
    <cellStyle name="Normal 129 9" xfId="23356" xr:uid="{00000000-0005-0000-0000-00003B850000}"/>
    <cellStyle name="Normal 13" xfId="2157" xr:uid="{00000000-0005-0000-0000-00003C850000}"/>
    <cellStyle name="Normal 13 2" xfId="2158" xr:uid="{00000000-0005-0000-0000-00003D850000}"/>
    <cellStyle name="Normal 13 2 2" xfId="2159" xr:uid="{00000000-0005-0000-0000-00003E850000}"/>
    <cellStyle name="Normal 13 2_Sheet1" xfId="2160" xr:uid="{00000000-0005-0000-0000-00003F850000}"/>
    <cellStyle name="Normal 13 3" xfId="2161" xr:uid="{00000000-0005-0000-0000-000040850000}"/>
    <cellStyle name="Normal 13 4" xfId="22940" xr:uid="{00000000-0005-0000-0000-000041850000}"/>
    <cellStyle name="Normal 13 5" xfId="22529" xr:uid="{00000000-0005-0000-0000-000042850000}"/>
    <cellStyle name="Normal 13 6" xfId="22904" xr:uid="{00000000-0005-0000-0000-000043850000}"/>
    <cellStyle name="Normal 13 7" xfId="53228" xr:uid="{00000000-0005-0000-0000-000044850000}"/>
    <cellStyle name="Normal 13 8" xfId="53229" xr:uid="{00000000-0005-0000-0000-000045850000}"/>
    <cellStyle name="Normal 13 9" xfId="53227" xr:uid="{00000000-0005-0000-0000-000046850000}"/>
    <cellStyle name="Normal 13_Sheet1" xfId="2162" xr:uid="{00000000-0005-0000-0000-000047850000}"/>
    <cellStyle name="Normal 130" xfId="2163" xr:uid="{00000000-0005-0000-0000-000048850000}"/>
    <cellStyle name="Normal 130 10" xfId="51964" xr:uid="{00000000-0005-0000-0000-000049850000}"/>
    <cellStyle name="Normal 130 2" xfId="4325" xr:uid="{00000000-0005-0000-0000-00004A850000}"/>
    <cellStyle name="Normal 130 2 2" xfId="8485" xr:uid="{00000000-0005-0000-0000-00004B850000}"/>
    <cellStyle name="Normal 130 2 2 2" xfId="16281" xr:uid="{00000000-0005-0000-0000-00004C850000}"/>
    <cellStyle name="Normal 130 2 2 2 2" xfId="33916" xr:uid="{00000000-0005-0000-0000-00004D850000}"/>
    <cellStyle name="Normal 130 2 2 3" xfId="26886" xr:uid="{00000000-0005-0000-0000-00004E850000}"/>
    <cellStyle name="Normal 130 2 3" xfId="12719" xr:uid="{00000000-0005-0000-0000-00004F850000}"/>
    <cellStyle name="Normal 130 2 3 2" xfId="30377" xr:uid="{00000000-0005-0000-0000-000050850000}"/>
    <cellStyle name="Normal 130 2 4" xfId="22941" xr:uid="{00000000-0005-0000-0000-000051850000}"/>
    <cellStyle name="Normal 130 2 4 2" xfId="39046" xr:uid="{00000000-0005-0000-0000-000052850000}"/>
    <cellStyle name="Normal 130 2 5" xfId="24021" xr:uid="{00000000-0005-0000-0000-000053850000}"/>
    <cellStyle name="Normal 130 3" xfId="5801" xr:uid="{00000000-0005-0000-0000-000054850000}"/>
    <cellStyle name="Normal 130 3 2" xfId="9101" xr:uid="{00000000-0005-0000-0000-000055850000}"/>
    <cellStyle name="Normal 130 3 2 2" xfId="16896" xr:uid="{00000000-0005-0000-0000-000056850000}"/>
    <cellStyle name="Normal 130 3 2 2 2" xfId="34532" xr:uid="{00000000-0005-0000-0000-000057850000}"/>
    <cellStyle name="Normal 130 3 2 3" xfId="27489" xr:uid="{00000000-0005-0000-0000-000058850000}"/>
    <cellStyle name="Normal 130 3 3" xfId="13657" xr:uid="{00000000-0005-0000-0000-000059850000}"/>
    <cellStyle name="Normal 130 3 3 2" xfId="31297" xr:uid="{00000000-0005-0000-0000-00005A850000}"/>
    <cellStyle name="Normal 130 3 4" xfId="22530" xr:uid="{00000000-0005-0000-0000-00005B850000}"/>
    <cellStyle name="Normal 130 3 5" xfId="24624" xr:uid="{00000000-0005-0000-0000-00005C850000}"/>
    <cellStyle name="Normal 130 4" xfId="6431" xr:uid="{00000000-0005-0000-0000-00005D850000}"/>
    <cellStyle name="Normal 130 4 2" xfId="9641" xr:uid="{00000000-0005-0000-0000-00005E850000}"/>
    <cellStyle name="Normal 130 4 2 2" xfId="17435" xr:uid="{00000000-0005-0000-0000-00005F850000}"/>
    <cellStyle name="Normal 130 4 2 2 2" xfId="35072" xr:uid="{00000000-0005-0000-0000-000060850000}"/>
    <cellStyle name="Normal 130 4 2 3" xfId="28025" xr:uid="{00000000-0005-0000-0000-000061850000}"/>
    <cellStyle name="Normal 130 4 3" xfId="14220" xr:uid="{00000000-0005-0000-0000-000062850000}"/>
    <cellStyle name="Normal 130 4 3 2" xfId="31855" xr:uid="{00000000-0005-0000-0000-000063850000}"/>
    <cellStyle name="Normal 130 4 4" xfId="25161" xr:uid="{00000000-0005-0000-0000-000064850000}"/>
    <cellStyle name="Normal 130 5" xfId="7207" xr:uid="{00000000-0005-0000-0000-000065850000}"/>
    <cellStyle name="Normal 130 5 2" xfId="10195" xr:uid="{00000000-0005-0000-0000-000066850000}"/>
    <cellStyle name="Normal 130 5 2 2" xfId="17988" xr:uid="{00000000-0005-0000-0000-000067850000}"/>
    <cellStyle name="Normal 130 5 2 2 2" xfId="35625" xr:uid="{00000000-0005-0000-0000-000068850000}"/>
    <cellStyle name="Normal 130 5 2 3" xfId="28562" xr:uid="{00000000-0005-0000-0000-000069850000}"/>
    <cellStyle name="Normal 130 5 3" xfId="14995" xr:uid="{00000000-0005-0000-0000-00006A850000}"/>
    <cellStyle name="Normal 130 5 3 2" xfId="32630" xr:uid="{00000000-0005-0000-0000-00006B850000}"/>
    <cellStyle name="Normal 130 5 4" xfId="25699" xr:uid="{00000000-0005-0000-0000-00006C850000}"/>
    <cellStyle name="Normal 130 6" xfId="7806" xr:uid="{00000000-0005-0000-0000-00006D850000}"/>
    <cellStyle name="Normal 130 6 2" xfId="15603" xr:uid="{00000000-0005-0000-0000-00006E850000}"/>
    <cellStyle name="Normal 130 6 2 2" xfId="33238" xr:uid="{00000000-0005-0000-0000-00006F850000}"/>
    <cellStyle name="Normal 130 6 3" xfId="26222" xr:uid="{00000000-0005-0000-0000-000070850000}"/>
    <cellStyle name="Normal 130 7" xfId="11708" xr:uid="{00000000-0005-0000-0000-000071850000}"/>
    <cellStyle name="Normal 130 7 2" xfId="29399" xr:uid="{00000000-0005-0000-0000-000072850000}"/>
    <cellStyle name="Normal 130 8" xfId="21974" xr:uid="{00000000-0005-0000-0000-000073850000}"/>
    <cellStyle name="Normal 130 8 2" xfId="38725" xr:uid="{00000000-0005-0000-0000-000074850000}"/>
    <cellStyle name="Normal 130 9" xfId="23357" xr:uid="{00000000-0005-0000-0000-000075850000}"/>
    <cellStyle name="Normal 131" xfId="2164" xr:uid="{00000000-0005-0000-0000-000076850000}"/>
    <cellStyle name="Normal 131 10" xfId="51965" xr:uid="{00000000-0005-0000-0000-000077850000}"/>
    <cellStyle name="Normal 131 2" xfId="4326" xr:uid="{00000000-0005-0000-0000-000078850000}"/>
    <cellStyle name="Normal 131 2 2" xfId="8486" xr:uid="{00000000-0005-0000-0000-000079850000}"/>
    <cellStyle name="Normal 131 2 2 2" xfId="16282" xr:uid="{00000000-0005-0000-0000-00007A850000}"/>
    <cellStyle name="Normal 131 2 2 2 2" xfId="33917" xr:uid="{00000000-0005-0000-0000-00007B850000}"/>
    <cellStyle name="Normal 131 2 2 3" xfId="26887" xr:uid="{00000000-0005-0000-0000-00007C850000}"/>
    <cellStyle name="Normal 131 2 3" xfId="12720" xr:uid="{00000000-0005-0000-0000-00007D850000}"/>
    <cellStyle name="Normal 131 2 3 2" xfId="30378" xr:uid="{00000000-0005-0000-0000-00007E850000}"/>
    <cellStyle name="Normal 131 2 4" xfId="22942" xr:uid="{00000000-0005-0000-0000-00007F850000}"/>
    <cellStyle name="Normal 131 2 4 2" xfId="39047" xr:uid="{00000000-0005-0000-0000-000080850000}"/>
    <cellStyle name="Normal 131 2 5" xfId="24022" xr:uid="{00000000-0005-0000-0000-000081850000}"/>
    <cellStyle name="Normal 131 3" xfId="5802" xr:uid="{00000000-0005-0000-0000-000082850000}"/>
    <cellStyle name="Normal 131 3 2" xfId="9102" xr:uid="{00000000-0005-0000-0000-000083850000}"/>
    <cellStyle name="Normal 131 3 2 2" xfId="16897" xr:uid="{00000000-0005-0000-0000-000084850000}"/>
    <cellStyle name="Normal 131 3 2 2 2" xfId="34533" xr:uid="{00000000-0005-0000-0000-000085850000}"/>
    <cellStyle name="Normal 131 3 2 3" xfId="27490" xr:uid="{00000000-0005-0000-0000-000086850000}"/>
    <cellStyle name="Normal 131 3 3" xfId="13658" xr:uid="{00000000-0005-0000-0000-000087850000}"/>
    <cellStyle name="Normal 131 3 3 2" xfId="31298" xr:uid="{00000000-0005-0000-0000-000088850000}"/>
    <cellStyle name="Normal 131 3 4" xfId="22531" xr:uid="{00000000-0005-0000-0000-000089850000}"/>
    <cellStyle name="Normal 131 3 5" xfId="24625" xr:uid="{00000000-0005-0000-0000-00008A850000}"/>
    <cellStyle name="Normal 131 4" xfId="6432" xr:uid="{00000000-0005-0000-0000-00008B850000}"/>
    <cellStyle name="Normal 131 4 2" xfId="9642" xr:uid="{00000000-0005-0000-0000-00008C850000}"/>
    <cellStyle name="Normal 131 4 2 2" xfId="17436" xr:uid="{00000000-0005-0000-0000-00008D850000}"/>
    <cellStyle name="Normal 131 4 2 2 2" xfId="35073" xr:uid="{00000000-0005-0000-0000-00008E850000}"/>
    <cellStyle name="Normal 131 4 2 3" xfId="28026" xr:uid="{00000000-0005-0000-0000-00008F850000}"/>
    <cellStyle name="Normal 131 4 3" xfId="14221" xr:uid="{00000000-0005-0000-0000-000090850000}"/>
    <cellStyle name="Normal 131 4 3 2" xfId="31856" xr:uid="{00000000-0005-0000-0000-000091850000}"/>
    <cellStyle name="Normal 131 4 4" xfId="25162" xr:uid="{00000000-0005-0000-0000-000092850000}"/>
    <cellStyle name="Normal 131 5" xfId="7208" xr:uid="{00000000-0005-0000-0000-000093850000}"/>
    <cellStyle name="Normal 131 5 2" xfId="10196" xr:uid="{00000000-0005-0000-0000-000094850000}"/>
    <cellStyle name="Normal 131 5 2 2" xfId="17989" xr:uid="{00000000-0005-0000-0000-000095850000}"/>
    <cellStyle name="Normal 131 5 2 2 2" xfId="35626" xr:uid="{00000000-0005-0000-0000-000096850000}"/>
    <cellStyle name="Normal 131 5 2 3" xfId="28563" xr:uid="{00000000-0005-0000-0000-000097850000}"/>
    <cellStyle name="Normal 131 5 3" xfId="14996" xr:uid="{00000000-0005-0000-0000-000098850000}"/>
    <cellStyle name="Normal 131 5 3 2" xfId="32631" xr:uid="{00000000-0005-0000-0000-000099850000}"/>
    <cellStyle name="Normal 131 5 4" xfId="25700" xr:uid="{00000000-0005-0000-0000-00009A850000}"/>
    <cellStyle name="Normal 131 6" xfId="7807" xr:uid="{00000000-0005-0000-0000-00009B850000}"/>
    <cellStyle name="Normal 131 6 2" xfId="15604" xr:uid="{00000000-0005-0000-0000-00009C850000}"/>
    <cellStyle name="Normal 131 6 2 2" xfId="33239" xr:uid="{00000000-0005-0000-0000-00009D850000}"/>
    <cellStyle name="Normal 131 6 3" xfId="26223" xr:uid="{00000000-0005-0000-0000-00009E850000}"/>
    <cellStyle name="Normal 131 7" xfId="11709" xr:uid="{00000000-0005-0000-0000-00009F850000}"/>
    <cellStyle name="Normal 131 7 2" xfId="29400" xr:uid="{00000000-0005-0000-0000-0000A0850000}"/>
    <cellStyle name="Normal 131 8" xfId="21975" xr:uid="{00000000-0005-0000-0000-0000A1850000}"/>
    <cellStyle name="Normal 131 8 2" xfId="38726" xr:uid="{00000000-0005-0000-0000-0000A2850000}"/>
    <cellStyle name="Normal 131 9" xfId="23358" xr:uid="{00000000-0005-0000-0000-0000A3850000}"/>
    <cellStyle name="Normal 132" xfId="2165" xr:uid="{00000000-0005-0000-0000-0000A4850000}"/>
    <cellStyle name="Normal 132 10" xfId="51966" xr:uid="{00000000-0005-0000-0000-0000A5850000}"/>
    <cellStyle name="Normal 132 2" xfId="4327" xr:uid="{00000000-0005-0000-0000-0000A6850000}"/>
    <cellStyle name="Normal 132 2 2" xfId="8487" xr:uid="{00000000-0005-0000-0000-0000A7850000}"/>
    <cellStyle name="Normal 132 2 2 2" xfId="16283" xr:uid="{00000000-0005-0000-0000-0000A8850000}"/>
    <cellStyle name="Normal 132 2 2 2 2" xfId="33918" xr:uid="{00000000-0005-0000-0000-0000A9850000}"/>
    <cellStyle name="Normal 132 2 2 3" xfId="26888" xr:uid="{00000000-0005-0000-0000-0000AA850000}"/>
    <cellStyle name="Normal 132 2 3" xfId="12721" xr:uid="{00000000-0005-0000-0000-0000AB850000}"/>
    <cellStyle name="Normal 132 2 3 2" xfId="30379" xr:uid="{00000000-0005-0000-0000-0000AC850000}"/>
    <cellStyle name="Normal 132 2 4" xfId="22943" xr:uid="{00000000-0005-0000-0000-0000AD850000}"/>
    <cellStyle name="Normal 132 2 4 2" xfId="39048" xr:uid="{00000000-0005-0000-0000-0000AE850000}"/>
    <cellStyle name="Normal 132 2 5" xfId="24023" xr:uid="{00000000-0005-0000-0000-0000AF850000}"/>
    <cellStyle name="Normal 132 3" xfId="5803" xr:uid="{00000000-0005-0000-0000-0000B0850000}"/>
    <cellStyle name="Normal 132 3 2" xfId="9103" xr:uid="{00000000-0005-0000-0000-0000B1850000}"/>
    <cellStyle name="Normal 132 3 2 2" xfId="16898" xr:uid="{00000000-0005-0000-0000-0000B2850000}"/>
    <cellStyle name="Normal 132 3 2 2 2" xfId="34534" xr:uid="{00000000-0005-0000-0000-0000B3850000}"/>
    <cellStyle name="Normal 132 3 2 3" xfId="27491" xr:uid="{00000000-0005-0000-0000-0000B4850000}"/>
    <cellStyle name="Normal 132 3 3" xfId="13659" xr:uid="{00000000-0005-0000-0000-0000B5850000}"/>
    <cellStyle name="Normal 132 3 3 2" xfId="31299" xr:uid="{00000000-0005-0000-0000-0000B6850000}"/>
    <cellStyle name="Normal 132 3 4" xfId="22532" xr:uid="{00000000-0005-0000-0000-0000B7850000}"/>
    <cellStyle name="Normal 132 3 5" xfId="24626" xr:uid="{00000000-0005-0000-0000-0000B8850000}"/>
    <cellStyle name="Normal 132 4" xfId="6433" xr:uid="{00000000-0005-0000-0000-0000B9850000}"/>
    <cellStyle name="Normal 132 4 2" xfId="9643" xr:uid="{00000000-0005-0000-0000-0000BA850000}"/>
    <cellStyle name="Normal 132 4 2 2" xfId="17437" xr:uid="{00000000-0005-0000-0000-0000BB850000}"/>
    <cellStyle name="Normal 132 4 2 2 2" xfId="35074" xr:uid="{00000000-0005-0000-0000-0000BC850000}"/>
    <cellStyle name="Normal 132 4 2 3" xfId="28027" xr:uid="{00000000-0005-0000-0000-0000BD850000}"/>
    <cellStyle name="Normal 132 4 3" xfId="14222" xr:uid="{00000000-0005-0000-0000-0000BE850000}"/>
    <cellStyle name="Normal 132 4 3 2" xfId="31857" xr:uid="{00000000-0005-0000-0000-0000BF850000}"/>
    <cellStyle name="Normal 132 4 4" xfId="25163" xr:uid="{00000000-0005-0000-0000-0000C0850000}"/>
    <cellStyle name="Normal 132 5" xfId="7209" xr:uid="{00000000-0005-0000-0000-0000C1850000}"/>
    <cellStyle name="Normal 132 5 2" xfId="10197" xr:uid="{00000000-0005-0000-0000-0000C2850000}"/>
    <cellStyle name="Normal 132 5 2 2" xfId="17990" xr:uid="{00000000-0005-0000-0000-0000C3850000}"/>
    <cellStyle name="Normal 132 5 2 2 2" xfId="35627" xr:uid="{00000000-0005-0000-0000-0000C4850000}"/>
    <cellStyle name="Normal 132 5 2 3" xfId="28564" xr:uid="{00000000-0005-0000-0000-0000C5850000}"/>
    <cellStyle name="Normal 132 5 3" xfId="14997" xr:uid="{00000000-0005-0000-0000-0000C6850000}"/>
    <cellStyle name="Normal 132 5 3 2" xfId="32632" xr:uid="{00000000-0005-0000-0000-0000C7850000}"/>
    <cellStyle name="Normal 132 5 4" xfId="25701" xr:uid="{00000000-0005-0000-0000-0000C8850000}"/>
    <cellStyle name="Normal 132 6" xfId="7808" xr:uid="{00000000-0005-0000-0000-0000C9850000}"/>
    <cellStyle name="Normal 132 6 2" xfId="15605" xr:uid="{00000000-0005-0000-0000-0000CA850000}"/>
    <cellStyle name="Normal 132 6 2 2" xfId="33240" xr:uid="{00000000-0005-0000-0000-0000CB850000}"/>
    <cellStyle name="Normal 132 6 3" xfId="26224" xr:uid="{00000000-0005-0000-0000-0000CC850000}"/>
    <cellStyle name="Normal 132 7" xfId="11710" xr:uid="{00000000-0005-0000-0000-0000CD850000}"/>
    <cellStyle name="Normal 132 7 2" xfId="29401" xr:uid="{00000000-0005-0000-0000-0000CE850000}"/>
    <cellStyle name="Normal 132 8" xfId="21976" xr:uid="{00000000-0005-0000-0000-0000CF850000}"/>
    <cellStyle name="Normal 132 8 2" xfId="38727" xr:uid="{00000000-0005-0000-0000-0000D0850000}"/>
    <cellStyle name="Normal 132 9" xfId="23359" xr:uid="{00000000-0005-0000-0000-0000D1850000}"/>
    <cellStyle name="Normal 133" xfId="2166" xr:uid="{00000000-0005-0000-0000-0000D2850000}"/>
    <cellStyle name="Normal 133 10" xfId="51967" xr:uid="{00000000-0005-0000-0000-0000D3850000}"/>
    <cellStyle name="Normal 133 2" xfId="4328" xr:uid="{00000000-0005-0000-0000-0000D4850000}"/>
    <cellStyle name="Normal 133 2 2" xfId="8488" xr:uid="{00000000-0005-0000-0000-0000D5850000}"/>
    <cellStyle name="Normal 133 2 2 2" xfId="16284" xr:uid="{00000000-0005-0000-0000-0000D6850000}"/>
    <cellStyle name="Normal 133 2 2 2 2" xfId="33919" xr:uid="{00000000-0005-0000-0000-0000D7850000}"/>
    <cellStyle name="Normal 133 2 2 3" xfId="26889" xr:uid="{00000000-0005-0000-0000-0000D8850000}"/>
    <cellStyle name="Normal 133 2 3" xfId="12722" xr:uid="{00000000-0005-0000-0000-0000D9850000}"/>
    <cellStyle name="Normal 133 2 3 2" xfId="30380" xr:uid="{00000000-0005-0000-0000-0000DA850000}"/>
    <cellStyle name="Normal 133 2 4" xfId="24024" xr:uid="{00000000-0005-0000-0000-0000DB850000}"/>
    <cellStyle name="Normal 133 3" xfId="5804" xr:uid="{00000000-0005-0000-0000-0000DC850000}"/>
    <cellStyle name="Normal 133 3 2" xfId="9104" xr:uid="{00000000-0005-0000-0000-0000DD850000}"/>
    <cellStyle name="Normal 133 3 2 2" xfId="16899" xr:uid="{00000000-0005-0000-0000-0000DE850000}"/>
    <cellStyle name="Normal 133 3 2 2 2" xfId="34535" xr:uid="{00000000-0005-0000-0000-0000DF850000}"/>
    <cellStyle name="Normal 133 3 2 3" xfId="27492" xr:uid="{00000000-0005-0000-0000-0000E0850000}"/>
    <cellStyle name="Normal 133 3 3" xfId="13660" xr:uid="{00000000-0005-0000-0000-0000E1850000}"/>
    <cellStyle name="Normal 133 3 3 2" xfId="31300" xr:uid="{00000000-0005-0000-0000-0000E2850000}"/>
    <cellStyle name="Normal 133 3 4" xfId="24627" xr:uid="{00000000-0005-0000-0000-0000E3850000}"/>
    <cellStyle name="Normal 133 4" xfId="6434" xr:uid="{00000000-0005-0000-0000-0000E4850000}"/>
    <cellStyle name="Normal 133 4 2" xfId="9644" xr:uid="{00000000-0005-0000-0000-0000E5850000}"/>
    <cellStyle name="Normal 133 4 2 2" xfId="17438" xr:uid="{00000000-0005-0000-0000-0000E6850000}"/>
    <cellStyle name="Normal 133 4 2 2 2" xfId="35075" xr:uid="{00000000-0005-0000-0000-0000E7850000}"/>
    <cellStyle name="Normal 133 4 2 3" xfId="28028" xr:uid="{00000000-0005-0000-0000-0000E8850000}"/>
    <cellStyle name="Normal 133 4 3" xfId="14223" xr:uid="{00000000-0005-0000-0000-0000E9850000}"/>
    <cellStyle name="Normal 133 4 3 2" xfId="31858" xr:uid="{00000000-0005-0000-0000-0000EA850000}"/>
    <cellStyle name="Normal 133 4 4" xfId="25164" xr:uid="{00000000-0005-0000-0000-0000EB850000}"/>
    <cellStyle name="Normal 133 5" xfId="7210" xr:uid="{00000000-0005-0000-0000-0000EC850000}"/>
    <cellStyle name="Normal 133 5 2" xfId="10198" xr:uid="{00000000-0005-0000-0000-0000ED850000}"/>
    <cellStyle name="Normal 133 5 2 2" xfId="17991" xr:uid="{00000000-0005-0000-0000-0000EE850000}"/>
    <cellStyle name="Normal 133 5 2 2 2" xfId="35628" xr:uid="{00000000-0005-0000-0000-0000EF850000}"/>
    <cellStyle name="Normal 133 5 2 3" xfId="28565" xr:uid="{00000000-0005-0000-0000-0000F0850000}"/>
    <cellStyle name="Normal 133 5 3" xfId="14998" xr:uid="{00000000-0005-0000-0000-0000F1850000}"/>
    <cellStyle name="Normal 133 5 3 2" xfId="32633" xr:uid="{00000000-0005-0000-0000-0000F2850000}"/>
    <cellStyle name="Normal 133 5 4" xfId="25702" xr:uid="{00000000-0005-0000-0000-0000F3850000}"/>
    <cellStyle name="Normal 133 6" xfId="7809" xr:uid="{00000000-0005-0000-0000-0000F4850000}"/>
    <cellStyle name="Normal 133 6 2" xfId="15606" xr:uid="{00000000-0005-0000-0000-0000F5850000}"/>
    <cellStyle name="Normal 133 6 2 2" xfId="33241" xr:uid="{00000000-0005-0000-0000-0000F6850000}"/>
    <cellStyle name="Normal 133 6 3" xfId="26225" xr:uid="{00000000-0005-0000-0000-0000F7850000}"/>
    <cellStyle name="Normal 133 7" xfId="11711" xr:uid="{00000000-0005-0000-0000-0000F8850000}"/>
    <cellStyle name="Normal 133 7 2" xfId="29402" xr:uid="{00000000-0005-0000-0000-0000F9850000}"/>
    <cellStyle name="Normal 133 8" xfId="21977" xr:uid="{00000000-0005-0000-0000-0000FA850000}"/>
    <cellStyle name="Normal 133 8 2" xfId="38728" xr:uid="{00000000-0005-0000-0000-0000FB850000}"/>
    <cellStyle name="Normal 133 9" xfId="23360" xr:uid="{00000000-0005-0000-0000-0000FC850000}"/>
    <cellStyle name="Normal 134" xfId="2167" xr:uid="{00000000-0005-0000-0000-0000FD850000}"/>
    <cellStyle name="Normal 134 2" xfId="4329" xr:uid="{00000000-0005-0000-0000-0000FE850000}"/>
    <cellStyle name="Normal 134 3" xfId="22533" xr:uid="{00000000-0005-0000-0000-0000FF850000}"/>
    <cellStyle name="Normal 134 3 2" xfId="38854" xr:uid="{00000000-0005-0000-0000-000000860000}"/>
    <cellStyle name="Normal 134 4" xfId="51968" xr:uid="{00000000-0005-0000-0000-000001860000}"/>
    <cellStyle name="Normal 135" xfId="2168" xr:uid="{00000000-0005-0000-0000-000002860000}"/>
    <cellStyle name="Normal 135 2" xfId="4330" xr:uid="{00000000-0005-0000-0000-000003860000}"/>
    <cellStyle name="Normal 135 3" xfId="22534" xr:uid="{00000000-0005-0000-0000-000004860000}"/>
    <cellStyle name="Normal 135 3 2" xfId="38855" xr:uid="{00000000-0005-0000-0000-000005860000}"/>
    <cellStyle name="Normal 135 4" xfId="51969" xr:uid="{00000000-0005-0000-0000-000006860000}"/>
    <cellStyle name="Normal 136" xfId="2169" xr:uid="{00000000-0005-0000-0000-000007860000}"/>
    <cellStyle name="Normal 136 2" xfId="4331" xr:uid="{00000000-0005-0000-0000-000008860000}"/>
    <cellStyle name="Normal 136 3" xfId="51970" xr:uid="{00000000-0005-0000-0000-000009860000}"/>
    <cellStyle name="Normal 137" xfId="2170" xr:uid="{00000000-0005-0000-0000-00000A860000}"/>
    <cellStyle name="Normal 137 10" xfId="51971" xr:uid="{00000000-0005-0000-0000-00000B860000}"/>
    <cellStyle name="Normal 137 2" xfId="4332" xr:uid="{00000000-0005-0000-0000-00000C860000}"/>
    <cellStyle name="Normal 137 2 2" xfId="8489" xr:uid="{00000000-0005-0000-0000-00000D860000}"/>
    <cellStyle name="Normal 137 2 2 2" xfId="16285" xr:uid="{00000000-0005-0000-0000-00000E860000}"/>
    <cellStyle name="Normal 137 2 2 2 2" xfId="33920" xr:uid="{00000000-0005-0000-0000-00000F860000}"/>
    <cellStyle name="Normal 137 2 2 3" xfId="26890" xr:uid="{00000000-0005-0000-0000-000010860000}"/>
    <cellStyle name="Normal 137 2 3" xfId="12723" xr:uid="{00000000-0005-0000-0000-000011860000}"/>
    <cellStyle name="Normal 137 2 3 2" xfId="30381" xr:uid="{00000000-0005-0000-0000-000012860000}"/>
    <cellStyle name="Normal 137 2 4" xfId="22944" xr:uid="{00000000-0005-0000-0000-000013860000}"/>
    <cellStyle name="Normal 137 2 4 2" xfId="39049" xr:uid="{00000000-0005-0000-0000-000014860000}"/>
    <cellStyle name="Normal 137 2 5" xfId="24025" xr:uid="{00000000-0005-0000-0000-000015860000}"/>
    <cellStyle name="Normal 137 3" xfId="5805" xr:uid="{00000000-0005-0000-0000-000016860000}"/>
    <cellStyle name="Normal 137 3 2" xfId="9105" xr:uid="{00000000-0005-0000-0000-000017860000}"/>
    <cellStyle name="Normal 137 3 2 2" xfId="16900" xr:uid="{00000000-0005-0000-0000-000018860000}"/>
    <cellStyle name="Normal 137 3 2 2 2" xfId="34536" xr:uid="{00000000-0005-0000-0000-000019860000}"/>
    <cellStyle name="Normal 137 3 2 3" xfId="27493" xr:uid="{00000000-0005-0000-0000-00001A860000}"/>
    <cellStyle name="Normal 137 3 3" xfId="13661" xr:uid="{00000000-0005-0000-0000-00001B860000}"/>
    <cellStyle name="Normal 137 3 3 2" xfId="31301" xr:uid="{00000000-0005-0000-0000-00001C860000}"/>
    <cellStyle name="Normal 137 3 4" xfId="22535" xr:uid="{00000000-0005-0000-0000-00001D860000}"/>
    <cellStyle name="Normal 137 3 5" xfId="24628" xr:uid="{00000000-0005-0000-0000-00001E860000}"/>
    <cellStyle name="Normal 137 4" xfId="6435" xr:uid="{00000000-0005-0000-0000-00001F860000}"/>
    <cellStyle name="Normal 137 4 2" xfId="9645" xr:uid="{00000000-0005-0000-0000-000020860000}"/>
    <cellStyle name="Normal 137 4 2 2" xfId="17439" xr:uid="{00000000-0005-0000-0000-000021860000}"/>
    <cellStyle name="Normal 137 4 2 2 2" xfId="35076" xr:uid="{00000000-0005-0000-0000-000022860000}"/>
    <cellStyle name="Normal 137 4 2 3" xfId="28029" xr:uid="{00000000-0005-0000-0000-000023860000}"/>
    <cellStyle name="Normal 137 4 3" xfId="14224" xr:uid="{00000000-0005-0000-0000-000024860000}"/>
    <cellStyle name="Normal 137 4 3 2" xfId="31859" xr:uid="{00000000-0005-0000-0000-000025860000}"/>
    <cellStyle name="Normal 137 4 4" xfId="25165" xr:uid="{00000000-0005-0000-0000-000026860000}"/>
    <cellStyle name="Normal 137 5" xfId="7211" xr:uid="{00000000-0005-0000-0000-000027860000}"/>
    <cellStyle name="Normal 137 5 2" xfId="10199" xr:uid="{00000000-0005-0000-0000-000028860000}"/>
    <cellStyle name="Normal 137 5 2 2" xfId="17992" xr:uid="{00000000-0005-0000-0000-000029860000}"/>
    <cellStyle name="Normal 137 5 2 2 2" xfId="35629" xr:uid="{00000000-0005-0000-0000-00002A860000}"/>
    <cellStyle name="Normal 137 5 2 3" xfId="28566" xr:uid="{00000000-0005-0000-0000-00002B860000}"/>
    <cellStyle name="Normal 137 5 3" xfId="14999" xr:uid="{00000000-0005-0000-0000-00002C860000}"/>
    <cellStyle name="Normal 137 5 3 2" xfId="32634" xr:uid="{00000000-0005-0000-0000-00002D860000}"/>
    <cellStyle name="Normal 137 5 4" xfId="25703" xr:uid="{00000000-0005-0000-0000-00002E860000}"/>
    <cellStyle name="Normal 137 6" xfId="7810" xr:uid="{00000000-0005-0000-0000-00002F860000}"/>
    <cellStyle name="Normal 137 6 2" xfId="15607" xr:uid="{00000000-0005-0000-0000-000030860000}"/>
    <cellStyle name="Normal 137 6 2 2" xfId="33242" xr:uid="{00000000-0005-0000-0000-000031860000}"/>
    <cellStyle name="Normal 137 6 3" xfId="26226" xr:uid="{00000000-0005-0000-0000-000032860000}"/>
    <cellStyle name="Normal 137 7" xfId="11712" xr:uid="{00000000-0005-0000-0000-000033860000}"/>
    <cellStyle name="Normal 137 7 2" xfId="29403" xr:uid="{00000000-0005-0000-0000-000034860000}"/>
    <cellStyle name="Normal 137 8" xfId="21978" xr:uid="{00000000-0005-0000-0000-000035860000}"/>
    <cellStyle name="Normal 137 8 2" xfId="38729" xr:uid="{00000000-0005-0000-0000-000036860000}"/>
    <cellStyle name="Normal 137 9" xfId="23361" xr:uid="{00000000-0005-0000-0000-000037860000}"/>
    <cellStyle name="Normal 138" xfId="2171" xr:uid="{00000000-0005-0000-0000-000038860000}"/>
    <cellStyle name="Normal 138 10" xfId="51972" xr:uid="{00000000-0005-0000-0000-000039860000}"/>
    <cellStyle name="Normal 138 2" xfId="4333" xr:uid="{00000000-0005-0000-0000-00003A860000}"/>
    <cellStyle name="Normal 138 2 2" xfId="8490" xr:uid="{00000000-0005-0000-0000-00003B860000}"/>
    <cellStyle name="Normal 138 2 2 2" xfId="16286" xr:uid="{00000000-0005-0000-0000-00003C860000}"/>
    <cellStyle name="Normal 138 2 2 2 2" xfId="33921" xr:uid="{00000000-0005-0000-0000-00003D860000}"/>
    <cellStyle name="Normal 138 2 2 3" xfId="26891" xr:uid="{00000000-0005-0000-0000-00003E860000}"/>
    <cellStyle name="Normal 138 2 3" xfId="12724" xr:uid="{00000000-0005-0000-0000-00003F860000}"/>
    <cellStyle name="Normal 138 2 3 2" xfId="30382" xr:uid="{00000000-0005-0000-0000-000040860000}"/>
    <cellStyle name="Normal 138 2 4" xfId="22945" xr:uid="{00000000-0005-0000-0000-000041860000}"/>
    <cellStyle name="Normal 138 2 4 2" xfId="39050" xr:uid="{00000000-0005-0000-0000-000042860000}"/>
    <cellStyle name="Normal 138 2 5" xfId="24026" xr:uid="{00000000-0005-0000-0000-000043860000}"/>
    <cellStyle name="Normal 138 3" xfId="5806" xr:uid="{00000000-0005-0000-0000-000044860000}"/>
    <cellStyle name="Normal 138 3 2" xfId="9106" xr:uid="{00000000-0005-0000-0000-000045860000}"/>
    <cellStyle name="Normal 138 3 2 2" xfId="16901" xr:uid="{00000000-0005-0000-0000-000046860000}"/>
    <cellStyle name="Normal 138 3 2 2 2" xfId="34537" xr:uid="{00000000-0005-0000-0000-000047860000}"/>
    <cellStyle name="Normal 138 3 2 3" xfId="27494" xr:uid="{00000000-0005-0000-0000-000048860000}"/>
    <cellStyle name="Normal 138 3 3" xfId="13662" xr:uid="{00000000-0005-0000-0000-000049860000}"/>
    <cellStyle name="Normal 138 3 3 2" xfId="31302" xr:uid="{00000000-0005-0000-0000-00004A860000}"/>
    <cellStyle name="Normal 138 3 4" xfId="22536" xr:uid="{00000000-0005-0000-0000-00004B860000}"/>
    <cellStyle name="Normal 138 3 5" xfId="24629" xr:uid="{00000000-0005-0000-0000-00004C860000}"/>
    <cellStyle name="Normal 138 4" xfId="6436" xr:uid="{00000000-0005-0000-0000-00004D860000}"/>
    <cellStyle name="Normal 138 4 2" xfId="9646" xr:uid="{00000000-0005-0000-0000-00004E860000}"/>
    <cellStyle name="Normal 138 4 2 2" xfId="17440" xr:uid="{00000000-0005-0000-0000-00004F860000}"/>
    <cellStyle name="Normal 138 4 2 2 2" xfId="35077" xr:uid="{00000000-0005-0000-0000-000050860000}"/>
    <cellStyle name="Normal 138 4 2 3" xfId="28030" xr:uid="{00000000-0005-0000-0000-000051860000}"/>
    <cellStyle name="Normal 138 4 3" xfId="14225" xr:uid="{00000000-0005-0000-0000-000052860000}"/>
    <cellStyle name="Normal 138 4 3 2" xfId="31860" xr:uid="{00000000-0005-0000-0000-000053860000}"/>
    <cellStyle name="Normal 138 4 4" xfId="25166" xr:uid="{00000000-0005-0000-0000-000054860000}"/>
    <cellStyle name="Normal 138 5" xfId="7212" xr:uid="{00000000-0005-0000-0000-000055860000}"/>
    <cellStyle name="Normal 138 5 2" xfId="10200" xr:uid="{00000000-0005-0000-0000-000056860000}"/>
    <cellStyle name="Normal 138 5 2 2" xfId="17993" xr:uid="{00000000-0005-0000-0000-000057860000}"/>
    <cellStyle name="Normal 138 5 2 2 2" xfId="35630" xr:uid="{00000000-0005-0000-0000-000058860000}"/>
    <cellStyle name="Normal 138 5 2 3" xfId="28567" xr:uid="{00000000-0005-0000-0000-000059860000}"/>
    <cellStyle name="Normal 138 5 3" xfId="15000" xr:uid="{00000000-0005-0000-0000-00005A860000}"/>
    <cellStyle name="Normal 138 5 3 2" xfId="32635" xr:uid="{00000000-0005-0000-0000-00005B860000}"/>
    <cellStyle name="Normal 138 5 4" xfId="25704" xr:uid="{00000000-0005-0000-0000-00005C860000}"/>
    <cellStyle name="Normal 138 6" xfId="7811" xr:uid="{00000000-0005-0000-0000-00005D860000}"/>
    <cellStyle name="Normal 138 6 2" xfId="15608" xr:uid="{00000000-0005-0000-0000-00005E860000}"/>
    <cellStyle name="Normal 138 6 2 2" xfId="33243" xr:uid="{00000000-0005-0000-0000-00005F860000}"/>
    <cellStyle name="Normal 138 6 3" xfId="26227" xr:uid="{00000000-0005-0000-0000-000060860000}"/>
    <cellStyle name="Normal 138 7" xfId="11713" xr:uid="{00000000-0005-0000-0000-000061860000}"/>
    <cellStyle name="Normal 138 7 2" xfId="29404" xr:uid="{00000000-0005-0000-0000-000062860000}"/>
    <cellStyle name="Normal 138 8" xfId="21979" xr:uid="{00000000-0005-0000-0000-000063860000}"/>
    <cellStyle name="Normal 138 8 2" xfId="38730" xr:uid="{00000000-0005-0000-0000-000064860000}"/>
    <cellStyle name="Normal 138 9" xfId="23362" xr:uid="{00000000-0005-0000-0000-000065860000}"/>
    <cellStyle name="Normal 139" xfId="2172" xr:uid="{00000000-0005-0000-0000-000066860000}"/>
    <cellStyle name="Normal 139 10" xfId="51973" xr:uid="{00000000-0005-0000-0000-000067860000}"/>
    <cellStyle name="Normal 139 2" xfId="4334" xr:uid="{00000000-0005-0000-0000-000068860000}"/>
    <cellStyle name="Normal 139 2 2" xfId="8491" xr:uid="{00000000-0005-0000-0000-000069860000}"/>
    <cellStyle name="Normal 139 2 2 2" xfId="16287" xr:uid="{00000000-0005-0000-0000-00006A860000}"/>
    <cellStyle name="Normal 139 2 2 2 2" xfId="33922" xr:uid="{00000000-0005-0000-0000-00006B860000}"/>
    <cellStyle name="Normal 139 2 2 3" xfId="26892" xr:uid="{00000000-0005-0000-0000-00006C860000}"/>
    <cellStyle name="Normal 139 2 3" xfId="12725" xr:uid="{00000000-0005-0000-0000-00006D860000}"/>
    <cellStyle name="Normal 139 2 3 2" xfId="30383" xr:uid="{00000000-0005-0000-0000-00006E860000}"/>
    <cellStyle name="Normal 139 2 4" xfId="22946" xr:uid="{00000000-0005-0000-0000-00006F860000}"/>
    <cellStyle name="Normal 139 2 4 2" xfId="39051" xr:uid="{00000000-0005-0000-0000-000070860000}"/>
    <cellStyle name="Normal 139 2 5" xfId="24027" xr:uid="{00000000-0005-0000-0000-000071860000}"/>
    <cellStyle name="Normal 139 3" xfId="5807" xr:uid="{00000000-0005-0000-0000-000072860000}"/>
    <cellStyle name="Normal 139 3 2" xfId="9107" xr:uid="{00000000-0005-0000-0000-000073860000}"/>
    <cellStyle name="Normal 139 3 2 2" xfId="16902" xr:uid="{00000000-0005-0000-0000-000074860000}"/>
    <cellStyle name="Normal 139 3 2 2 2" xfId="34538" xr:uid="{00000000-0005-0000-0000-000075860000}"/>
    <cellStyle name="Normal 139 3 2 3" xfId="27495" xr:uid="{00000000-0005-0000-0000-000076860000}"/>
    <cellStyle name="Normal 139 3 3" xfId="13663" xr:uid="{00000000-0005-0000-0000-000077860000}"/>
    <cellStyle name="Normal 139 3 3 2" xfId="31303" xr:uid="{00000000-0005-0000-0000-000078860000}"/>
    <cellStyle name="Normal 139 3 4" xfId="22537" xr:uid="{00000000-0005-0000-0000-000079860000}"/>
    <cellStyle name="Normal 139 3 5" xfId="24630" xr:uid="{00000000-0005-0000-0000-00007A860000}"/>
    <cellStyle name="Normal 139 4" xfId="6437" xr:uid="{00000000-0005-0000-0000-00007B860000}"/>
    <cellStyle name="Normal 139 4 2" xfId="9647" xr:uid="{00000000-0005-0000-0000-00007C860000}"/>
    <cellStyle name="Normal 139 4 2 2" xfId="17441" xr:uid="{00000000-0005-0000-0000-00007D860000}"/>
    <cellStyle name="Normal 139 4 2 2 2" xfId="35078" xr:uid="{00000000-0005-0000-0000-00007E860000}"/>
    <cellStyle name="Normal 139 4 2 3" xfId="28031" xr:uid="{00000000-0005-0000-0000-00007F860000}"/>
    <cellStyle name="Normal 139 4 3" xfId="14226" xr:uid="{00000000-0005-0000-0000-000080860000}"/>
    <cellStyle name="Normal 139 4 3 2" xfId="31861" xr:uid="{00000000-0005-0000-0000-000081860000}"/>
    <cellStyle name="Normal 139 4 4" xfId="25167" xr:uid="{00000000-0005-0000-0000-000082860000}"/>
    <cellStyle name="Normal 139 5" xfId="7213" xr:uid="{00000000-0005-0000-0000-000083860000}"/>
    <cellStyle name="Normal 139 5 2" xfId="10201" xr:uid="{00000000-0005-0000-0000-000084860000}"/>
    <cellStyle name="Normal 139 5 2 2" xfId="17994" xr:uid="{00000000-0005-0000-0000-000085860000}"/>
    <cellStyle name="Normal 139 5 2 2 2" xfId="35631" xr:uid="{00000000-0005-0000-0000-000086860000}"/>
    <cellStyle name="Normal 139 5 2 3" xfId="28568" xr:uid="{00000000-0005-0000-0000-000087860000}"/>
    <cellStyle name="Normal 139 5 3" xfId="15001" xr:uid="{00000000-0005-0000-0000-000088860000}"/>
    <cellStyle name="Normal 139 5 3 2" xfId="32636" xr:uid="{00000000-0005-0000-0000-000089860000}"/>
    <cellStyle name="Normal 139 5 4" xfId="25705" xr:uid="{00000000-0005-0000-0000-00008A860000}"/>
    <cellStyle name="Normal 139 6" xfId="7812" xr:uid="{00000000-0005-0000-0000-00008B860000}"/>
    <cellStyle name="Normal 139 6 2" xfId="15609" xr:uid="{00000000-0005-0000-0000-00008C860000}"/>
    <cellStyle name="Normal 139 6 2 2" xfId="33244" xr:uid="{00000000-0005-0000-0000-00008D860000}"/>
    <cellStyle name="Normal 139 6 3" xfId="26228" xr:uid="{00000000-0005-0000-0000-00008E860000}"/>
    <cellStyle name="Normal 139 7" xfId="11714" xr:uid="{00000000-0005-0000-0000-00008F860000}"/>
    <cellStyle name="Normal 139 7 2" xfId="29405" xr:uid="{00000000-0005-0000-0000-000090860000}"/>
    <cellStyle name="Normal 139 8" xfId="21980" xr:uid="{00000000-0005-0000-0000-000091860000}"/>
    <cellStyle name="Normal 139 8 2" xfId="38731" xr:uid="{00000000-0005-0000-0000-000092860000}"/>
    <cellStyle name="Normal 139 9" xfId="23363" xr:uid="{00000000-0005-0000-0000-000093860000}"/>
    <cellStyle name="Normal 14" xfId="2173" xr:uid="{00000000-0005-0000-0000-000094860000}"/>
    <cellStyle name="Normal 14 2" xfId="2174" xr:uid="{00000000-0005-0000-0000-000095860000}"/>
    <cellStyle name="Normal 14 2 2" xfId="2175" xr:uid="{00000000-0005-0000-0000-000096860000}"/>
    <cellStyle name="Normal 14 2_Sheet1" xfId="2176" xr:uid="{00000000-0005-0000-0000-000097860000}"/>
    <cellStyle name="Normal 14 3" xfId="2177" xr:uid="{00000000-0005-0000-0000-000098860000}"/>
    <cellStyle name="Normal 14 4" xfId="22947" xr:uid="{00000000-0005-0000-0000-000099860000}"/>
    <cellStyle name="Normal 14 5" xfId="22538" xr:uid="{00000000-0005-0000-0000-00009A860000}"/>
    <cellStyle name="Normal 14 6" xfId="22418" xr:uid="{00000000-0005-0000-0000-00009B860000}"/>
    <cellStyle name="Normal 14 7" xfId="53231" xr:uid="{00000000-0005-0000-0000-00009C860000}"/>
    <cellStyle name="Normal 14 8" xfId="53232" xr:uid="{00000000-0005-0000-0000-00009D860000}"/>
    <cellStyle name="Normal 14 9" xfId="53230" xr:uid="{00000000-0005-0000-0000-00009E860000}"/>
    <cellStyle name="Normal 14_Sheet1" xfId="2178" xr:uid="{00000000-0005-0000-0000-00009F860000}"/>
    <cellStyle name="Normal 140" xfId="2179" xr:uid="{00000000-0005-0000-0000-0000A0860000}"/>
    <cellStyle name="Normal 140 10" xfId="51974" xr:uid="{00000000-0005-0000-0000-0000A1860000}"/>
    <cellStyle name="Normal 140 2" xfId="4335" xr:uid="{00000000-0005-0000-0000-0000A2860000}"/>
    <cellStyle name="Normal 140 2 2" xfId="8492" xr:uid="{00000000-0005-0000-0000-0000A3860000}"/>
    <cellStyle name="Normal 140 2 2 2" xfId="16288" xr:uid="{00000000-0005-0000-0000-0000A4860000}"/>
    <cellStyle name="Normal 140 2 2 2 2" xfId="33923" xr:uid="{00000000-0005-0000-0000-0000A5860000}"/>
    <cellStyle name="Normal 140 2 2 3" xfId="26893" xr:uid="{00000000-0005-0000-0000-0000A6860000}"/>
    <cellStyle name="Normal 140 2 3" xfId="12726" xr:uid="{00000000-0005-0000-0000-0000A7860000}"/>
    <cellStyle name="Normal 140 2 3 2" xfId="30384" xr:uid="{00000000-0005-0000-0000-0000A8860000}"/>
    <cellStyle name="Normal 140 2 4" xfId="22948" xr:uid="{00000000-0005-0000-0000-0000A9860000}"/>
    <cellStyle name="Normal 140 2 5" xfId="24028" xr:uid="{00000000-0005-0000-0000-0000AA860000}"/>
    <cellStyle name="Normal 140 3" xfId="5808" xr:uid="{00000000-0005-0000-0000-0000AB860000}"/>
    <cellStyle name="Normal 140 3 2" xfId="9108" xr:uid="{00000000-0005-0000-0000-0000AC860000}"/>
    <cellStyle name="Normal 140 3 2 2" xfId="16903" xr:uid="{00000000-0005-0000-0000-0000AD860000}"/>
    <cellStyle name="Normal 140 3 2 2 2" xfId="34539" xr:uid="{00000000-0005-0000-0000-0000AE860000}"/>
    <cellStyle name="Normal 140 3 2 3" xfId="27496" xr:uid="{00000000-0005-0000-0000-0000AF860000}"/>
    <cellStyle name="Normal 140 3 3" xfId="13664" xr:uid="{00000000-0005-0000-0000-0000B0860000}"/>
    <cellStyle name="Normal 140 3 3 2" xfId="31304" xr:uid="{00000000-0005-0000-0000-0000B1860000}"/>
    <cellStyle name="Normal 140 3 4" xfId="22539" xr:uid="{00000000-0005-0000-0000-0000B2860000}"/>
    <cellStyle name="Normal 140 3 5" xfId="24631" xr:uid="{00000000-0005-0000-0000-0000B3860000}"/>
    <cellStyle name="Normal 140 4" xfId="6438" xr:uid="{00000000-0005-0000-0000-0000B4860000}"/>
    <cellStyle name="Normal 140 4 2" xfId="9648" xr:uid="{00000000-0005-0000-0000-0000B5860000}"/>
    <cellStyle name="Normal 140 4 2 2" xfId="17442" xr:uid="{00000000-0005-0000-0000-0000B6860000}"/>
    <cellStyle name="Normal 140 4 2 2 2" xfId="35079" xr:uid="{00000000-0005-0000-0000-0000B7860000}"/>
    <cellStyle name="Normal 140 4 2 3" xfId="28032" xr:uid="{00000000-0005-0000-0000-0000B8860000}"/>
    <cellStyle name="Normal 140 4 3" xfId="14227" xr:uid="{00000000-0005-0000-0000-0000B9860000}"/>
    <cellStyle name="Normal 140 4 3 2" xfId="31862" xr:uid="{00000000-0005-0000-0000-0000BA860000}"/>
    <cellStyle name="Normal 140 4 4" xfId="25168" xr:uid="{00000000-0005-0000-0000-0000BB860000}"/>
    <cellStyle name="Normal 140 5" xfId="7214" xr:uid="{00000000-0005-0000-0000-0000BC860000}"/>
    <cellStyle name="Normal 140 5 2" xfId="10202" xr:uid="{00000000-0005-0000-0000-0000BD860000}"/>
    <cellStyle name="Normal 140 5 2 2" xfId="17995" xr:uid="{00000000-0005-0000-0000-0000BE860000}"/>
    <cellStyle name="Normal 140 5 2 2 2" xfId="35632" xr:uid="{00000000-0005-0000-0000-0000BF860000}"/>
    <cellStyle name="Normal 140 5 2 3" xfId="28569" xr:uid="{00000000-0005-0000-0000-0000C0860000}"/>
    <cellStyle name="Normal 140 5 3" xfId="15002" xr:uid="{00000000-0005-0000-0000-0000C1860000}"/>
    <cellStyle name="Normal 140 5 3 2" xfId="32637" xr:uid="{00000000-0005-0000-0000-0000C2860000}"/>
    <cellStyle name="Normal 140 5 4" xfId="25706" xr:uid="{00000000-0005-0000-0000-0000C3860000}"/>
    <cellStyle name="Normal 140 6" xfId="7813" xr:uid="{00000000-0005-0000-0000-0000C4860000}"/>
    <cellStyle name="Normal 140 6 2" xfId="15610" xr:uid="{00000000-0005-0000-0000-0000C5860000}"/>
    <cellStyle name="Normal 140 6 2 2" xfId="33245" xr:uid="{00000000-0005-0000-0000-0000C6860000}"/>
    <cellStyle name="Normal 140 6 3" xfId="26229" xr:uid="{00000000-0005-0000-0000-0000C7860000}"/>
    <cellStyle name="Normal 140 7" xfId="11717" xr:uid="{00000000-0005-0000-0000-0000C8860000}"/>
    <cellStyle name="Normal 140 7 2" xfId="29406" xr:uid="{00000000-0005-0000-0000-0000C9860000}"/>
    <cellStyle name="Normal 140 8" xfId="21981" xr:uid="{00000000-0005-0000-0000-0000CA860000}"/>
    <cellStyle name="Normal 140 9" xfId="23364" xr:uid="{00000000-0005-0000-0000-0000CB860000}"/>
    <cellStyle name="Normal 141" xfId="2180" xr:uid="{00000000-0005-0000-0000-0000CC860000}"/>
    <cellStyle name="Normal 141 10" xfId="51975" xr:uid="{00000000-0005-0000-0000-0000CD860000}"/>
    <cellStyle name="Normal 141 2" xfId="4336" xr:uid="{00000000-0005-0000-0000-0000CE860000}"/>
    <cellStyle name="Normal 141 2 2" xfId="8493" xr:uid="{00000000-0005-0000-0000-0000CF860000}"/>
    <cellStyle name="Normal 141 2 2 2" xfId="16289" xr:uid="{00000000-0005-0000-0000-0000D0860000}"/>
    <cellStyle name="Normal 141 2 2 2 2" xfId="33924" xr:uid="{00000000-0005-0000-0000-0000D1860000}"/>
    <cellStyle name="Normal 141 2 2 3" xfId="23028" xr:uid="{00000000-0005-0000-0000-0000D2860000}"/>
    <cellStyle name="Normal 141 2 2 4" xfId="26894" xr:uid="{00000000-0005-0000-0000-0000D3860000}"/>
    <cellStyle name="Normal 141 2 3" xfId="12727" xr:uid="{00000000-0005-0000-0000-0000D4860000}"/>
    <cellStyle name="Normal 141 2 3 2" xfId="22030" xr:uid="{00000000-0005-0000-0000-0000D5860000}"/>
    <cellStyle name="Normal 141 2 3 3" xfId="30385" xr:uid="{00000000-0005-0000-0000-0000D6860000}"/>
    <cellStyle name="Normal 141 2 4" xfId="22010" xr:uid="{00000000-0005-0000-0000-0000D7860000}"/>
    <cellStyle name="Normal 141 2 5" xfId="24029" xr:uid="{00000000-0005-0000-0000-0000D8860000}"/>
    <cellStyle name="Normal 141 3" xfId="5809" xr:uid="{00000000-0005-0000-0000-0000D9860000}"/>
    <cellStyle name="Normal 141 3 2" xfId="9109" xr:uid="{00000000-0005-0000-0000-0000DA860000}"/>
    <cellStyle name="Normal 141 3 2 2" xfId="16904" xr:uid="{00000000-0005-0000-0000-0000DB860000}"/>
    <cellStyle name="Normal 141 3 2 2 2" xfId="34540" xr:uid="{00000000-0005-0000-0000-0000DC860000}"/>
    <cellStyle name="Normal 141 3 2 3" xfId="27497" xr:uid="{00000000-0005-0000-0000-0000DD860000}"/>
    <cellStyle name="Normal 141 3 3" xfId="13665" xr:uid="{00000000-0005-0000-0000-0000DE860000}"/>
    <cellStyle name="Normal 141 3 3 2" xfId="31305" xr:uid="{00000000-0005-0000-0000-0000DF860000}"/>
    <cellStyle name="Normal 141 3 4" xfId="22949" xr:uid="{00000000-0005-0000-0000-0000E0860000}"/>
    <cellStyle name="Normal 141 3 5" xfId="24632" xr:uid="{00000000-0005-0000-0000-0000E1860000}"/>
    <cellStyle name="Normal 141 4" xfId="6439" xr:uid="{00000000-0005-0000-0000-0000E2860000}"/>
    <cellStyle name="Normal 141 4 2" xfId="9649" xr:uid="{00000000-0005-0000-0000-0000E3860000}"/>
    <cellStyle name="Normal 141 4 2 2" xfId="17443" xr:uid="{00000000-0005-0000-0000-0000E4860000}"/>
    <cellStyle name="Normal 141 4 2 2 2" xfId="35080" xr:uid="{00000000-0005-0000-0000-0000E5860000}"/>
    <cellStyle name="Normal 141 4 2 3" xfId="28033" xr:uid="{00000000-0005-0000-0000-0000E6860000}"/>
    <cellStyle name="Normal 141 4 3" xfId="14228" xr:uid="{00000000-0005-0000-0000-0000E7860000}"/>
    <cellStyle name="Normal 141 4 3 2" xfId="31863" xr:uid="{00000000-0005-0000-0000-0000E8860000}"/>
    <cellStyle name="Normal 141 4 4" xfId="22540" xr:uid="{00000000-0005-0000-0000-0000E9860000}"/>
    <cellStyle name="Normal 141 4 4 2" xfId="38856" xr:uid="{00000000-0005-0000-0000-0000EA860000}"/>
    <cellStyle name="Normal 141 4 5" xfId="25169" xr:uid="{00000000-0005-0000-0000-0000EB860000}"/>
    <cellStyle name="Normal 141 5" xfId="7215" xr:uid="{00000000-0005-0000-0000-0000EC860000}"/>
    <cellStyle name="Normal 141 5 2" xfId="10203" xr:uid="{00000000-0005-0000-0000-0000ED860000}"/>
    <cellStyle name="Normal 141 5 2 2" xfId="17996" xr:uid="{00000000-0005-0000-0000-0000EE860000}"/>
    <cellStyle name="Normal 141 5 2 2 2" xfId="35633" xr:uid="{00000000-0005-0000-0000-0000EF860000}"/>
    <cellStyle name="Normal 141 5 2 3" xfId="28570" xr:uid="{00000000-0005-0000-0000-0000F0860000}"/>
    <cellStyle name="Normal 141 5 3" xfId="15003" xr:uid="{00000000-0005-0000-0000-0000F1860000}"/>
    <cellStyle name="Normal 141 5 3 2" xfId="32638" xr:uid="{00000000-0005-0000-0000-0000F2860000}"/>
    <cellStyle name="Normal 141 5 4" xfId="25707" xr:uid="{00000000-0005-0000-0000-0000F3860000}"/>
    <cellStyle name="Normal 141 6" xfId="7814" xr:uid="{00000000-0005-0000-0000-0000F4860000}"/>
    <cellStyle name="Normal 141 6 2" xfId="15611" xr:uid="{00000000-0005-0000-0000-0000F5860000}"/>
    <cellStyle name="Normal 141 6 2 2" xfId="33246" xr:uid="{00000000-0005-0000-0000-0000F6860000}"/>
    <cellStyle name="Normal 141 6 3" xfId="26230" xr:uid="{00000000-0005-0000-0000-0000F7860000}"/>
    <cellStyle name="Normal 141 7" xfId="11718" xr:uid="{00000000-0005-0000-0000-0000F8860000}"/>
    <cellStyle name="Normal 141 7 2" xfId="29407" xr:uid="{00000000-0005-0000-0000-0000F9860000}"/>
    <cellStyle name="Normal 141 8" xfId="21982" xr:uid="{00000000-0005-0000-0000-0000FA860000}"/>
    <cellStyle name="Normal 141 9" xfId="23365" xr:uid="{00000000-0005-0000-0000-0000FB860000}"/>
    <cellStyle name="Normal 142" xfId="2181" xr:uid="{00000000-0005-0000-0000-0000FC860000}"/>
    <cellStyle name="Normal 142 10" xfId="51976" xr:uid="{00000000-0005-0000-0000-0000FD860000}"/>
    <cellStyle name="Normal 142 2" xfId="4337" xr:uid="{00000000-0005-0000-0000-0000FE860000}"/>
    <cellStyle name="Normal 142 2 2" xfId="8494" xr:uid="{00000000-0005-0000-0000-0000FF860000}"/>
    <cellStyle name="Normal 142 2 2 2" xfId="16290" xr:uid="{00000000-0005-0000-0000-000000870000}"/>
    <cellStyle name="Normal 142 2 2 2 2" xfId="33925" xr:uid="{00000000-0005-0000-0000-000001870000}"/>
    <cellStyle name="Normal 142 2 2 3" xfId="26895" xr:uid="{00000000-0005-0000-0000-000002870000}"/>
    <cellStyle name="Normal 142 2 3" xfId="12728" xr:uid="{00000000-0005-0000-0000-000003870000}"/>
    <cellStyle name="Normal 142 2 3 2" xfId="30386" xr:uid="{00000000-0005-0000-0000-000004870000}"/>
    <cellStyle name="Normal 142 2 4" xfId="22950" xr:uid="{00000000-0005-0000-0000-000005870000}"/>
    <cellStyle name="Normal 142 2 5" xfId="24030" xr:uid="{00000000-0005-0000-0000-000006870000}"/>
    <cellStyle name="Normal 142 3" xfId="5810" xr:uid="{00000000-0005-0000-0000-000007870000}"/>
    <cellStyle name="Normal 142 3 2" xfId="9110" xr:uid="{00000000-0005-0000-0000-000008870000}"/>
    <cellStyle name="Normal 142 3 2 2" xfId="16905" xr:uid="{00000000-0005-0000-0000-000009870000}"/>
    <cellStyle name="Normal 142 3 2 2 2" xfId="34541" xr:uid="{00000000-0005-0000-0000-00000A870000}"/>
    <cellStyle name="Normal 142 3 2 3" xfId="27498" xr:uid="{00000000-0005-0000-0000-00000B870000}"/>
    <cellStyle name="Normal 142 3 3" xfId="13666" xr:uid="{00000000-0005-0000-0000-00000C870000}"/>
    <cellStyle name="Normal 142 3 3 2" xfId="31306" xr:uid="{00000000-0005-0000-0000-00000D870000}"/>
    <cellStyle name="Normal 142 3 4" xfId="22541" xr:uid="{00000000-0005-0000-0000-00000E870000}"/>
    <cellStyle name="Normal 142 3 4 2" xfId="38857" xr:uid="{00000000-0005-0000-0000-00000F870000}"/>
    <cellStyle name="Normal 142 3 5" xfId="24633" xr:uid="{00000000-0005-0000-0000-000010870000}"/>
    <cellStyle name="Normal 142 4" xfId="6440" xr:uid="{00000000-0005-0000-0000-000011870000}"/>
    <cellStyle name="Normal 142 4 2" xfId="9650" xr:uid="{00000000-0005-0000-0000-000012870000}"/>
    <cellStyle name="Normal 142 4 2 2" xfId="17444" xr:uid="{00000000-0005-0000-0000-000013870000}"/>
    <cellStyle name="Normal 142 4 2 2 2" xfId="35081" xr:uid="{00000000-0005-0000-0000-000014870000}"/>
    <cellStyle name="Normal 142 4 2 3" xfId="28034" xr:uid="{00000000-0005-0000-0000-000015870000}"/>
    <cellStyle name="Normal 142 4 3" xfId="14229" xr:uid="{00000000-0005-0000-0000-000016870000}"/>
    <cellStyle name="Normal 142 4 3 2" xfId="31864" xr:uid="{00000000-0005-0000-0000-000017870000}"/>
    <cellStyle name="Normal 142 4 4" xfId="22026" xr:uid="{00000000-0005-0000-0000-000018870000}"/>
    <cellStyle name="Normal 142 4 5" xfId="25170" xr:uid="{00000000-0005-0000-0000-000019870000}"/>
    <cellStyle name="Normal 142 5" xfId="7216" xr:uid="{00000000-0005-0000-0000-00001A870000}"/>
    <cellStyle name="Normal 142 5 2" xfId="10204" xr:uid="{00000000-0005-0000-0000-00001B870000}"/>
    <cellStyle name="Normal 142 5 2 2" xfId="17997" xr:uid="{00000000-0005-0000-0000-00001C870000}"/>
    <cellStyle name="Normal 142 5 2 2 2" xfId="35634" xr:uid="{00000000-0005-0000-0000-00001D870000}"/>
    <cellStyle name="Normal 142 5 2 3" xfId="28571" xr:uid="{00000000-0005-0000-0000-00001E870000}"/>
    <cellStyle name="Normal 142 5 3" xfId="15004" xr:uid="{00000000-0005-0000-0000-00001F870000}"/>
    <cellStyle name="Normal 142 5 3 2" xfId="32639" xr:uid="{00000000-0005-0000-0000-000020870000}"/>
    <cellStyle name="Normal 142 5 4" xfId="25708" xr:uid="{00000000-0005-0000-0000-000021870000}"/>
    <cellStyle name="Normal 142 6" xfId="7815" xr:uid="{00000000-0005-0000-0000-000022870000}"/>
    <cellStyle name="Normal 142 6 2" xfId="15612" xr:uid="{00000000-0005-0000-0000-000023870000}"/>
    <cellStyle name="Normal 142 6 2 2" xfId="33247" xr:uid="{00000000-0005-0000-0000-000024870000}"/>
    <cellStyle name="Normal 142 6 3" xfId="26231" xr:uid="{00000000-0005-0000-0000-000025870000}"/>
    <cellStyle name="Normal 142 7" xfId="11719" xr:uid="{00000000-0005-0000-0000-000026870000}"/>
    <cellStyle name="Normal 142 7 2" xfId="29408" xr:uid="{00000000-0005-0000-0000-000027870000}"/>
    <cellStyle name="Normal 142 8" xfId="21983" xr:uid="{00000000-0005-0000-0000-000028870000}"/>
    <cellStyle name="Normal 142 9" xfId="23366" xr:uid="{00000000-0005-0000-0000-000029870000}"/>
    <cellStyle name="Normal 143" xfId="2182" xr:uid="{00000000-0005-0000-0000-00002A870000}"/>
    <cellStyle name="Normal 143 10" xfId="23367" xr:uid="{00000000-0005-0000-0000-00002B870000}"/>
    <cellStyle name="Normal 143 11" xfId="51977" xr:uid="{00000000-0005-0000-0000-00002C870000}"/>
    <cellStyle name="Normal 143 2" xfId="2183" xr:uid="{00000000-0005-0000-0000-00002D870000}"/>
    <cellStyle name="Normal 143 2 2" xfId="4339" xr:uid="{00000000-0005-0000-0000-00002E870000}"/>
    <cellStyle name="Normal 143 2 3" xfId="22951" xr:uid="{00000000-0005-0000-0000-00002F870000}"/>
    <cellStyle name="Normal 143 2 4" xfId="51978" xr:uid="{00000000-0005-0000-0000-000030870000}"/>
    <cellStyle name="Normal 143 3" xfId="4338" xr:uid="{00000000-0005-0000-0000-000031870000}"/>
    <cellStyle name="Normal 143 3 2" xfId="8495" xr:uid="{00000000-0005-0000-0000-000032870000}"/>
    <cellStyle name="Normal 143 3 2 2" xfId="16291" xr:uid="{00000000-0005-0000-0000-000033870000}"/>
    <cellStyle name="Normal 143 3 2 2 2" xfId="33926" xr:uid="{00000000-0005-0000-0000-000034870000}"/>
    <cellStyle name="Normal 143 3 2 3" xfId="26896" xr:uid="{00000000-0005-0000-0000-000035870000}"/>
    <cellStyle name="Normal 143 3 3" xfId="12729" xr:uid="{00000000-0005-0000-0000-000036870000}"/>
    <cellStyle name="Normal 143 3 3 2" xfId="30387" xr:uid="{00000000-0005-0000-0000-000037870000}"/>
    <cellStyle name="Normal 143 3 4" xfId="22667" xr:uid="{00000000-0005-0000-0000-000038870000}"/>
    <cellStyle name="Normal 143 3 4 2" xfId="38900" xr:uid="{00000000-0005-0000-0000-000039870000}"/>
    <cellStyle name="Normal 143 3 5" xfId="24031" xr:uid="{00000000-0005-0000-0000-00003A870000}"/>
    <cellStyle name="Normal 143 4" xfId="5811" xr:uid="{00000000-0005-0000-0000-00003B870000}"/>
    <cellStyle name="Normal 143 4 2" xfId="9111" xr:uid="{00000000-0005-0000-0000-00003C870000}"/>
    <cellStyle name="Normal 143 4 2 2" xfId="16906" xr:uid="{00000000-0005-0000-0000-00003D870000}"/>
    <cellStyle name="Normal 143 4 2 2 2" xfId="34542" xr:uid="{00000000-0005-0000-0000-00003E870000}"/>
    <cellStyle name="Normal 143 4 2 3" xfId="27499" xr:uid="{00000000-0005-0000-0000-00003F870000}"/>
    <cellStyle name="Normal 143 4 3" xfId="13667" xr:uid="{00000000-0005-0000-0000-000040870000}"/>
    <cellStyle name="Normal 143 4 3 2" xfId="31307" xr:uid="{00000000-0005-0000-0000-000041870000}"/>
    <cellStyle name="Normal 143 4 4" xfId="22027" xr:uid="{00000000-0005-0000-0000-000042870000}"/>
    <cellStyle name="Normal 143 4 5" xfId="24634" xr:uid="{00000000-0005-0000-0000-000043870000}"/>
    <cellStyle name="Normal 143 5" xfId="6441" xr:uid="{00000000-0005-0000-0000-000044870000}"/>
    <cellStyle name="Normal 143 5 2" xfId="9651" xr:uid="{00000000-0005-0000-0000-000045870000}"/>
    <cellStyle name="Normal 143 5 2 2" xfId="17445" xr:uid="{00000000-0005-0000-0000-000046870000}"/>
    <cellStyle name="Normal 143 5 2 2 2" xfId="35082" xr:uid="{00000000-0005-0000-0000-000047870000}"/>
    <cellStyle name="Normal 143 5 2 3" xfId="28035" xr:uid="{00000000-0005-0000-0000-000048870000}"/>
    <cellStyle name="Normal 143 5 3" xfId="14230" xr:uid="{00000000-0005-0000-0000-000049870000}"/>
    <cellStyle name="Normal 143 5 3 2" xfId="31865" xr:uid="{00000000-0005-0000-0000-00004A870000}"/>
    <cellStyle name="Normal 143 5 4" xfId="25171" xr:uid="{00000000-0005-0000-0000-00004B870000}"/>
    <cellStyle name="Normal 143 6" xfId="7217" xr:uid="{00000000-0005-0000-0000-00004C870000}"/>
    <cellStyle name="Normal 143 6 2" xfId="10205" xr:uid="{00000000-0005-0000-0000-00004D870000}"/>
    <cellStyle name="Normal 143 6 2 2" xfId="17998" xr:uid="{00000000-0005-0000-0000-00004E870000}"/>
    <cellStyle name="Normal 143 6 2 2 2" xfId="35635" xr:uid="{00000000-0005-0000-0000-00004F870000}"/>
    <cellStyle name="Normal 143 6 2 3" xfId="28572" xr:uid="{00000000-0005-0000-0000-000050870000}"/>
    <cellStyle name="Normal 143 6 3" xfId="15005" xr:uid="{00000000-0005-0000-0000-000051870000}"/>
    <cellStyle name="Normal 143 6 3 2" xfId="32640" xr:uid="{00000000-0005-0000-0000-000052870000}"/>
    <cellStyle name="Normal 143 6 4" xfId="25709" xr:uid="{00000000-0005-0000-0000-000053870000}"/>
    <cellStyle name="Normal 143 7" xfId="7816" xr:uid="{00000000-0005-0000-0000-000054870000}"/>
    <cellStyle name="Normal 143 7 2" xfId="15613" xr:uid="{00000000-0005-0000-0000-000055870000}"/>
    <cellStyle name="Normal 143 7 2 2" xfId="33248" xr:uid="{00000000-0005-0000-0000-000056870000}"/>
    <cellStyle name="Normal 143 7 3" xfId="26232" xr:uid="{00000000-0005-0000-0000-000057870000}"/>
    <cellStyle name="Normal 143 8" xfId="11720" xr:uid="{00000000-0005-0000-0000-000058870000}"/>
    <cellStyle name="Normal 143 8 2" xfId="29409" xr:uid="{00000000-0005-0000-0000-000059870000}"/>
    <cellStyle name="Normal 143 9" xfId="21984" xr:uid="{00000000-0005-0000-0000-00005A870000}"/>
    <cellStyle name="Normal 144" xfId="2184" xr:uid="{00000000-0005-0000-0000-00005B870000}"/>
    <cellStyle name="Normal 144 10" xfId="51979" xr:uid="{00000000-0005-0000-0000-00005C870000}"/>
    <cellStyle name="Normal 144 2" xfId="4340" xr:uid="{00000000-0005-0000-0000-00005D870000}"/>
    <cellStyle name="Normal 144 2 2" xfId="8496" xr:uid="{00000000-0005-0000-0000-00005E870000}"/>
    <cellStyle name="Normal 144 2 2 2" xfId="16292" xr:uid="{00000000-0005-0000-0000-00005F870000}"/>
    <cellStyle name="Normal 144 2 2 2 2" xfId="33927" xr:uid="{00000000-0005-0000-0000-000060870000}"/>
    <cellStyle name="Normal 144 2 2 3" xfId="26897" xr:uid="{00000000-0005-0000-0000-000061870000}"/>
    <cellStyle name="Normal 144 2 3" xfId="12730" xr:uid="{00000000-0005-0000-0000-000062870000}"/>
    <cellStyle name="Normal 144 2 3 2" xfId="30388" xr:uid="{00000000-0005-0000-0000-000063870000}"/>
    <cellStyle name="Normal 144 2 4" xfId="22952" xr:uid="{00000000-0005-0000-0000-000064870000}"/>
    <cellStyle name="Normal 144 2 5" xfId="24032" xr:uid="{00000000-0005-0000-0000-000065870000}"/>
    <cellStyle name="Normal 144 3" xfId="5812" xr:uid="{00000000-0005-0000-0000-000066870000}"/>
    <cellStyle name="Normal 144 3 2" xfId="9112" xr:uid="{00000000-0005-0000-0000-000067870000}"/>
    <cellStyle name="Normal 144 3 2 2" xfId="16907" xr:uid="{00000000-0005-0000-0000-000068870000}"/>
    <cellStyle name="Normal 144 3 2 2 2" xfId="34543" xr:uid="{00000000-0005-0000-0000-000069870000}"/>
    <cellStyle name="Normal 144 3 2 3" xfId="27500" xr:uid="{00000000-0005-0000-0000-00006A870000}"/>
    <cellStyle name="Normal 144 3 3" xfId="13668" xr:uid="{00000000-0005-0000-0000-00006B870000}"/>
    <cellStyle name="Normal 144 3 3 2" xfId="31308" xr:uid="{00000000-0005-0000-0000-00006C870000}"/>
    <cellStyle name="Normal 144 3 4" xfId="22696" xr:uid="{00000000-0005-0000-0000-00006D870000}"/>
    <cellStyle name="Normal 144 3 4 2" xfId="38914" xr:uid="{00000000-0005-0000-0000-00006E870000}"/>
    <cellStyle name="Normal 144 3 5" xfId="24635" xr:uid="{00000000-0005-0000-0000-00006F870000}"/>
    <cellStyle name="Normal 144 4" xfId="6442" xr:uid="{00000000-0005-0000-0000-000070870000}"/>
    <cellStyle name="Normal 144 4 2" xfId="9652" xr:uid="{00000000-0005-0000-0000-000071870000}"/>
    <cellStyle name="Normal 144 4 2 2" xfId="17446" xr:uid="{00000000-0005-0000-0000-000072870000}"/>
    <cellStyle name="Normal 144 4 2 2 2" xfId="35083" xr:uid="{00000000-0005-0000-0000-000073870000}"/>
    <cellStyle name="Normal 144 4 2 3" xfId="28036" xr:uid="{00000000-0005-0000-0000-000074870000}"/>
    <cellStyle name="Normal 144 4 3" xfId="14231" xr:uid="{00000000-0005-0000-0000-000075870000}"/>
    <cellStyle name="Normal 144 4 3 2" xfId="31866" xr:uid="{00000000-0005-0000-0000-000076870000}"/>
    <cellStyle name="Normal 144 4 4" xfId="22028" xr:uid="{00000000-0005-0000-0000-000077870000}"/>
    <cellStyle name="Normal 144 4 5" xfId="25172" xr:uid="{00000000-0005-0000-0000-000078870000}"/>
    <cellStyle name="Normal 144 5" xfId="7218" xr:uid="{00000000-0005-0000-0000-000079870000}"/>
    <cellStyle name="Normal 144 5 2" xfId="10206" xr:uid="{00000000-0005-0000-0000-00007A870000}"/>
    <cellStyle name="Normal 144 5 2 2" xfId="17999" xr:uid="{00000000-0005-0000-0000-00007B870000}"/>
    <cellStyle name="Normal 144 5 2 2 2" xfId="35636" xr:uid="{00000000-0005-0000-0000-00007C870000}"/>
    <cellStyle name="Normal 144 5 2 3" xfId="28573" xr:uid="{00000000-0005-0000-0000-00007D870000}"/>
    <cellStyle name="Normal 144 5 3" xfId="15006" xr:uid="{00000000-0005-0000-0000-00007E870000}"/>
    <cellStyle name="Normal 144 5 3 2" xfId="32641" xr:uid="{00000000-0005-0000-0000-00007F870000}"/>
    <cellStyle name="Normal 144 5 4" xfId="25710" xr:uid="{00000000-0005-0000-0000-000080870000}"/>
    <cellStyle name="Normal 144 6" xfId="7817" xr:uid="{00000000-0005-0000-0000-000081870000}"/>
    <cellStyle name="Normal 144 6 2" xfId="15614" xr:uid="{00000000-0005-0000-0000-000082870000}"/>
    <cellStyle name="Normal 144 6 2 2" xfId="33249" xr:uid="{00000000-0005-0000-0000-000083870000}"/>
    <cellStyle name="Normal 144 6 3" xfId="26233" xr:uid="{00000000-0005-0000-0000-000084870000}"/>
    <cellStyle name="Normal 144 7" xfId="11721" xr:uid="{00000000-0005-0000-0000-000085870000}"/>
    <cellStyle name="Normal 144 7 2" xfId="29410" xr:uid="{00000000-0005-0000-0000-000086870000}"/>
    <cellStyle name="Normal 144 8" xfId="21985" xr:uid="{00000000-0005-0000-0000-000087870000}"/>
    <cellStyle name="Normal 144 9" xfId="23368" xr:uid="{00000000-0005-0000-0000-000088870000}"/>
    <cellStyle name="Normal 145" xfId="2185" xr:uid="{00000000-0005-0000-0000-000089870000}"/>
    <cellStyle name="Normal 145 2" xfId="4341" xr:uid="{00000000-0005-0000-0000-00008A870000}"/>
    <cellStyle name="Normal 145 2 2" xfId="22953" xr:uid="{00000000-0005-0000-0000-00008B870000}"/>
    <cellStyle name="Normal 145 3" xfId="22698" xr:uid="{00000000-0005-0000-0000-00008C870000}"/>
    <cellStyle name="Normal 145 3 2" xfId="38915" xr:uid="{00000000-0005-0000-0000-00008D870000}"/>
    <cellStyle name="Normal 145 4" xfId="22029" xr:uid="{00000000-0005-0000-0000-00008E870000}"/>
    <cellStyle name="Normal 145 5" xfId="21986" xr:uid="{00000000-0005-0000-0000-00008F870000}"/>
    <cellStyle name="Normal 145 6" xfId="51980" xr:uid="{00000000-0005-0000-0000-000090870000}"/>
    <cellStyle name="Normal 146" xfId="2186" xr:uid="{00000000-0005-0000-0000-000091870000}"/>
    <cellStyle name="Normal 146 2" xfId="4342" xr:uid="{00000000-0005-0000-0000-000092870000}"/>
    <cellStyle name="Normal 146 3" xfId="22700" xr:uid="{00000000-0005-0000-0000-000093870000}"/>
    <cellStyle name="Normal 146 3 2" xfId="38916" xr:uid="{00000000-0005-0000-0000-000094870000}"/>
    <cellStyle name="Normal 146 4" xfId="51981" xr:uid="{00000000-0005-0000-0000-000095870000}"/>
    <cellStyle name="Normal 147" xfId="2187" xr:uid="{00000000-0005-0000-0000-000096870000}"/>
    <cellStyle name="Normal 147 2" xfId="4343" xr:uid="{00000000-0005-0000-0000-000097870000}"/>
    <cellStyle name="Normal 147 3" xfId="22703" xr:uid="{00000000-0005-0000-0000-000098870000}"/>
    <cellStyle name="Normal 147 3 2" xfId="38917" xr:uid="{00000000-0005-0000-0000-000099870000}"/>
    <cellStyle name="Normal 147 4" xfId="51982" xr:uid="{00000000-0005-0000-0000-00009A870000}"/>
    <cellStyle name="Normal 148" xfId="2188" xr:uid="{00000000-0005-0000-0000-00009B870000}"/>
    <cellStyle name="Normal 148 2" xfId="4344" xr:uid="{00000000-0005-0000-0000-00009C870000}"/>
    <cellStyle name="Normal 148 3" xfId="22709" xr:uid="{00000000-0005-0000-0000-00009D870000}"/>
    <cellStyle name="Normal 148 3 2" xfId="38919" xr:uid="{00000000-0005-0000-0000-00009E870000}"/>
    <cellStyle name="Normal 148 4" xfId="51983" xr:uid="{00000000-0005-0000-0000-00009F870000}"/>
    <cellStyle name="Normal 149" xfId="2189" xr:uid="{00000000-0005-0000-0000-0000A0870000}"/>
    <cellStyle name="Normal 149 2" xfId="4345" xr:uid="{00000000-0005-0000-0000-0000A1870000}"/>
    <cellStyle name="Normal 149 2 2" xfId="22019" xr:uid="{00000000-0005-0000-0000-0000A2870000}"/>
    <cellStyle name="Normal 149 3" xfId="22793" xr:uid="{00000000-0005-0000-0000-0000A3870000}"/>
    <cellStyle name="Normal 149 4" xfId="22011" xr:uid="{00000000-0005-0000-0000-0000A4870000}"/>
    <cellStyle name="Normal 149 5" xfId="51984" xr:uid="{00000000-0005-0000-0000-0000A5870000}"/>
    <cellStyle name="Normal 15" xfId="2190" xr:uid="{00000000-0005-0000-0000-0000A6870000}"/>
    <cellStyle name="Normal 15 2" xfId="2191" xr:uid="{00000000-0005-0000-0000-0000A7870000}"/>
    <cellStyle name="Normal 15 2 2" xfId="2192" xr:uid="{00000000-0005-0000-0000-0000A8870000}"/>
    <cellStyle name="Normal 15 2 3" xfId="22955" xr:uid="{00000000-0005-0000-0000-0000A9870000}"/>
    <cellStyle name="Normal 15 2 4" xfId="22755" xr:uid="{00000000-0005-0000-0000-0000AA870000}"/>
    <cellStyle name="Normal 15 2 4 2" xfId="38962" xr:uid="{00000000-0005-0000-0000-0000AB870000}"/>
    <cellStyle name="Normal 15 2_Sheet1" xfId="2193" xr:uid="{00000000-0005-0000-0000-0000AC870000}"/>
    <cellStyle name="Normal 15 3" xfId="2194" xr:uid="{00000000-0005-0000-0000-0000AD870000}"/>
    <cellStyle name="Normal 15 4" xfId="22954" xr:uid="{00000000-0005-0000-0000-0000AE870000}"/>
    <cellStyle name="Normal 15 5" xfId="22542" xr:uid="{00000000-0005-0000-0000-0000AF870000}"/>
    <cellStyle name="Normal 15 5 2" xfId="38858" xr:uid="{00000000-0005-0000-0000-0000B0870000}"/>
    <cellStyle name="Normal 15 6" xfId="53233" xr:uid="{00000000-0005-0000-0000-0000B1870000}"/>
    <cellStyle name="Normal 15_Sheet1" xfId="2195" xr:uid="{00000000-0005-0000-0000-0000B2870000}"/>
    <cellStyle name="Normal 150" xfId="2196" xr:uid="{00000000-0005-0000-0000-0000B3870000}"/>
    <cellStyle name="Normal 150 10" xfId="51985" xr:uid="{00000000-0005-0000-0000-0000B4870000}"/>
    <cellStyle name="Normal 150 2" xfId="4346" xr:uid="{00000000-0005-0000-0000-0000B5870000}"/>
    <cellStyle name="Normal 150 2 2" xfId="8497" xr:uid="{00000000-0005-0000-0000-0000B6870000}"/>
    <cellStyle name="Normal 150 2 2 2" xfId="16293" xr:uid="{00000000-0005-0000-0000-0000B7870000}"/>
    <cellStyle name="Normal 150 2 2 2 2" xfId="33928" xr:uid="{00000000-0005-0000-0000-0000B8870000}"/>
    <cellStyle name="Normal 150 2 2 3" xfId="26898" xr:uid="{00000000-0005-0000-0000-0000B9870000}"/>
    <cellStyle name="Normal 150 2 3" xfId="12731" xr:uid="{00000000-0005-0000-0000-0000BA870000}"/>
    <cellStyle name="Normal 150 2 3 2" xfId="30389" xr:uid="{00000000-0005-0000-0000-0000BB870000}"/>
    <cellStyle name="Normal 150 2 4" xfId="22020" xr:uid="{00000000-0005-0000-0000-0000BC870000}"/>
    <cellStyle name="Normal 150 2 5" xfId="24033" xr:uid="{00000000-0005-0000-0000-0000BD870000}"/>
    <cellStyle name="Normal 150 3" xfId="5813" xr:uid="{00000000-0005-0000-0000-0000BE870000}"/>
    <cellStyle name="Normal 150 3 2" xfId="9113" xr:uid="{00000000-0005-0000-0000-0000BF870000}"/>
    <cellStyle name="Normal 150 3 2 2" xfId="16908" xr:uid="{00000000-0005-0000-0000-0000C0870000}"/>
    <cellStyle name="Normal 150 3 2 2 2" xfId="34544" xr:uid="{00000000-0005-0000-0000-0000C1870000}"/>
    <cellStyle name="Normal 150 3 2 3" xfId="27501" xr:uid="{00000000-0005-0000-0000-0000C2870000}"/>
    <cellStyle name="Normal 150 3 3" xfId="13669" xr:uid="{00000000-0005-0000-0000-0000C3870000}"/>
    <cellStyle name="Normal 150 3 3 2" xfId="31309" xr:uid="{00000000-0005-0000-0000-0000C4870000}"/>
    <cellStyle name="Normal 150 3 4" xfId="22796" xr:uid="{00000000-0005-0000-0000-0000C5870000}"/>
    <cellStyle name="Normal 150 3 5" xfId="24636" xr:uid="{00000000-0005-0000-0000-0000C6870000}"/>
    <cellStyle name="Normal 150 4" xfId="6443" xr:uid="{00000000-0005-0000-0000-0000C7870000}"/>
    <cellStyle name="Normal 150 4 2" xfId="9653" xr:uid="{00000000-0005-0000-0000-0000C8870000}"/>
    <cellStyle name="Normal 150 4 2 2" xfId="17447" xr:uid="{00000000-0005-0000-0000-0000C9870000}"/>
    <cellStyle name="Normal 150 4 2 2 2" xfId="35084" xr:uid="{00000000-0005-0000-0000-0000CA870000}"/>
    <cellStyle name="Normal 150 4 2 3" xfId="28037" xr:uid="{00000000-0005-0000-0000-0000CB870000}"/>
    <cellStyle name="Normal 150 4 3" xfId="14232" xr:uid="{00000000-0005-0000-0000-0000CC870000}"/>
    <cellStyle name="Normal 150 4 3 2" xfId="31867" xr:uid="{00000000-0005-0000-0000-0000CD870000}"/>
    <cellStyle name="Normal 150 4 4" xfId="25173" xr:uid="{00000000-0005-0000-0000-0000CE870000}"/>
    <cellStyle name="Normal 150 5" xfId="7219" xr:uid="{00000000-0005-0000-0000-0000CF870000}"/>
    <cellStyle name="Normal 150 5 2" xfId="10207" xr:uid="{00000000-0005-0000-0000-0000D0870000}"/>
    <cellStyle name="Normal 150 5 2 2" xfId="18000" xr:uid="{00000000-0005-0000-0000-0000D1870000}"/>
    <cellStyle name="Normal 150 5 2 2 2" xfId="35637" xr:uid="{00000000-0005-0000-0000-0000D2870000}"/>
    <cellStyle name="Normal 150 5 2 3" xfId="28574" xr:uid="{00000000-0005-0000-0000-0000D3870000}"/>
    <cellStyle name="Normal 150 5 3" xfId="15007" xr:uid="{00000000-0005-0000-0000-0000D4870000}"/>
    <cellStyle name="Normal 150 5 3 2" xfId="32642" xr:uid="{00000000-0005-0000-0000-0000D5870000}"/>
    <cellStyle name="Normal 150 5 4" xfId="25711" xr:uid="{00000000-0005-0000-0000-0000D6870000}"/>
    <cellStyle name="Normal 150 6" xfId="7818" xr:uid="{00000000-0005-0000-0000-0000D7870000}"/>
    <cellStyle name="Normal 150 6 2" xfId="15615" xr:uid="{00000000-0005-0000-0000-0000D8870000}"/>
    <cellStyle name="Normal 150 6 2 2" xfId="33250" xr:uid="{00000000-0005-0000-0000-0000D9870000}"/>
    <cellStyle name="Normal 150 6 3" xfId="26234" xr:uid="{00000000-0005-0000-0000-0000DA870000}"/>
    <cellStyle name="Normal 150 7" xfId="11726" xr:uid="{00000000-0005-0000-0000-0000DB870000}"/>
    <cellStyle name="Normal 150 7 2" xfId="29413" xr:uid="{00000000-0005-0000-0000-0000DC870000}"/>
    <cellStyle name="Normal 150 8" xfId="22012" xr:uid="{00000000-0005-0000-0000-0000DD870000}"/>
    <cellStyle name="Normal 150 9" xfId="23369" xr:uid="{00000000-0005-0000-0000-0000DE870000}"/>
    <cellStyle name="Normal 151" xfId="2197" xr:uid="{00000000-0005-0000-0000-0000DF870000}"/>
    <cellStyle name="Normal 151 2" xfId="2198" xr:uid="{00000000-0005-0000-0000-0000E0870000}"/>
    <cellStyle name="Normal 151 2 2" xfId="4348" xr:uid="{00000000-0005-0000-0000-0000E1870000}"/>
    <cellStyle name="Normal 151 2 3" xfId="22021" xr:uid="{00000000-0005-0000-0000-0000E2870000}"/>
    <cellStyle name="Normal 151 2 4" xfId="51987" xr:uid="{00000000-0005-0000-0000-0000E3870000}"/>
    <cellStyle name="Normal 151 3" xfId="2199" xr:uid="{00000000-0005-0000-0000-0000E4870000}"/>
    <cellStyle name="Normal 151 3 2" xfId="8498" xr:uid="{00000000-0005-0000-0000-0000E5870000}"/>
    <cellStyle name="Normal 151 3 2 2" xfId="16294" xr:uid="{00000000-0005-0000-0000-0000E6870000}"/>
    <cellStyle name="Normal 151 3 2 2 2" xfId="33929" xr:uid="{00000000-0005-0000-0000-0000E7870000}"/>
    <cellStyle name="Normal 151 3 2 3" xfId="26899" xr:uid="{00000000-0005-0000-0000-0000E8870000}"/>
    <cellStyle name="Normal 151 3 3" xfId="12733" xr:uid="{00000000-0005-0000-0000-0000E9870000}"/>
    <cellStyle name="Normal 151 3 3 2" xfId="30391" xr:uid="{00000000-0005-0000-0000-0000EA870000}"/>
    <cellStyle name="Normal 151 3 4" xfId="22797" xr:uid="{00000000-0005-0000-0000-0000EB870000}"/>
    <cellStyle name="Normal 151 3 5" xfId="24034" xr:uid="{00000000-0005-0000-0000-0000EC870000}"/>
    <cellStyle name="Normal 151 3 6" xfId="51988" xr:uid="{00000000-0005-0000-0000-0000ED870000}"/>
    <cellStyle name="Normal 151 4" xfId="4347" xr:uid="{00000000-0005-0000-0000-0000EE870000}"/>
    <cellStyle name="Normal 151 5" xfId="7819" xr:uid="{00000000-0005-0000-0000-0000EF870000}"/>
    <cellStyle name="Normal 151 5 2" xfId="15616" xr:uid="{00000000-0005-0000-0000-0000F0870000}"/>
    <cellStyle name="Normal 151 5 2 2" xfId="33251" xr:uid="{00000000-0005-0000-0000-0000F1870000}"/>
    <cellStyle name="Normal 151 5 3" xfId="26235" xr:uid="{00000000-0005-0000-0000-0000F2870000}"/>
    <cellStyle name="Normal 151 6" xfId="11727" xr:uid="{00000000-0005-0000-0000-0000F3870000}"/>
    <cellStyle name="Normal 151 6 2" xfId="29414" xr:uid="{00000000-0005-0000-0000-0000F4870000}"/>
    <cellStyle name="Normal 151 7" xfId="22013" xr:uid="{00000000-0005-0000-0000-0000F5870000}"/>
    <cellStyle name="Normal 151 8" xfId="23370" xr:uid="{00000000-0005-0000-0000-0000F6870000}"/>
    <cellStyle name="Normal 151 9" xfId="51986" xr:uid="{00000000-0005-0000-0000-0000F7870000}"/>
    <cellStyle name="Normal 152" xfId="2200" xr:uid="{00000000-0005-0000-0000-0000F8870000}"/>
    <cellStyle name="Normal 152 2" xfId="2201" xr:uid="{00000000-0005-0000-0000-0000F9870000}"/>
    <cellStyle name="Normal 152 2 2" xfId="4350" xr:uid="{00000000-0005-0000-0000-0000FA870000}"/>
    <cellStyle name="Normal 152 2 3" xfId="22024" xr:uid="{00000000-0005-0000-0000-0000FB870000}"/>
    <cellStyle name="Normal 152 2 4" xfId="22022" xr:uid="{00000000-0005-0000-0000-0000FC870000}"/>
    <cellStyle name="Normal 152 2 5" xfId="51990" xr:uid="{00000000-0005-0000-0000-0000FD870000}"/>
    <cellStyle name="Normal 152 3" xfId="2202" xr:uid="{00000000-0005-0000-0000-0000FE870000}"/>
    <cellStyle name="Normal 152 3 2" xfId="8499" xr:uid="{00000000-0005-0000-0000-0000FF870000}"/>
    <cellStyle name="Normal 152 3 2 2" xfId="16295" xr:uid="{00000000-0005-0000-0000-000000880000}"/>
    <cellStyle name="Normal 152 3 2 2 2" xfId="33930" xr:uid="{00000000-0005-0000-0000-000001880000}"/>
    <cellStyle name="Normal 152 3 2 3" xfId="26900" xr:uid="{00000000-0005-0000-0000-000002880000}"/>
    <cellStyle name="Normal 152 3 3" xfId="12736" xr:uid="{00000000-0005-0000-0000-000003880000}"/>
    <cellStyle name="Normal 152 3 3 2" xfId="30394" xr:uid="{00000000-0005-0000-0000-000004880000}"/>
    <cellStyle name="Normal 152 3 4" xfId="22798" xr:uid="{00000000-0005-0000-0000-000005880000}"/>
    <cellStyle name="Normal 152 3 5" xfId="24035" xr:uid="{00000000-0005-0000-0000-000006880000}"/>
    <cellStyle name="Normal 152 3 6" xfId="51991" xr:uid="{00000000-0005-0000-0000-000007880000}"/>
    <cellStyle name="Normal 152 4" xfId="4349" xr:uid="{00000000-0005-0000-0000-000008880000}"/>
    <cellStyle name="Normal 152 5" xfId="7820" xr:uid="{00000000-0005-0000-0000-000009880000}"/>
    <cellStyle name="Normal 152 5 2" xfId="15617" xr:uid="{00000000-0005-0000-0000-00000A880000}"/>
    <cellStyle name="Normal 152 5 2 2" xfId="33252" xr:uid="{00000000-0005-0000-0000-00000B880000}"/>
    <cellStyle name="Normal 152 5 3" xfId="26236" xr:uid="{00000000-0005-0000-0000-00000C880000}"/>
    <cellStyle name="Normal 152 6" xfId="11729" xr:uid="{00000000-0005-0000-0000-00000D880000}"/>
    <cellStyle name="Normal 152 6 2" xfId="29416" xr:uid="{00000000-0005-0000-0000-00000E880000}"/>
    <cellStyle name="Normal 152 7" xfId="22014" xr:uid="{00000000-0005-0000-0000-00000F880000}"/>
    <cellStyle name="Normal 152 8" xfId="23371" xr:uid="{00000000-0005-0000-0000-000010880000}"/>
    <cellStyle name="Normal 152 9" xfId="51989" xr:uid="{00000000-0005-0000-0000-000011880000}"/>
    <cellStyle name="Normal 153" xfId="2203" xr:uid="{00000000-0005-0000-0000-000012880000}"/>
    <cellStyle name="Normal 153 2" xfId="4351" xr:uid="{00000000-0005-0000-0000-000013880000}"/>
    <cellStyle name="Normal 153 3" xfId="22016" xr:uid="{00000000-0005-0000-0000-000014880000}"/>
    <cellStyle name="Normal 153 3 2" xfId="38750" xr:uid="{00000000-0005-0000-0000-000015880000}"/>
    <cellStyle name="Normal 153 4" xfId="51992" xr:uid="{00000000-0005-0000-0000-000016880000}"/>
    <cellStyle name="Normal 154" xfId="2204" xr:uid="{00000000-0005-0000-0000-000017880000}"/>
    <cellStyle name="Normal 154 2" xfId="4352" xr:uid="{00000000-0005-0000-0000-000018880000}"/>
    <cellStyle name="Normal 154 3" xfId="22015" xr:uid="{00000000-0005-0000-0000-000019880000}"/>
    <cellStyle name="Normal 154 4" xfId="51993" xr:uid="{00000000-0005-0000-0000-00001A880000}"/>
    <cellStyle name="Normal 155" xfId="2205" xr:uid="{00000000-0005-0000-0000-00001B880000}"/>
    <cellStyle name="Normal 155 2" xfId="4353" xr:uid="{00000000-0005-0000-0000-00001C880000}"/>
    <cellStyle name="Normal 155 3" xfId="22017" xr:uid="{00000000-0005-0000-0000-00001D880000}"/>
    <cellStyle name="Normal 155 4" xfId="51994" xr:uid="{00000000-0005-0000-0000-00001E880000}"/>
    <cellStyle name="Normal 156" xfId="2206" xr:uid="{00000000-0005-0000-0000-00001F880000}"/>
    <cellStyle name="Normal 156 2" xfId="4354" xr:uid="{00000000-0005-0000-0000-000020880000}"/>
    <cellStyle name="Normal 156 3" xfId="22023" xr:uid="{00000000-0005-0000-0000-000021880000}"/>
    <cellStyle name="Normal 156 4" xfId="51995" xr:uid="{00000000-0005-0000-0000-000022880000}"/>
    <cellStyle name="Normal 157" xfId="2207" xr:uid="{00000000-0005-0000-0000-000023880000}"/>
    <cellStyle name="Normal 157 2" xfId="4355" xr:uid="{00000000-0005-0000-0000-000024880000}"/>
    <cellStyle name="Normal 157 3" xfId="22018" xr:uid="{00000000-0005-0000-0000-000025880000}"/>
    <cellStyle name="Normal 157 4" xfId="51996" xr:uid="{00000000-0005-0000-0000-000026880000}"/>
    <cellStyle name="Normal 158" xfId="2208" xr:uid="{00000000-0005-0000-0000-000027880000}"/>
    <cellStyle name="Normal 158 2" xfId="4356" xr:uid="{00000000-0005-0000-0000-000028880000}"/>
    <cellStyle name="Normal 158 3" xfId="51997" xr:uid="{00000000-0005-0000-0000-000029880000}"/>
    <cellStyle name="Normal 159" xfId="2209" xr:uid="{00000000-0005-0000-0000-00002A880000}"/>
    <cellStyle name="Normal 159 2" xfId="4357" xr:uid="{00000000-0005-0000-0000-00002B880000}"/>
    <cellStyle name="Normal 159 3" xfId="51998" xr:uid="{00000000-0005-0000-0000-00002C880000}"/>
    <cellStyle name="Normal 16" xfId="2210" xr:uid="{00000000-0005-0000-0000-00002D880000}"/>
    <cellStyle name="Normal 16 2" xfId="2211" xr:uid="{00000000-0005-0000-0000-00002E880000}"/>
    <cellStyle name="Normal 16 2 2" xfId="2212" xr:uid="{00000000-0005-0000-0000-00002F880000}"/>
    <cellStyle name="Normal 16 2 3" xfId="22957" xr:uid="{00000000-0005-0000-0000-000030880000}"/>
    <cellStyle name="Normal 16 2 4" xfId="22756" xr:uid="{00000000-0005-0000-0000-000031880000}"/>
    <cellStyle name="Normal 16 2 4 2" xfId="38963" xr:uid="{00000000-0005-0000-0000-000032880000}"/>
    <cellStyle name="Normal 16 2_Sheet1" xfId="2213" xr:uid="{00000000-0005-0000-0000-000033880000}"/>
    <cellStyle name="Normal 16 3" xfId="2214" xr:uid="{00000000-0005-0000-0000-000034880000}"/>
    <cellStyle name="Normal 16 4" xfId="22956" xr:uid="{00000000-0005-0000-0000-000035880000}"/>
    <cellStyle name="Normal 16 5" xfId="22543" xr:uid="{00000000-0005-0000-0000-000036880000}"/>
    <cellStyle name="Normal 16 5 2" xfId="38859" xr:uid="{00000000-0005-0000-0000-000037880000}"/>
    <cellStyle name="Normal 16 6" xfId="53234" xr:uid="{00000000-0005-0000-0000-000038880000}"/>
    <cellStyle name="Normal 16_Sheet1" xfId="2215" xr:uid="{00000000-0005-0000-0000-000039880000}"/>
    <cellStyle name="Normal 160" xfId="2216" xr:uid="{00000000-0005-0000-0000-00003A880000}"/>
    <cellStyle name="Normal 160 2" xfId="4358" xr:uid="{00000000-0005-0000-0000-00003B880000}"/>
    <cellStyle name="Normal 160 3" xfId="51999" xr:uid="{00000000-0005-0000-0000-00003C880000}"/>
    <cellStyle name="Normal 161" xfId="2217" xr:uid="{00000000-0005-0000-0000-00003D880000}"/>
    <cellStyle name="Normal 161 2" xfId="4359" xr:uid="{00000000-0005-0000-0000-00003E880000}"/>
    <cellStyle name="Normal 161 3" xfId="52000" xr:uid="{00000000-0005-0000-0000-00003F880000}"/>
    <cellStyle name="Normal 162" xfId="2218" xr:uid="{00000000-0005-0000-0000-000040880000}"/>
    <cellStyle name="Normal 162 2" xfId="4360" xr:uid="{00000000-0005-0000-0000-000041880000}"/>
    <cellStyle name="Normal 162 3" xfId="52001" xr:uid="{00000000-0005-0000-0000-000042880000}"/>
    <cellStyle name="Normal 163" xfId="2219" xr:uid="{00000000-0005-0000-0000-000043880000}"/>
    <cellStyle name="Normal 163 2" xfId="4361" xr:uid="{00000000-0005-0000-0000-000044880000}"/>
    <cellStyle name="Normal 163 3" xfId="52002" xr:uid="{00000000-0005-0000-0000-000045880000}"/>
    <cellStyle name="Normal 164" xfId="2220" xr:uid="{00000000-0005-0000-0000-000046880000}"/>
    <cellStyle name="Normal 164 2" xfId="4362" xr:uid="{00000000-0005-0000-0000-000047880000}"/>
    <cellStyle name="Normal 164 3" xfId="52003" xr:uid="{00000000-0005-0000-0000-000048880000}"/>
    <cellStyle name="Normal 165" xfId="2221" xr:uid="{00000000-0005-0000-0000-000049880000}"/>
    <cellStyle name="Normal 165 10" xfId="52004" xr:uid="{00000000-0005-0000-0000-00004A880000}"/>
    <cellStyle name="Normal 165 2" xfId="4363" xr:uid="{00000000-0005-0000-0000-00004B880000}"/>
    <cellStyle name="Normal 165 2 2" xfId="8500" xr:uid="{00000000-0005-0000-0000-00004C880000}"/>
    <cellStyle name="Normal 165 2 2 2" xfId="16296" xr:uid="{00000000-0005-0000-0000-00004D880000}"/>
    <cellStyle name="Normal 165 2 2 2 2" xfId="33931" xr:uid="{00000000-0005-0000-0000-00004E880000}"/>
    <cellStyle name="Normal 165 2 2 3" xfId="26901" xr:uid="{00000000-0005-0000-0000-00004F880000}"/>
    <cellStyle name="Normal 165 2 3" xfId="12740" xr:uid="{00000000-0005-0000-0000-000050880000}"/>
    <cellStyle name="Normal 165 2 3 2" xfId="30398" xr:uid="{00000000-0005-0000-0000-000051880000}"/>
    <cellStyle name="Normal 165 2 4" xfId="24036" xr:uid="{00000000-0005-0000-0000-000052880000}"/>
    <cellStyle name="Normal 165 3" xfId="5814" xr:uid="{00000000-0005-0000-0000-000053880000}"/>
    <cellStyle name="Normal 165 3 2" xfId="9114" xr:uid="{00000000-0005-0000-0000-000054880000}"/>
    <cellStyle name="Normal 165 3 2 2" xfId="16909" xr:uid="{00000000-0005-0000-0000-000055880000}"/>
    <cellStyle name="Normal 165 3 2 2 2" xfId="34545" xr:uid="{00000000-0005-0000-0000-000056880000}"/>
    <cellStyle name="Normal 165 3 2 3" xfId="27502" xr:uid="{00000000-0005-0000-0000-000057880000}"/>
    <cellStyle name="Normal 165 3 3" xfId="13670" xr:uid="{00000000-0005-0000-0000-000058880000}"/>
    <cellStyle name="Normal 165 3 3 2" xfId="31310" xr:uid="{00000000-0005-0000-0000-000059880000}"/>
    <cellStyle name="Normal 165 3 4" xfId="24637" xr:uid="{00000000-0005-0000-0000-00005A880000}"/>
    <cellStyle name="Normal 165 4" xfId="6444" xr:uid="{00000000-0005-0000-0000-00005B880000}"/>
    <cellStyle name="Normal 165 4 2" xfId="9654" xr:uid="{00000000-0005-0000-0000-00005C880000}"/>
    <cellStyle name="Normal 165 4 2 2" xfId="17448" xr:uid="{00000000-0005-0000-0000-00005D880000}"/>
    <cellStyle name="Normal 165 4 2 2 2" xfId="35085" xr:uid="{00000000-0005-0000-0000-00005E880000}"/>
    <cellStyle name="Normal 165 4 2 3" xfId="28038" xr:uid="{00000000-0005-0000-0000-00005F880000}"/>
    <cellStyle name="Normal 165 4 3" xfId="14233" xr:uid="{00000000-0005-0000-0000-000060880000}"/>
    <cellStyle name="Normal 165 4 3 2" xfId="31868" xr:uid="{00000000-0005-0000-0000-000061880000}"/>
    <cellStyle name="Normal 165 4 4" xfId="25174" xr:uid="{00000000-0005-0000-0000-000062880000}"/>
    <cellStyle name="Normal 165 5" xfId="7220" xr:uid="{00000000-0005-0000-0000-000063880000}"/>
    <cellStyle name="Normal 165 5 2" xfId="10208" xr:uid="{00000000-0005-0000-0000-000064880000}"/>
    <cellStyle name="Normal 165 5 2 2" xfId="18001" xr:uid="{00000000-0005-0000-0000-000065880000}"/>
    <cellStyle name="Normal 165 5 2 2 2" xfId="35638" xr:uid="{00000000-0005-0000-0000-000066880000}"/>
    <cellStyle name="Normal 165 5 2 3" xfId="28575" xr:uid="{00000000-0005-0000-0000-000067880000}"/>
    <cellStyle name="Normal 165 5 3" xfId="15008" xr:uid="{00000000-0005-0000-0000-000068880000}"/>
    <cellStyle name="Normal 165 5 3 2" xfId="32643" xr:uid="{00000000-0005-0000-0000-000069880000}"/>
    <cellStyle name="Normal 165 5 4" xfId="25712" xr:uid="{00000000-0005-0000-0000-00006A880000}"/>
    <cellStyle name="Normal 165 6" xfId="7821" xr:uid="{00000000-0005-0000-0000-00006B880000}"/>
    <cellStyle name="Normal 165 6 2" xfId="15618" xr:uid="{00000000-0005-0000-0000-00006C880000}"/>
    <cellStyle name="Normal 165 6 2 2" xfId="33253" xr:uid="{00000000-0005-0000-0000-00006D880000}"/>
    <cellStyle name="Normal 165 6 3" xfId="26237" xr:uid="{00000000-0005-0000-0000-00006E880000}"/>
    <cellStyle name="Normal 165 7" xfId="11734" xr:uid="{00000000-0005-0000-0000-00006F880000}"/>
    <cellStyle name="Normal 165 7 2" xfId="29421" xr:uid="{00000000-0005-0000-0000-000070880000}"/>
    <cellStyle name="Normal 165 8" xfId="22803" xr:uid="{00000000-0005-0000-0000-000071880000}"/>
    <cellStyle name="Normal 165 9" xfId="23372" xr:uid="{00000000-0005-0000-0000-000072880000}"/>
    <cellStyle name="Normal 166" xfId="2222" xr:uid="{00000000-0005-0000-0000-000073880000}"/>
    <cellStyle name="Normal 166 10" xfId="52005" xr:uid="{00000000-0005-0000-0000-000074880000}"/>
    <cellStyle name="Normal 166 2" xfId="4364" xr:uid="{00000000-0005-0000-0000-000075880000}"/>
    <cellStyle name="Normal 166 2 2" xfId="8501" xr:uid="{00000000-0005-0000-0000-000076880000}"/>
    <cellStyle name="Normal 166 2 2 2" xfId="16297" xr:uid="{00000000-0005-0000-0000-000077880000}"/>
    <cellStyle name="Normal 166 2 2 2 2" xfId="33932" xr:uid="{00000000-0005-0000-0000-000078880000}"/>
    <cellStyle name="Normal 166 2 2 3" xfId="26902" xr:uid="{00000000-0005-0000-0000-000079880000}"/>
    <cellStyle name="Normal 166 2 3" xfId="12741" xr:uid="{00000000-0005-0000-0000-00007A880000}"/>
    <cellStyle name="Normal 166 2 3 2" xfId="30399" xr:uid="{00000000-0005-0000-0000-00007B880000}"/>
    <cellStyle name="Normal 166 2 4" xfId="24037" xr:uid="{00000000-0005-0000-0000-00007C880000}"/>
    <cellStyle name="Normal 166 3" xfId="5815" xr:uid="{00000000-0005-0000-0000-00007D880000}"/>
    <cellStyle name="Normal 166 3 2" xfId="9115" xr:uid="{00000000-0005-0000-0000-00007E880000}"/>
    <cellStyle name="Normal 166 3 2 2" xfId="16910" xr:uid="{00000000-0005-0000-0000-00007F880000}"/>
    <cellStyle name="Normal 166 3 2 2 2" xfId="34546" xr:uid="{00000000-0005-0000-0000-000080880000}"/>
    <cellStyle name="Normal 166 3 2 3" xfId="27503" xr:uid="{00000000-0005-0000-0000-000081880000}"/>
    <cellStyle name="Normal 166 3 3" xfId="13671" xr:uid="{00000000-0005-0000-0000-000082880000}"/>
    <cellStyle name="Normal 166 3 3 2" xfId="31311" xr:uid="{00000000-0005-0000-0000-000083880000}"/>
    <cellStyle name="Normal 166 3 4" xfId="24638" xr:uid="{00000000-0005-0000-0000-000084880000}"/>
    <cellStyle name="Normal 166 4" xfId="6445" xr:uid="{00000000-0005-0000-0000-000085880000}"/>
    <cellStyle name="Normal 166 4 2" xfId="9655" xr:uid="{00000000-0005-0000-0000-000086880000}"/>
    <cellStyle name="Normal 166 4 2 2" xfId="17449" xr:uid="{00000000-0005-0000-0000-000087880000}"/>
    <cellStyle name="Normal 166 4 2 2 2" xfId="35086" xr:uid="{00000000-0005-0000-0000-000088880000}"/>
    <cellStyle name="Normal 166 4 2 3" xfId="28039" xr:uid="{00000000-0005-0000-0000-000089880000}"/>
    <cellStyle name="Normal 166 4 3" xfId="14234" xr:uid="{00000000-0005-0000-0000-00008A880000}"/>
    <cellStyle name="Normal 166 4 3 2" xfId="31869" xr:uid="{00000000-0005-0000-0000-00008B880000}"/>
    <cellStyle name="Normal 166 4 4" xfId="25175" xr:uid="{00000000-0005-0000-0000-00008C880000}"/>
    <cellStyle name="Normal 166 5" xfId="7221" xr:uid="{00000000-0005-0000-0000-00008D880000}"/>
    <cellStyle name="Normal 166 5 2" xfId="10209" xr:uid="{00000000-0005-0000-0000-00008E880000}"/>
    <cellStyle name="Normal 166 5 2 2" xfId="18002" xr:uid="{00000000-0005-0000-0000-00008F880000}"/>
    <cellStyle name="Normal 166 5 2 2 2" xfId="35639" xr:uid="{00000000-0005-0000-0000-000090880000}"/>
    <cellStyle name="Normal 166 5 2 3" xfId="28576" xr:uid="{00000000-0005-0000-0000-000091880000}"/>
    <cellStyle name="Normal 166 5 3" xfId="15009" xr:uid="{00000000-0005-0000-0000-000092880000}"/>
    <cellStyle name="Normal 166 5 3 2" xfId="32644" xr:uid="{00000000-0005-0000-0000-000093880000}"/>
    <cellStyle name="Normal 166 5 4" xfId="25713" xr:uid="{00000000-0005-0000-0000-000094880000}"/>
    <cellStyle name="Normal 166 6" xfId="7822" xr:uid="{00000000-0005-0000-0000-000095880000}"/>
    <cellStyle name="Normal 166 6 2" xfId="15619" xr:uid="{00000000-0005-0000-0000-000096880000}"/>
    <cellStyle name="Normal 166 6 2 2" xfId="33254" xr:uid="{00000000-0005-0000-0000-000097880000}"/>
    <cellStyle name="Normal 166 6 3" xfId="26238" xr:uid="{00000000-0005-0000-0000-000098880000}"/>
    <cellStyle name="Normal 166 7" xfId="11735" xr:uid="{00000000-0005-0000-0000-000099880000}"/>
    <cellStyle name="Normal 166 7 2" xfId="29422" xr:uid="{00000000-0005-0000-0000-00009A880000}"/>
    <cellStyle name="Normal 166 8" xfId="22802" xr:uid="{00000000-0005-0000-0000-00009B880000}"/>
    <cellStyle name="Normal 166 9" xfId="23373" xr:uid="{00000000-0005-0000-0000-00009C880000}"/>
    <cellStyle name="Normal 167" xfId="2223" xr:uid="{00000000-0005-0000-0000-00009D880000}"/>
    <cellStyle name="Normal 167 10" xfId="52006" xr:uid="{00000000-0005-0000-0000-00009E880000}"/>
    <cellStyle name="Normal 167 2" xfId="4365" xr:uid="{00000000-0005-0000-0000-00009F880000}"/>
    <cellStyle name="Normal 167 2 2" xfId="8502" xr:uid="{00000000-0005-0000-0000-0000A0880000}"/>
    <cellStyle name="Normal 167 2 2 2" xfId="16298" xr:uid="{00000000-0005-0000-0000-0000A1880000}"/>
    <cellStyle name="Normal 167 2 2 2 2" xfId="33933" xr:uid="{00000000-0005-0000-0000-0000A2880000}"/>
    <cellStyle name="Normal 167 2 2 3" xfId="26903" xr:uid="{00000000-0005-0000-0000-0000A3880000}"/>
    <cellStyle name="Normal 167 2 3" xfId="12742" xr:uid="{00000000-0005-0000-0000-0000A4880000}"/>
    <cellStyle name="Normal 167 2 3 2" xfId="30400" xr:uid="{00000000-0005-0000-0000-0000A5880000}"/>
    <cellStyle name="Normal 167 2 4" xfId="24038" xr:uid="{00000000-0005-0000-0000-0000A6880000}"/>
    <cellStyle name="Normal 167 3" xfId="5816" xr:uid="{00000000-0005-0000-0000-0000A7880000}"/>
    <cellStyle name="Normal 167 3 2" xfId="9116" xr:uid="{00000000-0005-0000-0000-0000A8880000}"/>
    <cellStyle name="Normal 167 3 2 2" xfId="16911" xr:uid="{00000000-0005-0000-0000-0000A9880000}"/>
    <cellStyle name="Normal 167 3 2 2 2" xfId="34547" xr:uid="{00000000-0005-0000-0000-0000AA880000}"/>
    <cellStyle name="Normal 167 3 2 3" xfId="27504" xr:uid="{00000000-0005-0000-0000-0000AB880000}"/>
    <cellStyle name="Normal 167 3 3" xfId="13672" xr:uid="{00000000-0005-0000-0000-0000AC880000}"/>
    <cellStyle name="Normal 167 3 3 2" xfId="31312" xr:uid="{00000000-0005-0000-0000-0000AD880000}"/>
    <cellStyle name="Normal 167 3 4" xfId="24639" xr:uid="{00000000-0005-0000-0000-0000AE880000}"/>
    <cellStyle name="Normal 167 4" xfId="6446" xr:uid="{00000000-0005-0000-0000-0000AF880000}"/>
    <cellStyle name="Normal 167 4 2" xfId="9656" xr:uid="{00000000-0005-0000-0000-0000B0880000}"/>
    <cellStyle name="Normal 167 4 2 2" xfId="17450" xr:uid="{00000000-0005-0000-0000-0000B1880000}"/>
    <cellStyle name="Normal 167 4 2 2 2" xfId="35087" xr:uid="{00000000-0005-0000-0000-0000B2880000}"/>
    <cellStyle name="Normal 167 4 2 3" xfId="28040" xr:uid="{00000000-0005-0000-0000-0000B3880000}"/>
    <cellStyle name="Normal 167 4 3" xfId="14235" xr:uid="{00000000-0005-0000-0000-0000B4880000}"/>
    <cellStyle name="Normal 167 4 3 2" xfId="31870" xr:uid="{00000000-0005-0000-0000-0000B5880000}"/>
    <cellStyle name="Normal 167 4 4" xfId="25176" xr:uid="{00000000-0005-0000-0000-0000B6880000}"/>
    <cellStyle name="Normal 167 5" xfId="7222" xr:uid="{00000000-0005-0000-0000-0000B7880000}"/>
    <cellStyle name="Normal 167 5 2" xfId="10210" xr:uid="{00000000-0005-0000-0000-0000B8880000}"/>
    <cellStyle name="Normal 167 5 2 2" xfId="18003" xr:uid="{00000000-0005-0000-0000-0000B9880000}"/>
    <cellStyle name="Normal 167 5 2 2 2" xfId="35640" xr:uid="{00000000-0005-0000-0000-0000BA880000}"/>
    <cellStyle name="Normal 167 5 2 3" xfId="28577" xr:uid="{00000000-0005-0000-0000-0000BB880000}"/>
    <cellStyle name="Normal 167 5 3" xfId="15010" xr:uid="{00000000-0005-0000-0000-0000BC880000}"/>
    <cellStyle name="Normal 167 5 3 2" xfId="32645" xr:uid="{00000000-0005-0000-0000-0000BD880000}"/>
    <cellStyle name="Normal 167 5 4" xfId="25714" xr:uid="{00000000-0005-0000-0000-0000BE880000}"/>
    <cellStyle name="Normal 167 6" xfId="7823" xr:uid="{00000000-0005-0000-0000-0000BF880000}"/>
    <cellStyle name="Normal 167 6 2" xfId="15620" xr:uid="{00000000-0005-0000-0000-0000C0880000}"/>
    <cellStyle name="Normal 167 6 2 2" xfId="33255" xr:uid="{00000000-0005-0000-0000-0000C1880000}"/>
    <cellStyle name="Normal 167 6 3" xfId="26239" xr:uid="{00000000-0005-0000-0000-0000C2880000}"/>
    <cellStyle name="Normal 167 7" xfId="11736" xr:uid="{00000000-0005-0000-0000-0000C3880000}"/>
    <cellStyle name="Normal 167 7 2" xfId="29423" xr:uid="{00000000-0005-0000-0000-0000C4880000}"/>
    <cellStyle name="Normal 167 8" xfId="22806" xr:uid="{00000000-0005-0000-0000-0000C5880000}"/>
    <cellStyle name="Normal 167 9" xfId="23374" xr:uid="{00000000-0005-0000-0000-0000C6880000}"/>
    <cellStyle name="Normal 168" xfId="2224" xr:uid="{00000000-0005-0000-0000-0000C7880000}"/>
    <cellStyle name="Normal 168 2" xfId="4366" xr:uid="{00000000-0005-0000-0000-0000C8880000}"/>
    <cellStyle name="Normal 168 3" xfId="52007" xr:uid="{00000000-0005-0000-0000-0000C9880000}"/>
    <cellStyle name="Normal 169" xfId="2225" xr:uid="{00000000-0005-0000-0000-0000CA880000}"/>
    <cellStyle name="Normal 169 10" xfId="52008" xr:uid="{00000000-0005-0000-0000-0000CB880000}"/>
    <cellStyle name="Normal 169 2" xfId="4367" xr:uid="{00000000-0005-0000-0000-0000CC880000}"/>
    <cellStyle name="Normal 169 2 2" xfId="8503" xr:uid="{00000000-0005-0000-0000-0000CD880000}"/>
    <cellStyle name="Normal 169 2 2 2" xfId="16299" xr:uid="{00000000-0005-0000-0000-0000CE880000}"/>
    <cellStyle name="Normal 169 2 2 2 2" xfId="33934" xr:uid="{00000000-0005-0000-0000-0000CF880000}"/>
    <cellStyle name="Normal 169 2 2 3" xfId="26904" xr:uid="{00000000-0005-0000-0000-0000D0880000}"/>
    <cellStyle name="Normal 169 2 3" xfId="12743" xr:uid="{00000000-0005-0000-0000-0000D1880000}"/>
    <cellStyle name="Normal 169 2 3 2" xfId="30401" xr:uid="{00000000-0005-0000-0000-0000D2880000}"/>
    <cellStyle name="Normal 169 2 4" xfId="24039" xr:uid="{00000000-0005-0000-0000-0000D3880000}"/>
    <cellStyle name="Normal 169 3" xfId="5817" xr:uid="{00000000-0005-0000-0000-0000D4880000}"/>
    <cellStyle name="Normal 169 3 2" xfId="9117" xr:uid="{00000000-0005-0000-0000-0000D5880000}"/>
    <cellStyle name="Normal 169 3 2 2" xfId="16912" xr:uid="{00000000-0005-0000-0000-0000D6880000}"/>
    <cellStyle name="Normal 169 3 2 2 2" xfId="34548" xr:uid="{00000000-0005-0000-0000-0000D7880000}"/>
    <cellStyle name="Normal 169 3 2 3" xfId="27505" xr:uid="{00000000-0005-0000-0000-0000D8880000}"/>
    <cellStyle name="Normal 169 3 3" xfId="13673" xr:uid="{00000000-0005-0000-0000-0000D9880000}"/>
    <cellStyle name="Normal 169 3 3 2" xfId="31313" xr:uid="{00000000-0005-0000-0000-0000DA880000}"/>
    <cellStyle name="Normal 169 3 4" xfId="24640" xr:uid="{00000000-0005-0000-0000-0000DB880000}"/>
    <cellStyle name="Normal 169 4" xfId="6447" xr:uid="{00000000-0005-0000-0000-0000DC880000}"/>
    <cellStyle name="Normal 169 4 2" xfId="9657" xr:uid="{00000000-0005-0000-0000-0000DD880000}"/>
    <cellStyle name="Normal 169 4 2 2" xfId="17451" xr:uid="{00000000-0005-0000-0000-0000DE880000}"/>
    <cellStyle name="Normal 169 4 2 2 2" xfId="35088" xr:uid="{00000000-0005-0000-0000-0000DF880000}"/>
    <cellStyle name="Normal 169 4 2 3" xfId="28041" xr:uid="{00000000-0005-0000-0000-0000E0880000}"/>
    <cellStyle name="Normal 169 4 3" xfId="14236" xr:uid="{00000000-0005-0000-0000-0000E1880000}"/>
    <cellStyle name="Normal 169 4 3 2" xfId="31871" xr:uid="{00000000-0005-0000-0000-0000E2880000}"/>
    <cellStyle name="Normal 169 4 4" xfId="25177" xr:uid="{00000000-0005-0000-0000-0000E3880000}"/>
    <cellStyle name="Normal 169 5" xfId="7223" xr:uid="{00000000-0005-0000-0000-0000E4880000}"/>
    <cellStyle name="Normal 169 5 2" xfId="10211" xr:uid="{00000000-0005-0000-0000-0000E5880000}"/>
    <cellStyle name="Normal 169 5 2 2" xfId="18004" xr:uid="{00000000-0005-0000-0000-0000E6880000}"/>
    <cellStyle name="Normal 169 5 2 2 2" xfId="35641" xr:uid="{00000000-0005-0000-0000-0000E7880000}"/>
    <cellStyle name="Normal 169 5 2 3" xfId="28578" xr:uid="{00000000-0005-0000-0000-0000E8880000}"/>
    <cellStyle name="Normal 169 5 3" xfId="15011" xr:uid="{00000000-0005-0000-0000-0000E9880000}"/>
    <cellStyle name="Normal 169 5 3 2" xfId="32646" xr:uid="{00000000-0005-0000-0000-0000EA880000}"/>
    <cellStyle name="Normal 169 5 4" xfId="25715" xr:uid="{00000000-0005-0000-0000-0000EB880000}"/>
    <cellStyle name="Normal 169 6" xfId="7824" xr:uid="{00000000-0005-0000-0000-0000EC880000}"/>
    <cellStyle name="Normal 169 6 2" xfId="15621" xr:uid="{00000000-0005-0000-0000-0000ED880000}"/>
    <cellStyle name="Normal 169 6 2 2" xfId="33256" xr:uid="{00000000-0005-0000-0000-0000EE880000}"/>
    <cellStyle name="Normal 169 6 3" xfId="26240" xr:uid="{00000000-0005-0000-0000-0000EF880000}"/>
    <cellStyle name="Normal 169 7" xfId="11738" xr:uid="{00000000-0005-0000-0000-0000F0880000}"/>
    <cellStyle name="Normal 169 7 2" xfId="29425" xr:uid="{00000000-0005-0000-0000-0000F1880000}"/>
    <cellStyle name="Normal 169 8" xfId="22807" xr:uid="{00000000-0005-0000-0000-0000F2880000}"/>
    <cellStyle name="Normal 169 9" xfId="23375" xr:uid="{00000000-0005-0000-0000-0000F3880000}"/>
    <cellStyle name="Normal 17" xfId="2226" xr:uid="{00000000-0005-0000-0000-0000F4880000}"/>
    <cellStyle name="Normal 17 2" xfId="2227" xr:uid="{00000000-0005-0000-0000-0000F5880000}"/>
    <cellStyle name="Normal 17 2 2" xfId="2228" xr:uid="{00000000-0005-0000-0000-0000F6880000}"/>
    <cellStyle name="Normal 17 2_Sheet1" xfId="2229" xr:uid="{00000000-0005-0000-0000-0000F7880000}"/>
    <cellStyle name="Normal 17 3" xfId="2230" xr:uid="{00000000-0005-0000-0000-0000F8880000}"/>
    <cellStyle name="Normal 17 4" xfId="22958" xr:uid="{00000000-0005-0000-0000-0000F9880000}"/>
    <cellStyle name="Normal 17 5" xfId="22544" xr:uid="{00000000-0005-0000-0000-0000FA880000}"/>
    <cellStyle name="Normal 17 6" xfId="22416" xr:uid="{00000000-0005-0000-0000-0000FB880000}"/>
    <cellStyle name="Normal 17 7" xfId="53236" xr:uid="{00000000-0005-0000-0000-0000FC880000}"/>
    <cellStyle name="Normal 17 8" xfId="53237" xr:uid="{00000000-0005-0000-0000-0000FD880000}"/>
    <cellStyle name="Normal 17 9" xfId="53235" xr:uid="{00000000-0005-0000-0000-0000FE880000}"/>
    <cellStyle name="Normal 17_Sheet1" xfId="2231" xr:uid="{00000000-0005-0000-0000-0000FF880000}"/>
    <cellStyle name="Normal 170" xfId="2232" xr:uid="{00000000-0005-0000-0000-000000890000}"/>
    <cellStyle name="Normal 170 10" xfId="52009" xr:uid="{00000000-0005-0000-0000-000001890000}"/>
    <cellStyle name="Normal 170 2" xfId="4368" xr:uid="{00000000-0005-0000-0000-000002890000}"/>
    <cellStyle name="Normal 170 2 2" xfId="8504" xr:uid="{00000000-0005-0000-0000-000003890000}"/>
    <cellStyle name="Normal 170 2 2 2" xfId="16300" xr:uid="{00000000-0005-0000-0000-000004890000}"/>
    <cellStyle name="Normal 170 2 2 2 2" xfId="33935" xr:uid="{00000000-0005-0000-0000-000005890000}"/>
    <cellStyle name="Normal 170 2 2 3" xfId="26905" xr:uid="{00000000-0005-0000-0000-000006890000}"/>
    <cellStyle name="Normal 170 2 3" xfId="12744" xr:uid="{00000000-0005-0000-0000-000007890000}"/>
    <cellStyle name="Normal 170 2 3 2" xfId="30402" xr:uid="{00000000-0005-0000-0000-000008890000}"/>
    <cellStyle name="Normal 170 2 4" xfId="24040" xr:uid="{00000000-0005-0000-0000-000009890000}"/>
    <cellStyle name="Normal 170 3" xfId="5818" xr:uid="{00000000-0005-0000-0000-00000A890000}"/>
    <cellStyle name="Normal 170 3 2" xfId="9118" xr:uid="{00000000-0005-0000-0000-00000B890000}"/>
    <cellStyle name="Normal 170 3 2 2" xfId="16913" xr:uid="{00000000-0005-0000-0000-00000C890000}"/>
    <cellStyle name="Normal 170 3 2 2 2" xfId="34549" xr:uid="{00000000-0005-0000-0000-00000D890000}"/>
    <cellStyle name="Normal 170 3 2 3" xfId="27506" xr:uid="{00000000-0005-0000-0000-00000E890000}"/>
    <cellStyle name="Normal 170 3 3" xfId="13674" xr:uid="{00000000-0005-0000-0000-00000F890000}"/>
    <cellStyle name="Normal 170 3 3 2" xfId="31314" xr:uid="{00000000-0005-0000-0000-000010890000}"/>
    <cellStyle name="Normal 170 3 4" xfId="24641" xr:uid="{00000000-0005-0000-0000-000011890000}"/>
    <cellStyle name="Normal 170 4" xfId="6448" xr:uid="{00000000-0005-0000-0000-000012890000}"/>
    <cellStyle name="Normal 170 4 2" xfId="9658" xr:uid="{00000000-0005-0000-0000-000013890000}"/>
    <cellStyle name="Normal 170 4 2 2" xfId="17452" xr:uid="{00000000-0005-0000-0000-000014890000}"/>
    <cellStyle name="Normal 170 4 2 2 2" xfId="35089" xr:uid="{00000000-0005-0000-0000-000015890000}"/>
    <cellStyle name="Normal 170 4 2 3" xfId="28042" xr:uid="{00000000-0005-0000-0000-000016890000}"/>
    <cellStyle name="Normal 170 4 3" xfId="14237" xr:uid="{00000000-0005-0000-0000-000017890000}"/>
    <cellStyle name="Normal 170 4 3 2" xfId="31872" xr:uid="{00000000-0005-0000-0000-000018890000}"/>
    <cellStyle name="Normal 170 4 4" xfId="25178" xr:uid="{00000000-0005-0000-0000-000019890000}"/>
    <cellStyle name="Normal 170 5" xfId="7224" xr:uid="{00000000-0005-0000-0000-00001A890000}"/>
    <cellStyle name="Normal 170 5 2" xfId="10212" xr:uid="{00000000-0005-0000-0000-00001B890000}"/>
    <cellStyle name="Normal 170 5 2 2" xfId="18005" xr:uid="{00000000-0005-0000-0000-00001C890000}"/>
    <cellStyle name="Normal 170 5 2 2 2" xfId="35642" xr:uid="{00000000-0005-0000-0000-00001D890000}"/>
    <cellStyle name="Normal 170 5 2 3" xfId="28579" xr:uid="{00000000-0005-0000-0000-00001E890000}"/>
    <cellStyle name="Normal 170 5 3" xfId="15012" xr:uid="{00000000-0005-0000-0000-00001F890000}"/>
    <cellStyle name="Normal 170 5 3 2" xfId="32647" xr:uid="{00000000-0005-0000-0000-000020890000}"/>
    <cellStyle name="Normal 170 5 4" xfId="25716" xr:uid="{00000000-0005-0000-0000-000021890000}"/>
    <cellStyle name="Normal 170 6" xfId="7825" xr:uid="{00000000-0005-0000-0000-000022890000}"/>
    <cellStyle name="Normal 170 6 2" xfId="15622" xr:uid="{00000000-0005-0000-0000-000023890000}"/>
    <cellStyle name="Normal 170 6 2 2" xfId="33257" xr:uid="{00000000-0005-0000-0000-000024890000}"/>
    <cellStyle name="Normal 170 6 3" xfId="26241" xr:uid="{00000000-0005-0000-0000-000025890000}"/>
    <cellStyle name="Normal 170 7" xfId="11740" xr:uid="{00000000-0005-0000-0000-000026890000}"/>
    <cellStyle name="Normal 170 7 2" xfId="29427" xr:uid="{00000000-0005-0000-0000-000027890000}"/>
    <cellStyle name="Normal 170 8" xfId="22808" xr:uid="{00000000-0005-0000-0000-000028890000}"/>
    <cellStyle name="Normal 170 9" xfId="23376" xr:uid="{00000000-0005-0000-0000-000029890000}"/>
    <cellStyle name="Normal 171" xfId="2233" xr:uid="{00000000-0005-0000-0000-00002A890000}"/>
    <cellStyle name="Normal 171 10" xfId="52010" xr:uid="{00000000-0005-0000-0000-00002B890000}"/>
    <cellStyle name="Normal 171 2" xfId="4369" xr:uid="{00000000-0005-0000-0000-00002C890000}"/>
    <cellStyle name="Normal 171 2 2" xfId="8505" xr:uid="{00000000-0005-0000-0000-00002D890000}"/>
    <cellStyle name="Normal 171 2 2 2" xfId="16301" xr:uid="{00000000-0005-0000-0000-00002E890000}"/>
    <cellStyle name="Normal 171 2 2 2 2" xfId="33936" xr:uid="{00000000-0005-0000-0000-00002F890000}"/>
    <cellStyle name="Normal 171 2 2 3" xfId="26906" xr:uid="{00000000-0005-0000-0000-000030890000}"/>
    <cellStyle name="Normal 171 2 3" xfId="12745" xr:uid="{00000000-0005-0000-0000-000031890000}"/>
    <cellStyle name="Normal 171 2 3 2" xfId="30403" xr:uid="{00000000-0005-0000-0000-000032890000}"/>
    <cellStyle name="Normal 171 2 4" xfId="24041" xr:uid="{00000000-0005-0000-0000-000033890000}"/>
    <cellStyle name="Normal 171 3" xfId="5819" xr:uid="{00000000-0005-0000-0000-000034890000}"/>
    <cellStyle name="Normal 171 3 2" xfId="9119" xr:uid="{00000000-0005-0000-0000-000035890000}"/>
    <cellStyle name="Normal 171 3 2 2" xfId="16914" xr:uid="{00000000-0005-0000-0000-000036890000}"/>
    <cellStyle name="Normal 171 3 2 2 2" xfId="34550" xr:uid="{00000000-0005-0000-0000-000037890000}"/>
    <cellStyle name="Normal 171 3 2 3" xfId="27507" xr:uid="{00000000-0005-0000-0000-000038890000}"/>
    <cellStyle name="Normal 171 3 3" xfId="13675" xr:uid="{00000000-0005-0000-0000-000039890000}"/>
    <cellStyle name="Normal 171 3 3 2" xfId="31315" xr:uid="{00000000-0005-0000-0000-00003A890000}"/>
    <cellStyle name="Normal 171 3 4" xfId="24642" xr:uid="{00000000-0005-0000-0000-00003B890000}"/>
    <cellStyle name="Normal 171 4" xfId="6449" xr:uid="{00000000-0005-0000-0000-00003C890000}"/>
    <cellStyle name="Normal 171 4 2" xfId="9659" xr:uid="{00000000-0005-0000-0000-00003D890000}"/>
    <cellStyle name="Normal 171 4 2 2" xfId="17453" xr:uid="{00000000-0005-0000-0000-00003E890000}"/>
    <cellStyle name="Normal 171 4 2 2 2" xfId="35090" xr:uid="{00000000-0005-0000-0000-00003F890000}"/>
    <cellStyle name="Normal 171 4 2 3" xfId="28043" xr:uid="{00000000-0005-0000-0000-000040890000}"/>
    <cellStyle name="Normal 171 4 3" xfId="14238" xr:uid="{00000000-0005-0000-0000-000041890000}"/>
    <cellStyle name="Normal 171 4 3 2" xfId="31873" xr:uid="{00000000-0005-0000-0000-000042890000}"/>
    <cellStyle name="Normal 171 4 4" xfId="25179" xr:uid="{00000000-0005-0000-0000-000043890000}"/>
    <cellStyle name="Normal 171 5" xfId="7225" xr:uid="{00000000-0005-0000-0000-000044890000}"/>
    <cellStyle name="Normal 171 5 2" xfId="10213" xr:uid="{00000000-0005-0000-0000-000045890000}"/>
    <cellStyle name="Normal 171 5 2 2" xfId="18006" xr:uid="{00000000-0005-0000-0000-000046890000}"/>
    <cellStyle name="Normal 171 5 2 2 2" xfId="35643" xr:uid="{00000000-0005-0000-0000-000047890000}"/>
    <cellStyle name="Normal 171 5 2 3" xfId="28580" xr:uid="{00000000-0005-0000-0000-000048890000}"/>
    <cellStyle name="Normal 171 5 3" xfId="15013" xr:uid="{00000000-0005-0000-0000-000049890000}"/>
    <cellStyle name="Normal 171 5 3 2" xfId="32648" xr:uid="{00000000-0005-0000-0000-00004A890000}"/>
    <cellStyle name="Normal 171 5 4" xfId="25717" xr:uid="{00000000-0005-0000-0000-00004B890000}"/>
    <cellStyle name="Normal 171 6" xfId="7826" xr:uid="{00000000-0005-0000-0000-00004C890000}"/>
    <cellStyle name="Normal 171 6 2" xfId="15623" xr:uid="{00000000-0005-0000-0000-00004D890000}"/>
    <cellStyle name="Normal 171 6 2 2" xfId="33258" xr:uid="{00000000-0005-0000-0000-00004E890000}"/>
    <cellStyle name="Normal 171 6 3" xfId="26242" xr:uid="{00000000-0005-0000-0000-00004F890000}"/>
    <cellStyle name="Normal 171 7" xfId="11741" xr:uid="{00000000-0005-0000-0000-000050890000}"/>
    <cellStyle name="Normal 171 7 2" xfId="29428" xr:uid="{00000000-0005-0000-0000-000051890000}"/>
    <cellStyle name="Normal 171 8" xfId="22809" xr:uid="{00000000-0005-0000-0000-000052890000}"/>
    <cellStyle name="Normal 171 9" xfId="23377" xr:uid="{00000000-0005-0000-0000-000053890000}"/>
    <cellStyle name="Normal 172" xfId="2234" xr:uid="{00000000-0005-0000-0000-000054890000}"/>
    <cellStyle name="Normal 172 10" xfId="52011" xr:uid="{00000000-0005-0000-0000-000055890000}"/>
    <cellStyle name="Normal 172 2" xfId="4370" xr:uid="{00000000-0005-0000-0000-000056890000}"/>
    <cellStyle name="Normal 172 2 2" xfId="8506" xr:uid="{00000000-0005-0000-0000-000057890000}"/>
    <cellStyle name="Normal 172 2 2 2" xfId="16302" xr:uid="{00000000-0005-0000-0000-000058890000}"/>
    <cellStyle name="Normal 172 2 2 2 2" xfId="33937" xr:uid="{00000000-0005-0000-0000-000059890000}"/>
    <cellStyle name="Normal 172 2 2 3" xfId="26907" xr:uid="{00000000-0005-0000-0000-00005A890000}"/>
    <cellStyle name="Normal 172 2 3" xfId="12746" xr:uid="{00000000-0005-0000-0000-00005B890000}"/>
    <cellStyle name="Normal 172 2 3 2" xfId="30404" xr:uid="{00000000-0005-0000-0000-00005C890000}"/>
    <cellStyle name="Normal 172 2 4" xfId="24042" xr:uid="{00000000-0005-0000-0000-00005D890000}"/>
    <cellStyle name="Normal 172 3" xfId="5820" xr:uid="{00000000-0005-0000-0000-00005E890000}"/>
    <cellStyle name="Normal 172 3 2" xfId="9120" xr:uid="{00000000-0005-0000-0000-00005F890000}"/>
    <cellStyle name="Normal 172 3 2 2" xfId="16915" xr:uid="{00000000-0005-0000-0000-000060890000}"/>
    <cellStyle name="Normal 172 3 2 2 2" xfId="34551" xr:uid="{00000000-0005-0000-0000-000061890000}"/>
    <cellStyle name="Normal 172 3 2 3" xfId="27508" xr:uid="{00000000-0005-0000-0000-000062890000}"/>
    <cellStyle name="Normal 172 3 3" xfId="13676" xr:uid="{00000000-0005-0000-0000-000063890000}"/>
    <cellStyle name="Normal 172 3 3 2" xfId="31316" xr:uid="{00000000-0005-0000-0000-000064890000}"/>
    <cellStyle name="Normal 172 3 4" xfId="24643" xr:uid="{00000000-0005-0000-0000-000065890000}"/>
    <cellStyle name="Normal 172 4" xfId="6450" xr:uid="{00000000-0005-0000-0000-000066890000}"/>
    <cellStyle name="Normal 172 4 2" xfId="9660" xr:uid="{00000000-0005-0000-0000-000067890000}"/>
    <cellStyle name="Normal 172 4 2 2" xfId="17454" xr:uid="{00000000-0005-0000-0000-000068890000}"/>
    <cellStyle name="Normal 172 4 2 2 2" xfId="35091" xr:uid="{00000000-0005-0000-0000-000069890000}"/>
    <cellStyle name="Normal 172 4 2 3" xfId="28044" xr:uid="{00000000-0005-0000-0000-00006A890000}"/>
    <cellStyle name="Normal 172 4 3" xfId="14239" xr:uid="{00000000-0005-0000-0000-00006B890000}"/>
    <cellStyle name="Normal 172 4 3 2" xfId="31874" xr:uid="{00000000-0005-0000-0000-00006C890000}"/>
    <cellStyle name="Normal 172 4 4" xfId="25180" xr:uid="{00000000-0005-0000-0000-00006D890000}"/>
    <cellStyle name="Normal 172 5" xfId="7226" xr:uid="{00000000-0005-0000-0000-00006E890000}"/>
    <cellStyle name="Normal 172 5 2" xfId="10214" xr:uid="{00000000-0005-0000-0000-00006F890000}"/>
    <cellStyle name="Normal 172 5 2 2" xfId="18007" xr:uid="{00000000-0005-0000-0000-000070890000}"/>
    <cellStyle name="Normal 172 5 2 2 2" xfId="35644" xr:uid="{00000000-0005-0000-0000-000071890000}"/>
    <cellStyle name="Normal 172 5 2 3" xfId="28581" xr:uid="{00000000-0005-0000-0000-000072890000}"/>
    <cellStyle name="Normal 172 5 3" xfId="15014" xr:uid="{00000000-0005-0000-0000-000073890000}"/>
    <cellStyle name="Normal 172 5 3 2" xfId="32649" xr:uid="{00000000-0005-0000-0000-000074890000}"/>
    <cellStyle name="Normal 172 5 4" xfId="25718" xr:uid="{00000000-0005-0000-0000-000075890000}"/>
    <cellStyle name="Normal 172 6" xfId="7827" xr:uid="{00000000-0005-0000-0000-000076890000}"/>
    <cellStyle name="Normal 172 6 2" xfId="15624" xr:uid="{00000000-0005-0000-0000-000077890000}"/>
    <cellStyle name="Normal 172 6 2 2" xfId="33259" xr:uid="{00000000-0005-0000-0000-000078890000}"/>
    <cellStyle name="Normal 172 6 3" xfId="26243" xr:uid="{00000000-0005-0000-0000-000079890000}"/>
    <cellStyle name="Normal 172 7" xfId="11742" xr:uid="{00000000-0005-0000-0000-00007A890000}"/>
    <cellStyle name="Normal 172 7 2" xfId="29429" xr:uid="{00000000-0005-0000-0000-00007B890000}"/>
    <cellStyle name="Normal 172 8" xfId="22810" xr:uid="{00000000-0005-0000-0000-00007C890000}"/>
    <cellStyle name="Normal 172 9" xfId="23378" xr:uid="{00000000-0005-0000-0000-00007D890000}"/>
    <cellStyle name="Normal 173" xfId="2235" xr:uid="{00000000-0005-0000-0000-00007E890000}"/>
    <cellStyle name="Normal 173 10" xfId="52012" xr:uid="{00000000-0005-0000-0000-00007F890000}"/>
    <cellStyle name="Normal 173 2" xfId="4371" xr:uid="{00000000-0005-0000-0000-000080890000}"/>
    <cellStyle name="Normal 173 2 2" xfId="8507" xr:uid="{00000000-0005-0000-0000-000081890000}"/>
    <cellStyle name="Normal 173 2 2 2" xfId="16303" xr:uid="{00000000-0005-0000-0000-000082890000}"/>
    <cellStyle name="Normal 173 2 2 2 2" xfId="33938" xr:uid="{00000000-0005-0000-0000-000083890000}"/>
    <cellStyle name="Normal 173 2 2 3" xfId="26908" xr:uid="{00000000-0005-0000-0000-000084890000}"/>
    <cellStyle name="Normal 173 2 3" xfId="12747" xr:uid="{00000000-0005-0000-0000-000085890000}"/>
    <cellStyle name="Normal 173 2 3 2" xfId="30405" xr:uid="{00000000-0005-0000-0000-000086890000}"/>
    <cellStyle name="Normal 173 2 4" xfId="24043" xr:uid="{00000000-0005-0000-0000-000087890000}"/>
    <cellStyle name="Normal 173 3" xfId="5821" xr:uid="{00000000-0005-0000-0000-000088890000}"/>
    <cellStyle name="Normal 173 3 2" xfId="9121" xr:uid="{00000000-0005-0000-0000-000089890000}"/>
    <cellStyle name="Normal 173 3 2 2" xfId="16916" xr:uid="{00000000-0005-0000-0000-00008A890000}"/>
    <cellStyle name="Normal 173 3 2 2 2" xfId="34552" xr:uid="{00000000-0005-0000-0000-00008B890000}"/>
    <cellStyle name="Normal 173 3 2 3" xfId="27509" xr:uid="{00000000-0005-0000-0000-00008C890000}"/>
    <cellStyle name="Normal 173 3 3" xfId="13677" xr:uid="{00000000-0005-0000-0000-00008D890000}"/>
    <cellStyle name="Normal 173 3 3 2" xfId="31317" xr:uid="{00000000-0005-0000-0000-00008E890000}"/>
    <cellStyle name="Normal 173 3 4" xfId="24644" xr:uid="{00000000-0005-0000-0000-00008F890000}"/>
    <cellStyle name="Normal 173 4" xfId="6451" xr:uid="{00000000-0005-0000-0000-000090890000}"/>
    <cellStyle name="Normal 173 4 2" xfId="9661" xr:uid="{00000000-0005-0000-0000-000091890000}"/>
    <cellStyle name="Normal 173 4 2 2" xfId="17455" xr:uid="{00000000-0005-0000-0000-000092890000}"/>
    <cellStyle name="Normal 173 4 2 2 2" xfId="35092" xr:uid="{00000000-0005-0000-0000-000093890000}"/>
    <cellStyle name="Normal 173 4 2 3" xfId="28045" xr:uid="{00000000-0005-0000-0000-000094890000}"/>
    <cellStyle name="Normal 173 4 3" xfId="14240" xr:uid="{00000000-0005-0000-0000-000095890000}"/>
    <cellStyle name="Normal 173 4 3 2" xfId="31875" xr:uid="{00000000-0005-0000-0000-000096890000}"/>
    <cellStyle name="Normal 173 4 4" xfId="25181" xr:uid="{00000000-0005-0000-0000-000097890000}"/>
    <cellStyle name="Normal 173 5" xfId="7227" xr:uid="{00000000-0005-0000-0000-000098890000}"/>
    <cellStyle name="Normal 173 5 2" xfId="10215" xr:uid="{00000000-0005-0000-0000-000099890000}"/>
    <cellStyle name="Normal 173 5 2 2" xfId="18008" xr:uid="{00000000-0005-0000-0000-00009A890000}"/>
    <cellStyle name="Normal 173 5 2 2 2" xfId="35645" xr:uid="{00000000-0005-0000-0000-00009B890000}"/>
    <cellStyle name="Normal 173 5 2 3" xfId="28582" xr:uid="{00000000-0005-0000-0000-00009C890000}"/>
    <cellStyle name="Normal 173 5 3" xfId="15015" xr:uid="{00000000-0005-0000-0000-00009D890000}"/>
    <cellStyle name="Normal 173 5 3 2" xfId="32650" xr:uid="{00000000-0005-0000-0000-00009E890000}"/>
    <cellStyle name="Normal 173 5 4" xfId="25719" xr:uid="{00000000-0005-0000-0000-00009F890000}"/>
    <cellStyle name="Normal 173 6" xfId="7828" xr:uid="{00000000-0005-0000-0000-0000A0890000}"/>
    <cellStyle name="Normal 173 6 2" xfId="15625" xr:uid="{00000000-0005-0000-0000-0000A1890000}"/>
    <cellStyle name="Normal 173 6 2 2" xfId="33260" xr:uid="{00000000-0005-0000-0000-0000A2890000}"/>
    <cellStyle name="Normal 173 6 3" xfId="26244" xr:uid="{00000000-0005-0000-0000-0000A3890000}"/>
    <cellStyle name="Normal 173 7" xfId="11743" xr:uid="{00000000-0005-0000-0000-0000A4890000}"/>
    <cellStyle name="Normal 173 7 2" xfId="29430" xr:uid="{00000000-0005-0000-0000-0000A5890000}"/>
    <cellStyle name="Normal 173 8" xfId="22799" xr:uid="{00000000-0005-0000-0000-0000A6890000}"/>
    <cellStyle name="Normal 173 9" xfId="23379" xr:uid="{00000000-0005-0000-0000-0000A7890000}"/>
    <cellStyle name="Normal 174" xfId="2236" xr:uid="{00000000-0005-0000-0000-0000A8890000}"/>
    <cellStyle name="Normal 174 10" xfId="52013" xr:uid="{00000000-0005-0000-0000-0000A9890000}"/>
    <cellStyle name="Normal 174 2" xfId="4372" xr:uid="{00000000-0005-0000-0000-0000AA890000}"/>
    <cellStyle name="Normal 174 2 2" xfId="8508" xr:uid="{00000000-0005-0000-0000-0000AB890000}"/>
    <cellStyle name="Normal 174 2 2 2" xfId="16304" xr:uid="{00000000-0005-0000-0000-0000AC890000}"/>
    <cellStyle name="Normal 174 2 2 2 2" xfId="33939" xr:uid="{00000000-0005-0000-0000-0000AD890000}"/>
    <cellStyle name="Normal 174 2 2 3" xfId="26909" xr:uid="{00000000-0005-0000-0000-0000AE890000}"/>
    <cellStyle name="Normal 174 2 3" xfId="12748" xr:uid="{00000000-0005-0000-0000-0000AF890000}"/>
    <cellStyle name="Normal 174 2 3 2" xfId="30406" xr:uid="{00000000-0005-0000-0000-0000B0890000}"/>
    <cellStyle name="Normal 174 2 4" xfId="24044" xr:uid="{00000000-0005-0000-0000-0000B1890000}"/>
    <cellStyle name="Normal 174 3" xfId="5822" xr:uid="{00000000-0005-0000-0000-0000B2890000}"/>
    <cellStyle name="Normal 174 3 2" xfId="9122" xr:uid="{00000000-0005-0000-0000-0000B3890000}"/>
    <cellStyle name="Normal 174 3 2 2" xfId="16917" xr:uid="{00000000-0005-0000-0000-0000B4890000}"/>
    <cellStyle name="Normal 174 3 2 2 2" xfId="34553" xr:uid="{00000000-0005-0000-0000-0000B5890000}"/>
    <cellStyle name="Normal 174 3 2 3" xfId="27510" xr:uid="{00000000-0005-0000-0000-0000B6890000}"/>
    <cellStyle name="Normal 174 3 3" xfId="13678" xr:uid="{00000000-0005-0000-0000-0000B7890000}"/>
    <cellStyle name="Normal 174 3 3 2" xfId="31318" xr:uid="{00000000-0005-0000-0000-0000B8890000}"/>
    <cellStyle name="Normal 174 3 4" xfId="24645" xr:uid="{00000000-0005-0000-0000-0000B9890000}"/>
    <cellStyle name="Normal 174 4" xfId="6452" xr:uid="{00000000-0005-0000-0000-0000BA890000}"/>
    <cellStyle name="Normal 174 4 2" xfId="9662" xr:uid="{00000000-0005-0000-0000-0000BB890000}"/>
    <cellStyle name="Normal 174 4 2 2" xfId="17456" xr:uid="{00000000-0005-0000-0000-0000BC890000}"/>
    <cellStyle name="Normal 174 4 2 2 2" xfId="35093" xr:uid="{00000000-0005-0000-0000-0000BD890000}"/>
    <cellStyle name="Normal 174 4 2 3" xfId="28046" xr:uid="{00000000-0005-0000-0000-0000BE890000}"/>
    <cellStyle name="Normal 174 4 3" xfId="14241" xr:uid="{00000000-0005-0000-0000-0000BF890000}"/>
    <cellStyle name="Normal 174 4 3 2" xfId="31876" xr:uid="{00000000-0005-0000-0000-0000C0890000}"/>
    <cellStyle name="Normal 174 4 4" xfId="25182" xr:uid="{00000000-0005-0000-0000-0000C1890000}"/>
    <cellStyle name="Normal 174 5" xfId="7228" xr:uid="{00000000-0005-0000-0000-0000C2890000}"/>
    <cellStyle name="Normal 174 5 2" xfId="10216" xr:uid="{00000000-0005-0000-0000-0000C3890000}"/>
    <cellStyle name="Normal 174 5 2 2" xfId="18009" xr:uid="{00000000-0005-0000-0000-0000C4890000}"/>
    <cellStyle name="Normal 174 5 2 2 2" xfId="35646" xr:uid="{00000000-0005-0000-0000-0000C5890000}"/>
    <cellStyle name="Normal 174 5 2 3" xfId="28583" xr:uid="{00000000-0005-0000-0000-0000C6890000}"/>
    <cellStyle name="Normal 174 5 3" xfId="15016" xr:uid="{00000000-0005-0000-0000-0000C7890000}"/>
    <cellStyle name="Normal 174 5 3 2" xfId="32651" xr:uid="{00000000-0005-0000-0000-0000C8890000}"/>
    <cellStyle name="Normal 174 5 4" xfId="25720" xr:uid="{00000000-0005-0000-0000-0000C9890000}"/>
    <cellStyle name="Normal 174 6" xfId="7829" xr:uid="{00000000-0005-0000-0000-0000CA890000}"/>
    <cellStyle name="Normal 174 6 2" xfId="15626" xr:uid="{00000000-0005-0000-0000-0000CB890000}"/>
    <cellStyle name="Normal 174 6 2 2" xfId="33261" xr:uid="{00000000-0005-0000-0000-0000CC890000}"/>
    <cellStyle name="Normal 174 6 3" xfId="26245" xr:uid="{00000000-0005-0000-0000-0000CD890000}"/>
    <cellStyle name="Normal 174 7" xfId="11744" xr:uid="{00000000-0005-0000-0000-0000CE890000}"/>
    <cellStyle name="Normal 174 7 2" xfId="29431" xr:uid="{00000000-0005-0000-0000-0000CF890000}"/>
    <cellStyle name="Normal 174 8" xfId="22811" xr:uid="{00000000-0005-0000-0000-0000D0890000}"/>
    <cellStyle name="Normal 174 9" xfId="23380" xr:uid="{00000000-0005-0000-0000-0000D1890000}"/>
    <cellStyle name="Normal 175" xfId="2237" xr:uid="{00000000-0005-0000-0000-0000D2890000}"/>
    <cellStyle name="Normal 175 10" xfId="52014" xr:uid="{00000000-0005-0000-0000-0000D3890000}"/>
    <cellStyle name="Normal 175 2" xfId="4373" xr:uid="{00000000-0005-0000-0000-0000D4890000}"/>
    <cellStyle name="Normal 175 2 2" xfId="8509" xr:uid="{00000000-0005-0000-0000-0000D5890000}"/>
    <cellStyle name="Normal 175 2 2 2" xfId="16305" xr:uid="{00000000-0005-0000-0000-0000D6890000}"/>
    <cellStyle name="Normal 175 2 2 2 2" xfId="33940" xr:uid="{00000000-0005-0000-0000-0000D7890000}"/>
    <cellStyle name="Normal 175 2 2 3" xfId="26910" xr:uid="{00000000-0005-0000-0000-0000D8890000}"/>
    <cellStyle name="Normal 175 2 3" xfId="12749" xr:uid="{00000000-0005-0000-0000-0000D9890000}"/>
    <cellStyle name="Normal 175 2 3 2" xfId="30407" xr:uid="{00000000-0005-0000-0000-0000DA890000}"/>
    <cellStyle name="Normal 175 2 4" xfId="24045" xr:uid="{00000000-0005-0000-0000-0000DB890000}"/>
    <cellStyle name="Normal 175 3" xfId="5823" xr:uid="{00000000-0005-0000-0000-0000DC890000}"/>
    <cellStyle name="Normal 175 3 2" xfId="9123" xr:uid="{00000000-0005-0000-0000-0000DD890000}"/>
    <cellStyle name="Normal 175 3 2 2" xfId="16918" xr:uid="{00000000-0005-0000-0000-0000DE890000}"/>
    <cellStyle name="Normal 175 3 2 2 2" xfId="34554" xr:uid="{00000000-0005-0000-0000-0000DF890000}"/>
    <cellStyle name="Normal 175 3 2 3" xfId="27511" xr:uid="{00000000-0005-0000-0000-0000E0890000}"/>
    <cellStyle name="Normal 175 3 3" xfId="13679" xr:uid="{00000000-0005-0000-0000-0000E1890000}"/>
    <cellStyle name="Normal 175 3 3 2" xfId="31319" xr:uid="{00000000-0005-0000-0000-0000E2890000}"/>
    <cellStyle name="Normal 175 3 4" xfId="24646" xr:uid="{00000000-0005-0000-0000-0000E3890000}"/>
    <cellStyle name="Normal 175 4" xfId="6453" xr:uid="{00000000-0005-0000-0000-0000E4890000}"/>
    <cellStyle name="Normal 175 4 2" xfId="9663" xr:uid="{00000000-0005-0000-0000-0000E5890000}"/>
    <cellStyle name="Normal 175 4 2 2" xfId="17457" xr:uid="{00000000-0005-0000-0000-0000E6890000}"/>
    <cellStyle name="Normal 175 4 2 2 2" xfId="35094" xr:uid="{00000000-0005-0000-0000-0000E7890000}"/>
    <cellStyle name="Normal 175 4 2 3" xfId="28047" xr:uid="{00000000-0005-0000-0000-0000E8890000}"/>
    <cellStyle name="Normal 175 4 3" xfId="14242" xr:uid="{00000000-0005-0000-0000-0000E9890000}"/>
    <cellStyle name="Normal 175 4 3 2" xfId="31877" xr:uid="{00000000-0005-0000-0000-0000EA890000}"/>
    <cellStyle name="Normal 175 4 4" xfId="25183" xr:uid="{00000000-0005-0000-0000-0000EB890000}"/>
    <cellStyle name="Normal 175 5" xfId="7229" xr:uid="{00000000-0005-0000-0000-0000EC890000}"/>
    <cellStyle name="Normal 175 5 2" xfId="10217" xr:uid="{00000000-0005-0000-0000-0000ED890000}"/>
    <cellStyle name="Normal 175 5 2 2" xfId="18010" xr:uid="{00000000-0005-0000-0000-0000EE890000}"/>
    <cellStyle name="Normal 175 5 2 2 2" xfId="35647" xr:uid="{00000000-0005-0000-0000-0000EF890000}"/>
    <cellStyle name="Normal 175 5 2 3" xfId="28584" xr:uid="{00000000-0005-0000-0000-0000F0890000}"/>
    <cellStyle name="Normal 175 5 3" xfId="15017" xr:uid="{00000000-0005-0000-0000-0000F1890000}"/>
    <cellStyle name="Normal 175 5 3 2" xfId="32652" xr:uid="{00000000-0005-0000-0000-0000F2890000}"/>
    <cellStyle name="Normal 175 5 4" xfId="25721" xr:uid="{00000000-0005-0000-0000-0000F3890000}"/>
    <cellStyle name="Normal 175 6" xfId="7830" xr:uid="{00000000-0005-0000-0000-0000F4890000}"/>
    <cellStyle name="Normal 175 6 2" xfId="15627" xr:uid="{00000000-0005-0000-0000-0000F5890000}"/>
    <cellStyle name="Normal 175 6 2 2" xfId="33262" xr:uid="{00000000-0005-0000-0000-0000F6890000}"/>
    <cellStyle name="Normal 175 6 3" xfId="26246" xr:uid="{00000000-0005-0000-0000-0000F7890000}"/>
    <cellStyle name="Normal 175 7" xfId="11745" xr:uid="{00000000-0005-0000-0000-0000F8890000}"/>
    <cellStyle name="Normal 175 7 2" xfId="29432" xr:uid="{00000000-0005-0000-0000-0000F9890000}"/>
    <cellStyle name="Normal 175 8" xfId="22800" xr:uid="{00000000-0005-0000-0000-0000FA890000}"/>
    <cellStyle name="Normal 175 9" xfId="23381" xr:uid="{00000000-0005-0000-0000-0000FB890000}"/>
    <cellStyle name="Normal 176" xfId="2238" xr:uid="{00000000-0005-0000-0000-0000FC890000}"/>
    <cellStyle name="Normal 176 2" xfId="4374" xr:uid="{00000000-0005-0000-0000-0000FD890000}"/>
    <cellStyle name="Normal 176 3" xfId="52015" xr:uid="{00000000-0005-0000-0000-0000FE890000}"/>
    <cellStyle name="Normal 177" xfId="2239" xr:uid="{00000000-0005-0000-0000-0000FF890000}"/>
    <cellStyle name="Normal 177 2" xfId="4375" xr:uid="{00000000-0005-0000-0000-0000008A0000}"/>
    <cellStyle name="Normal 177 3" xfId="52016" xr:uid="{00000000-0005-0000-0000-0000018A0000}"/>
    <cellStyle name="Normal 178" xfId="2240" xr:uid="{00000000-0005-0000-0000-0000028A0000}"/>
    <cellStyle name="Normal 178 10" xfId="52017" xr:uid="{00000000-0005-0000-0000-0000038A0000}"/>
    <cellStyle name="Normal 178 2" xfId="4376" xr:uid="{00000000-0005-0000-0000-0000048A0000}"/>
    <cellStyle name="Normal 178 2 2" xfId="8510" xr:uid="{00000000-0005-0000-0000-0000058A0000}"/>
    <cellStyle name="Normal 178 2 2 2" xfId="16306" xr:uid="{00000000-0005-0000-0000-0000068A0000}"/>
    <cellStyle name="Normal 178 2 2 2 2" xfId="33941" xr:uid="{00000000-0005-0000-0000-0000078A0000}"/>
    <cellStyle name="Normal 178 2 2 3" xfId="26911" xr:uid="{00000000-0005-0000-0000-0000088A0000}"/>
    <cellStyle name="Normal 178 2 3" xfId="12750" xr:uid="{00000000-0005-0000-0000-0000098A0000}"/>
    <cellStyle name="Normal 178 2 3 2" xfId="30408" xr:uid="{00000000-0005-0000-0000-00000A8A0000}"/>
    <cellStyle name="Normal 178 2 4" xfId="24046" xr:uid="{00000000-0005-0000-0000-00000B8A0000}"/>
    <cellStyle name="Normal 178 3" xfId="5824" xr:uid="{00000000-0005-0000-0000-00000C8A0000}"/>
    <cellStyle name="Normal 178 3 2" xfId="9124" xr:uid="{00000000-0005-0000-0000-00000D8A0000}"/>
    <cellStyle name="Normal 178 3 2 2" xfId="16919" xr:uid="{00000000-0005-0000-0000-00000E8A0000}"/>
    <cellStyle name="Normal 178 3 2 2 2" xfId="34555" xr:uid="{00000000-0005-0000-0000-00000F8A0000}"/>
    <cellStyle name="Normal 178 3 2 3" xfId="27512" xr:uid="{00000000-0005-0000-0000-0000108A0000}"/>
    <cellStyle name="Normal 178 3 3" xfId="13680" xr:uid="{00000000-0005-0000-0000-0000118A0000}"/>
    <cellStyle name="Normal 178 3 3 2" xfId="31320" xr:uid="{00000000-0005-0000-0000-0000128A0000}"/>
    <cellStyle name="Normal 178 3 4" xfId="24647" xr:uid="{00000000-0005-0000-0000-0000138A0000}"/>
    <cellStyle name="Normal 178 4" xfId="6454" xr:uid="{00000000-0005-0000-0000-0000148A0000}"/>
    <cellStyle name="Normal 178 4 2" xfId="9664" xr:uid="{00000000-0005-0000-0000-0000158A0000}"/>
    <cellStyle name="Normal 178 4 2 2" xfId="17458" xr:uid="{00000000-0005-0000-0000-0000168A0000}"/>
    <cellStyle name="Normal 178 4 2 2 2" xfId="35095" xr:uid="{00000000-0005-0000-0000-0000178A0000}"/>
    <cellStyle name="Normal 178 4 2 3" xfId="28048" xr:uid="{00000000-0005-0000-0000-0000188A0000}"/>
    <cellStyle name="Normal 178 4 3" xfId="14243" xr:uid="{00000000-0005-0000-0000-0000198A0000}"/>
    <cellStyle name="Normal 178 4 3 2" xfId="31878" xr:uid="{00000000-0005-0000-0000-00001A8A0000}"/>
    <cellStyle name="Normal 178 4 4" xfId="25184" xr:uid="{00000000-0005-0000-0000-00001B8A0000}"/>
    <cellStyle name="Normal 178 5" xfId="7230" xr:uid="{00000000-0005-0000-0000-00001C8A0000}"/>
    <cellStyle name="Normal 178 5 2" xfId="10218" xr:uid="{00000000-0005-0000-0000-00001D8A0000}"/>
    <cellStyle name="Normal 178 5 2 2" xfId="18011" xr:uid="{00000000-0005-0000-0000-00001E8A0000}"/>
    <cellStyle name="Normal 178 5 2 2 2" xfId="35648" xr:uid="{00000000-0005-0000-0000-00001F8A0000}"/>
    <cellStyle name="Normal 178 5 2 3" xfId="28585" xr:uid="{00000000-0005-0000-0000-0000208A0000}"/>
    <cellStyle name="Normal 178 5 3" xfId="15018" xr:uid="{00000000-0005-0000-0000-0000218A0000}"/>
    <cellStyle name="Normal 178 5 3 2" xfId="32653" xr:uid="{00000000-0005-0000-0000-0000228A0000}"/>
    <cellStyle name="Normal 178 5 4" xfId="25722" xr:uid="{00000000-0005-0000-0000-0000238A0000}"/>
    <cellStyle name="Normal 178 6" xfId="7831" xr:uid="{00000000-0005-0000-0000-0000248A0000}"/>
    <cellStyle name="Normal 178 6 2" xfId="15628" xr:uid="{00000000-0005-0000-0000-0000258A0000}"/>
    <cellStyle name="Normal 178 6 2 2" xfId="33263" xr:uid="{00000000-0005-0000-0000-0000268A0000}"/>
    <cellStyle name="Normal 178 6 3" xfId="26247" xr:uid="{00000000-0005-0000-0000-0000278A0000}"/>
    <cellStyle name="Normal 178 7" xfId="11746" xr:uid="{00000000-0005-0000-0000-0000288A0000}"/>
    <cellStyle name="Normal 178 7 2" xfId="29433" xr:uid="{00000000-0005-0000-0000-0000298A0000}"/>
    <cellStyle name="Normal 178 8" xfId="22813" xr:uid="{00000000-0005-0000-0000-00002A8A0000}"/>
    <cellStyle name="Normal 178 9" xfId="23382" xr:uid="{00000000-0005-0000-0000-00002B8A0000}"/>
    <cellStyle name="Normal 179" xfId="2241" xr:uid="{00000000-0005-0000-0000-00002C8A0000}"/>
    <cellStyle name="Normal 179 10" xfId="52018" xr:uid="{00000000-0005-0000-0000-00002D8A0000}"/>
    <cellStyle name="Normal 179 2" xfId="4377" xr:uid="{00000000-0005-0000-0000-00002E8A0000}"/>
    <cellStyle name="Normal 179 2 2" xfId="8511" xr:uid="{00000000-0005-0000-0000-00002F8A0000}"/>
    <cellStyle name="Normal 179 2 2 2" xfId="16307" xr:uid="{00000000-0005-0000-0000-0000308A0000}"/>
    <cellStyle name="Normal 179 2 2 2 2" xfId="33942" xr:uid="{00000000-0005-0000-0000-0000318A0000}"/>
    <cellStyle name="Normal 179 2 2 3" xfId="26912" xr:uid="{00000000-0005-0000-0000-0000328A0000}"/>
    <cellStyle name="Normal 179 2 3" xfId="12751" xr:uid="{00000000-0005-0000-0000-0000338A0000}"/>
    <cellStyle name="Normal 179 2 3 2" xfId="30409" xr:uid="{00000000-0005-0000-0000-0000348A0000}"/>
    <cellStyle name="Normal 179 2 4" xfId="24047" xr:uid="{00000000-0005-0000-0000-0000358A0000}"/>
    <cellStyle name="Normal 179 3" xfId="5825" xr:uid="{00000000-0005-0000-0000-0000368A0000}"/>
    <cellStyle name="Normal 179 3 2" xfId="9125" xr:uid="{00000000-0005-0000-0000-0000378A0000}"/>
    <cellStyle name="Normal 179 3 2 2" xfId="16920" xr:uid="{00000000-0005-0000-0000-0000388A0000}"/>
    <cellStyle name="Normal 179 3 2 2 2" xfId="34556" xr:uid="{00000000-0005-0000-0000-0000398A0000}"/>
    <cellStyle name="Normal 179 3 2 3" xfId="27513" xr:uid="{00000000-0005-0000-0000-00003A8A0000}"/>
    <cellStyle name="Normal 179 3 3" xfId="13681" xr:uid="{00000000-0005-0000-0000-00003B8A0000}"/>
    <cellStyle name="Normal 179 3 3 2" xfId="31321" xr:uid="{00000000-0005-0000-0000-00003C8A0000}"/>
    <cellStyle name="Normal 179 3 4" xfId="24648" xr:uid="{00000000-0005-0000-0000-00003D8A0000}"/>
    <cellStyle name="Normal 179 4" xfId="6455" xr:uid="{00000000-0005-0000-0000-00003E8A0000}"/>
    <cellStyle name="Normal 179 4 2" xfId="9665" xr:uid="{00000000-0005-0000-0000-00003F8A0000}"/>
    <cellStyle name="Normal 179 4 2 2" xfId="17459" xr:uid="{00000000-0005-0000-0000-0000408A0000}"/>
    <cellStyle name="Normal 179 4 2 2 2" xfId="35096" xr:uid="{00000000-0005-0000-0000-0000418A0000}"/>
    <cellStyle name="Normal 179 4 2 3" xfId="28049" xr:uid="{00000000-0005-0000-0000-0000428A0000}"/>
    <cellStyle name="Normal 179 4 3" xfId="14244" xr:uid="{00000000-0005-0000-0000-0000438A0000}"/>
    <cellStyle name="Normal 179 4 3 2" xfId="31879" xr:uid="{00000000-0005-0000-0000-0000448A0000}"/>
    <cellStyle name="Normal 179 4 4" xfId="25185" xr:uid="{00000000-0005-0000-0000-0000458A0000}"/>
    <cellStyle name="Normal 179 5" xfId="7231" xr:uid="{00000000-0005-0000-0000-0000468A0000}"/>
    <cellStyle name="Normal 179 5 2" xfId="10219" xr:uid="{00000000-0005-0000-0000-0000478A0000}"/>
    <cellStyle name="Normal 179 5 2 2" xfId="18012" xr:uid="{00000000-0005-0000-0000-0000488A0000}"/>
    <cellStyle name="Normal 179 5 2 2 2" xfId="35649" xr:uid="{00000000-0005-0000-0000-0000498A0000}"/>
    <cellStyle name="Normal 179 5 2 3" xfId="28586" xr:uid="{00000000-0005-0000-0000-00004A8A0000}"/>
    <cellStyle name="Normal 179 5 3" xfId="15019" xr:uid="{00000000-0005-0000-0000-00004B8A0000}"/>
    <cellStyle name="Normal 179 5 3 2" xfId="32654" xr:uid="{00000000-0005-0000-0000-00004C8A0000}"/>
    <cellStyle name="Normal 179 5 4" xfId="25723" xr:uid="{00000000-0005-0000-0000-00004D8A0000}"/>
    <cellStyle name="Normal 179 6" xfId="7832" xr:uid="{00000000-0005-0000-0000-00004E8A0000}"/>
    <cellStyle name="Normal 179 6 2" xfId="15629" xr:uid="{00000000-0005-0000-0000-00004F8A0000}"/>
    <cellStyle name="Normal 179 6 2 2" xfId="33264" xr:uid="{00000000-0005-0000-0000-0000508A0000}"/>
    <cellStyle name="Normal 179 6 3" xfId="26248" xr:uid="{00000000-0005-0000-0000-0000518A0000}"/>
    <cellStyle name="Normal 179 7" xfId="11747" xr:uid="{00000000-0005-0000-0000-0000528A0000}"/>
    <cellStyle name="Normal 179 7 2" xfId="29434" xr:uid="{00000000-0005-0000-0000-0000538A0000}"/>
    <cellStyle name="Normal 179 8" xfId="22801" xr:uid="{00000000-0005-0000-0000-0000548A0000}"/>
    <cellStyle name="Normal 179 9" xfId="23383" xr:uid="{00000000-0005-0000-0000-0000558A0000}"/>
    <cellStyle name="Normal 18" xfId="2242" xr:uid="{00000000-0005-0000-0000-0000568A0000}"/>
    <cellStyle name="Normal 18 2" xfId="2243" xr:uid="{00000000-0005-0000-0000-0000578A0000}"/>
    <cellStyle name="Normal 18 2 2" xfId="2244" xr:uid="{00000000-0005-0000-0000-0000588A0000}"/>
    <cellStyle name="Normal 18 2_Sheet1" xfId="2245" xr:uid="{00000000-0005-0000-0000-0000598A0000}"/>
    <cellStyle name="Normal 18 3" xfId="2246" xr:uid="{00000000-0005-0000-0000-00005A8A0000}"/>
    <cellStyle name="Normal 18 4" xfId="22959" xr:uid="{00000000-0005-0000-0000-00005B8A0000}"/>
    <cellStyle name="Normal 18 5" xfId="22545" xr:uid="{00000000-0005-0000-0000-00005C8A0000}"/>
    <cellStyle name="Normal 18 6" xfId="22395" xr:uid="{00000000-0005-0000-0000-00005D8A0000}"/>
    <cellStyle name="Normal 18 7" xfId="53239" xr:uid="{00000000-0005-0000-0000-00005E8A0000}"/>
    <cellStyle name="Normal 18 8" xfId="53240" xr:uid="{00000000-0005-0000-0000-00005F8A0000}"/>
    <cellStyle name="Normal 18 9" xfId="53238" xr:uid="{00000000-0005-0000-0000-0000608A0000}"/>
    <cellStyle name="Normal 18_Sheet1" xfId="2247" xr:uid="{00000000-0005-0000-0000-0000618A0000}"/>
    <cellStyle name="Normal 180" xfId="2248" xr:uid="{00000000-0005-0000-0000-0000628A0000}"/>
    <cellStyle name="Normal 180 10" xfId="52019" xr:uid="{00000000-0005-0000-0000-0000638A0000}"/>
    <cellStyle name="Normal 180 2" xfId="4378" xr:uid="{00000000-0005-0000-0000-0000648A0000}"/>
    <cellStyle name="Normal 180 2 2" xfId="8512" xr:uid="{00000000-0005-0000-0000-0000658A0000}"/>
    <cellStyle name="Normal 180 2 2 2" xfId="16308" xr:uid="{00000000-0005-0000-0000-0000668A0000}"/>
    <cellStyle name="Normal 180 2 2 2 2" xfId="33943" xr:uid="{00000000-0005-0000-0000-0000678A0000}"/>
    <cellStyle name="Normal 180 2 2 3" xfId="26913" xr:uid="{00000000-0005-0000-0000-0000688A0000}"/>
    <cellStyle name="Normal 180 2 3" xfId="12752" xr:uid="{00000000-0005-0000-0000-0000698A0000}"/>
    <cellStyle name="Normal 180 2 3 2" xfId="30410" xr:uid="{00000000-0005-0000-0000-00006A8A0000}"/>
    <cellStyle name="Normal 180 2 4" xfId="24048" xr:uid="{00000000-0005-0000-0000-00006B8A0000}"/>
    <cellStyle name="Normal 180 3" xfId="5826" xr:uid="{00000000-0005-0000-0000-00006C8A0000}"/>
    <cellStyle name="Normal 180 3 2" xfId="9126" xr:uid="{00000000-0005-0000-0000-00006D8A0000}"/>
    <cellStyle name="Normal 180 3 2 2" xfId="16921" xr:uid="{00000000-0005-0000-0000-00006E8A0000}"/>
    <cellStyle name="Normal 180 3 2 2 2" xfId="34557" xr:uid="{00000000-0005-0000-0000-00006F8A0000}"/>
    <cellStyle name="Normal 180 3 2 3" xfId="27514" xr:uid="{00000000-0005-0000-0000-0000708A0000}"/>
    <cellStyle name="Normal 180 3 3" xfId="13682" xr:uid="{00000000-0005-0000-0000-0000718A0000}"/>
    <cellStyle name="Normal 180 3 3 2" xfId="31322" xr:uid="{00000000-0005-0000-0000-0000728A0000}"/>
    <cellStyle name="Normal 180 3 4" xfId="24649" xr:uid="{00000000-0005-0000-0000-0000738A0000}"/>
    <cellStyle name="Normal 180 4" xfId="6456" xr:uid="{00000000-0005-0000-0000-0000748A0000}"/>
    <cellStyle name="Normal 180 4 2" xfId="9666" xr:uid="{00000000-0005-0000-0000-0000758A0000}"/>
    <cellStyle name="Normal 180 4 2 2" xfId="17460" xr:uid="{00000000-0005-0000-0000-0000768A0000}"/>
    <cellStyle name="Normal 180 4 2 2 2" xfId="35097" xr:uid="{00000000-0005-0000-0000-0000778A0000}"/>
    <cellStyle name="Normal 180 4 2 3" xfId="28050" xr:uid="{00000000-0005-0000-0000-0000788A0000}"/>
    <cellStyle name="Normal 180 4 3" xfId="14245" xr:uid="{00000000-0005-0000-0000-0000798A0000}"/>
    <cellStyle name="Normal 180 4 3 2" xfId="31880" xr:uid="{00000000-0005-0000-0000-00007A8A0000}"/>
    <cellStyle name="Normal 180 4 4" xfId="25186" xr:uid="{00000000-0005-0000-0000-00007B8A0000}"/>
    <cellStyle name="Normal 180 5" xfId="7232" xr:uid="{00000000-0005-0000-0000-00007C8A0000}"/>
    <cellStyle name="Normal 180 5 2" xfId="10220" xr:uid="{00000000-0005-0000-0000-00007D8A0000}"/>
    <cellStyle name="Normal 180 5 2 2" xfId="18013" xr:uid="{00000000-0005-0000-0000-00007E8A0000}"/>
    <cellStyle name="Normal 180 5 2 2 2" xfId="35650" xr:uid="{00000000-0005-0000-0000-00007F8A0000}"/>
    <cellStyle name="Normal 180 5 2 3" xfId="28587" xr:uid="{00000000-0005-0000-0000-0000808A0000}"/>
    <cellStyle name="Normal 180 5 3" xfId="15020" xr:uid="{00000000-0005-0000-0000-0000818A0000}"/>
    <cellStyle name="Normal 180 5 3 2" xfId="32655" xr:uid="{00000000-0005-0000-0000-0000828A0000}"/>
    <cellStyle name="Normal 180 5 4" xfId="25724" xr:uid="{00000000-0005-0000-0000-0000838A0000}"/>
    <cellStyle name="Normal 180 6" xfId="7833" xr:uid="{00000000-0005-0000-0000-0000848A0000}"/>
    <cellStyle name="Normal 180 6 2" xfId="15630" xr:uid="{00000000-0005-0000-0000-0000858A0000}"/>
    <cellStyle name="Normal 180 6 2 2" xfId="33265" xr:uid="{00000000-0005-0000-0000-0000868A0000}"/>
    <cellStyle name="Normal 180 6 3" xfId="26249" xr:uid="{00000000-0005-0000-0000-0000878A0000}"/>
    <cellStyle name="Normal 180 7" xfId="11748" xr:uid="{00000000-0005-0000-0000-0000888A0000}"/>
    <cellStyle name="Normal 180 7 2" xfId="29435" xr:uid="{00000000-0005-0000-0000-0000898A0000}"/>
    <cellStyle name="Normal 180 8" xfId="22814" xr:uid="{00000000-0005-0000-0000-00008A8A0000}"/>
    <cellStyle name="Normal 180 9" xfId="23384" xr:uid="{00000000-0005-0000-0000-00008B8A0000}"/>
    <cellStyle name="Normal 181" xfId="2249" xr:uid="{00000000-0005-0000-0000-00008C8A0000}"/>
    <cellStyle name="Normal 181 10" xfId="52020" xr:uid="{00000000-0005-0000-0000-00008D8A0000}"/>
    <cellStyle name="Normal 181 2" xfId="4379" xr:uid="{00000000-0005-0000-0000-00008E8A0000}"/>
    <cellStyle name="Normal 181 2 2" xfId="8513" xr:uid="{00000000-0005-0000-0000-00008F8A0000}"/>
    <cellStyle name="Normal 181 2 2 2" xfId="16309" xr:uid="{00000000-0005-0000-0000-0000908A0000}"/>
    <cellStyle name="Normal 181 2 2 2 2" xfId="33944" xr:uid="{00000000-0005-0000-0000-0000918A0000}"/>
    <cellStyle name="Normal 181 2 2 3" xfId="26914" xr:uid="{00000000-0005-0000-0000-0000928A0000}"/>
    <cellStyle name="Normal 181 2 3" xfId="12753" xr:uid="{00000000-0005-0000-0000-0000938A0000}"/>
    <cellStyle name="Normal 181 2 3 2" xfId="30411" xr:uid="{00000000-0005-0000-0000-0000948A0000}"/>
    <cellStyle name="Normal 181 2 4" xfId="24049" xr:uid="{00000000-0005-0000-0000-0000958A0000}"/>
    <cellStyle name="Normal 181 3" xfId="5827" xr:uid="{00000000-0005-0000-0000-0000968A0000}"/>
    <cellStyle name="Normal 181 3 2" xfId="9127" xr:uid="{00000000-0005-0000-0000-0000978A0000}"/>
    <cellStyle name="Normal 181 3 2 2" xfId="16922" xr:uid="{00000000-0005-0000-0000-0000988A0000}"/>
    <cellStyle name="Normal 181 3 2 2 2" xfId="34558" xr:uid="{00000000-0005-0000-0000-0000998A0000}"/>
    <cellStyle name="Normal 181 3 2 3" xfId="27515" xr:uid="{00000000-0005-0000-0000-00009A8A0000}"/>
    <cellStyle name="Normal 181 3 3" xfId="13683" xr:uid="{00000000-0005-0000-0000-00009B8A0000}"/>
    <cellStyle name="Normal 181 3 3 2" xfId="31323" xr:uid="{00000000-0005-0000-0000-00009C8A0000}"/>
    <cellStyle name="Normal 181 3 4" xfId="24650" xr:uid="{00000000-0005-0000-0000-00009D8A0000}"/>
    <cellStyle name="Normal 181 4" xfId="6457" xr:uid="{00000000-0005-0000-0000-00009E8A0000}"/>
    <cellStyle name="Normal 181 4 2" xfId="9667" xr:uid="{00000000-0005-0000-0000-00009F8A0000}"/>
    <cellStyle name="Normal 181 4 2 2" xfId="17461" xr:uid="{00000000-0005-0000-0000-0000A08A0000}"/>
    <cellStyle name="Normal 181 4 2 2 2" xfId="35098" xr:uid="{00000000-0005-0000-0000-0000A18A0000}"/>
    <cellStyle name="Normal 181 4 2 3" xfId="28051" xr:uid="{00000000-0005-0000-0000-0000A28A0000}"/>
    <cellStyle name="Normal 181 4 3" xfId="14246" xr:uid="{00000000-0005-0000-0000-0000A38A0000}"/>
    <cellStyle name="Normal 181 4 3 2" xfId="31881" xr:uid="{00000000-0005-0000-0000-0000A48A0000}"/>
    <cellStyle name="Normal 181 4 4" xfId="25187" xr:uid="{00000000-0005-0000-0000-0000A58A0000}"/>
    <cellStyle name="Normal 181 5" xfId="7233" xr:uid="{00000000-0005-0000-0000-0000A68A0000}"/>
    <cellStyle name="Normal 181 5 2" xfId="10221" xr:uid="{00000000-0005-0000-0000-0000A78A0000}"/>
    <cellStyle name="Normal 181 5 2 2" xfId="18014" xr:uid="{00000000-0005-0000-0000-0000A88A0000}"/>
    <cellStyle name="Normal 181 5 2 2 2" xfId="35651" xr:uid="{00000000-0005-0000-0000-0000A98A0000}"/>
    <cellStyle name="Normal 181 5 2 3" xfId="28588" xr:uid="{00000000-0005-0000-0000-0000AA8A0000}"/>
    <cellStyle name="Normal 181 5 3" xfId="15021" xr:uid="{00000000-0005-0000-0000-0000AB8A0000}"/>
    <cellStyle name="Normal 181 5 3 2" xfId="32656" xr:uid="{00000000-0005-0000-0000-0000AC8A0000}"/>
    <cellStyle name="Normal 181 5 4" xfId="25725" xr:uid="{00000000-0005-0000-0000-0000AD8A0000}"/>
    <cellStyle name="Normal 181 6" xfId="7834" xr:uid="{00000000-0005-0000-0000-0000AE8A0000}"/>
    <cellStyle name="Normal 181 6 2" xfId="15631" xr:uid="{00000000-0005-0000-0000-0000AF8A0000}"/>
    <cellStyle name="Normal 181 6 2 2" xfId="33266" xr:uid="{00000000-0005-0000-0000-0000B08A0000}"/>
    <cellStyle name="Normal 181 6 3" xfId="26250" xr:uid="{00000000-0005-0000-0000-0000B18A0000}"/>
    <cellStyle name="Normal 181 7" xfId="11749" xr:uid="{00000000-0005-0000-0000-0000B28A0000}"/>
    <cellStyle name="Normal 181 7 2" xfId="29436" xr:uid="{00000000-0005-0000-0000-0000B38A0000}"/>
    <cellStyle name="Normal 181 8" xfId="22815" xr:uid="{00000000-0005-0000-0000-0000B48A0000}"/>
    <cellStyle name="Normal 181 9" xfId="23385" xr:uid="{00000000-0005-0000-0000-0000B58A0000}"/>
    <cellStyle name="Normal 182" xfId="2250" xr:uid="{00000000-0005-0000-0000-0000B68A0000}"/>
    <cellStyle name="Normal 182 10" xfId="52021" xr:uid="{00000000-0005-0000-0000-0000B78A0000}"/>
    <cellStyle name="Normal 182 2" xfId="4380" xr:uid="{00000000-0005-0000-0000-0000B88A0000}"/>
    <cellStyle name="Normal 182 2 2" xfId="8514" xr:uid="{00000000-0005-0000-0000-0000B98A0000}"/>
    <cellStyle name="Normal 182 2 2 2" xfId="16310" xr:uid="{00000000-0005-0000-0000-0000BA8A0000}"/>
    <cellStyle name="Normal 182 2 2 2 2" xfId="33945" xr:uid="{00000000-0005-0000-0000-0000BB8A0000}"/>
    <cellStyle name="Normal 182 2 2 3" xfId="26915" xr:uid="{00000000-0005-0000-0000-0000BC8A0000}"/>
    <cellStyle name="Normal 182 2 3" xfId="12754" xr:uid="{00000000-0005-0000-0000-0000BD8A0000}"/>
    <cellStyle name="Normal 182 2 3 2" xfId="30412" xr:uid="{00000000-0005-0000-0000-0000BE8A0000}"/>
    <cellStyle name="Normal 182 2 4" xfId="24050" xr:uid="{00000000-0005-0000-0000-0000BF8A0000}"/>
    <cellStyle name="Normal 182 3" xfId="5828" xr:uid="{00000000-0005-0000-0000-0000C08A0000}"/>
    <cellStyle name="Normal 182 3 2" xfId="9128" xr:uid="{00000000-0005-0000-0000-0000C18A0000}"/>
    <cellStyle name="Normal 182 3 2 2" xfId="16923" xr:uid="{00000000-0005-0000-0000-0000C28A0000}"/>
    <cellStyle name="Normal 182 3 2 2 2" xfId="34559" xr:uid="{00000000-0005-0000-0000-0000C38A0000}"/>
    <cellStyle name="Normal 182 3 2 3" xfId="27516" xr:uid="{00000000-0005-0000-0000-0000C48A0000}"/>
    <cellStyle name="Normal 182 3 3" xfId="13684" xr:uid="{00000000-0005-0000-0000-0000C58A0000}"/>
    <cellStyle name="Normal 182 3 3 2" xfId="31324" xr:uid="{00000000-0005-0000-0000-0000C68A0000}"/>
    <cellStyle name="Normal 182 3 4" xfId="24651" xr:uid="{00000000-0005-0000-0000-0000C78A0000}"/>
    <cellStyle name="Normal 182 4" xfId="6458" xr:uid="{00000000-0005-0000-0000-0000C88A0000}"/>
    <cellStyle name="Normal 182 4 2" xfId="9668" xr:uid="{00000000-0005-0000-0000-0000C98A0000}"/>
    <cellStyle name="Normal 182 4 2 2" xfId="17462" xr:uid="{00000000-0005-0000-0000-0000CA8A0000}"/>
    <cellStyle name="Normal 182 4 2 2 2" xfId="35099" xr:uid="{00000000-0005-0000-0000-0000CB8A0000}"/>
    <cellStyle name="Normal 182 4 2 3" xfId="28052" xr:uid="{00000000-0005-0000-0000-0000CC8A0000}"/>
    <cellStyle name="Normal 182 4 3" xfId="14247" xr:uid="{00000000-0005-0000-0000-0000CD8A0000}"/>
    <cellStyle name="Normal 182 4 3 2" xfId="31882" xr:uid="{00000000-0005-0000-0000-0000CE8A0000}"/>
    <cellStyle name="Normal 182 4 4" xfId="25188" xr:uid="{00000000-0005-0000-0000-0000CF8A0000}"/>
    <cellStyle name="Normal 182 5" xfId="7234" xr:uid="{00000000-0005-0000-0000-0000D08A0000}"/>
    <cellStyle name="Normal 182 5 2" xfId="10222" xr:uid="{00000000-0005-0000-0000-0000D18A0000}"/>
    <cellStyle name="Normal 182 5 2 2" xfId="18015" xr:uid="{00000000-0005-0000-0000-0000D28A0000}"/>
    <cellStyle name="Normal 182 5 2 2 2" xfId="35652" xr:uid="{00000000-0005-0000-0000-0000D38A0000}"/>
    <cellStyle name="Normal 182 5 2 3" xfId="28589" xr:uid="{00000000-0005-0000-0000-0000D48A0000}"/>
    <cellStyle name="Normal 182 5 3" xfId="15022" xr:uid="{00000000-0005-0000-0000-0000D58A0000}"/>
    <cellStyle name="Normal 182 5 3 2" xfId="32657" xr:uid="{00000000-0005-0000-0000-0000D68A0000}"/>
    <cellStyle name="Normal 182 5 4" xfId="25726" xr:uid="{00000000-0005-0000-0000-0000D78A0000}"/>
    <cellStyle name="Normal 182 6" xfId="7835" xr:uid="{00000000-0005-0000-0000-0000D88A0000}"/>
    <cellStyle name="Normal 182 6 2" xfId="15632" xr:uid="{00000000-0005-0000-0000-0000D98A0000}"/>
    <cellStyle name="Normal 182 6 2 2" xfId="33267" xr:uid="{00000000-0005-0000-0000-0000DA8A0000}"/>
    <cellStyle name="Normal 182 6 3" xfId="26251" xr:uid="{00000000-0005-0000-0000-0000DB8A0000}"/>
    <cellStyle name="Normal 182 7" xfId="11750" xr:uid="{00000000-0005-0000-0000-0000DC8A0000}"/>
    <cellStyle name="Normal 182 7 2" xfId="29437" xr:uid="{00000000-0005-0000-0000-0000DD8A0000}"/>
    <cellStyle name="Normal 182 8" xfId="22812" xr:uid="{00000000-0005-0000-0000-0000DE8A0000}"/>
    <cellStyle name="Normal 182 9" xfId="23386" xr:uid="{00000000-0005-0000-0000-0000DF8A0000}"/>
    <cellStyle name="Normal 183" xfId="2251" xr:uid="{00000000-0005-0000-0000-0000E08A0000}"/>
    <cellStyle name="Normal 183 10" xfId="52022" xr:uid="{00000000-0005-0000-0000-0000E18A0000}"/>
    <cellStyle name="Normal 183 2" xfId="4381" xr:uid="{00000000-0005-0000-0000-0000E28A0000}"/>
    <cellStyle name="Normal 183 2 2" xfId="8515" xr:uid="{00000000-0005-0000-0000-0000E38A0000}"/>
    <cellStyle name="Normal 183 2 2 2" xfId="16311" xr:uid="{00000000-0005-0000-0000-0000E48A0000}"/>
    <cellStyle name="Normal 183 2 2 2 2" xfId="33946" xr:uid="{00000000-0005-0000-0000-0000E58A0000}"/>
    <cellStyle name="Normal 183 2 2 3" xfId="26916" xr:uid="{00000000-0005-0000-0000-0000E68A0000}"/>
    <cellStyle name="Normal 183 2 3" xfId="12755" xr:uid="{00000000-0005-0000-0000-0000E78A0000}"/>
    <cellStyle name="Normal 183 2 3 2" xfId="30413" xr:uid="{00000000-0005-0000-0000-0000E88A0000}"/>
    <cellStyle name="Normal 183 2 4" xfId="24051" xr:uid="{00000000-0005-0000-0000-0000E98A0000}"/>
    <cellStyle name="Normal 183 3" xfId="5829" xr:uid="{00000000-0005-0000-0000-0000EA8A0000}"/>
    <cellStyle name="Normal 183 3 2" xfId="9129" xr:uid="{00000000-0005-0000-0000-0000EB8A0000}"/>
    <cellStyle name="Normal 183 3 2 2" xfId="16924" xr:uid="{00000000-0005-0000-0000-0000EC8A0000}"/>
    <cellStyle name="Normal 183 3 2 2 2" xfId="34560" xr:uid="{00000000-0005-0000-0000-0000ED8A0000}"/>
    <cellStyle name="Normal 183 3 2 3" xfId="27517" xr:uid="{00000000-0005-0000-0000-0000EE8A0000}"/>
    <cellStyle name="Normal 183 3 3" xfId="13685" xr:uid="{00000000-0005-0000-0000-0000EF8A0000}"/>
    <cellStyle name="Normal 183 3 3 2" xfId="31325" xr:uid="{00000000-0005-0000-0000-0000F08A0000}"/>
    <cellStyle name="Normal 183 3 4" xfId="24652" xr:uid="{00000000-0005-0000-0000-0000F18A0000}"/>
    <cellStyle name="Normal 183 4" xfId="6459" xr:uid="{00000000-0005-0000-0000-0000F28A0000}"/>
    <cellStyle name="Normal 183 4 2" xfId="9669" xr:uid="{00000000-0005-0000-0000-0000F38A0000}"/>
    <cellStyle name="Normal 183 4 2 2" xfId="17463" xr:uid="{00000000-0005-0000-0000-0000F48A0000}"/>
    <cellStyle name="Normal 183 4 2 2 2" xfId="35100" xr:uid="{00000000-0005-0000-0000-0000F58A0000}"/>
    <cellStyle name="Normal 183 4 2 3" xfId="28053" xr:uid="{00000000-0005-0000-0000-0000F68A0000}"/>
    <cellStyle name="Normal 183 4 3" xfId="14248" xr:uid="{00000000-0005-0000-0000-0000F78A0000}"/>
    <cellStyle name="Normal 183 4 3 2" xfId="31883" xr:uid="{00000000-0005-0000-0000-0000F88A0000}"/>
    <cellStyle name="Normal 183 4 4" xfId="25189" xr:uid="{00000000-0005-0000-0000-0000F98A0000}"/>
    <cellStyle name="Normal 183 5" xfId="7235" xr:uid="{00000000-0005-0000-0000-0000FA8A0000}"/>
    <cellStyle name="Normal 183 5 2" xfId="10223" xr:uid="{00000000-0005-0000-0000-0000FB8A0000}"/>
    <cellStyle name="Normal 183 5 2 2" xfId="18016" xr:uid="{00000000-0005-0000-0000-0000FC8A0000}"/>
    <cellStyle name="Normal 183 5 2 2 2" xfId="35653" xr:uid="{00000000-0005-0000-0000-0000FD8A0000}"/>
    <cellStyle name="Normal 183 5 2 3" xfId="28590" xr:uid="{00000000-0005-0000-0000-0000FE8A0000}"/>
    <cellStyle name="Normal 183 5 3" xfId="15023" xr:uid="{00000000-0005-0000-0000-0000FF8A0000}"/>
    <cellStyle name="Normal 183 5 3 2" xfId="32658" xr:uid="{00000000-0005-0000-0000-0000008B0000}"/>
    <cellStyle name="Normal 183 5 4" xfId="25727" xr:uid="{00000000-0005-0000-0000-0000018B0000}"/>
    <cellStyle name="Normal 183 6" xfId="7836" xr:uid="{00000000-0005-0000-0000-0000028B0000}"/>
    <cellStyle name="Normal 183 6 2" xfId="15633" xr:uid="{00000000-0005-0000-0000-0000038B0000}"/>
    <cellStyle name="Normal 183 6 2 2" xfId="33268" xr:uid="{00000000-0005-0000-0000-0000048B0000}"/>
    <cellStyle name="Normal 183 6 3" xfId="26252" xr:uid="{00000000-0005-0000-0000-0000058B0000}"/>
    <cellStyle name="Normal 183 7" xfId="11751" xr:uid="{00000000-0005-0000-0000-0000068B0000}"/>
    <cellStyle name="Normal 183 7 2" xfId="29438" xr:uid="{00000000-0005-0000-0000-0000078B0000}"/>
    <cellStyle name="Normal 183 8" xfId="22816" xr:uid="{00000000-0005-0000-0000-0000088B0000}"/>
    <cellStyle name="Normal 183 9" xfId="23387" xr:uid="{00000000-0005-0000-0000-0000098B0000}"/>
    <cellStyle name="Normal 184" xfId="2252" xr:uid="{00000000-0005-0000-0000-00000A8B0000}"/>
    <cellStyle name="Normal 184 10" xfId="52023" xr:uid="{00000000-0005-0000-0000-00000B8B0000}"/>
    <cellStyle name="Normal 184 2" xfId="4382" xr:uid="{00000000-0005-0000-0000-00000C8B0000}"/>
    <cellStyle name="Normal 184 2 2" xfId="8516" xr:uid="{00000000-0005-0000-0000-00000D8B0000}"/>
    <cellStyle name="Normal 184 2 2 2" xfId="16312" xr:uid="{00000000-0005-0000-0000-00000E8B0000}"/>
    <cellStyle name="Normal 184 2 2 2 2" xfId="33947" xr:uid="{00000000-0005-0000-0000-00000F8B0000}"/>
    <cellStyle name="Normal 184 2 2 3" xfId="26917" xr:uid="{00000000-0005-0000-0000-0000108B0000}"/>
    <cellStyle name="Normal 184 2 3" xfId="12756" xr:uid="{00000000-0005-0000-0000-0000118B0000}"/>
    <cellStyle name="Normal 184 2 3 2" xfId="30414" xr:uid="{00000000-0005-0000-0000-0000128B0000}"/>
    <cellStyle name="Normal 184 2 4" xfId="24052" xr:uid="{00000000-0005-0000-0000-0000138B0000}"/>
    <cellStyle name="Normal 184 3" xfId="5830" xr:uid="{00000000-0005-0000-0000-0000148B0000}"/>
    <cellStyle name="Normal 184 3 2" xfId="9130" xr:uid="{00000000-0005-0000-0000-0000158B0000}"/>
    <cellStyle name="Normal 184 3 2 2" xfId="16925" xr:uid="{00000000-0005-0000-0000-0000168B0000}"/>
    <cellStyle name="Normal 184 3 2 2 2" xfId="34561" xr:uid="{00000000-0005-0000-0000-0000178B0000}"/>
    <cellStyle name="Normal 184 3 2 3" xfId="27518" xr:uid="{00000000-0005-0000-0000-0000188B0000}"/>
    <cellStyle name="Normal 184 3 3" xfId="13686" xr:uid="{00000000-0005-0000-0000-0000198B0000}"/>
    <cellStyle name="Normal 184 3 3 2" xfId="31326" xr:uid="{00000000-0005-0000-0000-00001A8B0000}"/>
    <cellStyle name="Normal 184 3 4" xfId="24653" xr:uid="{00000000-0005-0000-0000-00001B8B0000}"/>
    <cellStyle name="Normal 184 4" xfId="6460" xr:uid="{00000000-0005-0000-0000-00001C8B0000}"/>
    <cellStyle name="Normal 184 4 2" xfId="9670" xr:uid="{00000000-0005-0000-0000-00001D8B0000}"/>
    <cellStyle name="Normal 184 4 2 2" xfId="17464" xr:uid="{00000000-0005-0000-0000-00001E8B0000}"/>
    <cellStyle name="Normal 184 4 2 2 2" xfId="35101" xr:uid="{00000000-0005-0000-0000-00001F8B0000}"/>
    <cellStyle name="Normal 184 4 2 3" xfId="28054" xr:uid="{00000000-0005-0000-0000-0000208B0000}"/>
    <cellStyle name="Normal 184 4 3" xfId="14249" xr:uid="{00000000-0005-0000-0000-0000218B0000}"/>
    <cellStyle name="Normal 184 4 3 2" xfId="31884" xr:uid="{00000000-0005-0000-0000-0000228B0000}"/>
    <cellStyle name="Normal 184 4 4" xfId="25190" xr:uid="{00000000-0005-0000-0000-0000238B0000}"/>
    <cellStyle name="Normal 184 5" xfId="7236" xr:uid="{00000000-0005-0000-0000-0000248B0000}"/>
    <cellStyle name="Normal 184 5 2" xfId="10224" xr:uid="{00000000-0005-0000-0000-0000258B0000}"/>
    <cellStyle name="Normal 184 5 2 2" xfId="18017" xr:uid="{00000000-0005-0000-0000-0000268B0000}"/>
    <cellStyle name="Normal 184 5 2 2 2" xfId="35654" xr:uid="{00000000-0005-0000-0000-0000278B0000}"/>
    <cellStyle name="Normal 184 5 2 3" xfId="28591" xr:uid="{00000000-0005-0000-0000-0000288B0000}"/>
    <cellStyle name="Normal 184 5 3" xfId="15024" xr:uid="{00000000-0005-0000-0000-0000298B0000}"/>
    <cellStyle name="Normal 184 5 3 2" xfId="32659" xr:uid="{00000000-0005-0000-0000-00002A8B0000}"/>
    <cellStyle name="Normal 184 5 4" xfId="25728" xr:uid="{00000000-0005-0000-0000-00002B8B0000}"/>
    <cellStyle name="Normal 184 6" xfId="7837" xr:uid="{00000000-0005-0000-0000-00002C8B0000}"/>
    <cellStyle name="Normal 184 6 2" xfId="15634" xr:uid="{00000000-0005-0000-0000-00002D8B0000}"/>
    <cellStyle name="Normal 184 6 2 2" xfId="33269" xr:uid="{00000000-0005-0000-0000-00002E8B0000}"/>
    <cellStyle name="Normal 184 6 3" xfId="26253" xr:uid="{00000000-0005-0000-0000-00002F8B0000}"/>
    <cellStyle name="Normal 184 7" xfId="11752" xr:uid="{00000000-0005-0000-0000-0000308B0000}"/>
    <cellStyle name="Normal 184 7 2" xfId="29439" xr:uid="{00000000-0005-0000-0000-0000318B0000}"/>
    <cellStyle name="Normal 184 8" xfId="22817" xr:uid="{00000000-0005-0000-0000-0000328B0000}"/>
    <cellStyle name="Normal 184 9" xfId="23388" xr:uid="{00000000-0005-0000-0000-0000338B0000}"/>
    <cellStyle name="Normal 185" xfId="2253" xr:uid="{00000000-0005-0000-0000-0000348B0000}"/>
    <cellStyle name="Normal 185 10" xfId="52024" xr:uid="{00000000-0005-0000-0000-0000358B0000}"/>
    <cellStyle name="Normal 185 2" xfId="4383" xr:uid="{00000000-0005-0000-0000-0000368B0000}"/>
    <cellStyle name="Normal 185 2 2" xfId="8517" xr:uid="{00000000-0005-0000-0000-0000378B0000}"/>
    <cellStyle name="Normal 185 2 2 2" xfId="16313" xr:uid="{00000000-0005-0000-0000-0000388B0000}"/>
    <cellStyle name="Normal 185 2 2 2 2" xfId="33948" xr:uid="{00000000-0005-0000-0000-0000398B0000}"/>
    <cellStyle name="Normal 185 2 2 3" xfId="26918" xr:uid="{00000000-0005-0000-0000-00003A8B0000}"/>
    <cellStyle name="Normal 185 2 3" xfId="12757" xr:uid="{00000000-0005-0000-0000-00003B8B0000}"/>
    <cellStyle name="Normal 185 2 3 2" xfId="30415" xr:uid="{00000000-0005-0000-0000-00003C8B0000}"/>
    <cellStyle name="Normal 185 2 4" xfId="24053" xr:uid="{00000000-0005-0000-0000-00003D8B0000}"/>
    <cellStyle name="Normal 185 3" xfId="5831" xr:uid="{00000000-0005-0000-0000-00003E8B0000}"/>
    <cellStyle name="Normal 185 3 2" xfId="9131" xr:uid="{00000000-0005-0000-0000-00003F8B0000}"/>
    <cellStyle name="Normal 185 3 2 2" xfId="16926" xr:uid="{00000000-0005-0000-0000-0000408B0000}"/>
    <cellStyle name="Normal 185 3 2 2 2" xfId="34562" xr:uid="{00000000-0005-0000-0000-0000418B0000}"/>
    <cellStyle name="Normal 185 3 2 3" xfId="27519" xr:uid="{00000000-0005-0000-0000-0000428B0000}"/>
    <cellStyle name="Normal 185 3 3" xfId="13687" xr:uid="{00000000-0005-0000-0000-0000438B0000}"/>
    <cellStyle name="Normal 185 3 3 2" xfId="31327" xr:uid="{00000000-0005-0000-0000-0000448B0000}"/>
    <cellStyle name="Normal 185 3 4" xfId="24654" xr:uid="{00000000-0005-0000-0000-0000458B0000}"/>
    <cellStyle name="Normal 185 4" xfId="6461" xr:uid="{00000000-0005-0000-0000-0000468B0000}"/>
    <cellStyle name="Normal 185 4 2" xfId="9671" xr:uid="{00000000-0005-0000-0000-0000478B0000}"/>
    <cellStyle name="Normal 185 4 2 2" xfId="17465" xr:uid="{00000000-0005-0000-0000-0000488B0000}"/>
    <cellStyle name="Normal 185 4 2 2 2" xfId="35102" xr:uid="{00000000-0005-0000-0000-0000498B0000}"/>
    <cellStyle name="Normal 185 4 2 3" xfId="28055" xr:uid="{00000000-0005-0000-0000-00004A8B0000}"/>
    <cellStyle name="Normal 185 4 3" xfId="14250" xr:uid="{00000000-0005-0000-0000-00004B8B0000}"/>
    <cellStyle name="Normal 185 4 3 2" xfId="31885" xr:uid="{00000000-0005-0000-0000-00004C8B0000}"/>
    <cellStyle name="Normal 185 4 4" xfId="25191" xr:uid="{00000000-0005-0000-0000-00004D8B0000}"/>
    <cellStyle name="Normal 185 5" xfId="7237" xr:uid="{00000000-0005-0000-0000-00004E8B0000}"/>
    <cellStyle name="Normal 185 5 2" xfId="10225" xr:uid="{00000000-0005-0000-0000-00004F8B0000}"/>
    <cellStyle name="Normal 185 5 2 2" xfId="18018" xr:uid="{00000000-0005-0000-0000-0000508B0000}"/>
    <cellStyle name="Normal 185 5 2 2 2" xfId="35655" xr:uid="{00000000-0005-0000-0000-0000518B0000}"/>
    <cellStyle name="Normal 185 5 2 3" xfId="28592" xr:uid="{00000000-0005-0000-0000-0000528B0000}"/>
    <cellStyle name="Normal 185 5 3" xfId="15025" xr:uid="{00000000-0005-0000-0000-0000538B0000}"/>
    <cellStyle name="Normal 185 5 3 2" xfId="32660" xr:uid="{00000000-0005-0000-0000-0000548B0000}"/>
    <cellStyle name="Normal 185 5 4" xfId="25729" xr:uid="{00000000-0005-0000-0000-0000558B0000}"/>
    <cellStyle name="Normal 185 6" xfId="7838" xr:uid="{00000000-0005-0000-0000-0000568B0000}"/>
    <cellStyle name="Normal 185 6 2" xfId="15635" xr:uid="{00000000-0005-0000-0000-0000578B0000}"/>
    <cellStyle name="Normal 185 6 2 2" xfId="33270" xr:uid="{00000000-0005-0000-0000-0000588B0000}"/>
    <cellStyle name="Normal 185 6 3" xfId="26254" xr:uid="{00000000-0005-0000-0000-0000598B0000}"/>
    <cellStyle name="Normal 185 7" xfId="11753" xr:uid="{00000000-0005-0000-0000-00005A8B0000}"/>
    <cellStyle name="Normal 185 7 2" xfId="29440" xr:uid="{00000000-0005-0000-0000-00005B8B0000}"/>
    <cellStyle name="Normal 185 8" xfId="22818" xr:uid="{00000000-0005-0000-0000-00005C8B0000}"/>
    <cellStyle name="Normal 185 9" xfId="23389" xr:uid="{00000000-0005-0000-0000-00005D8B0000}"/>
    <cellStyle name="Normal 186" xfId="2254" xr:uid="{00000000-0005-0000-0000-00005E8B0000}"/>
    <cellStyle name="Normal 186 2" xfId="4384" xr:uid="{00000000-0005-0000-0000-00005F8B0000}"/>
    <cellStyle name="Normal 186 3" xfId="52025" xr:uid="{00000000-0005-0000-0000-0000608B0000}"/>
    <cellStyle name="Normal 187" xfId="2255" xr:uid="{00000000-0005-0000-0000-0000618B0000}"/>
    <cellStyle name="Normal 187 2" xfId="4385" xr:uid="{00000000-0005-0000-0000-0000628B0000}"/>
    <cellStyle name="Normal 187 3" xfId="52026" xr:uid="{00000000-0005-0000-0000-0000638B0000}"/>
    <cellStyle name="Normal 188" xfId="2256" xr:uid="{00000000-0005-0000-0000-0000648B0000}"/>
    <cellStyle name="Normal 188 2" xfId="4386" xr:uid="{00000000-0005-0000-0000-0000658B0000}"/>
    <cellStyle name="Normal 188 3" xfId="52027" xr:uid="{00000000-0005-0000-0000-0000668B0000}"/>
    <cellStyle name="Normal 189" xfId="2257" xr:uid="{00000000-0005-0000-0000-0000678B0000}"/>
    <cellStyle name="Normal 189 2" xfId="4387" xr:uid="{00000000-0005-0000-0000-0000688B0000}"/>
    <cellStyle name="Normal 189 3" xfId="52028" xr:uid="{00000000-0005-0000-0000-0000698B0000}"/>
    <cellStyle name="Normal 19" xfId="2258" xr:uid="{00000000-0005-0000-0000-00006A8B0000}"/>
    <cellStyle name="Normal 19 2" xfId="2259" xr:uid="{00000000-0005-0000-0000-00006B8B0000}"/>
    <cellStyle name="Normal 19 2 2" xfId="2260" xr:uid="{00000000-0005-0000-0000-00006C8B0000}"/>
    <cellStyle name="Normal 19 2 3" xfId="22961" xr:uid="{00000000-0005-0000-0000-00006D8B0000}"/>
    <cellStyle name="Normal 19 2 4" xfId="22757" xr:uid="{00000000-0005-0000-0000-00006E8B0000}"/>
    <cellStyle name="Normal 19 2 4 2" xfId="38964" xr:uid="{00000000-0005-0000-0000-00006F8B0000}"/>
    <cellStyle name="Normal 19 2_Sheet1" xfId="2261" xr:uid="{00000000-0005-0000-0000-0000708B0000}"/>
    <cellStyle name="Normal 19 3" xfId="2262" xr:uid="{00000000-0005-0000-0000-0000718B0000}"/>
    <cellStyle name="Normal 19 4" xfId="22960" xr:uid="{00000000-0005-0000-0000-0000728B0000}"/>
    <cellStyle name="Normal 19 5" xfId="22546" xr:uid="{00000000-0005-0000-0000-0000738B0000}"/>
    <cellStyle name="Normal 19 5 2" xfId="38860" xr:uid="{00000000-0005-0000-0000-0000748B0000}"/>
    <cellStyle name="Normal 19 6" xfId="53241" xr:uid="{00000000-0005-0000-0000-0000758B0000}"/>
    <cellStyle name="Normal 19_Sheet1" xfId="2263" xr:uid="{00000000-0005-0000-0000-0000768B0000}"/>
    <cellStyle name="Normal 190" xfId="2264" xr:uid="{00000000-0005-0000-0000-0000778B0000}"/>
    <cellStyle name="Normal 190 2" xfId="4388" xr:uid="{00000000-0005-0000-0000-0000788B0000}"/>
    <cellStyle name="Normal 190 3" xfId="52029" xr:uid="{00000000-0005-0000-0000-0000798B0000}"/>
    <cellStyle name="Normal 191" xfId="2265" xr:uid="{00000000-0005-0000-0000-00007A8B0000}"/>
    <cellStyle name="Normal 191 2" xfId="4389" xr:uid="{00000000-0005-0000-0000-00007B8B0000}"/>
    <cellStyle name="Normal 191 3" xfId="52030" xr:uid="{00000000-0005-0000-0000-00007C8B0000}"/>
    <cellStyle name="Normal 192" xfId="2266" xr:uid="{00000000-0005-0000-0000-00007D8B0000}"/>
    <cellStyle name="Normal 192 2" xfId="4390" xr:uid="{00000000-0005-0000-0000-00007E8B0000}"/>
    <cellStyle name="Normal 192 3" xfId="52031" xr:uid="{00000000-0005-0000-0000-00007F8B0000}"/>
    <cellStyle name="Normal 193" xfId="2267" xr:uid="{00000000-0005-0000-0000-0000808B0000}"/>
    <cellStyle name="Normal 193 10" xfId="52032" xr:uid="{00000000-0005-0000-0000-0000818B0000}"/>
    <cellStyle name="Normal 193 2" xfId="4391" xr:uid="{00000000-0005-0000-0000-0000828B0000}"/>
    <cellStyle name="Normal 193 2 2" xfId="8518" xr:uid="{00000000-0005-0000-0000-0000838B0000}"/>
    <cellStyle name="Normal 193 2 2 2" xfId="16314" xr:uid="{00000000-0005-0000-0000-0000848B0000}"/>
    <cellStyle name="Normal 193 2 2 2 2" xfId="33949" xr:uid="{00000000-0005-0000-0000-0000858B0000}"/>
    <cellStyle name="Normal 193 2 2 3" xfId="26919" xr:uid="{00000000-0005-0000-0000-0000868B0000}"/>
    <cellStyle name="Normal 193 2 3" xfId="12758" xr:uid="{00000000-0005-0000-0000-0000878B0000}"/>
    <cellStyle name="Normal 193 2 3 2" xfId="30416" xr:uid="{00000000-0005-0000-0000-0000888B0000}"/>
    <cellStyle name="Normal 193 2 4" xfId="24054" xr:uid="{00000000-0005-0000-0000-0000898B0000}"/>
    <cellStyle name="Normal 193 3" xfId="5832" xr:uid="{00000000-0005-0000-0000-00008A8B0000}"/>
    <cellStyle name="Normal 193 3 2" xfId="9132" xr:uid="{00000000-0005-0000-0000-00008B8B0000}"/>
    <cellStyle name="Normal 193 3 2 2" xfId="16927" xr:uid="{00000000-0005-0000-0000-00008C8B0000}"/>
    <cellStyle name="Normal 193 3 2 2 2" xfId="34563" xr:uid="{00000000-0005-0000-0000-00008D8B0000}"/>
    <cellStyle name="Normal 193 3 2 3" xfId="27520" xr:uid="{00000000-0005-0000-0000-00008E8B0000}"/>
    <cellStyle name="Normal 193 3 3" xfId="13688" xr:uid="{00000000-0005-0000-0000-00008F8B0000}"/>
    <cellStyle name="Normal 193 3 3 2" xfId="31328" xr:uid="{00000000-0005-0000-0000-0000908B0000}"/>
    <cellStyle name="Normal 193 3 4" xfId="24655" xr:uid="{00000000-0005-0000-0000-0000918B0000}"/>
    <cellStyle name="Normal 193 4" xfId="6462" xr:uid="{00000000-0005-0000-0000-0000928B0000}"/>
    <cellStyle name="Normal 193 4 2" xfId="9672" xr:uid="{00000000-0005-0000-0000-0000938B0000}"/>
    <cellStyle name="Normal 193 4 2 2" xfId="17466" xr:uid="{00000000-0005-0000-0000-0000948B0000}"/>
    <cellStyle name="Normal 193 4 2 2 2" xfId="35103" xr:uid="{00000000-0005-0000-0000-0000958B0000}"/>
    <cellStyle name="Normal 193 4 2 3" xfId="28056" xr:uid="{00000000-0005-0000-0000-0000968B0000}"/>
    <cellStyle name="Normal 193 4 3" xfId="14251" xr:uid="{00000000-0005-0000-0000-0000978B0000}"/>
    <cellStyle name="Normal 193 4 3 2" xfId="31886" xr:uid="{00000000-0005-0000-0000-0000988B0000}"/>
    <cellStyle name="Normal 193 4 4" xfId="25192" xr:uid="{00000000-0005-0000-0000-0000998B0000}"/>
    <cellStyle name="Normal 193 5" xfId="7238" xr:uid="{00000000-0005-0000-0000-00009A8B0000}"/>
    <cellStyle name="Normal 193 5 2" xfId="10226" xr:uid="{00000000-0005-0000-0000-00009B8B0000}"/>
    <cellStyle name="Normal 193 5 2 2" xfId="18019" xr:uid="{00000000-0005-0000-0000-00009C8B0000}"/>
    <cellStyle name="Normal 193 5 2 2 2" xfId="35656" xr:uid="{00000000-0005-0000-0000-00009D8B0000}"/>
    <cellStyle name="Normal 193 5 2 3" xfId="28593" xr:uid="{00000000-0005-0000-0000-00009E8B0000}"/>
    <cellStyle name="Normal 193 5 3" xfId="15026" xr:uid="{00000000-0005-0000-0000-00009F8B0000}"/>
    <cellStyle name="Normal 193 5 3 2" xfId="32661" xr:uid="{00000000-0005-0000-0000-0000A08B0000}"/>
    <cellStyle name="Normal 193 5 4" xfId="25730" xr:uid="{00000000-0005-0000-0000-0000A18B0000}"/>
    <cellStyle name="Normal 193 6" xfId="7839" xr:uid="{00000000-0005-0000-0000-0000A28B0000}"/>
    <cellStyle name="Normal 193 6 2" xfId="15636" xr:uid="{00000000-0005-0000-0000-0000A38B0000}"/>
    <cellStyle name="Normal 193 6 2 2" xfId="33271" xr:uid="{00000000-0005-0000-0000-0000A48B0000}"/>
    <cellStyle name="Normal 193 6 3" xfId="26255" xr:uid="{00000000-0005-0000-0000-0000A58B0000}"/>
    <cellStyle name="Normal 193 7" xfId="11754" xr:uid="{00000000-0005-0000-0000-0000A68B0000}"/>
    <cellStyle name="Normal 193 7 2" xfId="29441" xr:uid="{00000000-0005-0000-0000-0000A78B0000}"/>
    <cellStyle name="Normal 193 8" xfId="22823" xr:uid="{00000000-0005-0000-0000-0000A88B0000}"/>
    <cellStyle name="Normal 193 9" xfId="23390" xr:uid="{00000000-0005-0000-0000-0000A98B0000}"/>
    <cellStyle name="Normal 194" xfId="2268" xr:uid="{00000000-0005-0000-0000-0000AA8B0000}"/>
    <cellStyle name="Normal 194 2" xfId="4392" xr:uid="{00000000-0005-0000-0000-0000AB8B0000}"/>
    <cellStyle name="Normal 194 3" xfId="52033" xr:uid="{00000000-0005-0000-0000-0000AC8B0000}"/>
    <cellStyle name="Normal 195" xfId="2269" xr:uid="{00000000-0005-0000-0000-0000AD8B0000}"/>
    <cellStyle name="Normal 195 2" xfId="4393" xr:uid="{00000000-0005-0000-0000-0000AE8B0000}"/>
    <cellStyle name="Normal 195 3" xfId="52034" xr:uid="{00000000-0005-0000-0000-0000AF8B0000}"/>
    <cellStyle name="Normal 196" xfId="2270" xr:uid="{00000000-0005-0000-0000-0000B08B0000}"/>
    <cellStyle name="Normal 196 2" xfId="4394" xr:uid="{00000000-0005-0000-0000-0000B18B0000}"/>
    <cellStyle name="Normal 196 3" xfId="52035" xr:uid="{00000000-0005-0000-0000-0000B28B0000}"/>
    <cellStyle name="Normal 197" xfId="2271" xr:uid="{00000000-0005-0000-0000-0000B38B0000}"/>
    <cellStyle name="Normal 197 2" xfId="4395" xr:uid="{00000000-0005-0000-0000-0000B48B0000}"/>
    <cellStyle name="Normal 197 3" xfId="52036" xr:uid="{00000000-0005-0000-0000-0000B58B0000}"/>
    <cellStyle name="Normal 198" xfId="2272" xr:uid="{00000000-0005-0000-0000-0000B68B0000}"/>
    <cellStyle name="Normal 198 2" xfId="4396" xr:uid="{00000000-0005-0000-0000-0000B78B0000}"/>
    <cellStyle name="Normal 198 3" xfId="52037" xr:uid="{00000000-0005-0000-0000-0000B88B0000}"/>
    <cellStyle name="Normal 199" xfId="2273" xr:uid="{00000000-0005-0000-0000-0000B98B0000}"/>
    <cellStyle name="Normal 199 2" xfId="4397" xr:uid="{00000000-0005-0000-0000-0000BA8B0000}"/>
    <cellStyle name="Normal 199 3" xfId="52038" xr:uid="{00000000-0005-0000-0000-0000BB8B0000}"/>
    <cellStyle name="Normal 2" xfId="117" xr:uid="{00000000-0005-0000-0000-0000BC8B0000}"/>
    <cellStyle name="Normal 2 10" xfId="2274" xr:uid="{00000000-0005-0000-0000-0000BD8B0000}"/>
    <cellStyle name="Normal 2 10 10" xfId="52040" xr:uid="{00000000-0005-0000-0000-0000BE8B0000}"/>
    <cellStyle name="Normal 2 10 2" xfId="4399" xr:uid="{00000000-0005-0000-0000-0000BF8B0000}"/>
    <cellStyle name="Normal 2 10 2 2" xfId="8519" xr:uid="{00000000-0005-0000-0000-0000C08B0000}"/>
    <cellStyle name="Normal 2 10 2 2 2" xfId="16315" xr:uid="{00000000-0005-0000-0000-0000C18B0000}"/>
    <cellStyle name="Normal 2 10 2 2 2 2" xfId="33950" xr:uid="{00000000-0005-0000-0000-0000C28B0000}"/>
    <cellStyle name="Normal 2 10 2 2 3" xfId="26920" xr:uid="{00000000-0005-0000-0000-0000C38B0000}"/>
    <cellStyle name="Normal 2 10 2 3" xfId="12765" xr:uid="{00000000-0005-0000-0000-0000C48B0000}"/>
    <cellStyle name="Normal 2 10 2 3 2" xfId="30423" xr:uid="{00000000-0005-0000-0000-0000C58B0000}"/>
    <cellStyle name="Normal 2 10 2 4" xfId="24055" xr:uid="{00000000-0005-0000-0000-0000C68B0000}"/>
    <cellStyle name="Normal 2 10 3" xfId="5833" xr:uid="{00000000-0005-0000-0000-0000C78B0000}"/>
    <cellStyle name="Normal 2 10 3 2" xfId="9133" xr:uid="{00000000-0005-0000-0000-0000C88B0000}"/>
    <cellStyle name="Normal 2 10 3 2 2" xfId="16928" xr:uid="{00000000-0005-0000-0000-0000C98B0000}"/>
    <cellStyle name="Normal 2 10 3 2 2 2" xfId="34564" xr:uid="{00000000-0005-0000-0000-0000CA8B0000}"/>
    <cellStyle name="Normal 2 10 3 2 3" xfId="27521" xr:uid="{00000000-0005-0000-0000-0000CB8B0000}"/>
    <cellStyle name="Normal 2 10 3 3" xfId="13689" xr:uid="{00000000-0005-0000-0000-0000CC8B0000}"/>
    <cellStyle name="Normal 2 10 3 3 2" xfId="31329" xr:uid="{00000000-0005-0000-0000-0000CD8B0000}"/>
    <cellStyle name="Normal 2 10 3 4" xfId="24656" xr:uid="{00000000-0005-0000-0000-0000CE8B0000}"/>
    <cellStyle name="Normal 2 10 4" xfId="6463" xr:uid="{00000000-0005-0000-0000-0000CF8B0000}"/>
    <cellStyle name="Normal 2 10 4 2" xfId="9673" xr:uid="{00000000-0005-0000-0000-0000D08B0000}"/>
    <cellStyle name="Normal 2 10 4 2 2" xfId="17467" xr:uid="{00000000-0005-0000-0000-0000D18B0000}"/>
    <cellStyle name="Normal 2 10 4 2 2 2" xfId="35104" xr:uid="{00000000-0005-0000-0000-0000D28B0000}"/>
    <cellStyle name="Normal 2 10 4 2 3" xfId="28057" xr:uid="{00000000-0005-0000-0000-0000D38B0000}"/>
    <cellStyle name="Normal 2 10 4 3" xfId="14252" xr:uid="{00000000-0005-0000-0000-0000D48B0000}"/>
    <cellStyle name="Normal 2 10 4 3 2" xfId="31887" xr:uid="{00000000-0005-0000-0000-0000D58B0000}"/>
    <cellStyle name="Normal 2 10 4 4" xfId="25193" xr:uid="{00000000-0005-0000-0000-0000D68B0000}"/>
    <cellStyle name="Normal 2 10 5" xfId="7239" xr:uid="{00000000-0005-0000-0000-0000D78B0000}"/>
    <cellStyle name="Normal 2 10 5 2" xfId="10227" xr:uid="{00000000-0005-0000-0000-0000D88B0000}"/>
    <cellStyle name="Normal 2 10 5 2 2" xfId="18020" xr:uid="{00000000-0005-0000-0000-0000D98B0000}"/>
    <cellStyle name="Normal 2 10 5 2 2 2" xfId="35657" xr:uid="{00000000-0005-0000-0000-0000DA8B0000}"/>
    <cellStyle name="Normal 2 10 5 2 3" xfId="28594" xr:uid="{00000000-0005-0000-0000-0000DB8B0000}"/>
    <cellStyle name="Normal 2 10 5 3" xfId="15027" xr:uid="{00000000-0005-0000-0000-0000DC8B0000}"/>
    <cellStyle name="Normal 2 10 5 3 2" xfId="32662" xr:uid="{00000000-0005-0000-0000-0000DD8B0000}"/>
    <cellStyle name="Normal 2 10 5 4" xfId="25731" xr:uid="{00000000-0005-0000-0000-0000DE8B0000}"/>
    <cellStyle name="Normal 2 10 6" xfId="7840" xr:uid="{00000000-0005-0000-0000-0000DF8B0000}"/>
    <cellStyle name="Normal 2 10 6 2" xfId="15637" xr:uid="{00000000-0005-0000-0000-0000E08B0000}"/>
    <cellStyle name="Normal 2 10 6 2 2" xfId="33272" xr:uid="{00000000-0005-0000-0000-0000E18B0000}"/>
    <cellStyle name="Normal 2 10 6 3" xfId="26256" xr:uid="{00000000-0005-0000-0000-0000E28B0000}"/>
    <cellStyle name="Normal 2 10 7" xfId="11757" xr:uid="{00000000-0005-0000-0000-0000E38B0000}"/>
    <cellStyle name="Normal 2 10 7 2" xfId="29444" xr:uid="{00000000-0005-0000-0000-0000E48B0000}"/>
    <cellStyle name="Normal 2 10 8" xfId="21987" xr:uid="{00000000-0005-0000-0000-0000E58B0000}"/>
    <cellStyle name="Normal 2 10 8 2" xfId="38732" xr:uid="{00000000-0005-0000-0000-0000E68B0000}"/>
    <cellStyle name="Normal 2 10 9" xfId="23391" xr:uid="{00000000-0005-0000-0000-0000E78B0000}"/>
    <cellStyle name="Normal 2 11" xfId="2275" xr:uid="{00000000-0005-0000-0000-0000E88B0000}"/>
    <cellStyle name="Normal 2 11 2" xfId="4400" xr:uid="{00000000-0005-0000-0000-0000E98B0000}"/>
    <cellStyle name="Normal 2 11 3" xfId="21988" xr:uid="{00000000-0005-0000-0000-0000EA8B0000}"/>
    <cellStyle name="Normal 2 11 4" xfId="52041" xr:uid="{00000000-0005-0000-0000-0000EB8B0000}"/>
    <cellStyle name="Normal 2 12" xfId="4398" xr:uid="{00000000-0005-0000-0000-0000EC8B0000}"/>
    <cellStyle name="Normal 2 13" xfId="52039" xr:uid="{00000000-0005-0000-0000-0000ED8B0000}"/>
    <cellStyle name="Normal 2 2" xfId="118" xr:uid="{00000000-0005-0000-0000-0000EE8B0000}"/>
    <cellStyle name="Normal 2 2 2" xfId="4401" xr:uid="{00000000-0005-0000-0000-0000EF8B0000}"/>
    <cellStyle name="Normal 2 2 3" xfId="52042" xr:uid="{00000000-0005-0000-0000-0000F08B0000}"/>
    <cellStyle name="Normal 2 3" xfId="119" xr:uid="{00000000-0005-0000-0000-0000F18B0000}"/>
    <cellStyle name="Normal 2 3 10" xfId="2277" xr:uid="{00000000-0005-0000-0000-0000F28B0000}"/>
    <cellStyle name="Normal 2 3 10 10" xfId="52043" xr:uid="{00000000-0005-0000-0000-0000F38B0000}"/>
    <cellStyle name="Normal 2 3 10 2" xfId="4403" xr:uid="{00000000-0005-0000-0000-0000F48B0000}"/>
    <cellStyle name="Normal 2 3 10 3" xfId="4402" xr:uid="{00000000-0005-0000-0000-0000F58B0000}"/>
    <cellStyle name="Normal 2 3 10 3 2" xfId="8520" xr:uid="{00000000-0005-0000-0000-0000F68B0000}"/>
    <cellStyle name="Normal 2 3 10 3 2 2" xfId="16316" xr:uid="{00000000-0005-0000-0000-0000F78B0000}"/>
    <cellStyle name="Normal 2 3 10 3 2 2 2" xfId="33951" xr:uid="{00000000-0005-0000-0000-0000F88B0000}"/>
    <cellStyle name="Normal 2 3 10 3 2 3" xfId="26921" xr:uid="{00000000-0005-0000-0000-0000F98B0000}"/>
    <cellStyle name="Normal 2 3 10 3 3" xfId="12767" xr:uid="{00000000-0005-0000-0000-0000FA8B0000}"/>
    <cellStyle name="Normal 2 3 10 3 3 2" xfId="30425" xr:uid="{00000000-0005-0000-0000-0000FB8B0000}"/>
    <cellStyle name="Normal 2 3 10 3 4" xfId="24056" xr:uid="{00000000-0005-0000-0000-0000FC8B0000}"/>
    <cellStyle name="Normal 2 3 10 4" xfId="5834" xr:uid="{00000000-0005-0000-0000-0000FD8B0000}"/>
    <cellStyle name="Normal 2 3 10 4 2" xfId="9134" xr:uid="{00000000-0005-0000-0000-0000FE8B0000}"/>
    <cellStyle name="Normal 2 3 10 4 2 2" xfId="16929" xr:uid="{00000000-0005-0000-0000-0000FF8B0000}"/>
    <cellStyle name="Normal 2 3 10 4 2 2 2" xfId="34565" xr:uid="{00000000-0005-0000-0000-0000008C0000}"/>
    <cellStyle name="Normal 2 3 10 4 2 3" xfId="27522" xr:uid="{00000000-0005-0000-0000-0000018C0000}"/>
    <cellStyle name="Normal 2 3 10 4 3" xfId="13690" xr:uid="{00000000-0005-0000-0000-0000028C0000}"/>
    <cellStyle name="Normal 2 3 10 4 3 2" xfId="31330" xr:uid="{00000000-0005-0000-0000-0000038C0000}"/>
    <cellStyle name="Normal 2 3 10 4 4" xfId="24657" xr:uid="{00000000-0005-0000-0000-0000048C0000}"/>
    <cellStyle name="Normal 2 3 10 5" xfId="6464" xr:uid="{00000000-0005-0000-0000-0000058C0000}"/>
    <cellStyle name="Normal 2 3 10 5 2" xfId="9674" xr:uid="{00000000-0005-0000-0000-0000068C0000}"/>
    <cellStyle name="Normal 2 3 10 5 2 2" xfId="17468" xr:uid="{00000000-0005-0000-0000-0000078C0000}"/>
    <cellStyle name="Normal 2 3 10 5 2 2 2" xfId="35105" xr:uid="{00000000-0005-0000-0000-0000088C0000}"/>
    <cellStyle name="Normal 2 3 10 5 2 3" xfId="28058" xr:uid="{00000000-0005-0000-0000-0000098C0000}"/>
    <cellStyle name="Normal 2 3 10 5 3" xfId="14253" xr:uid="{00000000-0005-0000-0000-00000A8C0000}"/>
    <cellStyle name="Normal 2 3 10 5 3 2" xfId="31888" xr:uid="{00000000-0005-0000-0000-00000B8C0000}"/>
    <cellStyle name="Normal 2 3 10 5 4" xfId="25194" xr:uid="{00000000-0005-0000-0000-00000C8C0000}"/>
    <cellStyle name="Normal 2 3 10 6" xfId="7240" xr:uid="{00000000-0005-0000-0000-00000D8C0000}"/>
    <cellStyle name="Normal 2 3 10 6 2" xfId="10228" xr:uid="{00000000-0005-0000-0000-00000E8C0000}"/>
    <cellStyle name="Normal 2 3 10 6 2 2" xfId="18021" xr:uid="{00000000-0005-0000-0000-00000F8C0000}"/>
    <cellStyle name="Normal 2 3 10 6 2 2 2" xfId="35658" xr:uid="{00000000-0005-0000-0000-0000108C0000}"/>
    <cellStyle name="Normal 2 3 10 6 2 3" xfId="28595" xr:uid="{00000000-0005-0000-0000-0000118C0000}"/>
    <cellStyle name="Normal 2 3 10 6 3" xfId="15028" xr:uid="{00000000-0005-0000-0000-0000128C0000}"/>
    <cellStyle name="Normal 2 3 10 6 3 2" xfId="32663" xr:uid="{00000000-0005-0000-0000-0000138C0000}"/>
    <cellStyle name="Normal 2 3 10 6 4" xfId="25732" xr:uid="{00000000-0005-0000-0000-0000148C0000}"/>
    <cellStyle name="Normal 2 3 10 7" xfId="7841" xr:uid="{00000000-0005-0000-0000-0000158C0000}"/>
    <cellStyle name="Normal 2 3 10 7 2" xfId="15638" xr:uid="{00000000-0005-0000-0000-0000168C0000}"/>
    <cellStyle name="Normal 2 3 10 7 2 2" xfId="33273" xr:uid="{00000000-0005-0000-0000-0000178C0000}"/>
    <cellStyle name="Normal 2 3 10 7 3" xfId="26257" xr:uid="{00000000-0005-0000-0000-0000188C0000}"/>
    <cellStyle name="Normal 2 3 10 8" xfId="11760" xr:uid="{00000000-0005-0000-0000-0000198C0000}"/>
    <cellStyle name="Normal 2 3 10 8 2" xfId="29447" xr:uid="{00000000-0005-0000-0000-00001A8C0000}"/>
    <cellStyle name="Normal 2 3 10 9" xfId="23392" xr:uid="{00000000-0005-0000-0000-00001B8C0000}"/>
    <cellStyle name="Normal 2 3 11" xfId="2278" xr:uid="{00000000-0005-0000-0000-00001C8C0000}"/>
    <cellStyle name="Normal 2 3 11 2" xfId="22547" xr:uid="{00000000-0005-0000-0000-00001D8C0000}"/>
    <cellStyle name="Normal 2 3 12" xfId="4404" xr:uid="{00000000-0005-0000-0000-00001E8C0000}"/>
    <cellStyle name="Normal 2 3 13" xfId="4405" xr:uid="{00000000-0005-0000-0000-00001F8C0000}"/>
    <cellStyle name="Normal 2 3 14" xfId="2276" xr:uid="{00000000-0005-0000-0000-0000208C0000}"/>
    <cellStyle name="Normal 2 3 2" xfId="2279" xr:uid="{00000000-0005-0000-0000-0000218C0000}"/>
    <cellStyle name="Normal 2 3 2 2" xfId="2280" xr:uid="{00000000-0005-0000-0000-0000228C0000}"/>
    <cellStyle name="Normal 2 3 2 3" xfId="22962" xr:uid="{00000000-0005-0000-0000-0000238C0000}"/>
    <cellStyle name="Normal 2 3 2 4" xfId="22705" xr:uid="{00000000-0005-0000-0000-0000248C0000}"/>
    <cellStyle name="Normal 2 3 2 4 2" xfId="38918" xr:uid="{00000000-0005-0000-0000-0000258C0000}"/>
    <cellStyle name="Normal 2 3 2_Sheet1" xfId="2281" xr:uid="{00000000-0005-0000-0000-0000268C0000}"/>
    <cellStyle name="Normal 2 3 3" xfId="2282" xr:uid="{00000000-0005-0000-0000-0000278C0000}"/>
    <cellStyle name="Normal 2 3 3 2" xfId="22963" xr:uid="{00000000-0005-0000-0000-0000288C0000}"/>
    <cellStyle name="Normal 2 3 3 3" xfId="22794" xr:uid="{00000000-0005-0000-0000-0000298C0000}"/>
    <cellStyle name="Normal 2 3 3 3 2" xfId="38999" xr:uid="{00000000-0005-0000-0000-00002A8C0000}"/>
    <cellStyle name="Normal 2 3 4" xfId="2283" xr:uid="{00000000-0005-0000-0000-00002B8C0000}"/>
    <cellStyle name="Normal 2 3 4 10" xfId="52044" xr:uid="{00000000-0005-0000-0000-00002C8C0000}"/>
    <cellStyle name="Normal 2 3 4 2" xfId="4406" xr:uid="{00000000-0005-0000-0000-00002D8C0000}"/>
    <cellStyle name="Normal 2 3 4 2 2" xfId="8521" xr:uid="{00000000-0005-0000-0000-00002E8C0000}"/>
    <cellStyle name="Normal 2 3 4 2 2 2" xfId="16317" xr:uid="{00000000-0005-0000-0000-00002F8C0000}"/>
    <cellStyle name="Normal 2 3 4 2 2 2 2" xfId="33952" xr:uid="{00000000-0005-0000-0000-0000308C0000}"/>
    <cellStyle name="Normal 2 3 4 2 2 3" xfId="26922" xr:uid="{00000000-0005-0000-0000-0000318C0000}"/>
    <cellStyle name="Normal 2 3 4 2 3" xfId="12769" xr:uid="{00000000-0005-0000-0000-0000328C0000}"/>
    <cellStyle name="Normal 2 3 4 2 3 2" xfId="30427" xr:uid="{00000000-0005-0000-0000-0000338C0000}"/>
    <cellStyle name="Normal 2 3 4 2 4" xfId="24057" xr:uid="{00000000-0005-0000-0000-0000348C0000}"/>
    <cellStyle name="Normal 2 3 4 3" xfId="5835" xr:uid="{00000000-0005-0000-0000-0000358C0000}"/>
    <cellStyle name="Normal 2 3 4 3 2" xfId="9135" xr:uid="{00000000-0005-0000-0000-0000368C0000}"/>
    <cellStyle name="Normal 2 3 4 3 2 2" xfId="16930" xr:uid="{00000000-0005-0000-0000-0000378C0000}"/>
    <cellStyle name="Normal 2 3 4 3 2 2 2" xfId="34566" xr:uid="{00000000-0005-0000-0000-0000388C0000}"/>
    <cellStyle name="Normal 2 3 4 3 2 3" xfId="27523" xr:uid="{00000000-0005-0000-0000-0000398C0000}"/>
    <cellStyle name="Normal 2 3 4 3 3" xfId="13691" xr:uid="{00000000-0005-0000-0000-00003A8C0000}"/>
    <cellStyle name="Normal 2 3 4 3 3 2" xfId="31331" xr:uid="{00000000-0005-0000-0000-00003B8C0000}"/>
    <cellStyle name="Normal 2 3 4 3 4" xfId="24658" xr:uid="{00000000-0005-0000-0000-00003C8C0000}"/>
    <cellStyle name="Normal 2 3 4 4" xfId="6465" xr:uid="{00000000-0005-0000-0000-00003D8C0000}"/>
    <cellStyle name="Normal 2 3 4 4 2" xfId="9675" xr:uid="{00000000-0005-0000-0000-00003E8C0000}"/>
    <cellStyle name="Normal 2 3 4 4 2 2" xfId="17469" xr:uid="{00000000-0005-0000-0000-00003F8C0000}"/>
    <cellStyle name="Normal 2 3 4 4 2 2 2" xfId="35106" xr:uid="{00000000-0005-0000-0000-0000408C0000}"/>
    <cellStyle name="Normal 2 3 4 4 2 3" xfId="28059" xr:uid="{00000000-0005-0000-0000-0000418C0000}"/>
    <cellStyle name="Normal 2 3 4 4 3" xfId="14254" xr:uid="{00000000-0005-0000-0000-0000428C0000}"/>
    <cellStyle name="Normal 2 3 4 4 3 2" xfId="31889" xr:uid="{00000000-0005-0000-0000-0000438C0000}"/>
    <cellStyle name="Normal 2 3 4 4 4" xfId="25195" xr:uid="{00000000-0005-0000-0000-0000448C0000}"/>
    <cellStyle name="Normal 2 3 4 5" xfId="7241" xr:uid="{00000000-0005-0000-0000-0000458C0000}"/>
    <cellStyle name="Normal 2 3 4 5 2" xfId="10229" xr:uid="{00000000-0005-0000-0000-0000468C0000}"/>
    <cellStyle name="Normal 2 3 4 5 2 2" xfId="18022" xr:uid="{00000000-0005-0000-0000-0000478C0000}"/>
    <cellStyle name="Normal 2 3 4 5 2 2 2" xfId="35659" xr:uid="{00000000-0005-0000-0000-0000488C0000}"/>
    <cellStyle name="Normal 2 3 4 5 2 3" xfId="28596" xr:uid="{00000000-0005-0000-0000-0000498C0000}"/>
    <cellStyle name="Normal 2 3 4 5 3" xfId="15029" xr:uid="{00000000-0005-0000-0000-00004A8C0000}"/>
    <cellStyle name="Normal 2 3 4 5 3 2" xfId="32664" xr:uid="{00000000-0005-0000-0000-00004B8C0000}"/>
    <cellStyle name="Normal 2 3 4 5 4" xfId="25733" xr:uid="{00000000-0005-0000-0000-00004C8C0000}"/>
    <cellStyle name="Normal 2 3 4 6" xfId="7842" xr:uid="{00000000-0005-0000-0000-00004D8C0000}"/>
    <cellStyle name="Normal 2 3 4 6 2" xfId="15639" xr:uid="{00000000-0005-0000-0000-00004E8C0000}"/>
    <cellStyle name="Normal 2 3 4 6 2 2" xfId="33274" xr:uid="{00000000-0005-0000-0000-00004F8C0000}"/>
    <cellStyle name="Normal 2 3 4 6 3" xfId="26258" xr:uid="{00000000-0005-0000-0000-0000508C0000}"/>
    <cellStyle name="Normal 2 3 4 7" xfId="11761" xr:uid="{00000000-0005-0000-0000-0000518C0000}"/>
    <cellStyle name="Normal 2 3 4 7 2" xfId="29448" xr:uid="{00000000-0005-0000-0000-0000528C0000}"/>
    <cellStyle name="Normal 2 3 4 8" xfId="22804" xr:uid="{00000000-0005-0000-0000-0000538C0000}"/>
    <cellStyle name="Normal 2 3 4 8 2" xfId="39001" xr:uid="{00000000-0005-0000-0000-0000548C0000}"/>
    <cellStyle name="Normal 2 3 4 9" xfId="23393" xr:uid="{00000000-0005-0000-0000-0000558C0000}"/>
    <cellStyle name="Normal 2 3 5" xfId="2284" xr:uid="{00000000-0005-0000-0000-0000568C0000}"/>
    <cellStyle name="Normal 2 3 5 10" xfId="23394" xr:uid="{00000000-0005-0000-0000-0000578C0000}"/>
    <cellStyle name="Normal 2 3 5 11" xfId="52045" xr:uid="{00000000-0005-0000-0000-0000588C0000}"/>
    <cellStyle name="Normal 2 3 5 2" xfId="2285" xr:uid="{00000000-0005-0000-0000-0000598C0000}"/>
    <cellStyle name="Normal 2 3 5 3" xfId="4407" xr:uid="{00000000-0005-0000-0000-00005A8C0000}"/>
    <cellStyle name="Normal 2 3 5 3 2" xfId="8522" xr:uid="{00000000-0005-0000-0000-00005B8C0000}"/>
    <cellStyle name="Normal 2 3 5 3 2 2" xfId="16318" xr:uid="{00000000-0005-0000-0000-00005C8C0000}"/>
    <cellStyle name="Normal 2 3 5 3 2 2 2" xfId="33953" xr:uid="{00000000-0005-0000-0000-00005D8C0000}"/>
    <cellStyle name="Normal 2 3 5 3 2 3" xfId="26923" xr:uid="{00000000-0005-0000-0000-00005E8C0000}"/>
    <cellStyle name="Normal 2 3 5 3 3" xfId="12770" xr:uid="{00000000-0005-0000-0000-00005F8C0000}"/>
    <cellStyle name="Normal 2 3 5 3 3 2" xfId="30428" xr:uid="{00000000-0005-0000-0000-0000608C0000}"/>
    <cellStyle name="Normal 2 3 5 3 4" xfId="24058" xr:uid="{00000000-0005-0000-0000-0000618C0000}"/>
    <cellStyle name="Normal 2 3 5 4" xfId="5836" xr:uid="{00000000-0005-0000-0000-0000628C0000}"/>
    <cellStyle name="Normal 2 3 5 4 2" xfId="9136" xr:uid="{00000000-0005-0000-0000-0000638C0000}"/>
    <cellStyle name="Normal 2 3 5 4 2 2" xfId="16931" xr:uid="{00000000-0005-0000-0000-0000648C0000}"/>
    <cellStyle name="Normal 2 3 5 4 2 2 2" xfId="34567" xr:uid="{00000000-0005-0000-0000-0000658C0000}"/>
    <cellStyle name="Normal 2 3 5 4 2 3" xfId="27524" xr:uid="{00000000-0005-0000-0000-0000668C0000}"/>
    <cellStyle name="Normal 2 3 5 4 3" xfId="13692" xr:uid="{00000000-0005-0000-0000-0000678C0000}"/>
    <cellStyle name="Normal 2 3 5 4 3 2" xfId="31332" xr:uid="{00000000-0005-0000-0000-0000688C0000}"/>
    <cellStyle name="Normal 2 3 5 4 4" xfId="24659" xr:uid="{00000000-0005-0000-0000-0000698C0000}"/>
    <cellStyle name="Normal 2 3 5 5" xfId="6466" xr:uid="{00000000-0005-0000-0000-00006A8C0000}"/>
    <cellStyle name="Normal 2 3 5 5 2" xfId="9676" xr:uid="{00000000-0005-0000-0000-00006B8C0000}"/>
    <cellStyle name="Normal 2 3 5 5 2 2" xfId="17470" xr:uid="{00000000-0005-0000-0000-00006C8C0000}"/>
    <cellStyle name="Normal 2 3 5 5 2 2 2" xfId="35107" xr:uid="{00000000-0005-0000-0000-00006D8C0000}"/>
    <cellStyle name="Normal 2 3 5 5 2 3" xfId="28060" xr:uid="{00000000-0005-0000-0000-00006E8C0000}"/>
    <cellStyle name="Normal 2 3 5 5 3" xfId="14255" xr:uid="{00000000-0005-0000-0000-00006F8C0000}"/>
    <cellStyle name="Normal 2 3 5 5 3 2" xfId="31890" xr:uid="{00000000-0005-0000-0000-0000708C0000}"/>
    <cellStyle name="Normal 2 3 5 5 4" xfId="25196" xr:uid="{00000000-0005-0000-0000-0000718C0000}"/>
    <cellStyle name="Normal 2 3 5 6" xfId="7242" xr:uid="{00000000-0005-0000-0000-0000728C0000}"/>
    <cellStyle name="Normal 2 3 5 6 2" xfId="10230" xr:uid="{00000000-0005-0000-0000-0000738C0000}"/>
    <cellStyle name="Normal 2 3 5 6 2 2" xfId="18023" xr:uid="{00000000-0005-0000-0000-0000748C0000}"/>
    <cellStyle name="Normal 2 3 5 6 2 2 2" xfId="35660" xr:uid="{00000000-0005-0000-0000-0000758C0000}"/>
    <cellStyle name="Normal 2 3 5 6 2 3" xfId="28597" xr:uid="{00000000-0005-0000-0000-0000768C0000}"/>
    <cellStyle name="Normal 2 3 5 6 3" xfId="15030" xr:uid="{00000000-0005-0000-0000-0000778C0000}"/>
    <cellStyle name="Normal 2 3 5 6 3 2" xfId="32665" xr:uid="{00000000-0005-0000-0000-0000788C0000}"/>
    <cellStyle name="Normal 2 3 5 6 4" xfId="25734" xr:uid="{00000000-0005-0000-0000-0000798C0000}"/>
    <cellStyle name="Normal 2 3 5 7" xfId="7843" xr:uid="{00000000-0005-0000-0000-00007A8C0000}"/>
    <cellStyle name="Normal 2 3 5 7 2" xfId="15640" xr:uid="{00000000-0005-0000-0000-00007B8C0000}"/>
    <cellStyle name="Normal 2 3 5 7 2 2" xfId="33275" xr:uid="{00000000-0005-0000-0000-00007C8C0000}"/>
    <cellStyle name="Normal 2 3 5 7 3" xfId="26259" xr:uid="{00000000-0005-0000-0000-00007D8C0000}"/>
    <cellStyle name="Normal 2 3 5 8" xfId="11762" xr:uid="{00000000-0005-0000-0000-00007E8C0000}"/>
    <cellStyle name="Normal 2 3 5 8 2" xfId="29449" xr:uid="{00000000-0005-0000-0000-00007F8C0000}"/>
    <cellStyle name="Normal 2 3 5 9" xfId="22819" xr:uid="{00000000-0005-0000-0000-0000808C0000}"/>
    <cellStyle name="Normal 2 3 5 9 2" xfId="39003" xr:uid="{00000000-0005-0000-0000-0000818C0000}"/>
    <cellStyle name="Normal 2 3 6" xfId="2286" xr:uid="{00000000-0005-0000-0000-0000828C0000}"/>
    <cellStyle name="Normal 2 3 6 10" xfId="52046" xr:uid="{00000000-0005-0000-0000-0000838C0000}"/>
    <cellStyle name="Normal 2 3 6 2" xfId="4408" xr:uid="{00000000-0005-0000-0000-0000848C0000}"/>
    <cellStyle name="Normal 2 3 6 2 2" xfId="8523" xr:uid="{00000000-0005-0000-0000-0000858C0000}"/>
    <cellStyle name="Normal 2 3 6 2 2 2" xfId="16319" xr:uid="{00000000-0005-0000-0000-0000868C0000}"/>
    <cellStyle name="Normal 2 3 6 2 2 2 2" xfId="33954" xr:uid="{00000000-0005-0000-0000-0000878C0000}"/>
    <cellStyle name="Normal 2 3 6 2 2 3" xfId="26924" xr:uid="{00000000-0005-0000-0000-0000888C0000}"/>
    <cellStyle name="Normal 2 3 6 2 3" xfId="12771" xr:uid="{00000000-0005-0000-0000-0000898C0000}"/>
    <cellStyle name="Normal 2 3 6 2 3 2" xfId="30429" xr:uid="{00000000-0005-0000-0000-00008A8C0000}"/>
    <cellStyle name="Normal 2 3 6 2 4" xfId="24059" xr:uid="{00000000-0005-0000-0000-00008B8C0000}"/>
    <cellStyle name="Normal 2 3 6 3" xfId="5837" xr:uid="{00000000-0005-0000-0000-00008C8C0000}"/>
    <cellStyle name="Normal 2 3 6 3 2" xfId="9137" xr:uid="{00000000-0005-0000-0000-00008D8C0000}"/>
    <cellStyle name="Normal 2 3 6 3 2 2" xfId="16932" xr:uid="{00000000-0005-0000-0000-00008E8C0000}"/>
    <cellStyle name="Normal 2 3 6 3 2 2 2" xfId="34568" xr:uid="{00000000-0005-0000-0000-00008F8C0000}"/>
    <cellStyle name="Normal 2 3 6 3 2 3" xfId="27525" xr:uid="{00000000-0005-0000-0000-0000908C0000}"/>
    <cellStyle name="Normal 2 3 6 3 3" xfId="13693" xr:uid="{00000000-0005-0000-0000-0000918C0000}"/>
    <cellStyle name="Normal 2 3 6 3 3 2" xfId="31333" xr:uid="{00000000-0005-0000-0000-0000928C0000}"/>
    <cellStyle name="Normal 2 3 6 3 4" xfId="24660" xr:uid="{00000000-0005-0000-0000-0000938C0000}"/>
    <cellStyle name="Normal 2 3 6 4" xfId="6467" xr:uid="{00000000-0005-0000-0000-0000948C0000}"/>
    <cellStyle name="Normal 2 3 6 4 2" xfId="9677" xr:uid="{00000000-0005-0000-0000-0000958C0000}"/>
    <cellStyle name="Normal 2 3 6 4 2 2" xfId="17471" xr:uid="{00000000-0005-0000-0000-0000968C0000}"/>
    <cellStyle name="Normal 2 3 6 4 2 2 2" xfId="35108" xr:uid="{00000000-0005-0000-0000-0000978C0000}"/>
    <cellStyle name="Normal 2 3 6 4 2 3" xfId="28061" xr:uid="{00000000-0005-0000-0000-0000988C0000}"/>
    <cellStyle name="Normal 2 3 6 4 3" xfId="14256" xr:uid="{00000000-0005-0000-0000-0000998C0000}"/>
    <cellStyle name="Normal 2 3 6 4 3 2" xfId="31891" xr:uid="{00000000-0005-0000-0000-00009A8C0000}"/>
    <cellStyle name="Normal 2 3 6 4 4" xfId="25197" xr:uid="{00000000-0005-0000-0000-00009B8C0000}"/>
    <cellStyle name="Normal 2 3 6 5" xfId="7243" xr:uid="{00000000-0005-0000-0000-00009C8C0000}"/>
    <cellStyle name="Normal 2 3 6 5 2" xfId="10231" xr:uid="{00000000-0005-0000-0000-00009D8C0000}"/>
    <cellStyle name="Normal 2 3 6 5 2 2" xfId="18024" xr:uid="{00000000-0005-0000-0000-00009E8C0000}"/>
    <cellStyle name="Normal 2 3 6 5 2 2 2" xfId="35661" xr:uid="{00000000-0005-0000-0000-00009F8C0000}"/>
    <cellStyle name="Normal 2 3 6 5 2 3" xfId="28598" xr:uid="{00000000-0005-0000-0000-0000A08C0000}"/>
    <cellStyle name="Normal 2 3 6 5 3" xfId="15031" xr:uid="{00000000-0005-0000-0000-0000A18C0000}"/>
    <cellStyle name="Normal 2 3 6 5 3 2" xfId="32666" xr:uid="{00000000-0005-0000-0000-0000A28C0000}"/>
    <cellStyle name="Normal 2 3 6 5 4" xfId="25735" xr:uid="{00000000-0005-0000-0000-0000A38C0000}"/>
    <cellStyle name="Normal 2 3 6 6" xfId="7844" xr:uid="{00000000-0005-0000-0000-0000A48C0000}"/>
    <cellStyle name="Normal 2 3 6 6 2" xfId="15641" xr:uid="{00000000-0005-0000-0000-0000A58C0000}"/>
    <cellStyle name="Normal 2 3 6 6 2 2" xfId="33276" xr:uid="{00000000-0005-0000-0000-0000A68C0000}"/>
    <cellStyle name="Normal 2 3 6 6 3" xfId="26260" xr:uid="{00000000-0005-0000-0000-0000A78C0000}"/>
    <cellStyle name="Normal 2 3 6 7" xfId="11763" xr:uid="{00000000-0005-0000-0000-0000A88C0000}"/>
    <cellStyle name="Normal 2 3 6 7 2" xfId="29450" xr:uid="{00000000-0005-0000-0000-0000A98C0000}"/>
    <cellStyle name="Normal 2 3 6 8" xfId="22821" xr:uid="{00000000-0005-0000-0000-0000AA8C0000}"/>
    <cellStyle name="Normal 2 3 6 8 2" xfId="39005" xr:uid="{00000000-0005-0000-0000-0000AB8C0000}"/>
    <cellStyle name="Normal 2 3 6 9" xfId="23395" xr:uid="{00000000-0005-0000-0000-0000AC8C0000}"/>
    <cellStyle name="Normal 2 3 7" xfId="2287" xr:uid="{00000000-0005-0000-0000-0000AD8C0000}"/>
    <cellStyle name="Normal 2 3 7 10" xfId="52047" xr:uid="{00000000-0005-0000-0000-0000AE8C0000}"/>
    <cellStyle name="Normal 2 3 7 2" xfId="4409" xr:uid="{00000000-0005-0000-0000-0000AF8C0000}"/>
    <cellStyle name="Normal 2 3 7 2 2" xfId="8524" xr:uid="{00000000-0005-0000-0000-0000B08C0000}"/>
    <cellStyle name="Normal 2 3 7 2 2 2" xfId="16320" xr:uid="{00000000-0005-0000-0000-0000B18C0000}"/>
    <cellStyle name="Normal 2 3 7 2 2 2 2" xfId="33955" xr:uid="{00000000-0005-0000-0000-0000B28C0000}"/>
    <cellStyle name="Normal 2 3 7 2 2 3" xfId="26925" xr:uid="{00000000-0005-0000-0000-0000B38C0000}"/>
    <cellStyle name="Normal 2 3 7 2 3" xfId="12772" xr:uid="{00000000-0005-0000-0000-0000B48C0000}"/>
    <cellStyle name="Normal 2 3 7 2 3 2" xfId="30430" xr:uid="{00000000-0005-0000-0000-0000B58C0000}"/>
    <cellStyle name="Normal 2 3 7 2 4" xfId="24060" xr:uid="{00000000-0005-0000-0000-0000B68C0000}"/>
    <cellStyle name="Normal 2 3 7 3" xfId="5838" xr:uid="{00000000-0005-0000-0000-0000B78C0000}"/>
    <cellStyle name="Normal 2 3 7 3 2" xfId="9138" xr:uid="{00000000-0005-0000-0000-0000B88C0000}"/>
    <cellStyle name="Normal 2 3 7 3 2 2" xfId="16933" xr:uid="{00000000-0005-0000-0000-0000B98C0000}"/>
    <cellStyle name="Normal 2 3 7 3 2 2 2" xfId="34569" xr:uid="{00000000-0005-0000-0000-0000BA8C0000}"/>
    <cellStyle name="Normal 2 3 7 3 2 3" xfId="27526" xr:uid="{00000000-0005-0000-0000-0000BB8C0000}"/>
    <cellStyle name="Normal 2 3 7 3 3" xfId="13694" xr:uid="{00000000-0005-0000-0000-0000BC8C0000}"/>
    <cellStyle name="Normal 2 3 7 3 3 2" xfId="31334" xr:uid="{00000000-0005-0000-0000-0000BD8C0000}"/>
    <cellStyle name="Normal 2 3 7 3 4" xfId="24661" xr:uid="{00000000-0005-0000-0000-0000BE8C0000}"/>
    <cellStyle name="Normal 2 3 7 4" xfId="6468" xr:uid="{00000000-0005-0000-0000-0000BF8C0000}"/>
    <cellStyle name="Normal 2 3 7 4 2" xfId="9678" xr:uid="{00000000-0005-0000-0000-0000C08C0000}"/>
    <cellStyle name="Normal 2 3 7 4 2 2" xfId="17472" xr:uid="{00000000-0005-0000-0000-0000C18C0000}"/>
    <cellStyle name="Normal 2 3 7 4 2 2 2" xfId="35109" xr:uid="{00000000-0005-0000-0000-0000C28C0000}"/>
    <cellStyle name="Normal 2 3 7 4 2 3" xfId="28062" xr:uid="{00000000-0005-0000-0000-0000C38C0000}"/>
    <cellStyle name="Normal 2 3 7 4 3" xfId="14257" xr:uid="{00000000-0005-0000-0000-0000C48C0000}"/>
    <cellStyle name="Normal 2 3 7 4 3 2" xfId="31892" xr:uid="{00000000-0005-0000-0000-0000C58C0000}"/>
    <cellStyle name="Normal 2 3 7 4 4" xfId="25198" xr:uid="{00000000-0005-0000-0000-0000C68C0000}"/>
    <cellStyle name="Normal 2 3 7 5" xfId="7244" xr:uid="{00000000-0005-0000-0000-0000C78C0000}"/>
    <cellStyle name="Normal 2 3 7 5 2" xfId="10232" xr:uid="{00000000-0005-0000-0000-0000C88C0000}"/>
    <cellStyle name="Normal 2 3 7 5 2 2" xfId="18025" xr:uid="{00000000-0005-0000-0000-0000C98C0000}"/>
    <cellStyle name="Normal 2 3 7 5 2 2 2" xfId="35662" xr:uid="{00000000-0005-0000-0000-0000CA8C0000}"/>
    <cellStyle name="Normal 2 3 7 5 2 3" xfId="28599" xr:uid="{00000000-0005-0000-0000-0000CB8C0000}"/>
    <cellStyle name="Normal 2 3 7 5 3" xfId="15032" xr:uid="{00000000-0005-0000-0000-0000CC8C0000}"/>
    <cellStyle name="Normal 2 3 7 5 3 2" xfId="32667" xr:uid="{00000000-0005-0000-0000-0000CD8C0000}"/>
    <cellStyle name="Normal 2 3 7 5 4" xfId="25736" xr:uid="{00000000-0005-0000-0000-0000CE8C0000}"/>
    <cellStyle name="Normal 2 3 7 6" xfId="7845" xr:uid="{00000000-0005-0000-0000-0000CF8C0000}"/>
    <cellStyle name="Normal 2 3 7 6 2" xfId="15642" xr:uid="{00000000-0005-0000-0000-0000D08C0000}"/>
    <cellStyle name="Normal 2 3 7 6 2 2" xfId="33277" xr:uid="{00000000-0005-0000-0000-0000D18C0000}"/>
    <cellStyle name="Normal 2 3 7 6 3" xfId="26261" xr:uid="{00000000-0005-0000-0000-0000D28C0000}"/>
    <cellStyle name="Normal 2 3 7 7" xfId="11764" xr:uid="{00000000-0005-0000-0000-0000D38C0000}"/>
    <cellStyle name="Normal 2 3 7 7 2" xfId="29451" xr:uid="{00000000-0005-0000-0000-0000D48C0000}"/>
    <cellStyle name="Normal 2 3 7 8" xfId="22825" xr:uid="{00000000-0005-0000-0000-0000D58C0000}"/>
    <cellStyle name="Normal 2 3 7 8 2" xfId="39007" xr:uid="{00000000-0005-0000-0000-0000D68C0000}"/>
    <cellStyle name="Normal 2 3 7 9" xfId="23396" xr:uid="{00000000-0005-0000-0000-0000D78C0000}"/>
    <cellStyle name="Normal 2 3 8" xfId="2288" xr:uid="{00000000-0005-0000-0000-0000D88C0000}"/>
    <cellStyle name="Normal 2 3 8 10" xfId="52048" xr:uid="{00000000-0005-0000-0000-0000D98C0000}"/>
    <cellStyle name="Normal 2 3 8 2" xfId="4410" xr:uid="{00000000-0005-0000-0000-0000DA8C0000}"/>
    <cellStyle name="Normal 2 3 8 2 2" xfId="8525" xr:uid="{00000000-0005-0000-0000-0000DB8C0000}"/>
    <cellStyle name="Normal 2 3 8 2 2 2" xfId="16321" xr:uid="{00000000-0005-0000-0000-0000DC8C0000}"/>
    <cellStyle name="Normal 2 3 8 2 2 2 2" xfId="33956" xr:uid="{00000000-0005-0000-0000-0000DD8C0000}"/>
    <cellStyle name="Normal 2 3 8 2 2 3" xfId="26926" xr:uid="{00000000-0005-0000-0000-0000DE8C0000}"/>
    <cellStyle name="Normal 2 3 8 2 3" xfId="12773" xr:uid="{00000000-0005-0000-0000-0000DF8C0000}"/>
    <cellStyle name="Normal 2 3 8 2 3 2" xfId="30431" xr:uid="{00000000-0005-0000-0000-0000E08C0000}"/>
    <cellStyle name="Normal 2 3 8 2 4" xfId="24061" xr:uid="{00000000-0005-0000-0000-0000E18C0000}"/>
    <cellStyle name="Normal 2 3 8 3" xfId="5839" xr:uid="{00000000-0005-0000-0000-0000E28C0000}"/>
    <cellStyle name="Normal 2 3 8 3 2" xfId="9139" xr:uid="{00000000-0005-0000-0000-0000E38C0000}"/>
    <cellStyle name="Normal 2 3 8 3 2 2" xfId="16934" xr:uid="{00000000-0005-0000-0000-0000E48C0000}"/>
    <cellStyle name="Normal 2 3 8 3 2 2 2" xfId="34570" xr:uid="{00000000-0005-0000-0000-0000E58C0000}"/>
    <cellStyle name="Normal 2 3 8 3 2 3" xfId="27527" xr:uid="{00000000-0005-0000-0000-0000E68C0000}"/>
    <cellStyle name="Normal 2 3 8 3 3" xfId="13695" xr:uid="{00000000-0005-0000-0000-0000E78C0000}"/>
    <cellStyle name="Normal 2 3 8 3 3 2" xfId="31335" xr:uid="{00000000-0005-0000-0000-0000E88C0000}"/>
    <cellStyle name="Normal 2 3 8 3 4" xfId="24662" xr:uid="{00000000-0005-0000-0000-0000E98C0000}"/>
    <cellStyle name="Normal 2 3 8 4" xfId="6469" xr:uid="{00000000-0005-0000-0000-0000EA8C0000}"/>
    <cellStyle name="Normal 2 3 8 4 2" xfId="9679" xr:uid="{00000000-0005-0000-0000-0000EB8C0000}"/>
    <cellStyle name="Normal 2 3 8 4 2 2" xfId="17473" xr:uid="{00000000-0005-0000-0000-0000EC8C0000}"/>
    <cellStyle name="Normal 2 3 8 4 2 2 2" xfId="35110" xr:uid="{00000000-0005-0000-0000-0000ED8C0000}"/>
    <cellStyle name="Normal 2 3 8 4 2 3" xfId="28063" xr:uid="{00000000-0005-0000-0000-0000EE8C0000}"/>
    <cellStyle name="Normal 2 3 8 4 3" xfId="14258" xr:uid="{00000000-0005-0000-0000-0000EF8C0000}"/>
    <cellStyle name="Normal 2 3 8 4 3 2" xfId="31893" xr:uid="{00000000-0005-0000-0000-0000F08C0000}"/>
    <cellStyle name="Normal 2 3 8 4 4" xfId="25199" xr:uid="{00000000-0005-0000-0000-0000F18C0000}"/>
    <cellStyle name="Normal 2 3 8 5" xfId="7245" xr:uid="{00000000-0005-0000-0000-0000F28C0000}"/>
    <cellStyle name="Normal 2 3 8 5 2" xfId="10233" xr:uid="{00000000-0005-0000-0000-0000F38C0000}"/>
    <cellStyle name="Normal 2 3 8 5 2 2" xfId="18026" xr:uid="{00000000-0005-0000-0000-0000F48C0000}"/>
    <cellStyle name="Normal 2 3 8 5 2 2 2" xfId="35663" xr:uid="{00000000-0005-0000-0000-0000F58C0000}"/>
    <cellStyle name="Normal 2 3 8 5 2 3" xfId="28600" xr:uid="{00000000-0005-0000-0000-0000F68C0000}"/>
    <cellStyle name="Normal 2 3 8 5 3" xfId="15033" xr:uid="{00000000-0005-0000-0000-0000F78C0000}"/>
    <cellStyle name="Normal 2 3 8 5 3 2" xfId="32668" xr:uid="{00000000-0005-0000-0000-0000F88C0000}"/>
    <cellStyle name="Normal 2 3 8 5 4" xfId="25737" xr:uid="{00000000-0005-0000-0000-0000F98C0000}"/>
    <cellStyle name="Normal 2 3 8 6" xfId="7846" xr:uid="{00000000-0005-0000-0000-0000FA8C0000}"/>
    <cellStyle name="Normal 2 3 8 6 2" xfId="15643" xr:uid="{00000000-0005-0000-0000-0000FB8C0000}"/>
    <cellStyle name="Normal 2 3 8 6 2 2" xfId="33278" xr:uid="{00000000-0005-0000-0000-0000FC8C0000}"/>
    <cellStyle name="Normal 2 3 8 6 3" xfId="26262" xr:uid="{00000000-0005-0000-0000-0000FD8C0000}"/>
    <cellStyle name="Normal 2 3 8 7" xfId="11765" xr:uid="{00000000-0005-0000-0000-0000FE8C0000}"/>
    <cellStyle name="Normal 2 3 8 7 2" xfId="29452" xr:uid="{00000000-0005-0000-0000-0000FF8C0000}"/>
    <cellStyle name="Normal 2 3 8 8" xfId="22827" xr:uid="{00000000-0005-0000-0000-0000008D0000}"/>
    <cellStyle name="Normal 2 3 8 8 2" xfId="39009" xr:uid="{00000000-0005-0000-0000-0000018D0000}"/>
    <cellStyle name="Normal 2 3 8 9" xfId="23397" xr:uid="{00000000-0005-0000-0000-0000028D0000}"/>
    <cellStyle name="Normal 2 3 9" xfId="2289" xr:uid="{00000000-0005-0000-0000-0000038D0000}"/>
    <cellStyle name="Normal 2 3 9 10" xfId="52049" xr:uid="{00000000-0005-0000-0000-0000048D0000}"/>
    <cellStyle name="Normal 2 3 9 2" xfId="4411" xr:uid="{00000000-0005-0000-0000-0000058D0000}"/>
    <cellStyle name="Normal 2 3 9 2 2" xfId="8526" xr:uid="{00000000-0005-0000-0000-0000068D0000}"/>
    <cellStyle name="Normal 2 3 9 2 2 2" xfId="16322" xr:uid="{00000000-0005-0000-0000-0000078D0000}"/>
    <cellStyle name="Normal 2 3 9 2 2 2 2" xfId="33957" xr:uid="{00000000-0005-0000-0000-0000088D0000}"/>
    <cellStyle name="Normal 2 3 9 2 2 3" xfId="26927" xr:uid="{00000000-0005-0000-0000-0000098D0000}"/>
    <cellStyle name="Normal 2 3 9 2 3" xfId="12774" xr:uid="{00000000-0005-0000-0000-00000A8D0000}"/>
    <cellStyle name="Normal 2 3 9 2 3 2" xfId="30432" xr:uid="{00000000-0005-0000-0000-00000B8D0000}"/>
    <cellStyle name="Normal 2 3 9 2 4" xfId="24062" xr:uid="{00000000-0005-0000-0000-00000C8D0000}"/>
    <cellStyle name="Normal 2 3 9 3" xfId="5840" xr:uid="{00000000-0005-0000-0000-00000D8D0000}"/>
    <cellStyle name="Normal 2 3 9 3 2" xfId="9140" xr:uid="{00000000-0005-0000-0000-00000E8D0000}"/>
    <cellStyle name="Normal 2 3 9 3 2 2" xfId="16935" xr:uid="{00000000-0005-0000-0000-00000F8D0000}"/>
    <cellStyle name="Normal 2 3 9 3 2 2 2" xfId="34571" xr:uid="{00000000-0005-0000-0000-0000108D0000}"/>
    <cellStyle name="Normal 2 3 9 3 2 3" xfId="27528" xr:uid="{00000000-0005-0000-0000-0000118D0000}"/>
    <cellStyle name="Normal 2 3 9 3 3" xfId="13696" xr:uid="{00000000-0005-0000-0000-0000128D0000}"/>
    <cellStyle name="Normal 2 3 9 3 3 2" xfId="31336" xr:uid="{00000000-0005-0000-0000-0000138D0000}"/>
    <cellStyle name="Normal 2 3 9 3 4" xfId="24663" xr:uid="{00000000-0005-0000-0000-0000148D0000}"/>
    <cellStyle name="Normal 2 3 9 4" xfId="6470" xr:uid="{00000000-0005-0000-0000-0000158D0000}"/>
    <cellStyle name="Normal 2 3 9 4 2" xfId="9680" xr:uid="{00000000-0005-0000-0000-0000168D0000}"/>
    <cellStyle name="Normal 2 3 9 4 2 2" xfId="17474" xr:uid="{00000000-0005-0000-0000-0000178D0000}"/>
    <cellStyle name="Normal 2 3 9 4 2 2 2" xfId="35111" xr:uid="{00000000-0005-0000-0000-0000188D0000}"/>
    <cellStyle name="Normal 2 3 9 4 2 3" xfId="28064" xr:uid="{00000000-0005-0000-0000-0000198D0000}"/>
    <cellStyle name="Normal 2 3 9 4 3" xfId="14259" xr:uid="{00000000-0005-0000-0000-00001A8D0000}"/>
    <cellStyle name="Normal 2 3 9 4 3 2" xfId="31894" xr:uid="{00000000-0005-0000-0000-00001B8D0000}"/>
    <cellStyle name="Normal 2 3 9 4 4" xfId="25200" xr:uid="{00000000-0005-0000-0000-00001C8D0000}"/>
    <cellStyle name="Normal 2 3 9 5" xfId="7246" xr:uid="{00000000-0005-0000-0000-00001D8D0000}"/>
    <cellStyle name="Normal 2 3 9 5 2" xfId="10234" xr:uid="{00000000-0005-0000-0000-00001E8D0000}"/>
    <cellStyle name="Normal 2 3 9 5 2 2" xfId="18027" xr:uid="{00000000-0005-0000-0000-00001F8D0000}"/>
    <cellStyle name="Normal 2 3 9 5 2 2 2" xfId="35664" xr:uid="{00000000-0005-0000-0000-0000208D0000}"/>
    <cellStyle name="Normal 2 3 9 5 2 3" xfId="28601" xr:uid="{00000000-0005-0000-0000-0000218D0000}"/>
    <cellStyle name="Normal 2 3 9 5 3" xfId="15034" xr:uid="{00000000-0005-0000-0000-0000228D0000}"/>
    <cellStyle name="Normal 2 3 9 5 3 2" xfId="32669" xr:uid="{00000000-0005-0000-0000-0000238D0000}"/>
    <cellStyle name="Normal 2 3 9 5 4" xfId="25738" xr:uid="{00000000-0005-0000-0000-0000248D0000}"/>
    <cellStyle name="Normal 2 3 9 6" xfId="7847" xr:uid="{00000000-0005-0000-0000-0000258D0000}"/>
    <cellStyle name="Normal 2 3 9 6 2" xfId="15644" xr:uid="{00000000-0005-0000-0000-0000268D0000}"/>
    <cellStyle name="Normal 2 3 9 6 2 2" xfId="33279" xr:uid="{00000000-0005-0000-0000-0000278D0000}"/>
    <cellStyle name="Normal 2 3 9 6 3" xfId="26263" xr:uid="{00000000-0005-0000-0000-0000288D0000}"/>
    <cellStyle name="Normal 2 3 9 7" xfId="11766" xr:uid="{00000000-0005-0000-0000-0000298D0000}"/>
    <cellStyle name="Normal 2 3 9 7 2" xfId="29453" xr:uid="{00000000-0005-0000-0000-00002A8D0000}"/>
    <cellStyle name="Normal 2 3 9 8" xfId="22830" xr:uid="{00000000-0005-0000-0000-00002B8D0000}"/>
    <cellStyle name="Normal 2 3 9 8 2" xfId="39011" xr:uid="{00000000-0005-0000-0000-00002C8D0000}"/>
    <cellStyle name="Normal 2 3 9 9" xfId="23398" xr:uid="{00000000-0005-0000-0000-00002D8D0000}"/>
    <cellStyle name="Normal 2 3_Sheet1" xfId="2290" xr:uid="{00000000-0005-0000-0000-00002E8D0000}"/>
    <cellStyle name="Normal 2 4" xfId="191" xr:uid="{00000000-0005-0000-0000-00002F8D0000}"/>
    <cellStyle name="Normal 2 4 10" xfId="2291" xr:uid="{00000000-0005-0000-0000-0000308D0000}"/>
    <cellStyle name="Normal 2 4 2" xfId="2292" xr:uid="{00000000-0005-0000-0000-0000318D0000}"/>
    <cellStyle name="Normal 2 4 2 10" xfId="23399" xr:uid="{00000000-0005-0000-0000-0000328D0000}"/>
    <cellStyle name="Normal 2 4 2 11" xfId="52051" xr:uid="{00000000-0005-0000-0000-0000338D0000}"/>
    <cellStyle name="Normal 2 4 2 2" xfId="4414" xr:uid="{00000000-0005-0000-0000-0000348D0000}"/>
    <cellStyle name="Normal 2 4 2 3" xfId="4413" xr:uid="{00000000-0005-0000-0000-0000358D0000}"/>
    <cellStyle name="Normal 2 4 2 3 2" xfId="8527" xr:uid="{00000000-0005-0000-0000-0000368D0000}"/>
    <cellStyle name="Normal 2 4 2 3 2 2" xfId="16323" xr:uid="{00000000-0005-0000-0000-0000378D0000}"/>
    <cellStyle name="Normal 2 4 2 3 2 2 2" xfId="33958" xr:uid="{00000000-0005-0000-0000-0000388D0000}"/>
    <cellStyle name="Normal 2 4 2 3 2 3" xfId="26928" xr:uid="{00000000-0005-0000-0000-0000398D0000}"/>
    <cellStyle name="Normal 2 4 2 3 3" xfId="12775" xr:uid="{00000000-0005-0000-0000-00003A8D0000}"/>
    <cellStyle name="Normal 2 4 2 3 3 2" xfId="30433" xr:uid="{00000000-0005-0000-0000-00003B8D0000}"/>
    <cellStyle name="Normal 2 4 2 3 4" xfId="24063" xr:uid="{00000000-0005-0000-0000-00003C8D0000}"/>
    <cellStyle name="Normal 2 4 2 4" xfId="5841" xr:uid="{00000000-0005-0000-0000-00003D8D0000}"/>
    <cellStyle name="Normal 2 4 2 4 2" xfId="9141" xr:uid="{00000000-0005-0000-0000-00003E8D0000}"/>
    <cellStyle name="Normal 2 4 2 4 2 2" xfId="16936" xr:uid="{00000000-0005-0000-0000-00003F8D0000}"/>
    <cellStyle name="Normal 2 4 2 4 2 2 2" xfId="34572" xr:uid="{00000000-0005-0000-0000-0000408D0000}"/>
    <cellStyle name="Normal 2 4 2 4 2 3" xfId="27529" xr:uid="{00000000-0005-0000-0000-0000418D0000}"/>
    <cellStyle name="Normal 2 4 2 4 3" xfId="13697" xr:uid="{00000000-0005-0000-0000-0000428D0000}"/>
    <cellStyle name="Normal 2 4 2 4 3 2" xfId="31337" xr:uid="{00000000-0005-0000-0000-0000438D0000}"/>
    <cellStyle name="Normal 2 4 2 4 4" xfId="24664" xr:uid="{00000000-0005-0000-0000-0000448D0000}"/>
    <cellStyle name="Normal 2 4 2 5" xfId="6471" xr:uid="{00000000-0005-0000-0000-0000458D0000}"/>
    <cellStyle name="Normal 2 4 2 5 2" xfId="9681" xr:uid="{00000000-0005-0000-0000-0000468D0000}"/>
    <cellStyle name="Normal 2 4 2 5 2 2" xfId="17475" xr:uid="{00000000-0005-0000-0000-0000478D0000}"/>
    <cellStyle name="Normal 2 4 2 5 2 2 2" xfId="35112" xr:uid="{00000000-0005-0000-0000-0000488D0000}"/>
    <cellStyle name="Normal 2 4 2 5 2 3" xfId="28065" xr:uid="{00000000-0005-0000-0000-0000498D0000}"/>
    <cellStyle name="Normal 2 4 2 5 3" xfId="14260" xr:uid="{00000000-0005-0000-0000-00004A8D0000}"/>
    <cellStyle name="Normal 2 4 2 5 3 2" xfId="31895" xr:uid="{00000000-0005-0000-0000-00004B8D0000}"/>
    <cellStyle name="Normal 2 4 2 5 4" xfId="25201" xr:uid="{00000000-0005-0000-0000-00004C8D0000}"/>
    <cellStyle name="Normal 2 4 2 6" xfId="7247" xr:uid="{00000000-0005-0000-0000-00004D8D0000}"/>
    <cellStyle name="Normal 2 4 2 6 2" xfId="10235" xr:uid="{00000000-0005-0000-0000-00004E8D0000}"/>
    <cellStyle name="Normal 2 4 2 6 2 2" xfId="18028" xr:uid="{00000000-0005-0000-0000-00004F8D0000}"/>
    <cellStyle name="Normal 2 4 2 6 2 2 2" xfId="35665" xr:uid="{00000000-0005-0000-0000-0000508D0000}"/>
    <cellStyle name="Normal 2 4 2 6 2 3" xfId="28602" xr:uid="{00000000-0005-0000-0000-0000518D0000}"/>
    <cellStyle name="Normal 2 4 2 6 3" xfId="15035" xr:uid="{00000000-0005-0000-0000-0000528D0000}"/>
    <cellStyle name="Normal 2 4 2 6 3 2" xfId="32670" xr:uid="{00000000-0005-0000-0000-0000538D0000}"/>
    <cellStyle name="Normal 2 4 2 6 4" xfId="25739" xr:uid="{00000000-0005-0000-0000-0000548D0000}"/>
    <cellStyle name="Normal 2 4 2 7" xfId="7848" xr:uid="{00000000-0005-0000-0000-0000558D0000}"/>
    <cellStyle name="Normal 2 4 2 7 2" xfId="15645" xr:uid="{00000000-0005-0000-0000-0000568D0000}"/>
    <cellStyle name="Normal 2 4 2 7 2 2" xfId="33280" xr:uid="{00000000-0005-0000-0000-0000578D0000}"/>
    <cellStyle name="Normal 2 4 2 7 3" xfId="26264" xr:uid="{00000000-0005-0000-0000-0000588D0000}"/>
    <cellStyle name="Normal 2 4 2 8" xfId="11767" xr:uid="{00000000-0005-0000-0000-0000598D0000}"/>
    <cellStyle name="Normal 2 4 2 8 2" xfId="29454" xr:uid="{00000000-0005-0000-0000-00005A8D0000}"/>
    <cellStyle name="Normal 2 4 2 9" xfId="22795" xr:uid="{00000000-0005-0000-0000-00005B8D0000}"/>
    <cellStyle name="Normal 2 4 2 9 2" xfId="39000" xr:uid="{00000000-0005-0000-0000-00005C8D0000}"/>
    <cellStyle name="Normal 2 4 3" xfId="2293" xr:uid="{00000000-0005-0000-0000-00005D8D0000}"/>
    <cellStyle name="Normal 2 4 3 2" xfId="4415" xr:uid="{00000000-0005-0000-0000-00005E8D0000}"/>
    <cellStyle name="Normal 2 4 3 3" xfId="22805" xr:uid="{00000000-0005-0000-0000-00005F8D0000}"/>
    <cellStyle name="Normal 2 4 3 3 2" xfId="39002" xr:uid="{00000000-0005-0000-0000-0000608D0000}"/>
    <cellStyle name="Normal 2 4 3 4" xfId="52052" xr:uid="{00000000-0005-0000-0000-0000618D0000}"/>
    <cellStyle name="Normal 2 4 4" xfId="4416" xr:uid="{00000000-0005-0000-0000-0000628D0000}"/>
    <cellStyle name="Normal 2 4 4 2" xfId="22820" xr:uid="{00000000-0005-0000-0000-0000638D0000}"/>
    <cellStyle name="Normal 2 4 4 2 2" xfId="39004" xr:uid="{00000000-0005-0000-0000-0000648D0000}"/>
    <cellStyle name="Normal 2 4 5" xfId="4417" xr:uid="{00000000-0005-0000-0000-0000658D0000}"/>
    <cellStyle name="Normal 2 4 5 2" xfId="22822" xr:uid="{00000000-0005-0000-0000-0000668D0000}"/>
    <cellStyle name="Normal 2 4 5 2 2" xfId="39006" xr:uid="{00000000-0005-0000-0000-0000678D0000}"/>
    <cellStyle name="Normal 2 4 6" xfId="4412" xr:uid="{00000000-0005-0000-0000-0000688D0000}"/>
    <cellStyle name="Normal 2 4 6 2" xfId="22826" xr:uid="{00000000-0005-0000-0000-0000698D0000}"/>
    <cellStyle name="Normal 2 4 6 2 2" xfId="39008" xr:uid="{00000000-0005-0000-0000-00006A8D0000}"/>
    <cellStyle name="Normal 2 4 7" xfId="22828" xr:uid="{00000000-0005-0000-0000-00006B8D0000}"/>
    <cellStyle name="Normal 2 4 7 2" xfId="39010" xr:uid="{00000000-0005-0000-0000-00006C8D0000}"/>
    <cellStyle name="Normal 2 4 8" xfId="22831" xr:uid="{00000000-0005-0000-0000-00006D8D0000}"/>
    <cellStyle name="Normal 2 4 8 2" xfId="39012" xr:uid="{00000000-0005-0000-0000-00006E8D0000}"/>
    <cellStyle name="Normal 2 4 9" xfId="52050" xr:uid="{00000000-0005-0000-0000-00006F8D0000}"/>
    <cellStyle name="Normal 2 5" xfId="2294" xr:uid="{00000000-0005-0000-0000-0000708D0000}"/>
    <cellStyle name="Normal 2 5 2" xfId="2295" xr:uid="{00000000-0005-0000-0000-0000718D0000}"/>
    <cellStyle name="Normal 2 5 2 2" xfId="4419" xr:uid="{00000000-0005-0000-0000-0000728D0000}"/>
    <cellStyle name="Normal 2 5 2 3" xfId="52054" xr:uid="{00000000-0005-0000-0000-0000738D0000}"/>
    <cellStyle name="Normal 2 5 3" xfId="4418" xr:uid="{00000000-0005-0000-0000-0000748D0000}"/>
    <cellStyle name="Normal 2 5 4" xfId="52053" xr:uid="{00000000-0005-0000-0000-0000758D0000}"/>
    <cellStyle name="Normal 2 5_BallGrid" xfId="2296" xr:uid="{00000000-0005-0000-0000-0000768D0000}"/>
    <cellStyle name="Normal 2 6" xfId="2297" xr:uid="{00000000-0005-0000-0000-0000778D0000}"/>
    <cellStyle name="Normal 2 6 10" xfId="52055" xr:uid="{00000000-0005-0000-0000-0000788D0000}"/>
    <cellStyle name="Normal 2 6 2" xfId="4420" xr:uid="{00000000-0005-0000-0000-0000798D0000}"/>
    <cellStyle name="Normal 2 6 2 2" xfId="8528" xr:uid="{00000000-0005-0000-0000-00007A8D0000}"/>
    <cellStyle name="Normal 2 6 2 2 2" xfId="16324" xr:uid="{00000000-0005-0000-0000-00007B8D0000}"/>
    <cellStyle name="Normal 2 6 2 2 2 2" xfId="33959" xr:uid="{00000000-0005-0000-0000-00007C8D0000}"/>
    <cellStyle name="Normal 2 6 2 2 3" xfId="26929" xr:uid="{00000000-0005-0000-0000-00007D8D0000}"/>
    <cellStyle name="Normal 2 6 2 3" xfId="12776" xr:uid="{00000000-0005-0000-0000-00007E8D0000}"/>
    <cellStyle name="Normal 2 6 2 3 2" xfId="30434" xr:uid="{00000000-0005-0000-0000-00007F8D0000}"/>
    <cellStyle name="Normal 2 6 2 4" xfId="22758" xr:uid="{00000000-0005-0000-0000-0000808D0000}"/>
    <cellStyle name="Normal 2 6 2 4 2" xfId="38965" xr:uid="{00000000-0005-0000-0000-0000818D0000}"/>
    <cellStyle name="Normal 2 6 2 5" xfId="24064" xr:uid="{00000000-0005-0000-0000-0000828D0000}"/>
    <cellStyle name="Normal 2 6 3" xfId="5842" xr:uid="{00000000-0005-0000-0000-0000838D0000}"/>
    <cellStyle name="Normal 2 6 3 2" xfId="9142" xr:uid="{00000000-0005-0000-0000-0000848D0000}"/>
    <cellStyle name="Normal 2 6 3 2 2" xfId="16937" xr:uid="{00000000-0005-0000-0000-0000858D0000}"/>
    <cellStyle name="Normal 2 6 3 2 2 2" xfId="34573" xr:uid="{00000000-0005-0000-0000-0000868D0000}"/>
    <cellStyle name="Normal 2 6 3 2 3" xfId="27530" xr:uid="{00000000-0005-0000-0000-0000878D0000}"/>
    <cellStyle name="Normal 2 6 3 3" xfId="13698" xr:uid="{00000000-0005-0000-0000-0000888D0000}"/>
    <cellStyle name="Normal 2 6 3 3 2" xfId="31338" xr:uid="{00000000-0005-0000-0000-0000898D0000}"/>
    <cellStyle name="Normal 2 6 3 4" xfId="24665" xr:uid="{00000000-0005-0000-0000-00008A8D0000}"/>
    <cellStyle name="Normal 2 6 4" xfId="6472" xr:uid="{00000000-0005-0000-0000-00008B8D0000}"/>
    <cellStyle name="Normal 2 6 4 2" xfId="9682" xr:uid="{00000000-0005-0000-0000-00008C8D0000}"/>
    <cellStyle name="Normal 2 6 4 2 2" xfId="17476" xr:uid="{00000000-0005-0000-0000-00008D8D0000}"/>
    <cellStyle name="Normal 2 6 4 2 2 2" xfId="35113" xr:uid="{00000000-0005-0000-0000-00008E8D0000}"/>
    <cellStyle name="Normal 2 6 4 2 3" xfId="28066" xr:uid="{00000000-0005-0000-0000-00008F8D0000}"/>
    <cellStyle name="Normal 2 6 4 3" xfId="14261" xr:uid="{00000000-0005-0000-0000-0000908D0000}"/>
    <cellStyle name="Normal 2 6 4 3 2" xfId="31896" xr:uid="{00000000-0005-0000-0000-0000918D0000}"/>
    <cellStyle name="Normal 2 6 4 4" xfId="25202" xr:uid="{00000000-0005-0000-0000-0000928D0000}"/>
    <cellStyle name="Normal 2 6 5" xfId="7248" xr:uid="{00000000-0005-0000-0000-0000938D0000}"/>
    <cellStyle name="Normal 2 6 5 2" xfId="10236" xr:uid="{00000000-0005-0000-0000-0000948D0000}"/>
    <cellStyle name="Normal 2 6 5 2 2" xfId="18029" xr:uid="{00000000-0005-0000-0000-0000958D0000}"/>
    <cellStyle name="Normal 2 6 5 2 2 2" xfId="35666" xr:uid="{00000000-0005-0000-0000-0000968D0000}"/>
    <cellStyle name="Normal 2 6 5 2 3" xfId="28603" xr:uid="{00000000-0005-0000-0000-0000978D0000}"/>
    <cellStyle name="Normal 2 6 5 3" xfId="15036" xr:uid="{00000000-0005-0000-0000-0000988D0000}"/>
    <cellStyle name="Normal 2 6 5 3 2" xfId="32671" xr:uid="{00000000-0005-0000-0000-0000998D0000}"/>
    <cellStyle name="Normal 2 6 5 4" xfId="25740" xr:uid="{00000000-0005-0000-0000-00009A8D0000}"/>
    <cellStyle name="Normal 2 6 6" xfId="7849" xr:uid="{00000000-0005-0000-0000-00009B8D0000}"/>
    <cellStyle name="Normal 2 6 6 2" xfId="15646" xr:uid="{00000000-0005-0000-0000-00009C8D0000}"/>
    <cellStyle name="Normal 2 6 6 2 2" xfId="33281" xr:uid="{00000000-0005-0000-0000-00009D8D0000}"/>
    <cellStyle name="Normal 2 6 6 3" xfId="26265" xr:uid="{00000000-0005-0000-0000-00009E8D0000}"/>
    <cellStyle name="Normal 2 6 7" xfId="11769" xr:uid="{00000000-0005-0000-0000-00009F8D0000}"/>
    <cellStyle name="Normal 2 6 7 2" xfId="29456" xr:uid="{00000000-0005-0000-0000-0000A08D0000}"/>
    <cellStyle name="Normal 2 6 8" xfId="21989" xr:uid="{00000000-0005-0000-0000-0000A18D0000}"/>
    <cellStyle name="Normal 2 6 8 2" xfId="38733" xr:uid="{00000000-0005-0000-0000-0000A28D0000}"/>
    <cellStyle name="Normal 2 6 9" xfId="23400" xr:uid="{00000000-0005-0000-0000-0000A38D0000}"/>
    <cellStyle name="Normal 2 7" xfId="2298" xr:uid="{00000000-0005-0000-0000-0000A48D0000}"/>
    <cellStyle name="Normal 2 7 10" xfId="52056" xr:uid="{00000000-0005-0000-0000-0000A58D0000}"/>
    <cellStyle name="Normal 2 7 2" xfId="4421" xr:uid="{00000000-0005-0000-0000-0000A68D0000}"/>
    <cellStyle name="Normal 2 7 2 2" xfId="8529" xr:uid="{00000000-0005-0000-0000-0000A78D0000}"/>
    <cellStyle name="Normal 2 7 2 2 2" xfId="16325" xr:uid="{00000000-0005-0000-0000-0000A88D0000}"/>
    <cellStyle name="Normal 2 7 2 2 2 2" xfId="33960" xr:uid="{00000000-0005-0000-0000-0000A98D0000}"/>
    <cellStyle name="Normal 2 7 2 2 3" xfId="26930" xr:uid="{00000000-0005-0000-0000-0000AA8D0000}"/>
    <cellStyle name="Normal 2 7 2 3" xfId="12777" xr:uid="{00000000-0005-0000-0000-0000AB8D0000}"/>
    <cellStyle name="Normal 2 7 2 3 2" xfId="30435" xr:uid="{00000000-0005-0000-0000-0000AC8D0000}"/>
    <cellStyle name="Normal 2 7 2 4" xfId="24065" xr:uid="{00000000-0005-0000-0000-0000AD8D0000}"/>
    <cellStyle name="Normal 2 7 3" xfId="5843" xr:uid="{00000000-0005-0000-0000-0000AE8D0000}"/>
    <cellStyle name="Normal 2 7 3 2" xfId="9143" xr:uid="{00000000-0005-0000-0000-0000AF8D0000}"/>
    <cellStyle name="Normal 2 7 3 2 2" xfId="16938" xr:uid="{00000000-0005-0000-0000-0000B08D0000}"/>
    <cellStyle name="Normal 2 7 3 2 2 2" xfId="34574" xr:uid="{00000000-0005-0000-0000-0000B18D0000}"/>
    <cellStyle name="Normal 2 7 3 2 3" xfId="27531" xr:uid="{00000000-0005-0000-0000-0000B28D0000}"/>
    <cellStyle name="Normal 2 7 3 3" xfId="13699" xr:uid="{00000000-0005-0000-0000-0000B38D0000}"/>
    <cellStyle name="Normal 2 7 3 3 2" xfId="31339" xr:uid="{00000000-0005-0000-0000-0000B48D0000}"/>
    <cellStyle name="Normal 2 7 3 4" xfId="24666" xr:uid="{00000000-0005-0000-0000-0000B58D0000}"/>
    <cellStyle name="Normal 2 7 4" xfId="6473" xr:uid="{00000000-0005-0000-0000-0000B68D0000}"/>
    <cellStyle name="Normal 2 7 4 2" xfId="9683" xr:uid="{00000000-0005-0000-0000-0000B78D0000}"/>
    <cellStyle name="Normal 2 7 4 2 2" xfId="17477" xr:uid="{00000000-0005-0000-0000-0000B88D0000}"/>
    <cellStyle name="Normal 2 7 4 2 2 2" xfId="35114" xr:uid="{00000000-0005-0000-0000-0000B98D0000}"/>
    <cellStyle name="Normal 2 7 4 2 3" xfId="28067" xr:uid="{00000000-0005-0000-0000-0000BA8D0000}"/>
    <cellStyle name="Normal 2 7 4 3" xfId="14262" xr:uid="{00000000-0005-0000-0000-0000BB8D0000}"/>
    <cellStyle name="Normal 2 7 4 3 2" xfId="31897" xr:uid="{00000000-0005-0000-0000-0000BC8D0000}"/>
    <cellStyle name="Normal 2 7 4 4" xfId="25203" xr:uid="{00000000-0005-0000-0000-0000BD8D0000}"/>
    <cellStyle name="Normal 2 7 5" xfId="7249" xr:uid="{00000000-0005-0000-0000-0000BE8D0000}"/>
    <cellStyle name="Normal 2 7 5 2" xfId="10237" xr:uid="{00000000-0005-0000-0000-0000BF8D0000}"/>
    <cellStyle name="Normal 2 7 5 2 2" xfId="18030" xr:uid="{00000000-0005-0000-0000-0000C08D0000}"/>
    <cellStyle name="Normal 2 7 5 2 2 2" xfId="35667" xr:uid="{00000000-0005-0000-0000-0000C18D0000}"/>
    <cellStyle name="Normal 2 7 5 2 3" xfId="28604" xr:uid="{00000000-0005-0000-0000-0000C28D0000}"/>
    <cellStyle name="Normal 2 7 5 3" xfId="15037" xr:uid="{00000000-0005-0000-0000-0000C38D0000}"/>
    <cellStyle name="Normal 2 7 5 3 2" xfId="32672" xr:uid="{00000000-0005-0000-0000-0000C48D0000}"/>
    <cellStyle name="Normal 2 7 5 4" xfId="25741" xr:uid="{00000000-0005-0000-0000-0000C58D0000}"/>
    <cellStyle name="Normal 2 7 6" xfId="7850" xr:uid="{00000000-0005-0000-0000-0000C68D0000}"/>
    <cellStyle name="Normal 2 7 6 2" xfId="15647" xr:uid="{00000000-0005-0000-0000-0000C78D0000}"/>
    <cellStyle name="Normal 2 7 6 2 2" xfId="33282" xr:uid="{00000000-0005-0000-0000-0000C88D0000}"/>
    <cellStyle name="Normal 2 7 6 3" xfId="26266" xr:uid="{00000000-0005-0000-0000-0000C98D0000}"/>
    <cellStyle name="Normal 2 7 7" xfId="11770" xr:uid="{00000000-0005-0000-0000-0000CA8D0000}"/>
    <cellStyle name="Normal 2 7 7 2" xfId="29457" xr:uid="{00000000-0005-0000-0000-0000CB8D0000}"/>
    <cellStyle name="Normal 2 7 8" xfId="21990" xr:uid="{00000000-0005-0000-0000-0000CC8D0000}"/>
    <cellStyle name="Normal 2 7 8 2" xfId="38734" xr:uid="{00000000-0005-0000-0000-0000CD8D0000}"/>
    <cellStyle name="Normal 2 7 9" xfId="23401" xr:uid="{00000000-0005-0000-0000-0000CE8D0000}"/>
    <cellStyle name="Normal 2 8" xfId="2299" xr:uid="{00000000-0005-0000-0000-0000CF8D0000}"/>
    <cellStyle name="Normal 2 8 10" xfId="52057" xr:uid="{00000000-0005-0000-0000-0000D08D0000}"/>
    <cellStyle name="Normal 2 8 2" xfId="4422" xr:uid="{00000000-0005-0000-0000-0000D18D0000}"/>
    <cellStyle name="Normal 2 8 2 2" xfId="8530" xr:uid="{00000000-0005-0000-0000-0000D28D0000}"/>
    <cellStyle name="Normal 2 8 2 2 2" xfId="16326" xr:uid="{00000000-0005-0000-0000-0000D38D0000}"/>
    <cellStyle name="Normal 2 8 2 2 2 2" xfId="33961" xr:uid="{00000000-0005-0000-0000-0000D48D0000}"/>
    <cellStyle name="Normal 2 8 2 2 3" xfId="26931" xr:uid="{00000000-0005-0000-0000-0000D58D0000}"/>
    <cellStyle name="Normal 2 8 2 3" xfId="12778" xr:uid="{00000000-0005-0000-0000-0000D68D0000}"/>
    <cellStyle name="Normal 2 8 2 3 2" xfId="30436" xr:uid="{00000000-0005-0000-0000-0000D78D0000}"/>
    <cellStyle name="Normal 2 8 2 4" xfId="24066" xr:uid="{00000000-0005-0000-0000-0000D88D0000}"/>
    <cellStyle name="Normal 2 8 3" xfId="5844" xr:uid="{00000000-0005-0000-0000-0000D98D0000}"/>
    <cellStyle name="Normal 2 8 3 2" xfId="9144" xr:uid="{00000000-0005-0000-0000-0000DA8D0000}"/>
    <cellStyle name="Normal 2 8 3 2 2" xfId="16939" xr:uid="{00000000-0005-0000-0000-0000DB8D0000}"/>
    <cellStyle name="Normal 2 8 3 2 2 2" xfId="34575" xr:uid="{00000000-0005-0000-0000-0000DC8D0000}"/>
    <cellStyle name="Normal 2 8 3 2 3" xfId="27532" xr:uid="{00000000-0005-0000-0000-0000DD8D0000}"/>
    <cellStyle name="Normal 2 8 3 3" xfId="13700" xr:uid="{00000000-0005-0000-0000-0000DE8D0000}"/>
    <cellStyle name="Normal 2 8 3 3 2" xfId="31340" xr:uid="{00000000-0005-0000-0000-0000DF8D0000}"/>
    <cellStyle name="Normal 2 8 3 4" xfId="24667" xr:uid="{00000000-0005-0000-0000-0000E08D0000}"/>
    <cellStyle name="Normal 2 8 4" xfId="6474" xr:uid="{00000000-0005-0000-0000-0000E18D0000}"/>
    <cellStyle name="Normal 2 8 4 2" xfId="9684" xr:uid="{00000000-0005-0000-0000-0000E28D0000}"/>
    <cellStyle name="Normal 2 8 4 2 2" xfId="17478" xr:uid="{00000000-0005-0000-0000-0000E38D0000}"/>
    <cellStyle name="Normal 2 8 4 2 2 2" xfId="35115" xr:uid="{00000000-0005-0000-0000-0000E48D0000}"/>
    <cellStyle name="Normal 2 8 4 2 3" xfId="28068" xr:uid="{00000000-0005-0000-0000-0000E58D0000}"/>
    <cellStyle name="Normal 2 8 4 3" xfId="14263" xr:uid="{00000000-0005-0000-0000-0000E68D0000}"/>
    <cellStyle name="Normal 2 8 4 3 2" xfId="31898" xr:uid="{00000000-0005-0000-0000-0000E78D0000}"/>
    <cellStyle name="Normal 2 8 4 4" xfId="25204" xr:uid="{00000000-0005-0000-0000-0000E88D0000}"/>
    <cellStyle name="Normal 2 8 5" xfId="7250" xr:uid="{00000000-0005-0000-0000-0000E98D0000}"/>
    <cellStyle name="Normal 2 8 5 2" xfId="10238" xr:uid="{00000000-0005-0000-0000-0000EA8D0000}"/>
    <cellStyle name="Normal 2 8 5 2 2" xfId="18031" xr:uid="{00000000-0005-0000-0000-0000EB8D0000}"/>
    <cellStyle name="Normal 2 8 5 2 2 2" xfId="35668" xr:uid="{00000000-0005-0000-0000-0000EC8D0000}"/>
    <cellStyle name="Normal 2 8 5 2 3" xfId="28605" xr:uid="{00000000-0005-0000-0000-0000ED8D0000}"/>
    <cellStyle name="Normal 2 8 5 3" xfId="15038" xr:uid="{00000000-0005-0000-0000-0000EE8D0000}"/>
    <cellStyle name="Normal 2 8 5 3 2" xfId="32673" xr:uid="{00000000-0005-0000-0000-0000EF8D0000}"/>
    <cellStyle name="Normal 2 8 5 4" xfId="25742" xr:uid="{00000000-0005-0000-0000-0000F08D0000}"/>
    <cellStyle name="Normal 2 8 6" xfId="7851" xr:uid="{00000000-0005-0000-0000-0000F18D0000}"/>
    <cellStyle name="Normal 2 8 6 2" xfId="15648" xr:uid="{00000000-0005-0000-0000-0000F28D0000}"/>
    <cellStyle name="Normal 2 8 6 2 2" xfId="33283" xr:uid="{00000000-0005-0000-0000-0000F38D0000}"/>
    <cellStyle name="Normal 2 8 6 3" xfId="26267" xr:uid="{00000000-0005-0000-0000-0000F48D0000}"/>
    <cellStyle name="Normal 2 8 7" xfId="11771" xr:uid="{00000000-0005-0000-0000-0000F58D0000}"/>
    <cellStyle name="Normal 2 8 7 2" xfId="29458" xr:uid="{00000000-0005-0000-0000-0000F68D0000}"/>
    <cellStyle name="Normal 2 8 8" xfId="21991" xr:uid="{00000000-0005-0000-0000-0000F78D0000}"/>
    <cellStyle name="Normal 2 8 8 2" xfId="38735" xr:uid="{00000000-0005-0000-0000-0000F88D0000}"/>
    <cellStyle name="Normal 2 8 9" xfId="23402" xr:uid="{00000000-0005-0000-0000-0000F98D0000}"/>
    <cellStyle name="Normal 2 9" xfId="2300" xr:uid="{00000000-0005-0000-0000-0000FA8D0000}"/>
    <cellStyle name="Normal 2 9 10" xfId="52058" xr:uid="{00000000-0005-0000-0000-0000FB8D0000}"/>
    <cellStyle name="Normal 2 9 2" xfId="4423" xr:uid="{00000000-0005-0000-0000-0000FC8D0000}"/>
    <cellStyle name="Normal 2 9 2 2" xfId="8531" xr:uid="{00000000-0005-0000-0000-0000FD8D0000}"/>
    <cellStyle name="Normal 2 9 2 2 2" xfId="16327" xr:uid="{00000000-0005-0000-0000-0000FE8D0000}"/>
    <cellStyle name="Normal 2 9 2 2 2 2" xfId="33962" xr:uid="{00000000-0005-0000-0000-0000FF8D0000}"/>
    <cellStyle name="Normal 2 9 2 2 3" xfId="26932" xr:uid="{00000000-0005-0000-0000-0000008E0000}"/>
    <cellStyle name="Normal 2 9 2 3" xfId="12779" xr:uid="{00000000-0005-0000-0000-0000018E0000}"/>
    <cellStyle name="Normal 2 9 2 3 2" xfId="30437" xr:uid="{00000000-0005-0000-0000-0000028E0000}"/>
    <cellStyle name="Normal 2 9 2 4" xfId="24067" xr:uid="{00000000-0005-0000-0000-0000038E0000}"/>
    <cellStyle name="Normal 2 9 3" xfId="5845" xr:uid="{00000000-0005-0000-0000-0000048E0000}"/>
    <cellStyle name="Normal 2 9 3 2" xfId="9145" xr:uid="{00000000-0005-0000-0000-0000058E0000}"/>
    <cellStyle name="Normal 2 9 3 2 2" xfId="16940" xr:uid="{00000000-0005-0000-0000-0000068E0000}"/>
    <cellStyle name="Normal 2 9 3 2 2 2" xfId="34576" xr:uid="{00000000-0005-0000-0000-0000078E0000}"/>
    <cellStyle name="Normal 2 9 3 2 3" xfId="27533" xr:uid="{00000000-0005-0000-0000-0000088E0000}"/>
    <cellStyle name="Normal 2 9 3 3" xfId="13701" xr:uid="{00000000-0005-0000-0000-0000098E0000}"/>
    <cellStyle name="Normal 2 9 3 3 2" xfId="31341" xr:uid="{00000000-0005-0000-0000-00000A8E0000}"/>
    <cellStyle name="Normal 2 9 3 4" xfId="24668" xr:uid="{00000000-0005-0000-0000-00000B8E0000}"/>
    <cellStyle name="Normal 2 9 4" xfId="6475" xr:uid="{00000000-0005-0000-0000-00000C8E0000}"/>
    <cellStyle name="Normal 2 9 4 2" xfId="9685" xr:uid="{00000000-0005-0000-0000-00000D8E0000}"/>
    <cellStyle name="Normal 2 9 4 2 2" xfId="17479" xr:uid="{00000000-0005-0000-0000-00000E8E0000}"/>
    <cellStyle name="Normal 2 9 4 2 2 2" xfId="35116" xr:uid="{00000000-0005-0000-0000-00000F8E0000}"/>
    <cellStyle name="Normal 2 9 4 2 3" xfId="28069" xr:uid="{00000000-0005-0000-0000-0000108E0000}"/>
    <cellStyle name="Normal 2 9 4 3" xfId="14264" xr:uid="{00000000-0005-0000-0000-0000118E0000}"/>
    <cellStyle name="Normal 2 9 4 3 2" xfId="31899" xr:uid="{00000000-0005-0000-0000-0000128E0000}"/>
    <cellStyle name="Normal 2 9 4 4" xfId="25205" xr:uid="{00000000-0005-0000-0000-0000138E0000}"/>
    <cellStyle name="Normal 2 9 5" xfId="7251" xr:uid="{00000000-0005-0000-0000-0000148E0000}"/>
    <cellStyle name="Normal 2 9 5 2" xfId="10239" xr:uid="{00000000-0005-0000-0000-0000158E0000}"/>
    <cellStyle name="Normal 2 9 5 2 2" xfId="18032" xr:uid="{00000000-0005-0000-0000-0000168E0000}"/>
    <cellStyle name="Normal 2 9 5 2 2 2" xfId="35669" xr:uid="{00000000-0005-0000-0000-0000178E0000}"/>
    <cellStyle name="Normal 2 9 5 2 3" xfId="28606" xr:uid="{00000000-0005-0000-0000-0000188E0000}"/>
    <cellStyle name="Normal 2 9 5 3" xfId="15039" xr:uid="{00000000-0005-0000-0000-0000198E0000}"/>
    <cellStyle name="Normal 2 9 5 3 2" xfId="32674" xr:uid="{00000000-0005-0000-0000-00001A8E0000}"/>
    <cellStyle name="Normal 2 9 5 4" xfId="25743" xr:uid="{00000000-0005-0000-0000-00001B8E0000}"/>
    <cellStyle name="Normal 2 9 6" xfId="7852" xr:uid="{00000000-0005-0000-0000-00001C8E0000}"/>
    <cellStyle name="Normal 2 9 6 2" xfId="15649" xr:uid="{00000000-0005-0000-0000-00001D8E0000}"/>
    <cellStyle name="Normal 2 9 6 2 2" xfId="33284" xr:uid="{00000000-0005-0000-0000-00001E8E0000}"/>
    <cellStyle name="Normal 2 9 6 3" xfId="26268" xr:uid="{00000000-0005-0000-0000-00001F8E0000}"/>
    <cellStyle name="Normal 2 9 7" xfId="11772" xr:uid="{00000000-0005-0000-0000-0000208E0000}"/>
    <cellStyle name="Normal 2 9 7 2" xfId="29459" xr:uid="{00000000-0005-0000-0000-0000218E0000}"/>
    <cellStyle name="Normal 2 9 8" xfId="21992" xr:uid="{00000000-0005-0000-0000-0000228E0000}"/>
    <cellStyle name="Normal 2 9 8 2" xfId="38736" xr:uid="{00000000-0005-0000-0000-0000238E0000}"/>
    <cellStyle name="Normal 2 9 9" xfId="23403" xr:uid="{00000000-0005-0000-0000-0000248E0000}"/>
    <cellStyle name="Normal 2_BallGrid" xfId="2301" xr:uid="{00000000-0005-0000-0000-0000258E0000}"/>
    <cellStyle name="Normal 20" xfId="2302" xr:uid="{00000000-0005-0000-0000-0000268E0000}"/>
    <cellStyle name="Normal 20 2" xfId="2303" xr:uid="{00000000-0005-0000-0000-0000278E0000}"/>
    <cellStyle name="Normal 20 2 2" xfId="2304" xr:uid="{00000000-0005-0000-0000-0000288E0000}"/>
    <cellStyle name="Normal 20 2 3" xfId="22965" xr:uid="{00000000-0005-0000-0000-0000298E0000}"/>
    <cellStyle name="Normal 20 2 4" xfId="22759" xr:uid="{00000000-0005-0000-0000-00002A8E0000}"/>
    <cellStyle name="Normal 20 2 4 2" xfId="38966" xr:uid="{00000000-0005-0000-0000-00002B8E0000}"/>
    <cellStyle name="Normal 20 2_Sheet1" xfId="2305" xr:uid="{00000000-0005-0000-0000-00002C8E0000}"/>
    <cellStyle name="Normal 20 3" xfId="2306" xr:uid="{00000000-0005-0000-0000-00002D8E0000}"/>
    <cellStyle name="Normal 20 4" xfId="22964" xr:uid="{00000000-0005-0000-0000-00002E8E0000}"/>
    <cellStyle name="Normal 20 5" xfId="22548" xr:uid="{00000000-0005-0000-0000-00002F8E0000}"/>
    <cellStyle name="Normal 20 5 2" xfId="38861" xr:uid="{00000000-0005-0000-0000-0000308E0000}"/>
    <cellStyle name="Normal 20 6" xfId="53242" xr:uid="{00000000-0005-0000-0000-0000318E0000}"/>
    <cellStyle name="Normal 20_Sheet1" xfId="2307" xr:uid="{00000000-0005-0000-0000-0000328E0000}"/>
    <cellStyle name="Normal 200" xfId="2308" xr:uid="{00000000-0005-0000-0000-0000338E0000}"/>
    <cellStyle name="Normal 200 2" xfId="4424" xr:uid="{00000000-0005-0000-0000-0000348E0000}"/>
    <cellStyle name="Normal 200 3" xfId="52059" xr:uid="{00000000-0005-0000-0000-0000358E0000}"/>
    <cellStyle name="Normal 201" xfId="2309" xr:uid="{00000000-0005-0000-0000-0000368E0000}"/>
    <cellStyle name="Normal 201 2" xfId="4425" xr:uid="{00000000-0005-0000-0000-0000378E0000}"/>
    <cellStyle name="Normal 201 3" xfId="52060" xr:uid="{00000000-0005-0000-0000-0000388E0000}"/>
    <cellStyle name="Normal 202" xfId="2310" xr:uid="{00000000-0005-0000-0000-0000398E0000}"/>
    <cellStyle name="Normal 202 2" xfId="4426" xr:uid="{00000000-0005-0000-0000-00003A8E0000}"/>
    <cellStyle name="Normal 202 3" xfId="52061" xr:uid="{00000000-0005-0000-0000-00003B8E0000}"/>
    <cellStyle name="Normal 203" xfId="2311" xr:uid="{00000000-0005-0000-0000-00003C8E0000}"/>
    <cellStyle name="Normal 203 2" xfId="4427" xr:uid="{00000000-0005-0000-0000-00003D8E0000}"/>
    <cellStyle name="Normal 203 3" xfId="52062" xr:uid="{00000000-0005-0000-0000-00003E8E0000}"/>
    <cellStyle name="Normal 204" xfId="2312" xr:uid="{00000000-0005-0000-0000-00003F8E0000}"/>
    <cellStyle name="Normal 204 2" xfId="4428" xr:uid="{00000000-0005-0000-0000-0000408E0000}"/>
    <cellStyle name="Normal 204 3" xfId="52063" xr:uid="{00000000-0005-0000-0000-0000418E0000}"/>
    <cellStyle name="Normal 205" xfId="2313" xr:uid="{00000000-0005-0000-0000-0000428E0000}"/>
    <cellStyle name="Normal 205 2" xfId="4429" xr:uid="{00000000-0005-0000-0000-0000438E0000}"/>
    <cellStyle name="Normal 205 3" xfId="52064" xr:uid="{00000000-0005-0000-0000-0000448E0000}"/>
    <cellStyle name="Normal 206" xfId="2314" xr:uid="{00000000-0005-0000-0000-0000458E0000}"/>
    <cellStyle name="Normal 206 2" xfId="4430" xr:uid="{00000000-0005-0000-0000-0000468E0000}"/>
    <cellStyle name="Normal 206 3" xfId="52065" xr:uid="{00000000-0005-0000-0000-0000478E0000}"/>
    <cellStyle name="Normal 207" xfId="2315" xr:uid="{00000000-0005-0000-0000-0000488E0000}"/>
    <cellStyle name="Normal 207 2" xfId="4431" xr:uid="{00000000-0005-0000-0000-0000498E0000}"/>
    <cellStyle name="Normal 207 3" xfId="52066" xr:uid="{00000000-0005-0000-0000-00004A8E0000}"/>
    <cellStyle name="Normal 208" xfId="2316" xr:uid="{00000000-0005-0000-0000-00004B8E0000}"/>
    <cellStyle name="Normal 208 2" xfId="4432" xr:uid="{00000000-0005-0000-0000-00004C8E0000}"/>
    <cellStyle name="Normal 208 3" xfId="52067" xr:uid="{00000000-0005-0000-0000-00004D8E0000}"/>
    <cellStyle name="Normal 209" xfId="2317" xr:uid="{00000000-0005-0000-0000-00004E8E0000}"/>
    <cellStyle name="Normal 209 2" xfId="4433" xr:uid="{00000000-0005-0000-0000-00004F8E0000}"/>
    <cellStyle name="Normal 209 3" xfId="52068" xr:uid="{00000000-0005-0000-0000-0000508E0000}"/>
    <cellStyle name="Normal 21" xfId="2318" xr:uid="{00000000-0005-0000-0000-0000518E0000}"/>
    <cellStyle name="Normal 21 2" xfId="2319" xr:uid="{00000000-0005-0000-0000-0000528E0000}"/>
    <cellStyle name="Normal 21 2 2" xfId="2320" xr:uid="{00000000-0005-0000-0000-0000538E0000}"/>
    <cellStyle name="Normal 21 2 3" xfId="22967" xr:uid="{00000000-0005-0000-0000-0000548E0000}"/>
    <cellStyle name="Normal 21 2 4" xfId="22760" xr:uid="{00000000-0005-0000-0000-0000558E0000}"/>
    <cellStyle name="Normal 21 2 4 2" xfId="38967" xr:uid="{00000000-0005-0000-0000-0000568E0000}"/>
    <cellStyle name="Normal 21 2_Sheet1" xfId="2321" xr:uid="{00000000-0005-0000-0000-0000578E0000}"/>
    <cellStyle name="Normal 21 3" xfId="2322" xr:uid="{00000000-0005-0000-0000-0000588E0000}"/>
    <cellStyle name="Normal 21 4" xfId="22966" xr:uid="{00000000-0005-0000-0000-0000598E0000}"/>
    <cellStyle name="Normal 21 5" xfId="22549" xr:uid="{00000000-0005-0000-0000-00005A8E0000}"/>
    <cellStyle name="Normal 21 5 2" xfId="38862" xr:uid="{00000000-0005-0000-0000-00005B8E0000}"/>
    <cellStyle name="Normal 21 6" xfId="53243" xr:uid="{00000000-0005-0000-0000-00005C8E0000}"/>
    <cellStyle name="Normal 21_Sheet1" xfId="2323" xr:uid="{00000000-0005-0000-0000-00005D8E0000}"/>
    <cellStyle name="Normal 210" xfId="2324" xr:uid="{00000000-0005-0000-0000-00005E8E0000}"/>
    <cellStyle name="Normal 210 2" xfId="4434" xr:uid="{00000000-0005-0000-0000-00005F8E0000}"/>
    <cellStyle name="Normal 210 3" xfId="52069" xr:uid="{00000000-0005-0000-0000-0000608E0000}"/>
    <cellStyle name="Normal 211" xfId="2325" xr:uid="{00000000-0005-0000-0000-0000618E0000}"/>
    <cellStyle name="Normal 211 2" xfId="4435" xr:uid="{00000000-0005-0000-0000-0000628E0000}"/>
    <cellStyle name="Normal 211 3" xfId="52070" xr:uid="{00000000-0005-0000-0000-0000638E0000}"/>
    <cellStyle name="Normal 212" xfId="2326" xr:uid="{00000000-0005-0000-0000-0000648E0000}"/>
    <cellStyle name="Normal 212 2" xfId="4436" xr:uid="{00000000-0005-0000-0000-0000658E0000}"/>
    <cellStyle name="Normal 212 3" xfId="52071" xr:uid="{00000000-0005-0000-0000-0000668E0000}"/>
    <cellStyle name="Normal 213" xfId="2327" xr:uid="{00000000-0005-0000-0000-0000678E0000}"/>
    <cellStyle name="Normal 213 2" xfId="4437" xr:uid="{00000000-0005-0000-0000-0000688E0000}"/>
    <cellStyle name="Normal 213 3" xfId="52072" xr:uid="{00000000-0005-0000-0000-0000698E0000}"/>
    <cellStyle name="Normal 214" xfId="2328" xr:uid="{00000000-0005-0000-0000-00006A8E0000}"/>
    <cellStyle name="Normal 214 2" xfId="4438" xr:uid="{00000000-0005-0000-0000-00006B8E0000}"/>
    <cellStyle name="Normal 214 3" xfId="52073" xr:uid="{00000000-0005-0000-0000-00006C8E0000}"/>
    <cellStyle name="Normal 215" xfId="2329" xr:uid="{00000000-0005-0000-0000-00006D8E0000}"/>
    <cellStyle name="Normal 215 2" xfId="4439" xr:uid="{00000000-0005-0000-0000-00006E8E0000}"/>
    <cellStyle name="Normal 215 3" xfId="52074" xr:uid="{00000000-0005-0000-0000-00006F8E0000}"/>
    <cellStyle name="Normal 216" xfId="2330" xr:uid="{00000000-0005-0000-0000-0000708E0000}"/>
    <cellStyle name="Normal 216 2" xfId="4440" xr:uid="{00000000-0005-0000-0000-0000718E0000}"/>
    <cellStyle name="Normal 216 3" xfId="52075" xr:uid="{00000000-0005-0000-0000-0000728E0000}"/>
    <cellStyle name="Normal 217" xfId="2331" xr:uid="{00000000-0005-0000-0000-0000738E0000}"/>
    <cellStyle name="Normal 217 10" xfId="52076" xr:uid="{00000000-0005-0000-0000-0000748E0000}"/>
    <cellStyle name="Normal 217 2" xfId="4441" xr:uid="{00000000-0005-0000-0000-0000758E0000}"/>
    <cellStyle name="Normal 217 2 2" xfId="8532" xr:uid="{00000000-0005-0000-0000-0000768E0000}"/>
    <cellStyle name="Normal 217 2 2 2" xfId="16328" xr:uid="{00000000-0005-0000-0000-0000778E0000}"/>
    <cellStyle name="Normal 217 2 2 2 2" xfId="33963" xr:uid="{00000000-0005-0000-0000-0000788E0000}"/>
    <cellStyle name="Normal 217 2 2 3" xfId="26933" xr:uid="{00000000-0005-0000-0000-0000798E0000}"/>
    <cellStyle name="Normal 217 2 3" xfId="12780" xr:uid="{00000000-0005-0000-0000-00007A8E0000}"/>
    <cellStyle name="Normal 217 2 3 2" xfId="30438" xr:uid="{00000000-0005-0000-0000-00007B8E0000}"/>
    <cellStyle name="Normal 217 2 4" xfId="24068" xr:uid="{00000000-0005-0000-0000-00007C8E0000}"/>
    <cellStyle name="Normal 217 3" xfId="5846" xr:uid="{00000000-0005-0000-0000-00007D8E0000}"/>
    <cellStyle name="Normal 217 3 2" xfId="9146" xr:uid="{00000000-0005-0000-0000-00007E8E0000}"/>
    <cellStyle name="Normal 217 3 2 2" xfId="16941" xr:uid="{00000000-0005-0000-0000-00007F8E0000}"/>
    <cellStyle name="Normal 217 3 2 2 2" xfId="34577" xr:uid="{00000000-0005-0000-0000-0000808E0000}"/>
    <cellStyle name="Normal 217 3 2 3" xfId="27534" xr:uid="{00000000-0005-0000-0000-0000818E0000}"/>
    <cellStyle name="Normal 217 3 3" xfId="13702" xr:uid="{00000000-0005-0000-0000-0000828E0000}"/>
    <cellStyle name="Normal 217 3 3 2" xfId="31342" xr:uid="{00000000-0005-0000-0000-0000838E0000}"/>
    <cellStyle name="Normal 217 3 4" xfId="24669" xr:uid="{00000000-0005-0000-0000-0000848E0000}"/>
    <cellStyle name="Normal 217 4" xfId="6476" xr:uid="{00000000-0005-0000-0000-0000858E0000}"/>
    <cellStyle name="Normal 217 4 2" xfId="9686" xr:uid="{00000000-0005-0000-0000-0000868E0000}"/>
    <cellStyle name="Normal 217 4 2 2" xfId="17480" xr:uid="{00000000-0005-0000-0000-0000878E0000}"/>
    <cellStyle name="Normal 217 4 2 2 2" xfId="35117" xr:uid="{00000000-0005-0000-0000-0000888E0000}"/>
    <cellStyle name="Normal 217 4 2 3" xfId="28070" xr:uid="{00000000-0005-0000-0000-0000898E0000}"/>
    <cellStyle name="Normal 217 4 3" xfId="14265" xr:uid="{00000000-0005-0000-0000-00008A8E0000}"/>
    <cellStyle name="Normal 217 4 3 2" xfId="31900" xr:uid="{00000000-0005-0000-0000-00008B8E0000}"/>
    <cellStyle name="Normal 217 4 4" xfId="25206" xr:uid="{00000000-0005-0000-0000-00008C8E0000}"/>
    <cellStyle name="Normal 217 5" xfId="7252" xr:uid="{00000000-0005-0000-0000-00008D8E0000}"/>
    <cellStyle name="Normal 217 5 2" xfId="10240" xr:uid="{00000000-0005-0000-0000-00008E8E0000}"/>
    <cellStyle name="Normal 217 5 2 2" xfId="18033" xr:uid="{00000000-0005-0000-0000-00008F8E0000}"/>
    <cellStyle name="Normal 217 5 2 2 2" xfId="35670" xr:uid="{00000000-0005-0000-0000-0000908E0000}"/>
    <cellStyle name="Normal 217 5 2 3" xfId="28607" xr:uid="{00000000-0005-0000-0000-0000918E0000}"/>
    <cellStyle name="Normal 217 5 3" xfId="15040" xr:uid="{00000000-0005-0000-0000-0000928E0000}"/>
    <cellStyle name="Normal 217 5 3 2" xfId="32675" xr:uid="{00000000-0005-0000-0000-0000938E0000}"/>
    <cellStyle name="Normal 217 5 4" xfId="25744" xr:uid="{00000000-0005-0000-0000-0000948E0000}"/>
    <cellStyle name="Normal 217 6" xfId="7853" xr:uid="{00000000-0005-0000-0000-0000958E0000}"/>
    <cellStyle name="Normal 217 6 2" xfId="15650" xr:uid="{00000000-0005-0000-0000-0000968E0000}"/>
    <cellStyle name="Normal 217 6 2 2" xfId="33285" xr:uid="{00000000-0005-0000-0000-0000978E0000}"/>
    <cellStyle name="Normal 217 6 3" xfId="26269" xr:uid="{00000000-0005-0000-0000-0000988E0000}"/>
    <cellStyle name="Normal 217 7" xfId="11773" xr:uid="{00000000-0005-0000-0000-0000998E0000}"/>
    <cellStyle name="Normal 217 7 2" xfId="29460" xr:uid="{00000000-0005-0000-0000-00009A8E0000}"/>
    <cellStyle name="Normal 217 8" xfId="22824" xr:uid="{00000000-0005-0000-0000-00009B8E0000}"/>
    <cellStyle name="Normal 217 9" xfId="23404" xr:uid="{00000000-0005-0000-0000-00009C8E0000}"/>
    <cellStyle name="Normal 218" xfId="2332" xr:uid="{00000000-0005-0000-0000-00009D8E0000}"/>
    <cellStyle name="Normal 218 2" xfId="4442" xr:uid="{00000000-0005-0000-0000-00009E8E0000}"/>
    <cellStyle name="Normal 218 3" xfId="52077" xr:uid="{00000000-0005-0000-0000-00009F8E0000}"/>
    <cellStyle name="Normal 219" xfId="2333" xr:uid="{00000000-0005-0000-0000-0000A08E0000}"/>
    <cellStyle name="Normal 219 2" xfId="2334" xr:uid="{00000000-0005-0000-0000-0000A18E0000}"/>
    <cellStyle name="Normal 219 2 2" xfId="4444" xr:uid="{00000000-0005-0000-0000-0000A28E0000}"/>
    <cellStyle name="Normal 219 2 2 2" xfId="8533" xr:uid="{00000000-0005-0000-0000-0000A38E0000}"/>
    <cellStyle name="Normal 219 2 2 2 2" xfId="16329" xr:uid="{00000000-0005-0000-0000-0000A48E0000}"/>
    <cellStyle name="Normal 219 2 2 2 2 2" xfId="33964" xr:uid="{00000000-0005-0000-0000-0000A58E0000}"/>
    <cellStyle name="Normal 219 2 2 2 3" xfId="26934" xr:uid="{00000000-0005-0000-0000-0000A68E0000}"/>
    <cellStyle name="Normal 219 2 2 3" xfId="12782" xr:uid="{00000000-0005-0000-0000-0000A78E0000}"/>
    <cellStyle name="Normal 219 2 2 3 2" xfId="30440" xr:uid="{00000000-0005-0000-0000-0000A88E0000}"/>
    <cellStyle name="Normal 219 2 2 4" xfId="24069" xr:uid="{00000000-0005-0000-0000-0000A98E0000}"/>
    <cellStyle name="Normal 219 2 3" xfId="5847" xr:uid="{00000000-0005-0000-0000-0000AA8E0000}"/>
    <cellStyle name="Normal 219 2 3 2" xfId="9147" xr:uid="{00000000-0005-0000-0000-0000AB8E0000}"/>
    <cellStyle name="Normal 219 2 3 2 2" xfId="16942" xr:uid="{00000000-0005-0000-0000-0000AC8E0000}"/>
    <cellStyle name="Normal 219 2 3 2 2 2" xfId="34578" xr:uid="{00000000-0005-0000-0000-0000AD8E0000}"/>
    <cellStyle name="Normal 219 2 3 2 3" xfId="27535" xr:uid="{00000000-0005-0000-0000-0000AE8E0000}"/>
    <cellStyle name="Normal 219 2 3 3" xfId="13703" xr:uid="{00000000-0005-0000-0000-0000AF8E0000}"/>
    <cellStyle name="Normal 219 2 3 3 2" xfId="31343" xr:uid="{00000000-0005-0000-0000-0000B08E0000}"/>
    <cellStyle name="Normal 219 2 3 4" xfId="24670" xr:uid="{00000000-0005-0000-0000-0000B18E0000}"/>
    <cellStyle name="Normal 219 2 4" xfId="6477" xr:uid="{00000000-0005-0000-0000-0000B28E0000}"/>
    <cellStyle name="Normal 219 2 4 2" xfId="9687" xr:uid="{00000000-0005-0000-0000-0000B38E0000}"/>
    <cellStyle name="Normal 219 2 4 2 2" xfId="17481" xr:uid="{00000000-0005-0000-0000-0000B48E0000}"/>
    <cellStyle name="Normal 219 2 4 2 2 2" xfId="35118" xr:uid="{00000000-0005-0000-0000-0000B58E0000}"/>
    <cellStyle name="Normal 219 2 4 2 3" xfId="28071" xr:uid="{00000000-0005-0000-0000-0000B68E0000}"/>
    <cellStyle name="Normal 219 2 4 3" xfId="14266" xr:uid="{00000000-0005-0000-0000-0000B78E0000}"/>
    <cellStyle name="Normal 219 2 4 3 2" xfId="31901" xr:uid="{00000000-0005-0000-0000-0000B88E0000}"/>
    <cellStyle name="Normal 219 2 4 4" xfId="25207" xr:uid="{00000000-0005-0000-0000-0000B98E0000}"/>
    <cellStyle name="Normal 219 2 5" xfId="7253" xr:uid="{00000000-0005-0000-0000-0000BA8E0000}"/>
    <cellStyle name="Normal 219 2 5 2" xfId="10241" xr:uid="{00000000-0005-0000-0000-0000BB8E0000}"/>
    <cellStyle name="Normal 219 2 5 2 2" xfId="18034" xr:uid="{00000000-0005-0000-0000-0000BC8E0000}"/>
    <cellStyle name="Normal 219 2 5 2 2 2" xfId="35671" xr:uid="{00000000-0005-0000-0000-0000BD8E0000}"/>
    <cellStyle name="Normal 219 2 5 2 3" xfId="28608" xr:uid="{00000000-0005-0000-0000-0000BE8E0000}"/>
    <cellStyle name="Normal 219 2 5 3" xfId="15041" xr:uid="{00000000-0005-0000-0000-0000BF8E0000}"/>
    <cellStyle name="Normal 219 2 5 3 2" xfId="32676" xr:uid="{00000000-0005-0000-0000-0000C08E0000}"/>
    <cellStyle name="Normal 219 2 5 4" xfId="25745" xr:uid="{00000000-0005-0000-0000-0000C18E0000}"/>
    <cellStyle name="Normal 219 2 6" xfId="7854" xr:uid="{00000000-0005-0000-0000-0000C28E0000}"/>
    <cellStyle name="Normal 219 2 6 2" xfId="15651" xr:uid="{00000000-0005-0000-0000-0000C38E0000}"/>
    <cellStyle name="Normal 219 2 6 2 2" xfId="33286" xr:uid="{00000000-0005-0000-0000-0000C48E0000}"/>
    <cellStyle name="Normal 219 2 6 3" xfId="26270" xr:uid="{00000000-0005-0000-0000-0000C58E0000}"/>
    <cellStyle name="Normal 219 2 7" xfId="11774" xr:uid="{00000000-0005-0000-0000-0000C68E0000}"/>
    <cellStyle name="Normal 219 2 7 2" xfId="29461" xr:uid="{00000000-0005-0000-0000-0000C78E0000}"/>
    <cellStyle name="Normal 219 2 8" xfId="23405" xr:uid="{00000000-0005-0000-0000-0000C88E0000}"/>
    <cellStyle name="Normal 219 2 9" xfId="52079" xr:uid="{00000000-0005-0000-0000-0000C98E0000}"/>
    <cellStyle name="Normal 219 3" xfId="4443" xr:uid="{00000000-0005-0000-0000-0000CA8E0000}"/>
    <cellStyle name="Normal 219 4" xfId="52078" xr:uid="{00000000-0005-0000-0000-0000CB8E0000}"/>
    <cellStyle name="Normal 22" xfId="2335" xr:uid="{00000000-0005-0000-0000-0000CC8E0000}"/>
    <cellStyle name="Normal 22 2" xfId="2336" xr:uid="{00000000-0005-0000-0000-0000CD8E0000}"/>
    <cellStyle name="Normal 22 2 2" xfId="2337" xr:uid="{00000000-0005-0000-0000-0000CE8E0000}"/>
    <cellStyle name="Normal 22 2 3" xfId="22969" xr:uid="{00000000-0005-0000-0000-0000CF8E0000}"/>
    <cellStyle name="Normal 22 2 4" xfId="22761" xr:uid="{00000000-0005-0000-0000-0000D08E0000}"/>
    <cellStyle name="Normal 22 2 4 2" xfId="38968" xr:uid="{00000000-0005-0000-0000-0000D18E0000}"/>
    <cellStyle name="Normal 22 2_Sheet1" xfId="2338" xr:uid="{00000000-0005-0000-0000-0000D28E0000}"/>
    <cellStyle name="Normal 22 3" xfId="2339" xr:uid="{00000000-0005-0000-0000-0000D38E0000}"/>
    <cellStyle name="Normal 22 4" xfId="22968" xr:uid="{00000000-0005-0000-0000-0000D48E0000}"/>
    <cellStyle name="Normal 22 5" xfId="22550" xr:uid="{00000000-0005-0000-0000-0000D58E0000}"/>
    <cellStyle name="Normal 22 5 2" xfId="38863" xr:uid="{00000000-0005-0000-0000-0000D68E0000}"/>
    <cellStyle name="Normal 22 6" xfId="53244" xr:uid="{00000000-0005-0000-0000-0000D78E0000}"/>
    <cellStyle name="Normal 22_Sheet1" xfId="2340" xr:uid="{00000000-0005-0000-0000-0000D88E0000}"/>
    <cellStyle name="Normal 220" xfId="2341" xr:uid="{00000000-0005-0000-0000-0000D98E0000}"/>
    <cellStyle name="Normal 220 2" xfId="2342" xr:uid="{00000000-0005-0000-0000-0000DA8E0000}"/>
    <cellStyle name="Normal 220 2 2" xfId="4446" xr:uid="{00000000-0005-0000-0000-0000DB8E0000}"/>
    <cellStyle name="Normal 220 2 2 2" xfId="8534" xr:uid="{00000000-0005-0000-0000-0000DC8E0000}"/>
    <cellStyle name="Normal 220 2 2 2 2" xfId="16330" xr:uid="{00000000-0005-0000-0000-0000DD8E0000}"/>
    <cellStyle name="Normal 220 2 2 2 2 2" xfId="33965" xr:uid="{00000000-0005-0000-0000-0000DE8E0000}"/>
    <cellStyle name="Normal 220 2 2 2 3" xfId="26935" xr:uid="{00000000-0005-0000-0000-0000DF8E0000}"/>
    <cellStyle name="Normal 220 2 2 3" xfId="12783" xr:uid="{00000000-0005-0000-0000-0000E08E0000}"/>
    <cellStyle name="Normal 220 2 2 3 2" xfId="30441" xr:uid="{00000000-0005-0000-0000-0000E18E0000}"/>
    <cellStyle name="Normal 220 2 2 4" xfId="24070" xr:uid="{00000000-0005-0000-0000-0000E28E0000}"/>
    <cellStyle name="Normal 220 2 3" xfId="5848" xr:uid="{00000000-0005-0000-0000-0000E38E0000}"/>
    <cellStyle name="Normal 220 2 3 2" xfId="9148" xr:uid="{00000000-0005-0000-0000-0000E48E0000}"/>
    <cellStyle name="Normal 220 2 3 2 2" xfId="16943" xr:uid="{00000000-0005-0000-0000-0000E58E0000}"/>
    <cellStyle name="Normal 220 2 3 2 2 2" xfId="34579" xr:uid="{00000000-0005-0000-0000-0000E68E0000}"/>
    <cellStyle name="Normal 220 2 3 2 3" xfId="27536" xr:uid="{00000000-0005-0000-0000-0000E78E0000}"/>
    <cellStyle name="Normal 220 2 3 3" xfId="13704" xr:uid="{00000000-0005-0000-0000-0000E88E0000}"/>
    <cellStyle name="Normal 220 2 3 3 2" xfId="31344" xr:uid="{00000000-0005-0000-0000-0000E98E0000}"/>
    <cellStyle name="Normal 220 2 3 4" xfId="24671" xr:uid="{00000000-0005-0000-0000-0000EA8E0000}"/>
    <cellStyle name="Normal 220 2 4" xfId="6478" xr:uid="{00000000-0005-0000-0000-0000EB8E0000}"/>
    <cellStyle name="Normal 220 2 4 2" xfId="9688" xr:uid="{00000000-0005-0000-0000-0000EC8E0000}"/>
    <cellStyle name="Normal 220 2 4 2 2" xfId="17482" xr:uid="{00000000-0005-0000-0000-0000ED8E0000}"/>
    <cellStyle name="Normal 220 2 4 2 2 2" xfId="35119" xr:uid="{00000000-0005-0000-0000-0000EE8E0000}"/>
    <cellStyle name="Normal 220 2 4 2 3" xfId="28072" xr:uid="{00000000-0005-0000-0000-0000EF8E0000}"/>
    <cellStyle name="Normal 220 2 4 3" xfId="14267" xr:uid="{00000000-0005-0000-0000-0000F08E0000}"/>
    <cellStyle name="Normal 220 2 4 3 2" xfId="31902" xr:uid="{00000000-0005-0000-0000-0000F18E0000}"/>
    <cellStyle name="Normal 220 2 4 4" xfId="25208" xr:uid="{00000000-0005-0000-0000-0000F28E0000}"/>
    <cellStyle name="Normal 220 2 5" xfId="7254" xr:uid="{00000000-0005-0000-0000-0000F38E0000}"/>
    <cellStyle name="Normal 220 2 5 2" xfId="10242" xr:uid="{00000000-0005-0000-0000-0000F48E0000}"/>
    <cellStyle name="Normal 220 2 5 2 2" xfId="18035" xr:uid="{00000000-0005-0000-0000-0000F58E0000}"/>
    <cellStyle name="Normal 220 2 5 2 2 2" xfId="35672" xr:uid="{00000000-0005-0000-0000-0000F68E0000}"/>
    <cellStyle name="Normal 220 2 5 2 3" xfId="28609" xr:uid="{00000000-0005-0000-0000-0000F78E0000}"/>
    <cellStyle name="Normal 220 2 5 3" xfId="15042" xr:uid="{00000000-0005-0000-0000-0000F88E0000}"/>
    <cellStyle name="Normal 220 2 5 3 2" xfId="32677" xr:uid="{00000000-0005-0000-0000-0000F98E0000}"/>
    <cellStyle name="Normal 220 2 5 4" xfId="25746" xr:uid="{00000000-0005-0000-0000-0000FA8E0000}"/>
    <cellStyle name="Normal 220 2 6" xfId="7855" xr:uid="{00000000-0005-0000-0000-0000FB8E0000}"/>
    <cellStyle name="Normal 220 2 6 2" xfId="15652" xr:uid="{00000000-0005-0000-0000-0000FC8E0000}"/>
    <cellStyle name="Normal 220 2 6 2 2" xfId="33287" xr:uid="{00000000-0005-0000-0000-0000FD8E0000}"/>
    <cellStyle name="Normal 220 2 6 3" xfId="26271" xr:uid="{00000000-0005-0000-0000-0000FE8E0000}"/>
    <cellStyle name="Normal 220 2 7" xfId="11775" xr:uid="{00000000-0005-0000-0000-0000FF8E0000}"/>
    <cellStyle name="Normal 220 2 7 2" xfId="29462" xr:uid="{00000000-0005-0000-0000-0000008F0000}"/>
    <cellStyle name="Normal 220 2 8" xfId="23406" xr:uid="{00000000-0005-0000-0000-0000018F0000}"/>
    <cellStyle name="Normal 220 2 9" xfId="52081" xr:uid="{00000000-0005-0000-0000-0000028F0000}"/>
    <cellStyle name="Normal 220 3" xfId="4445" xr:uid="{00000000-0005-0000-0000-0000038F0000}"/>
    <cellStyle name="Normal 220 4" xfId="52080" xr:uid="{00000000-0005-0000-0000-0000048F0000}"/>
    <cellStyle name="Normal 221" xfId="2343" xr:uid="{00000000-0005-0000-0000-0000058F0000}"/>
    <cellStyle name="Normal 221 2" xfId="4447" xr:uid="{00000000-0005-0000-0000-0000068F0000}"/>
    <cellStyle name="Normal 221 3" xfId="52082" xr:uid="{00000000-0005-0000-0000-0000078F0000}"/>
    <cellStyle name="Normal 222" xfId="2344" xr:uid="{00000000-0005-0000-0000-0000088F0000}"/>
    <cellStyle name="Normal 222 10" xfId="52083" xr:uid="{00000000-0005-0000-0000-0000098F0000}"/>
    <cellStyle name="Normal 222 2" xfId="4448" xr:uid="{00000000-0005-0000-0000-00000A8F0000}"/>
    <cellStyle name="Normal 222 2 2" xfId="8535" xr:uid="{00000000-0005-0000-0000-00000B8F0000}"/>
    <cellStyle name="Normal 222 2 2 2" xfId="16331" xr:uid="{00000000-0005-0000-0000-00000C8F0000}"/>
    <cellStyle name="Normal 222 2 2 2 2" xfId="33966" xr:uid="{00000000-0005-0000-0000-00000D8F0000}"/>
    <cellStyle name="Normal 222 2 2 3" xfId="26936" xr:uid="{00000000-0005-0000-0000-00000E8F0000}"/>
    <cellStyle name="Normal 222 2 3" xfId="12784" xr:uid="{00000000-0005-0000-0000-00000F8F0000}"/>
    <cellStyle name="Normal 222 2 3 2" xfId="30442" xr:uid="{00000000-0005-0000-0000-0000108F0000}"/>
    <cellStyle name="Normal 222 2 4" xfId="24071" xr:uid="{00000000-0005-0000-0000-0000118F0000}"/>
    <cellStyle name="Normal 222 3" xfId="5849" xr:uid="{00000000-0005-0000-0000-0000128F0000}"/>
    <cellStyle name="Normal 222 3 2" xfId="9149" xr:uid="{00000000-0005-0000-0000-0000138F0000}"/>
    <cellStyle name="Normal 222 3 2 2" xfId="16944" xr:uid="{00000000-0005-0000-0000-0000148F0000}"/>
    <cellStyle name="Normal 222 3 2 2 2" xfId="34580" xr:uid="{00000000-0005-0000-0000-0000158F0000}"/>
    <cellStyle name="Normal 222 3 2 3" xfId="27537" xr:uid="{00000000-0005-0000-0000-0000168F0000}"/>
    <cellStyle name="Normal 222 3 3" xfId="13705" xr:uid="{00000000-0005-0000-0000-0000178F0000}"/>
    <cellStyle name="Normal 222 3 3 2" xfId="31345" xr:uid="{00000000-0005-0000-0000-0000188F0000}"/>
    <cellStyle name="Normal 222 3 4" xfId="24672" xr:uid="{00000000-0005-0000-0000-0000198F0000}"/>
    <cellStyle name="Normal 222 4" xfId="6479" xr:uid="{00000000-0005-0000-0000-00001A8F0000}"/>
    <cellStyle name="Normal 222 4 2" xfId="9689" xr:uid="{00000000-0005-0000-0000-00001B8F0000}"/>
    <cellStyle name="Normal 222 4 2 2" xfId="17483" xr:uid="{00000000-0005-0000-0000-00001C8F0000}"/>
    <cellStyle name="Normal 222 4 2 2 2" xfId="35120" xr:uid="{00000000-0005-0000-0000-00001D8F0000}"/>
    <cellStyle name="Normal 222 4 2 3" xfId="28073" xr:uid="{00000000-0005-0000-0000-00001E8F0000}"/>
    <cellStyle name="Normal 222 4 3" xfId="14268" xr:uid="{00000000-0005-0000-0000-00001F8F0000}"/>
    <cellStyle name="Normal 222 4 3 2" xfId="31903" xr:uid="{00000000-0005-0000-0000-0000208F0000}"/>
    <cellStyle name="Normal 222 4 4" xfId="25209" xr:uid="{00000000-0005-0000-0000-0000218F0000}"/>
    <cellStyle name="Normal 222 5" xfId="7255" xr:uid="{00000000-0005-0000-0000-0000228F0000}"/>
    <cellStyle name="Normal 222 5 2" xfId="10243" xr:uid="{00000000-0005-0000-0000-0000238F0000}"/>
    <cellStyle name="Normal 222 5 2 2" xfId="18036" xr:uid="{00000000-0005-0000-0000-0000248F0000}"/>
    <cellStyle name="Normal 222 5 2 2 2" xfId="35673" xr:uid="{00000000-0005-0000-0000-0000258F0000}"/>
    <cellStyle name="Normal 222 5 2 3" xfId="28610" xr:uid="{00000000-0005-0000-0000-0000268F0000}"/>
    <cellStyle name="Normal 222 5 3" xfId="15043" xr:uid="{00000000-0005-0000-0000-0000278F0000}"/>
    <cellStyle name="Normal 222 5 3 2" xfId="32678" xr:uid="{00000000-0005-0000-0000-0000288F0000}"/>
    <cellStyle name="Normal 222 5 4" xfId="25747" xr:uid="{00000000-0005-0000-0000-0000298F0000}"/>
    <cellStyle name="Normal 222 6" xfId="7856" xr:uid="{00000000-0005-0000-0000-00002A8F0000}"/>
    <cellStyle name="Normal 222 6 2" xfId="15653" xr:uid="{00000000-0005-0000-0000-00002B8F0000}"/>
    <cellStyle name="Normal 222 6 2 2" xfId="33288" xr:uid="{00000000-0005-0000-0000-00002C8F0000}"/>
    <cellStyle name="Normal 222 6 3" xfId="26272" xr:uid="{00000000-0005-0000-0000-00002D8F0000}"/>
    <cellStyle name="Normal 222 7" xfId="11776" xr:uid="{00000000-0005-0000-0000-00002E8F0000}"/>
    <cellStyle name="Normal 222 7 2" xfId="29463" xr:uid="{00000000-0005-0000-0000-00002F8F0000}"/>
    <cellStyle name="Normal 222 8" xfId="22829" xr:uid="{00000000-0005-0000-0000-0000308F0000}"/>
    <cellStyle name="Normal 222 9" xfId="23407" xr:uid="{00000000-0005-0000-0000-0000318F0000}"/>
    <cellStyle name="Normal 223" xfId="2345" xr:uid="{00000000-0005-0000-0000-0000328F0000}"/>
    <cellStyle name="Normal 223 10" xfId="52084" xr:uid="{00000000-0005-0000-0000-0000338F0000}"/>
    <cellStyle name="Normal 223 2" xfId="4449" xr:uid="{00000000-0005-0000-0000-0000348F0000}"/>
    <cellStyle name="Normal 223 2 2" xfId="8536" xr:uid="{00000000-0005-0000-0000-0000358F0000}"/>
    <cellStyle name="Normal 223 2 2 2" xfId="16332" xr:uid="{00000000-0005-0000-0000-0000368F0000}"/>
    <cellStyle name="Normal 223 2 2 2 2" xfId="33967" xr:uid="{00000000-0005-0000-0000-0000378F0000}"/>
    <cellStyle name="Normal 223 2 2 3" xfId="26937" xr:uid="{00000000-0005-0000-0000-0000388F0000}"/>
    <cellStyle name="Normal 223 2 3" xfId="12785" xr:uid="{00000000-0005-0000-0000-0000398F0000}"/>
    <cellStyle name="Normal 223 2 3 2" xfId="30443" xr:uid="{00000000-0005-0000-0000-00003A8F0000}"/>
    <cellStyle name="Normal 223 2 4" xfId="24072" xr:uid="{00000000-0005-0000-0000-00003B8F0000}"/>
    <cellStyle name="Normal 223 3" xfId="5850" xr:uid="{00000000-0005-0000-0000-00003C8F0000}"/>
    <cellStyle name="Normal 223 3 2" xfId="9150" xr:uid="{00000000-0005-0000-0000-00003D8F0000}"/>
    <cellStyle name="Normal 223 3 2 2" xfId="16945" xr:uid="{00000000-0005-0000-0000-00003E8F0000}"/>
    <cellStyle name="Normal 223 3 2 2 2" xfId="34581" xr:uid="{00000000-0005-0000-0000-00003F8F0000}"/>
    <cellStyle name="Normal 223 3 2 3" xfId="27538" xr:uid="{00000000-0005-0000-0000-0000408F0000}"/>
    <cellStyle name="Normal 223 3 3" xfId="13706" xr:uid="{00000000-0005-0000-0000-0000418F0000}"/>
    <cellStyle name="Normal 223 3 3 2" xfId="31346" xr:uid="{00000000-0005-0000-0000-0000428F0000}"/>
    <cellStyle name="Normal 223 3 4" xfId="24673" xr:uid="{00000000-0005-0000-0000-0000438F0000}"/>
    <cellStyle name="Normal 223 4" xfId="6480" xr:uid="{00000000-0005-0000-0000-0000448F0000}"/>
    <cellStyle name="Normal 223 4 2" xfId="9690" xr:uid="{00000000-0005-0000-0000-0000458F0000}"/>
    <cellStyle name="Normal 223 4 2 2" xfId="17484" xr:uid="{00000000-0005-0000-0000-0000468F0000}"/>
    <cellStyle name="Normal 223 4 2 2 2" xfId="35121" xr:uid="{00000000-0005-0000-0000-0000478F0000}"/>
    <cellStyle name="Normal 223 4 2 3" xfId="28074" xr:uid="{00000000-0005-0000-0000-0000488F0000}"/>
    <cellStyle name="Normal 223 4 3" xfId="14269" xr:uid="{00000000-0005-0000-0000-0000498F0000}"/>
    <cellStyle name="Normal 223 4 3 2" xfId="31904" xr:uid="{00000000-0005-0000-0000-00004A8F0000}"/>
    <cellStyle name="Normal 223 4 4" xfId="25210" xr:uid="{00000000-0005-0000-0000-00004B8F0000}"/>
    <cellStyle name="Normal 223 5" xfId="7256" xr:uid="{00000000-0005-0000-0000-00004C8F0000}"/>
    <cellStyle name="Normal 223 5 2" xfId="10244" xr:uid="{00000000-0005-0000-0000-00004D8F0000}"/>
    <cellStyle name="Normal 223 5 2 2" xfId="18037" xr:uid="{00000000-0005-0000-0000-00004E8F0000}"/>
    <cellStyle name="Normal 223 5 2 2 2" xfId="35674" xr:uid="{00000000-0005-0000-0000-00004F8F0000}"/>
    <cellStyle name="Normal 223 5 2 3" xfId="28611" xr:uid="{00000000-0005-0000-0000-0000508F0000}"/>
    <cellStyle name="Normal 223 5 3" xfId="15044" xr:uid="{00000000-0005-0000-0000-0000518F0000}"/>
    <cellStyle name="Normal 223 5 3 2" xfId="32679" xr:uid="{00000000-0005-0000-0000-0000528F0000}"/>
    <cellStyle name="Normal 223 5 4" xfId="25748" xr:uid="{00000000-0005-0000-0000-0000538F0000}"/>
    <cellStyle name="Normal 223 6" xfId="7857" xr:uid="{00000000-0005-0000-0000-0000548F0000}"/>
    <cellStyle name="Normal 223 6 2" xfId="15654" xr:uid="{00000000-0005-0000-0000-0000558F0000}"/>
    <cellStyle name="Normal 223 6 2 2" xfId="33289" xr:uid="{00000000-0005-0000-0000-0000568F0000}"/>
    <cellStyle name="Normal 223 6 3" xfId="26273" xr:uid="{00000000-0005-0000-0000-0000578F0000}"/>
    <cellStyle name="Normal 223 7" xfId="11777" xr:uid="{00000000-0005-0000-0000-0000588F0000}"/>
    <cellStyle name="Normal 223 7 2" xfId="29464" xr:uid="{00000000-0005-0000-0000-0000598F0000}"/>
    <cellStyle name="Normal 223 8" xfId="22832" xr:uid="{00000000-0005-0000-0000-00005A8F0000}"/>
    <cellStyle name="Normal 223 9" xfId="23408" xr:uid="{00000000-0005-0000-0000-00005B8F0000}"/>
    <cellStyle name="Normal 224" xfId="2346" xr:uid="{00000000-0005-0000-0000-00005C8F0000}"/>
    <cellStyle name="Normal 224 10" xfId="52085" xr:uid="{00000000-0005-0000-0000-00005D8F0000}"/>
    <cellStyle name="Normal 224 2" xfId="4450" xr:uid="{00000000-0005-0000-0000-00005E8F0000}"/>
    <cellStyle name="Normal 224 2 2" xfId="8537" xr:uid="{00000000-0005-0000-0000-00005F8F0000}"/>
    <cellStyle name="Normal 224 2 2 2" xfId="16333" xr:uid="{00000000-0005-0000-0000-0000608F0000}"/>
    <cellStyle name="Normal 224 2 2 2 2" xfId="33968" xr:uid="{00000000-0005-0000-0000-0000618F0000}"/>
    <cellStyle name="Normal 224 2 2 3" xfId="26938" xr:uid="{00000000-0005-0000-0000-0000628F0000}"/>
    <cellStyle name="Normal 224 2 3" xfId="12786" xr:uid="{00000000-0005-0000-0000-0000638F0000}"/>
    <cellStyle name="Normal 224 2 3 2" xfId="30444" xr:uid="{00000000-0005-0000-0000-0000648F0000}"/>
    <cellStyle name="Normal 224 2 4" xfId="24073" xr:uid="{00000000-0005-0000-0000-0000658F0000}"/>
    <cellStyle name="Normal 224 3" xfId="5851" xr:uid="{00000000-0005-0000-0000-0000668F0000}"/>
    <cellStyle name="Normal 224 3 2" xfId="9151" xr:uid="{00000000-0005-0000-0000-0000678F0000}"/>
    <cellStyle name="Normal 224 3 2 2" xfId="16946" xr:uid="{00000000-0005-0000-0000-0000688F0000}"/>
    <cellStyle name="Normal 224 3 2 2 2" xfId="34582" xr:uid="{00000000-0005-0000-0000-0000698F0000}"/>
    <cellStyle name="Normal 224 3 2 3" xfId="27539" xr:uid="{00000000-0005-0000-0000-00006A8F0000}"/>
    <cellStyle name="Normal 224 3 3" xfId="13707" xr:uid="{00000000-0005-0000-0000-00006B8F0000}"/>
    <cellStyle name="Normal 224 3 3 2" xfId="31347" xr:uid="{00000000-0005-0000-0000-00006C8F0000}"/>
    <cellStyle name="Normal 224 3 4" xfId="24674" xr:uid="{00000000-0005-0000-0000-00006D8F0000}"/>
    <cellStyle name="Normal 224 4" xfId="6481" xr:uid="{00000000-0005-0000-0000-00006E8F0000}"/>
    <cellStyle name="Normal 224 4 2" xfId="9691" xr:uid="{00000000-0005-0000-0000-00006F8F0000}"/>
    <cellStyle name="Normal 224 4 2 2" xfId="17485" xr:uid="{00000000-0005-0000-0000-0000708F0000}"/>
    <cellStyle name="Normal 224 4 2 2 2" xfId="35122" xr:uid="{00000000-0005-0000-0000-0000718F0000}"/>
    <cellStyle name="Normal 224 4 2 3" xfId="28075" xr:uid="{00000000-0005-0000-0000-0000728F0000}"/>
    <cellStyle name="Normal 224 4 3" xfId="14270" xr:uid="{00000000-0005-0000-0000-0000738F0000}"/>
    <cellStyle name="Normal 224 4 3 2" xfId="31905" xr:uid="{00000000-0005-0000-0000-0000748F0000}"/>
    <cellStyle name="Normal 224 4 4" xfId="25211" xr:uid="{00000000-0005-0000-0000-0000758F0000}"/>
    <cellStyle name="Normal 224 5" xfId="7257" xr:uid="{00000000-0005-0000-0000-0000768F0000}"/>
    <cellStyle name="Normal 224 5 2" xfId="10245" xr:uid="{00000000-0005-0000-0000-0000778F0000}"/>
    <cellStyle name="Normal 224 5 2 2" xfId="18038" xr:uid="{00000000-0005-0000-0000-0000788F0000}"/>
    <cellStyle name="Normal 224 5 2 2 2" xfId="35675" xr:uid="{00000000-0005-0000-0000-0000798F0000}"/>
    <cellStyle name="Normal 224 5 2 3" xfId="28612" xr:uid="{00000000-0005-0000-0000-00007A8F0000}"/>
    <cellStyle name="Normal 224 5 3" xfId="15045" xr:uid="{00000000-0005-0000-0000-00007B8F0000}"/>
    <cellStyle name="Normal 224 5 3 2" xfId="32680" xr:uid="{00000000-0005-0000-0000-00007C8F0000}"/>
    <cellStyle name="Normal 224 5 4" xfId="25749" xr:uid="{00000000-0005-0000-0000-00007D8F0000}"/>
    <cellStyle name="Normal 224 6" xfId="7858" xr:uid="{00000000-0005-0000-0000-00007E8F0000}"/>
    <cellStyle name="Normal 224 6 2" xfId="15655" xr:uid="{00000000-0005-0000-0000-00007F8F0000}"/>
    <cellStyle name="Normal 224 6 2 2" xfId="33290" xr:uid="{00000000-0005-0000-0000-0000808F0000}"/>
    <cellStyle name="Normal 224 6 3" xfId="26274" xr:uid="{00000000-0005-0000-0000-0000818F0000}"/>
    <cellStyle name="Normal 224 7" xfId="11778" xr:uid="{00000000-0005-0000-0000-0000828F0000}"/>
    <cellStyle name="Normal 224 7 2" xfId="29465" xr:uid="{00000000-0005-0000-0000-0000838F0000}"/>
    <cellStyle name="Normal 224 8" xfId="22031" xr:uid="{00000000-0005-0000-0000-0000848F0000}"/>
    <cellStyle name="Normal 224 9" xfId="23409" xr:uid="{00000000-0005-0000-0000-0000858F0000}"/>
    <cellStyle name="Normal 225" xfId="2347" xr:uid="{00000000-0005-0000-0000-0000868F0000}"/>
    <cellStyle name="Normal 225 2" xfId="4451" xr:uid="{00000000-0005-0000-0000-0000878F0000}"/>
    <cellStyle name="Normal 225 2 2" xfId="8538" xr:uid="{00000000-0005-0000-0000-0000888F0000}"/>
    <cellStyle name="Normal 225 2 2 2" xfId="16334" xr:uid="{00000000-0005-0000-0000-0000898F0000}"/>
    <cellStyle name="Normal 225 2 2 2 2" xfId="33969" xr:uid="{00000000-0005-0000-0000-00008A8F0000}"/>
    <cellStyle name="Normal 225 2 2 3" xfId="26939" xr:uid="{00000000-0005-0000-0000-00008B8F0000}"/>
    <cellStyle name="Normal 225 2 3" xfId="12787" xr:uid="{00000000-0005-0000-0000-00008C8F0000}"/>
    <cellStyle name="Normal 225 2 3 2" xfId="30445" xr:uid="{00000000-0005-0000-0000-00008D8F0000}"/>
    <cellStyle name="Normal 225 2 4" xfId="24074" xr:uid="{00000000-0005-0000-0000-00008E8F0000}"/>
    <cellStyle name="Normal 225 3" xfId="5852" xr:uid="{00000000-0005-0000-0000-00008F8F0000}"/>
    <cellStyle name="Normal 225 3 2" xfId="9152" xr:uid="{00000000-0005-0000-0000-0000908F0000}"/>
    <cellStyle name="Normal 225 3 2 2" xfId="16947" xr:uid="{00000000-0005-0000-0000-0000918F0000}"/>
    <cellStyle name="Normal 225 3 2 2 2" xfId="34583" xr:uid="{00000000-0005-0000-0000-0000928F0000}"/>
    <cellStyle name="Normal 225 3 2 3" xfId="27540" xr:uid="{00000000-0005-0000-0000-0000938F0000}"/>
    <cellStyle name="Normal 225 3 3" xfId="13708" xr:uid="{00000000-0005-0000-0000-0000948F0000}"/>
    <cellStyle name="Normal 225 3 3 2" xfId="31348" xr:uid="{00000000-0005-0000-0000-0000958F0000}"/>
    <cellStyle name="Normal 225 3 4" xfId="24675" xr:uid="{00000000-0005-0000-0000-0000968F0000}"/>
    <cellStyle name="Normal 225 4" xfId="6482" xr:uid="{00000000-0005-0000-0000-0000978F0000}"/>
    <cellStyle name="Normal 225 4 2" xfId="9692" xr:uid="{00000000-0005-0000-0000-0000988F0000}"/>
    <cellStyle name="Normal 225 4 2 2" xfId="17486" xr:uid="{00000000-0005-0000-0000-0000998F0000}"/>
    <cellStyle name="Normal 225 4 2 2 2" xfId="35123" xr:uid="{00000000-0005-0000-0000-00009A8F0000}"/>
    <cellStyle name="Normal 225 4 2 3" xfId="28076" xr:uid="{00000000-0005-0000-0000-00009B8F0000}"/>
    <cellStyle name="Normal 225 4 3" xfId="14271" xr:uid="{00000000-0005-0000-0000-00009C8F0000}"/>
    <cellStyle name="Normal 225 4 3 2" xfId="31906" xr:uid="{00000000-0005-0000-0000-00009D8F0000}"/>
    <cellStyle name="Normal 225 4 4" xfId="25212" xr:uid="{00000000-0005-0000-0000-00009E8F0000}"/>
    <cellStyle name="Normal 225 5" xfId="7258" xr:uid="{00000000-0005-0000-0000-00009F8F0000}"/>
    <cellStyle name="Normal 225 5 2" xfId="10246" xr:uid="{00000000-0005-0000-0000-0000A08F0000}"/>
    <cellStyle name="Normal 225 5 2 2" xfId="18039" xr:uid="{00000000-0005-0000-0000-0000A18F0000}"/>
    <cellStyle name="Normal 225 5 2 2 2" xfId="35676" xr:uid="{00000000-0005-0000-0000-0000A28F0000}"/>
    <cellStyle name="Normal 225 5 2 3" xfId="28613" xr:uid="{00000000-0005-0000-0000-0000A38F0000}"/>
    <cellStyle name="Normal 225 5 3" xfId="15046" xr:uid="{00000000-0005-0000-0000-0000A48F0000}"/>
    <cellStyle name="Normal 225 5 3 2" xfId="32681" xr:uid="{00000000-0005-0000-0000-0000A58F0000}"/>
    <cellStyle name="Normal 225 5 4" xfId="25750" xr:uid="{00000000-0005-0000-0000-0000A68F0000}"/>
    <cellStyle name="Normal 225 6" xfId="7859" xr:uid="{00000000-0005-0000-0000-0000A78F0000}"/>
    <cellStyle name="Normal 225 6 2" xfId="15656" xr:uid="{00000000-0005-0000-0000-0000A88F0000}"/>
    <cellStyle name="Normal 225 6 2 2" xfId="33291" xr:uid="{00000000-0005-0000-0000-0000A98F0000}"/>
    <cellStyle name="Normal 225 6 3" xfId="26275" xr:uid="{00000000-0005-0000-0000-0000AA8F0000}"/>
    <cellStyle name="Normal 225 7" xfId="11779" xr:uid="{00000000-0005-0000-0000-0000AB8F0000}"/>
    <cellStyle name="Normal 225 7 2" xfId="29466" xr:uid="{00000000-0005-0000-0000-0000AC8F0000}"/>
    <cellStyle name="Normal 225 8" xfId="23410" xr:uid="{00000000-0005-0000-0000-0000AD8F0000}"/>
    <cellStyle name="Normal 225 9" xfId="52086" xr:uid="{00000000-0005-0000-0000-0000AE8F0000}"/>
    <cellStyle name="Normal 226" xfId="2348" xr:uid="{00000000-0005-0000-0000-0000AF8F0000}"/>
    <cellStyle name="Normal 226 10" xfId="52087" xr:uid="{00000000-0005-0000-0000-0000B08F0000}"/>
    <cellStyle name="Normal 226 2" xfId="2349" xr:uid="{00000000-0005-0000-0000-0000B18F0000}"/>
    <cellStyle name="Normal 226 2 2" xfId="4453" xr:uid="{00000000-0005-0000-0000-0000B28F0000}"/>
    <cellStyle name="Normal 226 2 3" xfId="52088" xr:uid="{00000000-0005-0000-0000-0000B38F0000}"/>
    <cellStyle name="Normal 226 3" xfId="4452" xr:uid="{00000000-0005-0000-0000-0000B48F0000}"/>
    <cellStyle name="Normal 226 3 2" xfId="8539" xr:uid="{00000000-0005-0000-0000-0000B58F0000}"/>
    <cellStyle name="Normal 226 3 2 2" xfId="16335" xr:uid="{00000000-0005-0000-0000-0000B68F0000}"/>
    <cellStyle name="Normal 226 3 2 2 2" xfId="33970" xr:uid="{00000000-0005-0000-0000-0000B78F0000}"/>
    <cellStyle name="Normal 226 3 2 3" xfId="26940" xr:uid="{00000000-0005-0000-0000-0000B88F0000}"/>
    <cellStyle name="Normal 226 3 3" xfId="12788" xr:uid="{00000000-0005-0000-0000-0000B98F0000}"/>
    <cellStyle name="Normal 226 3 3 2" xfId="30446" xr:uid="{00000000-0005-0000-0000-0000BA8F0000}"/>
    <cellStyle name="Normal 226 3 4" xfId="24075" xr:uid="{00000000-0005-0000-0000-0000BB8F0000}"/>
    <cellStyle name="Normal 226 4" xfId="5853" xr:uid="{00000000-0005-0000-0000-0000BC8F0000}"/>
    <cellStyle name="Normal 226 4 2" xfId="9153" xr:uid="{00000000-0005-0000-0000-0000BD8F0000}"/>
    <cellStyle name="Normal 226 4 2 2" xfId="16948" xr:uid="{00000000-0005-0000-0000-0000BE8F0000}"/>
    <cellStyle name="Normal 226 4 2 2 2" xfId="34584" xr:uid="{00000000-0005-0000-0000-0000BF8F0000}"/>
    <cellStyle name="Normal 226 4 2 3" xfId="27541" xr:uid="{00000000-0005-0000-0000-0000C08F0000}"/>
    <cellStyle name="Normal 226 4 3" xfId="13709" xr:uid="{00000000-0005-0000-0000-0000C18F0000}"/>
    <cellStyle name="Normal 226 4 3 2" xfId="31349" xr:uid="{00000000-0005-0000-0000-0000C28F0000}"/>
    <cellStyle name="Normal 226 4 4" xfId="24676" xr:uid="{00000000-0005-0000-0000-0000C38F0000}"/>
    <cellStyle name="Normal 226 5" xfId="6483" xr:uid="{00000000-0005-0000-0000-0000C48F0000}"/>
    <cellStyle name="Normal 226 5 2" xfId="9693" xr:uid="{00000000-0005-0000-0000-0000C58F0000}"/>
    <cellStyle name="Normal 226 5 2 2" xfId="17487" xr:uid="{00000000-0005-0000-0000-0000C68F0000}"/>
    <cellStyle name="Normal 226 5 2 2 2" xfId="35124" xr:uid="{00000000-0005-0000-0000-0000C78F0000}"/>
    <cellStyle name="Normal 226 5 2 3" xfId="28077" xr:uid="{00000000-0005-0000-0000-0000C88F0000}"/>
    <cellStyle name="Normal 226 5 3" xfId="14272" xr:uid="{00000000-0005-0000-0000-0000C98F0000}"/>
    <cellStyle name="Normal 226 5 3 2" xfId="31907" xr:uid="{00000000-0005-0000-0000-0000CA8F0000}"/>
    <cellStyle name="Normal 226 5 4" xfId="25213" xr:uid="{00000000-0005-0000-0000-0000CB8F0000}"/>
    <cellStyle name="Normal 226 6" xfId="7259" xr:uid="{00000000-0005-0000-0000-0000CC8F0000}"/>
    <cellStyle name="Normal 226 6 2" xfId="10247" xr:uid="{00000000-0005-0000-0000-0000CD8F0000}"/>
    <cellStyle name="Normal 226 6 2 2" xfId="18040" xr:uid="{00000000-0005-0000-0000-0000CE8F0000}"/>
    <cellStyle name="Normal 226 6 2 2 2" xfId="35677" xr:uid="{00000000-0005-0000-0000-0000CF8F0000}"/>
    <cellStyle name="Normal 226 6 2 3" xfId="28614" xr:uid="{00000000-0005-0000-0000-0000D08F0000}"/>
    <cellStyle name="Normal 226 6 3" xfId="15047" xr:uid="{00000000-0005-0000-0000-0000D18F0000}"/>
    <cellStyle name="Normal 226 6 3 2" xfId="32682" xr:uid="{00000000-0005-0000-0000-0000D28F0000}"/>
    <cellStyle name="Normal 226 6 4" xfId="25751" xr:uid="{00000000-0005-0000-0000-0000D38F0000}"/>
    <cellStyle name="Normal 226 7" xfId="7860" xr:uid="{00000000-0005-0000-0000-0000D48F0000}"/>
    <cellStyle name="Normal 226 7 2" xfId="15657" xr:uid="{00000000-0005-0000-0000-0000D58F0000}"/>
    <cellStyle name="Normal 226 7 2 2" xfId="33292" xr:uid="{00000000-0005-0000-0000-0000D68F0000}"/>
    <cellStyle name="Normal 226 7 3" xfId="26276" xr:uid="{00000000-0005-0000-0000-0000D78F0000}"/>
    <cellStyle name="Normal 226 8" xfId="11780" xr:uid="{00000000-0005-0000-0000-0000D88F0000}"/>
    <cellStyle name="Normal 226 8 2" xfId="29467" xr:uid="{00000000-0005-0000-0000-0000D98F0000}"/>
    <cellStyle name="Normal 226 9" xfId="23411" xr:uid="{00000000-0005-0000-0000-0000DA8F0000}"/>
    <cellStyle name="Normal 227" xfId="2350" xr:uid="{00000000-0005-0000-0000-0000DB8F0000}"/>
    <cellStyle name="Normal 227 10" xfId="52089" xr:uid="{00000000-0005-0000-0000-0000DC8F0000}"/>
    <cellStyle name="Normal 227 2" xfId="2351" xr:uid="{00000000-0005-0000-0000-0000DD8F0000}"/>
    <cellStyle name="Normal 227 2 2" xfId="4455" xr:uid="{00000000-0005-0000-0000-0000DE8F0000}"/>
    <cellStyle name="Normal 227 2 3" xfId="52090" xr:uid="{00000000-0005-0000-0000-0000DF8F0000}"/>
    <cellStyle name="Normal 227 3" xfId="4454" xr:uid="{00000000-0005-0000-0000-0000E08F0000}"/>
    <cellStyle name="Normal 227 3 2" xfId="8540" xr:uid="{00000000-0005-0000-0000-0000E18F0000}"/>
    <cellStyle name="Normal 227 3 2 2" xfId="16336" xr:uid="{00000000-0005-0000-0000-0000E28F0000}"/>
    <cellStyle name="Normal 227 3 2 2 2" xfId="33971" xr:uid="{00000000-0005-0000-0000-0000E38F0000}"/>
    <cellStyle name="Normal 227 3 2 3" xfId="26941" xr:uid="{00000000-0005-0000-0000-0000E48F0000}"/>
    <cellStyle name="Normal 227 3 3" xfId="12789" xr:uid="{00000000-0005-0000-0000-0000E58F0000}"/>
    <cellStyle name="Normal 227 3 3 2" xfId="30447" xr:uid="{00000000-0005-0000-0000-0000E68F0000}"/>
    <cellStyle name="Normal 227 3 4" xfId="24076" xr:uid="{00000000-0005-0000-0000-0000E78F0000}"/>
    <cellStyle name="Normal 227 4" xfId="5854" xr:uid="{00000000-0005-0000-0000-0000E88F0000}"/>
    <cellStyle name="Normal 227 4 2" xfId="9154" xr:uid="{00000000-0005-0000-0000-0000E98F0000}"/>
    <cellStyle name="Normal 227 4 2 2" xfId="16949" xr:uid="{00000000-0005-0000-0000-0000EA8F0000}"/>
    <cellStyle name="Normal 227 4 2 2 2" xfId="34585" xr:uid="{00000000-0005-0000-0000-0000EB8F0000}"/>
    <cellStyle name="Normal 227 4 2 3" xfId="27542" xr:uid="{00000000-0005-0000-0000-0000EC8F0000}"/>
    <cellStyle name="Normal 227 4 3" xfId="13710" xr:uid="{00000000-0005-0000-0000-0000ED8F0000}"/>
    <cellStyle name="Normal 227 4 3 2" xfId="31350" xr:uid="{00000000-0005-0000-0000-0000EE8F0000}"/>
    <cellStyle name="Normal 227 4 4" xfId="24677" xr:uid="{00000000-0005-0000-0000-0000EF8F0000}"/>
    <cellStyle name="Normal 227 5" xfId="6484" xr:uid="{00000000-0005-0000-0000-0000F08F0000}"/>
    <cellStyle name="Normal 227 5 2" xfId="9694" xr:uid="{00000000-0005-0000-0000-0000F18F0000}"/>
    <cellStyle name="Normal 227 5 2 2" xfId="17488" xr:uid="{00000000-0005-0000-0000-0000F28F0000}"/>
    <cellStyle name="Normal 227 5 2 2 2" xfId="35125" xr:uid="{00000000-0005-0000-0000-0000F38F0000}"/>
    <cellStyle name="Normal 227 5 2 3" xfId="28078" xr:uid="{00000000-0005-0000-0000-0000F48F0000}"/>
    <cellStyle name="Normal 227 5 3" xfId="14273" xr:uid="{00000000-0005-0000-0000-0000F58F0000}"/>
    <cellStyle name="Normal 227 5 3 2" xfId="31908" xr:uid="{00000000-0005-0000-0000-0000F68F0000}"/>
    <cellStyle name="Normal 227 5 4" xfId="25214" xr:uid="{00000000-0005-0000-0000-0000F78F0000}"/>
    <cellStyle name="Normal 227 6" xfId="7260" xr:uid="{00000000-0005-0000-0000-0000F88F0000}"/>
    <cellStyle name="Normal 227 6 2" xfId="10248" xr:uid="{00000000-0005-0000-0000-0000F98F0000}"/>
    <cellStyle name="Normal 227 6 2 2" xfId="18041" xr:uid="{00000000-0005-0000-0000-0000FA8F0000}"/>
    <cellStyle name="Normal 227 6 2 2 2" xfId="35678" xr:uid="{00000000-0005-0000-0000-0000FB8F0000}"/>
    <cellStyle name="Normal 227 6 2 3" xfId="28615" xr:uid="{00000000-0005-0000-0000-0000FC8F0000}"/>
    <cellStyle name="Normal 227 6 3" xfId="15048" xr:uid="{00000000-0005-0000-0000-0000FD8F0000}"/>
    <cellStyle name="Normal 227 6 3 2" xfId="32683" xr:uid="{00000000-0005-0000-0000-0000FE8F0000}"/>
    <cellStyle name="Normal 227 6 4" xfId="25752" xr:uid="{00000000-0005-0000-0000-0000FF8F0000}"/>
    <cellStyle name="Normal 227 7" xfId="7861" xr:uid="{00000000-0005-0000-0000-000000900000}"/>
    <cellStyle name="Normal 227 7 2" xfId="15658" xr:uid="{00000000-0005-0000-0000-000001900000}"/>
    <cellStyle name="Normal 227 7 2 2" xfId="33293" xr:uid="{00000000-0005-0000-0000-000002900000}"/>
    <cellStyle name="Normal 227 7 3" xfId="26277" xr:uid="{00000000-0005-0000-0000-000003900000}"/>
    <cellStyle name="Normal 227 8" xfId="11781" xr:uid="{00000000-0005-0000-0000-000004900000}"/>
    <cellStyle name="Normal 227 8 2" xfId="29468" xr:uid="{00000000-0005-0000-0000-000005900000}"/>
    <cellStyle name="Normal 227 9" xfId="23412" xr:uid="{00000000-0005-0000-0000-000006900000}"/>
    <cellStyle name="Normal 228" xfId="2352" xr:uid="{00000000-0005-0000-0000-000007900000}"/>
    <cellStyle name="Normal 228 2" xfId="4456" xr:uid="{00000000-0005-0000-0000-000008900000}"/>
    <cellStyle name="Normal 228 3" xfId="52091" xr:uid="{00000000-0005-0000-0000-000009900000}"/>
    <cellStyle name="Normal 229" xfId="2353" xr:uid="{00000000-0005-0000-0000-00000A900000}"/>
    <cellStyle name="Normal 229 2" xfId="4457" xr:uid="{00000000-0005-0000-0000-00000B900000}"/>
    <cellStyle name="Normal 229 3" xfId="52092" xr:uid="{00000000-0005-0000-0000-00000C900000}"/>
    <cellStyle name="Normal 23" xfId="2354" xr:uid="{00000000-0005-0000-0000-00000D900000}"/>
    <cellStyle name="Normal 23 2" xfId="2355" xr:uid="{00000000-0005-0000-0000-00000E900000}"/>
    <cellStyle name="Normal 23 2 2" xfId="2356" xr:uid="{00000000-0005-0000-0000-00000F900000}"/>
    <cellStyle name="Normal 23 2 3" xfId="22971" xr:uid="{00000000-0005-0000-0000-000010900000}"/>
    <cellStyle name="Normal 23 2 4" xfId="22762" xr:uid="{00000000-0005-0000-0000-000011900000}"/>
    <cellStyle name="Normal 23 2 4 2" xfId="38969" xr:uid="{00000000-0005-0000-0000-000012900000}"/>
    <cellStyle name="Normal 23 2_Sheet1" xfId="2357" xr:uid="{00000000-0005-0000-0000-000013900000}"/>
    <cellStyle name="Normal 23 3" xfId="2358" xr:uid="{00000000-0005-0000-0000-000014900000}"/>
    <cellStyle name="Normal 23 4" xfId="22970" xr:uid="{00000000-0005-0000-0000-000015900000}"/>
    <cellStyle name="Normal 23 5" xfId="22551" xr:uid="{00000000-0005-0000-0000-000016900000}"/>
    <cellStyle name="Normal 23 5 2" xfId="38864" xr:uid="{00000000-0005-0000-0000-000017900000}"/>
    <cellStyle name="Normal 23 6" xfId="53245" xr:uid="{00000000-0005-0000-0000-000018900000}"/>
    <cellStyle name="Normal 23_Sheet1" xfId="2359" xr:uid="{00000000-0005-0000-0000-000019900000}"/>
    <cellStyle name="Normal 230" xfId="2360" xr:uid="{00000000-0005-0000-0000-00001A900000}"/>
    <cellStyle name="Normal 230 2" xfId="4458" xr:uid="{00000000-0005-0000-0000-00001B900000}"/>
    <cellStyle name="Normal 230 3" xfId="52093" xr:uid="{00000000-0005-0000-0000-00001C900000}"/>
    <cellStyle name="Normal 231" xfId="2361" xr:uid="{00000000-0005-0000-0000-00001D900000}"/>
    <cellStyle name="Normal 231 2" xfId="4459" xr:uid="{00000000-0005-0000-0000-00001E900000}"/>
    <cellStyle name="Normal 231 3" xfId="52094" xr:uid="{00000000-0005-0000-0000-00001F900000}"/>
    <cellStyle name="Normal 232" xfId="2362" xr:uid="{00000000-0005-0000-0000-000020900000}"/>
    <cellStyle name="Normal 232 2" xfId="4460" xr:uid="{00000000-0005-0000-0000-000021900000}"/>
    <cellStyle name="Normal 232 3" xfId="52095" xr:uid="{00000000-0005-0000-0000-000022900000}"/>
    <cellStyle name="Normal 233" xfId="2363" xr:uid="{00000000-0005-0000-0000-000023900000}"/>
    <cellStyle name="Normal 233 2" xfId="4461" xr:uid="{00000000-0005-0000-0000-000024900000}"/>
    <cellStyle name="Normal 233 2 2" xfId="8541" xr:uid="{00000000-0005-0000-0000-000025900000}"/>
    <cellStyle name="Normal 233 2 2 2" xfId="16337" xr:uid="{00000000-0005-0000-0000-000026900000}"/>
    <cellStyle name="Normal 233 2 2 2 2" xfId="33972" xr:uid="{00000000-0005-0000-0000-000027900000}"/>
    <cellStyle name="Normal 233 2 2 3" xfId="26942" xr:uid="{00000000-0005-0000-0000-000028900000}"/>
    <cellStyle name="Normal 233 2 3" xfId="12790" xr:uid="{00000000-0005-0000-0000-000029900000}"/>
    <cellStyle name="Normal 233 2 3 2" xfId="30448" xr:uid="{00000000-0005-0000-0000-00002A900000}"/>
    <cellStyle name="Normal 233 2 4" xfId="24077" xr:uid="{00000000-0005-0000-0000-00002B900000}"/>
    <cellStyle name="Normal 233 3" xfId="5855" xr:uid="{00000000-0005-0000-0000-00002C900000}"/>
    <cellStyle name="Normal 233 3 2" xfId="9155" xr:uid="{00000000-0005-0000-0000-00002D900000}"/>
    <cellStyle name="Normal 233 3 2 2" xfId="16950" xr:uid="{00000000-0005-0000-0000-00002E900000}"/>
    <cellStyle name="Normal 233 3 2 2 2" xfId="34586" xr:uid="{00000000-0005-0000-0000-00002F900000}"/>
    <cellStyle name="Normal 233 3 2 3" xfId="27543" xr:uid="{00000000-0005-0000-0000-000030900000}"/>
    <cellStyle name="Normal 233 3 3" xfId="13711" xr:uid="{00000000-0005-0000-0000-000031900000}"/>
    <cellStyle name="Normal 233 3 3 2" xfId="31351" xr:uid="{00000000-0005-0000-0000-000032900000}"/>
    <cellStyle name="Normal 233 3 4" xfId="24678" xr:uid="{00000000-0005-0000-0000-000033900000}"/>
    <cellStyle name="Normal 233 4" xfId="6485" xr:uid="{00000000-0005-0000-0000-000034900000}"/>
    <cellStyle name="Normal 233 4 2" xfId="9695" xr:uid="{00000000-0005-0000-0000-000035900000}"/>
    <cellStyle name="Normal 233 4 2 2" xfId="17489" xr:uid="{00000000-0005-0000-0000-000036900000}"/>
    <cellStyle name="Normal 233 4 2 2 2" xfId="35126" xr:uid="{00000000-0005-0000-0000-000037900000}"/>
    <cellStyle name="Normal 233 4 2 3" xfId="28079" xr:uid="{00000000-0005-0000-0000-000038900000}"/>
    <cellStyle name="Normal 233 4 3" xfId="14274" xr:uid="{00000000-0005-0000-0000-000039900000}"/>
    <cellStyle name="Normal 233 4 3 2" xfId="31909" xr:uid="{00000000-0005-0000-0000-00003A900000}"/>
    <cellStyle name="Normal 233 4 4" xfId="25215" xr:uid="{00000000-0005-0000-0000-00003B900000}"/>
    <cellStyle name="Normal 233 5" xfId="7261" xr:uid="{00000000-0005-0000-0000-00003C900000}"/>
    <cellStyle name="Normal 233 5 2" xfId="10249" xr:uid="{00000000-0005-0000-0000-00003D900000}"/>
    <cellStyle name="Normal 233 5 2 2" xfId="18042" xr:uid="{00000000-0005-0000-0000-00003E900000}"/>
    <cellStyle name="Normal 233 5 2 2 2" xfId="35679" xr:uid="{00000000-0005-0000-0000-00003F900000}"/>
    <cellStyle name="Normal 233 5 2 3" xfId="28616" xr:uid="{00000000-0005-0000-0000-000040900000}"/>
    <cellStyle name="Normal 233 5 3" xfId="15049" xr:uid="{00000000-0005-0000-0000-000041900000}"/>
    <cellStyle name="Normal 233 5 3 2" xfId="32684" xr:uid="{00000000-0005-0000-0000-000042900000}"/>
    <cellStyle name="Normal 233 5 4" xfId="25753" xr:uid="{00000000-0005-0000-0000-000043900000}"/>
    <cellStyle name="Normal 233 6" xfId="7862" xr:uid="{00000000-0005-0000-0000-000044900000}"/>
    <cellStyle name="Normal 233 6 2" xfId="15659" xr:uid="{00000000-0005-0000-0000-000045900000}"/>
    <cellStyle name="Normal 233 6 2 2" xfId="33294" xr:uid="{00000000-0005-0000-0000-000046900000}"/>
    <cellStyle name="Normal 233 6 3" xfId="26278" xr:uid="{00000000-0005-0000-0000-000047900000}"/>
    <cellStyle name="Normal 233 7" xfId="11782" xr:uid="{00000000-0005-0000-0000-000048900000}"/>
    <cellStyle name="Normal 233 7 2" xfId="29469" xr:uid="{00000000-0005-0000-0000-000049900000}"/>
    <cellStyle name="Normal 233 8" xfId="23413" xr:uid="{00000000-0005-0000-0000-00004A900000}"/>
    <cellStyle name="Normal 233 9" xfId="52096" xr:uid="{00000000-0005-0000-0000-00004B900000}"/>
    <cellStyle name="Normal 234" xfId="2364" xr:uid="{00000000-0005-0000-0000-00004C900000}"/>
    <cellStyle name="Normal 234 2" xfId="4462" xr:uid="{00000000-0005-0000-0000-00004D900000}"/>
    <cellStyle name="Normal 234 3" xfId="52097" xr:uid="{00000000-0005-0000-0000-00004E900000}"/>
    <cellStyle name="Normal 235" xfId="2365" xr:uid="{00000000-0005-0000-0000-00004F900000}"/>
    <cellStyle name="Normal 235 2" xfId="4463" xr:uid="{00000000-0005-0000-0000-000050900000}"/>
    <cellStyle name="Normal 235 3" xfId="52098" xr:uid="{00000000-0005-0000-0000-000051900000}"/>
    <cellStyle name="Normal 236" xfId="2366" xr:uid="{00000000-0005-0000-0000-000052900000}"/>
    <cellStyle name="Normal 236 2" xfId="4464" xr:uid="{00000000-0005-0000-0000-000053900000}"/>
    <cellStyle name="Normal 236 3" xfId="52099" xr:uid="{00000000-0005-0000-0000-000054900000}"/>
    <cellStyle name="Normal 237" xfId="2367" xr:uid="{00000000-0005-0000-0000-000055900000}"/>
    <cellStyle name="Normal 237 2" xfId="4465" xr:uid="{00000000-0005-0000-0000-000056900000}"/>
    <cellStyle name="Normal 237 3" xfId="52100" xr:uid="{00000000-0005-0000-0000-000057900000}"/>
    <cellStyle name="Normal 238" xfId="2368" xr:uid="{00000000-0005-0000-0000-000058900000}"/>
    <cellStyle name="Normal 238 2" xfId="4466" xr:uid="{00000000-0005-0000-0000-000059900000}"/>
    <cellStyle name="Normal 238 3" xfId="52101" xr:uid="{00000000-0005-0000-0000-00005A900000}"/>
    <cellStyle name="Normal 239" xfId="2369" xr:uid="{00000000-0005-0000-0000-00005B900000}"/>
    <cellStyle name="Normal 239 2" xfId="4467" xr:uid="{00000000-0005-0000-0000-00005C900000}"/>
    <cellStyle name="Normal 239 3" xfId="52102" xr:uid="{00000000-0005-0000-0000-00005D900000}"/>
    <cellStyle name="Normal 24" xfId="2370" xr:uid="{00000000-0005-0000-0000-00005E900000}"/>
    <cellStyle name="Normal 24 2" xfId="2371" xr:uid="{00000000-0005-0000-0000-00005F900000}"/>
    <cellStyle name="Normal 24 2 2" xfId="2372" xr:uid="{00000000-0005-0000-0000-000060900000}"/>
    <cellStyle name="Normal 24 2 3" xfId="22973" xr:uid="{00000000-0005-0000-0000-000061900000}"/>
    <cellStyle name="Normal 24 2 4" xfId="22763" xr:uid="{00000000-0005-0000-0000-000062900000}"/>
    <cellStyle name="Normal 24 2 4 2" xfId="38970" xr:uid="{00000000-0005-0000-0000-000063900000}"/>
    <cellStyle name="Normal 24 2_Sheet1" xfId="2373" xr:uid="{00000000-0005-0000-0000-000064900000}"/>
    <cellStyle name="Normal 24 3" xfId="2374" xr:uid="{00000000-0005-0000-0000-000065900000}"/>
    <cellStyle name="Normal 24 4" xfId="22972" xr:uid="{00000000-0005-0000-0000-000066900000}"/>
    <cellStyle name="Normal 24 5" xfId="22552" xr:uid="{00000000-0005-0000-0000-000067900000}"/>
    <cellStyle name="Normal 24 5 2" xfId="38865" xr:uid="{00000000-0005-0000-0000-000068900000}"/>
    <cellStyle name="Normal 24 6" xfId="53246" xr:uid="{00000000-0005-0000-0000-000069900000}"/>
    <cellStyle name="Normal 24_Sheet1" xfId="2375" xr:uid="{00000000-0005-0000-0000-00006A900000}"/>
    <cellStyle name="Normal 240" xfId="2376" xr:uid="{00000000-0005-0000-0000-00006B900000}"/>
    <cellStyle name="Normal 240 2" xfId="4468" xr:uid="{00000000-0005-0000-0000-00006C900000}"/>
    <cellStyle name="Normal 240 3" xfId="52103" xr:uid="{00000000-0005-0000-0000-00006D900000}"/>
    <cellStyle name="Normal 241" xfId="2377" xr:uid="{00000000-0005-0000-0000-00006E900000}"/>
    <cellStyle name="Normal 241 2" xfId="4469" xr:uid="{00000000-0005-0000-0000-00006F900000}"/>
    <cellStyle name="Normal 241 3" xfId="52104" xr:uid="{00000000-0005-0000-0000-000070900000}"/>
    <cellStyle name="Normal 242" xfId="2378" xr:uid="{00000000-0005-0000-0000-000071900000}"/>
    <cellStyle name="Normal 242 2" xfId="4470" xr:uid="{00000000-0005-0000-0000-000072900000}"/>
    <cellStyle name="Normal 242 3" xfId="52105" xr:uid="{00000000-0005-0000-0000-000073900000}"/>
    <cellStyle name="Normal 243" xfId="2379" xr:uid="{00000000-0005-0000-0000-000074900000}"/>
    <cellStyle name="Normal 243 2" xfId="4471" xr:uid="{00000000-0005-0000-0000-000075900000}"/>
    <cellStyle name="Normal 243 3" xfId="52106" xr:uid="{00000000-0005-0000-0000-000076900000}"/>
    <cellStyle name="Normal 244" xfId="2380" xr:uid="{00000000-0005-0000-0000-000077900000}"/>
    <cellStyle name="Normal 244 2" xfId="4472" xr:uid="{00000000-0005-0000-0000-000078900000}"/>
    <cellStyle name="Normal 244 3" xfId="52107" xr:uid="{00000000-0005-0000-0000-000079900000}"/>
    <cellStyle name="Normal 245" xfId="2381" xr:uid="{00000000-0005-0000-0000-00007A900000}"/>
    <cellStyle name="Normal 245 2" xfId="4473" xr:uid="{00000000-0005-0000-0000-00007B900000}"/>
    <cellStyle name="Normal 245 3" xfId="52108" xr:uid="{00000000-0005-0000-0000-00007C900000}"/>
    <cellStyle name="Normal 246" xfId="2382" xr:uid="{00000000-0005-0000-0000-00007D900000}"/>
    <cellStyle name="Normal 246 2" xfId="4474" xr:uid="{00000000-0005-0000-0000-00007E900000}"/>
    <cellStyle name="Normal 246 3" xfId="52109" xr:uid="{00000000-0005-0000-0000-00007F900000}"/>
    <cellStyle name="Normal 247" xfId="2383" xr:uid="{00000000-0005-0000-0000-000080900000}"/>
    <cellStyle name="Normal 247 2" xfId="4475" xr:uid="{00000000-0005-0000-0000-000081900000}"/>
    <cellStyle name="Normal 247 3" xfId="52110" xr:uid="{00000000-0005-0000-0000-000082900000}"/>
    <cellStyle name="Normal 248" xfId="2384" xr:uid="{00000000-0005-0000-0000-000083900000}"/>
    <cellStyle name="Normal 248 2" xfId="4476" xr:uid="{00000000-0005-0000-0000-000084900000}"/>
    <cellStyle name="Normal 248 3" xfId="52111" xr:uid="{00000000-0005-0000-0000-000085900000}"/>
    <cellStyle name="Normal 249" xfId="2385" xr:uid="{00000000-0005-0000-0000-000086900000}"/>
    <cellStyle name="Normal 249 2" xfId="4477" xr:uid="{00000000-0005-0000-0000-000087900000}"/>
    <cellStyle name="Normal 249 3" xfId="52112" xr:uid="{00000000-0005-0000-0000-000088900000}"/>
    <cellStyle name="Normal 25" xfId="2386" xr:uid="{00000000-0005-0000-0000-000089900000}"/>
    <cellStyle name="Normal 25 2" xfId="2387" xr:uid="{00000000-0005-0000-0000-00008A900000}"/>
    <cellStyle name="Normal 25 2 2" xfId="2388" xr:uid="{00000000-0005-0000-0000-00008B900000}"/>
    <cellStyle name="Normal 25 2 3" xfId="22975" xr:uid="{00000000-0005-0000-0000-00008C900000}"/>
    <cellStyle name="Normal 25 2 4" xfId="22764" xr:uid="{00000000-0005-0000-0000-00008D900000}"/>
    <cellStyle name="Normal 25 2 4 2" xfId="38971" xr:uid="{00000000-0005-0000-0000-00008E900000}"/>
    <cellStyle name="Normal 25 2_Sheet1" xfId="2389" xr:uid="{00000000-0005-0000-0000-00008F900000}"/>
    <cellStyle name="Normal 25 3" xfId="2390" xr:uid="{00000000-0005-0000-0000-000090900000}"/>
    <cellStyle name="Normal 25 4" xfId="22974" xr:uid="{00000000-0005-0000-0000-000091900000}"/>
    <cellStyle name="Normal 25 5" xfId="22553" xr:uid="{00000000-0005-0000-0000-000092900000}"/>
    <cellStyle name="Normal 25 5 2" xfId="38866" xr:uid="{00000000-0005-0000-0000-000093900000}"/>
    <cellStyle name="Normal 25 6" xfId="53247" xr:uid="{00000000-0005-0000-0000-000094900000}"/>
    <cellStyle name="Normal 25_Sheet1" xfId="2391" xr:uid="{00000000-0005-0000-0000-000095900000}"/>
    <cellStyle name="Normal 250" xfId="2392" xr:uid="{00000000-0005-0000-0000-000096900000}"/>
    <cellStyle name="Normal 250 2" xfId="4478" xr:uid="{00000000-0005-0000-0000-000097900000}"/>
    <cellStyle name="Normal 250 3" xfId="52113" xr:uid="{00000000-0005-0000-0000-000098900000}"/>
    <cellStyle name="Normal 251" xfId="2393" xr:uid="{00000000-0005-0000-0000-000099900000}"/>
    <cellStyle name="Normal 251 2" xfId="4479" xr:uid="{00000000-0005-0000-0000-00009A900000}"/>
    <cellStyle name="Normal 251 3" xfId="52114" xr:uid="{00000000-0005-0000-0000-00009B900000}"/>
    <cellStyle name="Normal 252" xfId="2394" xr:uid="{00000000-0005-0000-0000-00009C900000}"/>
    <cellStyle name="Normal 252 2" xfId="4480" xr:uid="{00000000-0005-0000-0000-00009D900000}"/>
    <cellStyle name="Normal 252 3" xfId="52115" xr:uid="{00000000-0005-0000-0000-00009E900000}"/>
    <cellStyle name="Normal 253" xfId="2395" xr:uid="{00000000-0005-0000-0000-00009F900000}"/>
    <cellStyle name="Normal 253 2" xfId="4481" xr:uid="{00000000-0005-0000-0000-0000A0900000}"/>
    <cellStyle name="Normal 253 2 2" xfId="8542" xr:uid="{00000000-0005-0000-0000-0000A1900000}"/>
    <cellStyle name="Normal 253 2 2 2" xfId="16338" xr:uid="{00000000-0005-0000-0000-0000A2900000}"/>
    <cellStyle name="Normal 253 2 2 2 2" xfId="33973" xr:uid="{00000000-0005-0000-0000-0000A3900000}"/>
    <cellStyle name="Normal 253 2 2 3" xfId="26943" xr:uid="{00000000-0005-0000-0000-0000A4900000}"/>
    <cellStyle name="Normal 253 2 3" xfId="12792" xr:uid="{00000000-0005-0000-0000-0000A5900000}"/>
    <cellStyle name="Normal 253 2 3 2" xfId="30450" xr:uid="{00000000-0005-0000-0000-0000A6900000}"/>
    <cellStyle name="Normal 253 2 4" xfId="24078" xr:uid="{00000000-0005-0000-0000-0000A7900000}"/>
    <cellStyle name="Normal 253 3" xfId="5856" xr:uid="{00000000-0005-0000-0000-0000A8900000}"/>
    <cellStyle name="Normal 253 3 2" xfId="9156" xr:uid="{00000000-0005-0000-0000-0000A9900000}"/>
    <cellStyle name="Normal 253 3 2 2" xfId="16951" xr:uid="{00000000-0005-0000-0000-0000AA900000}"/>
    <cellStyle name="Normal 253 3 2 2 2" xfId="34587" xr:uid="{00000000-0005-0000-0000-0000AB900000}"/>
    <cellStyle name="Normal 253 3 2 3" xfId="27544" xr:uid="{00000000-0005-0000-0000-0000AC900000}"/>
    <cellStyle name="Normal 253 3 3" xfId="13712" xr:uid="{00000000-0005-0000-0000-0000AD900000}"/>
    <cellStyle name="Normal 253 3 3 2" xfId="31352" xr:uid="{00000000-0005-0000-0000-0000AE900000}"/>
    <cellStyle name="Normal 253 3 4" xfId="24679" xr:uid="{00000000-0005-0000-0000-0000AF900000}"/>
    <cellStyle name="Normal 253 4" xfId="6486" xr:uid="{00000000-0005-0000-0000-0000B0900000}"/>
    <cellStyle name="Normal 253 4 2" xfId="9696" xr:uid="{00000000-0005-0000-0000-0000B1900000}"/>
    <cellStyle name="Normal 253 4 2 2" xfId="17490" xr:uid="{00000000-0005-0000-0000-0000B2900000}"/>
    <cellStyle name="Normal 253 4 2 2 2" xfId="35127" xr:uid="{00000000-0005-0000-0000-0000B3900000}"/>
    <cellStyle name="Normal 253 4 2 3" xfId="28080" xr:uid="{00000000-0005-0000-0000-0000B4900000}"/>
    <cellStyle name="Normal 253 4 3" xfId="14275" xr:uid="{00000000-0005-0000-0000-0000B5900000}"/>
    <cellStyle name="Normal 253 4 3 2" xfId="31910" xr:uid="{00000000-0005-0000-0000-0000B6900000}"/>
    <cellStyle name="Normal 253 4 4" xfId="25216" xr:uid="{00000000-0005-0000-0000-0000B7900000}"/>
    <cellStyle name="Normal 253 5" xfId="7262" xr:uid="{00000000-0005-0000-0000-0000B8900000}"/>
    <cellStyle name="Normal 253 5 2" xfId="10250" xr:uid="{00000000-0005-0000-0000-0000B9900000}"/>
    <cellStyle name="Normal 253 5 2 2" xfId="18043" xr:uid="{00000000-0005-0000-0000-0000BA900000}"/>
    <cellStyle name="Normal 253 5 2 2 2" xfId="35680" xr:uid="{00000000-0005-0000-0000-0000BB900000}"/>
    <cellStyle name="Normal 253 5 2 3" xfId="28617" xr:uid="{00000000-0005-0000-0000-0000BC900000}"/>
    <cellStyle name="Normal 253 5 3" xfId="15050" xr:uid="{00000000-0005-0000-0000-0000BD900000}"/>
    <cellStyle name="Normal 253 5 3 2" xfId="32685" xr:uid="{00000000-0005-0000-0000-0000BE900000}"/>
    <cellStyle name="Normal 253 5 4" xfId="25754" xr:uid="{00000000-0005-0000-0000-0000BF900000}"/>
    <cellStyle name="Normal 253 6" xfId="7863" xr:uid="{00000000-0005-0000-0000-0000C0900000}"/>
    <cellStyle name="Normal 253 6 2" xfId="15660" xr:uid="{00000000-0005-0000-0000-0000C1900000}"/>
    <cellStyle name="Normal 253 6 2 2" xfId="33295" xr:uid="{00000000-0005-0000-0000-0000C2900000}"/>
    <cellStyle name="Normal 253 6 3" xfId="26279" xr:uid="{00000000-0005-0000-0000-0000C3900000}"/>
    <cellStyle name="Normal 253 7" xfId="11786" xr:uid="{00000000-0005-0000-0000-0000C4900000}"/>
    <cellStyle name="Normal 253 7 2" xfId="29472" xr:uid="{00000000-0005-0000-0000-0000C5900000}"/>
    <cellStyle name="Normal 253 8" xfId="23414" xr:uid="{00000000-0005-0000-0000-0000C6900000}"/>
    <cellStyle name="Normal 253 9" xfId="52116" xr:uid="{00000000-0005-0000-0000-0000C7900000}"/>
    <cellStyle name="Normal 254" xfId="2396" xr:uid="{00000000-0005-0000-0000-0000C8900000}"/>
    <cellStyle name="Normal 254 2" xfId="4482" xr:uid="{00000000-0005-0000-0000-0000C9900000}"/>
    <cellStyle name="Normal 254 3" xfId="52117" xr:uid="{00000000-0005-0000-0000-0000CA900000}"/>
    <cellStyle name="Normal 255" xfId="2397" xr:uid="{00000000-0005-0000-0000-0000CB900000}"/>
    <cellStyle name="Normal 255 2" xfId="4483" xr:uid="{00000000-0005-0000-0000-0000CC900000}"/>
    <cellStyle name="Normal 255 3" xfId="52118" xr:uid="{00000000-0005-0000-0000-0000CD900000}"/>
    <cellStyle name="Normal 256" xfId="2398" xr:uid="{00000000-0005-0000-0000-0000CE900000}"/>
    <cellStyle name="Normal 256 2" xfId="4484" xr:uid="{00000000-0005-0000-0000-0000CF900000}"/>
    <cellStyle name="Normal 256 3" xfId="52119" xr:uid="{00000000-0005-0000-0000-0000D0900000}"/>
    <cellStyle name="Normal 257" xfId="2399" xr:uid="{00000000-0005-0000-0000-0000D1900000}"/>
    <cellStyle name="Normal 257 2" xfId="4485" xr:uid="{00000000-0005-0000-0000-0000D2900000}"/>
    <cellStyle name="Normal 257 3" xfId="52120" xr:uid="{00000000-0005-0000-0000-0000D3900000}"/>
    <cellStyle name="Normal 258" xfId="2400" xr:uid="{00000000-0005-0000-0000-0000D4900000}"/>
    <cellStyle name="Normal 258 2" xfId="4486" xr:uid="{00000000-0005-0000-0000-0000D5900000}"/>
    <cellStyle name="Normal 258 3" xfId="52121" xr:uid="{00000000-0005-0000-0000-0000D6900000}"/>
    <cellStyle name="Normal 259" xfId="2401" xr:uid="{00000000-0005-0000-0000-0000D7900000}"/>
    <cellStyle name="Normal 259 2" xfId="4487" xr:uid="{00000000-0005-0000-0000-0000D8900000}"/>
    <cellStyle name="Normal 259 3" xfId="52122" xr:uid="{00000000-0005-0000-0000-0000D9900000}"/>
    <cellStyle name="Normal 26" xfId="2402" xr:uid="{00000000-0005-0000-0000-0000DA900000}"/>
    <cellStyle name="Normal 26 2" xfId="2403" xr:uid="{00000000-0005-0000-0000-0000DB900000}"/>
    <cellStyle name="Normal 26 2 2" xfId="2404" xr:uid="{00000000-0005-0000-0000-0000DC900000}"/>
    <cellStyle name="Normal 26 2 3" xfId="22977" xr:uid="{00000000-0005-0000-0000-0000DD900000}"/>
    <cellStyle name="Normal 26 2 4" xfId="22765" xr:uid="{00000000-0005-0000-0000-0000DE900000}"/>
    <cellStyle name="Normal 26 2 4 2" xfId="38972" xr:uid="{00000000-0005-0000-0000-0000DF900000}"/>
    <cellStyle name="Normal 26 2_Sheet1" xfId="2405" xr:uid="{00000000-0005-0000-0000-0000E0900000}"/>
    <cellStyle name="Normal 26 3" xfId="2406" xr:uid="{00000000-0005-0000-0000-0000E1900000}"/>
    <cellStyle name="Normal 26 4" xfId="22976" xr:uid="{00000000-0005-0000-0000-0000E2900000}"/>
    <cellStyle name="Normal 26 5" xfId="22554" xr:uid="{00000000-0005-0000-0000-0000E3900000}"/>
    <cellStyle name="Normal 26 5 2" xfId="38867" xr:uid="{00000000-0005-0000-0000-0000E4900000}"/>
    <cellStyle name="Normal 26 6" xfId="53248" xr:uid="{00000000-0005-0000-0000-0000E5900000}"/>
    <cellStyle name="Normal 26_Sheet1" xfId="2407" xr:uid="{00000000-0005-0000-0000-0000E6900000}"/>
    <cellStyle name="Normal 260" xfId="2408" xr:uid="{00000000-0005-0000-0000-0000E7900000}"/>
    <cellStyle name="Normal 260 2" xfId="4488" xr:uid="{00000000-0005-0000-0000-0000E8900000}"/>
    <cellStyle name="Normal 260 3" xfId="52123" xr:uid="{00000000-0005-0000-0000-0000E9900000}"/>
    <cellStyle name="Normal 261" xfId="2409" xr:uid="{00000000-0005-0000-0000-0000EA900000}"/>
    <cellStyle name="Normal 261 2" xfId="4489" xr:uid="{00000000-0005-0000-0000-0000EB900000}"/>
    <cellStyle name="Normal 261 3" xfId="52124" xr:uid="{00000000-0005-0000-0000-0000EC900000}"/>
    <cellStyle name="Normal 262" xfId="2410" xr:uid="{00000000-0005-0000-0000-0000ED900000}"/>
    <cellStyle name="Normal 262 2" xfId="4490" xr:uid="{00000000-0005-0000-0000-0000EE900000}"/>
    <cellStyle name="Normal 262 3" xfId="52125" xr:uid="{00000000-0005-0000-0000-0000EF900000}"/>
    <cellStyle name="Normal 263" xfId="2411" xr:uid="{00000000-0005-0000-0000-0000F0900000}"/>
    <cellStyle name="Normal 263 2" xfId="4491" xr:uid="{00000000-0005-0000-0000-0000F1900000}"/>
    <cellStyle name="Normal 263 3" xfId="52126" xr:uid="{00000000-0005-0000-0000-0000F2900000}"/>
    <cellStyle name="Normal 264" xfId="2412" xr:uid="{00000000-0005-0000-0000-0000F3900000}"/>
    <cellStyle name="Normal 264 2" xfId="4492" xr:uid="{00000000-0005-0000-0000-0000F4900000}"/>
    <cellStyle name="Normal 264 3" xfId="52127" xr:uid="{00000000-0005-0000-0000-0000F5900000}"/>
    <cellStyle name="Normal 265" xfId="2413" xr:uid="{00000000-0005-0000-0000-0000F6900000}"/>
    <cellStyle name="Normal 265 2" xfId="4493" xr:uid="{00000000-0005-0000-0000-0000F7900000}"/>
    <cellStyle name="Normal 265 3" xfId="52128" xr:uid="{00000000-0005-0000-0000-0000F8900000}"/>
    <cellStyle name="Normal 266" xfId="2414" xr:uid="{00000000-0005-0000-0000-0000F9900000}"/>
    <cellStyle name="Normal 266 2" xfId="4494" xr:uid="{00000000-0005-0000-0000-0000FA900000}"/>
    <cellStyle name="Normal 266 2 2" xfId="8543" xr:uid="{00000000-0005-0000-0000-0000FB900000}"/>
    <cellStyle name="Normal 266 2 2 2" xfId="16339" xr:uid="{00000000-0005-0000-0000-0000FC900000}"/>
    <cellStyle name="Normal 266 2 2 2 2" xfId="33974" xr:uid="{00000000-0005-0000-0000-0000FD900000}"/>
    <cellStyle name="Normal 266 2 2 3" xfId="26944" xr:uid="{00000000-0005-0000-0000-0000FE900000}"/>
    <cellStyle name="Normal 266 2 3" xfId="12796" xr:uid="{00000000-0005-0000-0000-0000FF900000}"/>
    <cellStyle name="Normal 266 2 3 2" xfId="30453" xr:uid="{00000000-0005-0000-0000-000000910000}"/>
    <cellStyle name="Normal 266 2 4" xfId="24079" xr:uid="{00000000-0005-0000-0000-000001910000}"/>
    <cellStyle name="Normal 266 3" xfId="5857" xr:uid="{00000000-0005-0000-0000-000002910000}"/>
    <cellStyle name="Normal 266 3 2" xfId="9157" xr:uid="{00000000-0005-0000-0000-000003910000}"/>
    <cellStyle name="Normal 266 3 2 2" xfId="16952" xr:uid="{00000000-0005-0000-0000-000004910000}"/>
    <cellStyle name="Normal 266 3 2 2 2" xfId="34588" xr:uid="{00000000-0005-0000-0000-000005910000}"/>
    <cellStyle name="Normal 266 3 2 3" xfId="27545" xr:uid="{00000000-0005-0000-0000-000006910000}"/>
    <cellStyle name="Normal 266 3 3" xfId="13713" xr:uid="{00000000-0005-0000-0000-000007910000}"/>
    <cellStyle name="Normal 266 3 3 2" xfId="31353" xr:uid="{00000000-0005-0000-0000-000008910000}"/>
    <cellStyle name="Normal 266 3 4" xfId="24680" xr:uid="{00000000-0005-0000-0000-000009910000}"/>
    <cellStyle name="Normal 266 4" xfId="6487" xr:uid="{00000000-0005-0000-0000-00000A910000}"/>
    <cellStyle name="Normal 266 4 2" xfId="9697" xr:uid="{00000000-0005-0000-0000-00000B910000}"/>
    <cellStyle name="Normal 266 4 2 2" xfId="17491" xr:uid="{00000000-0005-0000-0000-00000C910000}"/>
    <cellStyle name="Normal 266 4 2 2 2" xfId="35128" xr:uid="{00000000-0005-0000-0000-00000D910000}"/>
    <cellStyle name="Normal 266 4 2 3" xfId="28081" xr:uid="{00000000-0005-0000-0000-00000E910000}"/>
    <cellStyle name="Normal 266 4 3" xfId="14276" xr:uid="{00000000-0005-0000-0000-00000F910000}"/>
    <cellStyle name="Normal 266 4 3 2" xfId="31911" xr:uid="{00000000-0005-0000-0000-000010910000}"/>
    <cellStyle name="Normal 266 4 4" xfId="25217" xr:uid="{00000000-0005-0000-0000-000011910000}"/>
    <cellStyle name="Normal 266 5" xfId="7263" xr:uid="{00000000-0005-0000-0000-000012910000}"/>
    <cellStyle name="Normal 266 5 2" xfId="10251" xr:uid="{00000000-0005-0000-0000-000013910000}"/>
    <cellStyle name="Normal 266 5 2 2" xfId="18044" xr:uid="{00000000-0005-0000-0000-000014910000}"/>
    <cellStyle name="Normal 266 5 2 2 2" xfId="35681" xr:uid="{00000000-0005-0000-0000-000015910000}"/>
    <cellStyle name="Normal 266 5 2 3" xfId="28618" xr:uid="{00000000-0005-0000-0000-000016910000}"/>
    <cellStyle name="Normal 266 5 3" xfId="15051" xr:uid="{00000000-0005-0000-0000-000017910000}"/>
    <cellStyle name="Normal 266 5 3 2" xfId="32686" xr:uid="{00000000-0005-0000-0000-000018910000}"/>
    <cellStyle name="Normal 266 5 4" xfId="25755" xr:uid="{00000000-0005-0000-0000-000019910000}"/>
    <cellStyle name="Normal 266 6" xfId="7864" xr:uid="{00000000-0005-0000-0000-00001A910000}"/>
    <cellStyle name="Normal 266 6 2" xfId="15661" xr:uid="{00000000-0005-0000-0000-00001B910000}"/>
    <cellStyle name="Normal 266 6 2 2" xfId="33296" xr:uid="{00000000-0005-0000-0000-00001C910000}"/>
    <cellStyle name="Normal 266 6 3" xfId="26280" xr:uid="{00000000-0005-0000-0000-00001D910000}"/>
    <cellStyle name="Normal 266 7" xfId="11791" xr:uid="{00000000-0005-0000-0000-00001E910000}"/>
    <cellStyle name="Normal 266 7 2" xfId="29477" xr:uid="{00000000-0005-0000-0000-00001F910000}"/>
    <cellStyle name="Normal 266 8" xfId="23415" xr:uid="{00000000-0005-0000-0000-000020910000}"/>
    <cellStyle name="Normal 266 9" xfId="52129" xr:uid="{00000000-0005-0000-0000-000021910000}"/>
    <cellStyle name="Normal 267" xfId="2415" xr:uid="{00000000-0005-0000-0000-000022910000}"/>
    <cellStyle name="Normal 267 2" xfId="4495" xr:uid="{00000000-0005-0000-0000-000023910000}"/>
    <cellStyle name="Normal 267 3" xfId="52130" xr:uid="{00000000-0005-0000-0000-000024910000}"/>
    <cellStyle name="Normal 268" xfId="2416" xr:uid="{00000000-0005-0000-0000-000025910000}"/>
    <cellStyle name="Normal 268 2" xfId="4496" xr:uid="{00000000-0005-0000-0000-000026910000}"/>
    <cellStyle name="Normal 268 3" xfId="52131" xr:uid="{00000000-0005-0000-0000-000027910000}"/>
    <cellStyle name="Normal 269" xfId="2417" xr:uid="{00000000-0005-0000-0000-000028910000}"/>
    <cellStyle name="Normal 269 2" xfId="4497" xr:uid="{00000000-0005-0000-0000-000029910000}"/>
    <cellStyle name="Normal 269 3" xfId="52132" xr:uid="{00000000-0005-0000-0000-00002A910000}"/>
    <cellStyle name="Normal 27" xfId="2418" xr:uid="{00000000-0005-0000-0000-00002B910000}"/>
    <cellStyle name="Normal 27 2" xfId="2419" xr:uid="{00000000-0005-0000-0000-00002C910000}"/>
    <cellStyle name="Normal 27 2 2" xfId="2420" xr:uid="{00000000-0005-0000-0000-00002D910000}"/>
    <cellStyle name="Normal 27 2 3" xfId="22979" xr:uid="{00000000-0005-0000-0000-00002E910000}"/>
    <cellStyle name="Normal 27 2 4" xfId="22766" xr:uid="{00000000-0005-0000-0000-00002F910000}"/>
    <cellStyle name="Normal 27 2 4 2" xfId="38973" xr:uid="{00000000-0005-0000-0000-000030910000}"/>
    <cellStyle name="Normal 27 2_Sheet1" xfId="2421" xr:uid="{00000000-0005-0000-0000-000031910000}"/>
    <cellStyle name="Normal 27 3" xfId="2422" xr:uid="{00000000-0005-0000-0000-000032910000}"/>
    <cellStyle name="Normal 27 4" xfId="22978" xr:uid="{00000000-0005-0000-0000-000033910000}"/>
    <cellStyle name="Normal 27 5" xfId="22555" xr:uid="{00000000-0005-0000-0000-000034910000}"/>
    <cellStyle name="Normal 27 5 2" xfId="38868" xr:uid="{00000000-0005-0000-0000-000035910000}"/>
    <cellStyle name="Normal 27 6" xfId="53249" xr:uid="{00000000-0005-0000-0000-000036910000}"/>
    <cellStyle name="Normal 27_Sheet1" xfId="2423" xr:uid="{00000000-0005-0000-0000-000037910000}"/>
    <cellStyle name="Normal 270" xfId="2424" xr:uid="{00000000-0005-0000-0000-000038910000}"/>
    <cellStyle name="Normal 270 2" xfId="4498" xr:uid="{00000000-0005-0000-0000-000039910000}"/>
    <cellStyle name="Normal 270 3" xfId="52133" xr:uid="{00000000-0005-0000-0000-00003A910000}"/>
    <cellStyle name="Normal 271" xfId="2425" xr:uid="{00000000-0005-0000-0000-00003B910000}"/>
    <cellStyle name="Normal 271 2" xfId="4499" xr:uid="{00000000-0005-0000-0000-00003C910000}"/>
    <cellStyle name="Normal 271 3" xfId="52134" xr:uid="{00000000-0005-0000-0000-00003D910000}"/>
    <cellStyle name="Normal 272" xfId="2426" xr:uid="{00000000-0005-0000-0000-00003E910000}"/>
    <cellStyle name="Normal 272 2" xfId="4500" xr:uid="{00000000-0005-0000-0000-00003F910000}"/>
    <cellStyle name="Normal 272 3" xfId="52135" xr:uid="{00000000-0005-0000-0000-000040910000}"/>
    <cellStyle name="Normal 273" xfId="2427" xr:uid="{00000000-0005-0000-0000-000041910000}"/>
    <cellStyle name="Normal 273 2" xfId="4501" xr:uid="{00000000-0005-0000-0000-000042910000}"/>
    <cellStyle name="Normal 273 3" xfId="52136" xr:uid="{00000000-0005-0000-0000-000043910000}"/>
    <cellStyle name="Normal 274" xfId="2428" xr:uid="{00000000-0005-0000-0000-000044910000}"/>
    <cellStyle name="Normal 274 2" xfId="4502" xr:uid="{00000000-0005-0000-0000-000045910000}"/>
    <cellStyle name="Normal 274 3" xfId="52137" xr:uid="{00000000-0005-0000-0000-000046910000}"/>
    <cellStyle name="Normal 275" xfId="2429" xr:uid="{00000000-0005-0000-0000-000047910000}"/>
    <cellStyle name="Normal 275 2" xfId="4503" xr:uid="{00000000-0005-0000-0000-000048910000}"/>
    <cellStyle name="Normal 275 3" xfId="52138" xr:uid="{00000000-0005-0000-0000-000049910000}"/>
    <cellStyle name="Normal 276" xfId="2430" xr:uid="{00000000-0005-0000-0000-00004A910000}"/>
    <cellStyle name="Normal 276 2" xfId="4504" xr:uid="{00000000-0005-0000-0000-00004B910000}"/>
    <cellStyle name="Normal 276 3" xfId="52139" xr:uid="{00000000-0005-0000-0000-00004C910000}"/>
    <cellStyle name="Normal 277" xfId="2431" xr:uid="{00000000-0005-0000-0000-00004D910000}"/>
    <cellStyle name="Normal 277 2" xfId="4505" xr:uid="{00000000-0005-0000-0000-00004E910000}"/>
    <cellStyle name="Normal 277 3" xfId="52140" xr:uid="{00000000-0005-0000-0000-00004F910000}"/>
    <cellStyle name="Normal 278" xfId="194" xr:uid="{00000000-0005-0000-0000-000050910000}"/>
    <cellStyle name="Normal 278 10" xfId="11793" xr:uid="{00000000-0005-0000-0000-000051910000}"/>
    <cellStyle name="Normal 278 10 2" xfId="29479" xr:uid="{00000000-0005-0000-0000-000052910000}"/>
    <cellStyle name="Normal 278 11" xfId="23416" xr:uid="{00000000-0005-0000-0000-000053910000}"/>
    <cellStyle name="Normal 278 12" xfId="52141" xr:uid="{00000000-0005-0000-0000-000054910000}"/>
    <cellStyle name="Normal 278 13" xfId="2432" xr:uid="{00000000-0005-0000-0000-000055910000}"/>
    <cellStyle name="Normal 278 2" xfId="4507" xr:uid="{00000000-0005-0000-0000-000056910000}"/>
    <cellStyle name="Normal 278 2 2" xfId="4508" xr:uid="{00000000-0005-0000-0000-000057910000}"/>
    <cellStyle name="Normal 278 2 2 2" xfId="5859" xr:uid="{00000000-0005-0000-0000-000058910000}"/>
    <cellStyle name="Normal 278 2 2 2 2" xfId="9159" xr:uid="{00000000-0005-0000-0000-000059910000}"/>
    <cellStyle name="Normal 278 2 2 2 2 2" xfId="16954" xr:uid="{00000000-0005-0000-0000-00005A910000}"/>
    <cellStyle name="Normal 278 2 2 2 2 2 2" xfId="34590" xr:uid="{00000000-0005-0000-0000-00005B910000}"/>
    <cellStyle name="Normal 278 2 2 2 2 3" xfId="27547" xr:uid="{00000000-0005-0000-0000-00005C910000}"/>
    <cellStyle name="Normal 278 2 2 2 3" xfId="13715" xr:uid="{00000000-0005-0000-0000-00005D910000}"/>
    <cellStyle name="Normal 278 2 2 2 3 2" xfId="31355" xr:uid="{00000000-0005-0000-0000-00005E910000}"/>
    <cellStyle name="Normal 278 2 2 2 4" xfId="24682" xr:uid="{00000000-0005-0000-0000-00005F910000}"/>
    <cellStyle name="Normal 278 2 2 3" xfId="6489" xr:uid="{00000000-0005-0000-0000-000060910000}"/>
    <cellStyle name="Normal 278 2 2 3 2" xfId="9699" xr:uid="{00000000-0005-0000-0000-000061910000}"/>
    <cellStyle name="Normal 278 2 2 3 2 2" xfId="17493" xr:uid="{00000000-0005-0000-0000-000062910000}"/>
    <cellStyle name="Normal 278 2 2 3 2 2 2" xfId="35130" xr:uid="{00000000-0005-0000-0000-000063910000}"/>
    <cellStyle name="Normal 278 2 2 3 2 3" xfId="28083" xr:uid="{00000000-0005-0000-0000-000064910000}"/>
    <cellStyle name="Normal 278 2 2 3 3" xfId="14278" xr:uid="{00000000-0005-0000-0000-000065910000}"/>
    <cellStyle name="Normal 278 2 2 3 3 2" xfId="31913" xr:uid="{00000000-0005-0000-0000-000066910000}"/>
    <cellStyle name="Normal 278 2 2 3 4" xfId="25219" xr:uid="{00000000-0005-0000-0000-000067910000}"/>
    <cellStyle name="Normal 278 2 2 4" xfId="7265" xr:uid="{00000000-0005-0000-0000-000068910000}"/>
    <cellStyle name="Normal 278 2 2 4 2" xfId="10253" xr:uid="{00000000-0005-0000-0000-000069910000}"/>
    <cellStyle name="Normal 278 2 2 4 2 2" xfId="18046" xr:uid="{00000000-0005-0000-0000-00006A910000}"/>
    <cellStyle name="Normal 278 2 2 4 2 2 2" xfId="35683" xr:uid="{00000000-0005-0000-0000-00006B910000}"/>
    <cellStyle name="Normal 278 2 2 4 2 3" xfId="28620" xr:uid="{00000000-0005-0000-0000-00006C910000}"/>
    <cellStyle name="Normal 278 2 2 4 3" xfId="15053" xr:uid="{00000000-0005-0000-0000-00006D910000}"/>
    <cellStyle name="Normal 278 2 2 4 3 2" xfId="32688" xr:uid="{00000000-0005-0000-0000-00006E910000}"/>
    <cellStyle name="Normal 278 2 2 4 4" xfId="25757" xr:uid="{00000000-0005-0000-0000-00006F910000}"/>
    <cellStyle name="Normal 278 2 2 5" xfId="8545" xr:uid="{00000000-0005-0000-0000-000070910000}"/>
    <cellStyle name="Normal 278 2 2 5 2" xfId="16341" xr:uid="{00000000-0005-0000-0000-000071910000}"/>
    <cellStyle name="Normal 278 2 2 5 2 2" xfId="33976" xr:uid="{00000000-0005-0000-0000-000072910000}"/>
    <cellStyle name="Normal 278 2 2 5 3" xfId="26946" xr:uid="{00000000-0005-0000-0000-000073910000}"/>
    <cellStyle name="Normal 278 2 2 6" xfId="12799" xr:uid="{00000000-0005-0000-0000-000074910000}"/>
    <cellStyle name="Normal 278 2 2 6 2" xfId="30456" xr:uid="{00000000-0005-0000-0000-000075910000}"/>
    <cellStyle name="Normal 278 2 2 7" xfId="24081" xr:uid="{00000000-0005-0000-0000-000076910000}"/>
    <cellStyle name="Normal 278 3" xfId="4509" xr:uid="{00000000-0005-0000-0000-000077910000}"/>
    <cellStyle name="Normal 278 3 2" xfId="5860" xr:uid="{00000000-0005-0000-0000-000078910000}"/>
    <cellStyle name="Normal 278 3 2 2" xfId="9160" xr:uid="{00000000-0005-0000-0000-000079910000}"/>
    <cellStyle name="Normal 278 3 2 2 2" xfId="16955" xr:uid="{00000000-0005-0000-0000-00007A910000}"/>
    <cellStyle name="Normal 278 3 2 2 2 2" xfId="34591" xr:uid="{00000000-0005-0000-0000-00007B910000}"/>
    <cellStyle name="Normal 278 3 2 2 3" xfId="27548" xr:uid="{00000000-0005-0000-0000-00007C910000}"/>
    <cellStyle name="Normal 278 3 2 3" xfId="13716" xr:uid="{00000000-0005-0000-0000-00007D910000}"/>
    <cellStyle name="Normal 278 3 2 3 2" xfId="31356" xr:uid="{00000000-0005-0000-0000-00007E910000}"/>
    <cellStyle name="Normal 278 3 2 4" xfId="24683" xr:uid="{00000000-0005-0000-0000-00007F910000}"/>
    <cellStyle name="Normal 278 3 3" xfId="6490" xr:uid="{00000000-0005-0000-0000-000080910000}"/>
    <cellStyle name="Normal 278 3 3 2" xfId="9700" xr:uid="{00000000-0005-0000-0000-000081910000}"/>
    <cellStyle name="Normal 278 3 3 2 2" xfId="17494" xr:uid="{00000000-0005-0000-0000-000082910000}"/>
    <cellStyle name="Normal 278 3 3 2 2 2" xfId="35131" xr:uid="{00000000-0005-0000-0000-000083910000}"/>
    <cellStyle name="Normal 278 3 3 2 3" xfId="28084" xr:uid="{00000000-0005-0000-0000-000084910000}"/>
    <cellStyle name="Normal 278 3 3 3" xfId="14279" xr:uid="{00000000-0005-0000-0000-000085910000}"/>
    <cellStyle name="Normal 278 3 3 3 2" xfId="31914" xr:uid="{00000000-0005-0000-0000-000086910000}"/>
    <cellStyle name="Normal 278 3 3 4" xfId="25220" xr:uid="{00000000-0005-0000-0000-000087910000}"/>
    <cellStyle name="Normal 278 3 4" xfId="7266" xr:uid="{00000000-0005-0000-0000-000088910000}"/>
    <cellStyle name="Normal 278 3 4 2" xfId="10254" xr:uid="{00000000-0005-0000-0000-000089910000}"/>
    <cellStyle name="Normal 278 3 4 2 2" xfId="18047" xr:uid="{00000000-0005-0000-0000-00008A910000}"/>
    <cellStyle name="Normal 278 3 4 2 2 2" xfId="35684" xr:uid="{00000000-0005-0000-0000-00008B910000}"/>
    <cellStyle name="Normal 278 3 4 2 3" xfId="28621" xr:uid="{00000000-0005-0000-0000-00008C910000}"/>
    <cellStyle name="Normal 278 3 4 3" xfId="15054" xr:uid="{00000000-0005-0000-0000-00008D910000}"/>
    <cellStyle name="Normal 278 3 4 3 2" xfId="32689" xr:uid="{00000000-0005-0000-0000-00008E910000}"/>
    <cellStyle name="Normal 278 3 4 4" xfId="25758" xr:uid="{00000000-0005-0000-0000-00008F910000}"/>
    <cellStyle name="Normal 278 3 5" xfId="8546" xr:uid="{00000000-0005-0000-0000-000090910000}"/>
    <cellStyle name="Normal 278 3 5 2" xfId="16342" xr:uid="{00000000-0005-0000-0000-000091910000}"/>
    <cellStyle name="Normal 278 3 5 2 2" xfId="33977" xr:uid="{00000000-0005-0000-0000-000092910000}"/>
    <cellStyle name="Normal 278 3 5 3" xfId="26947" xr:uid="{00000000-0005-0000-0000-000093910000}"/>
    <cellStyle name="Normal 278 3 6" xfId="12800" xr:uid="{00000000-0005-0000-0000-000094910000}"/>
    <cellStyle name="Normal 278 3 6 2" xfId="30457" xr:uid="{00000000-0005-0000-0000-000095910000}"/>
    <cellStyle name="Normal 278 3 7" xfId="24082" xr:uid="{00000000-0005-0000-0000-000096910000}"/>
    <cellStyle name="Normal 278 4" xfId="4510" xr:uid="{00000000-0005-0000-0000-000097910000}"/>
    <cellStyle name="Normal 278 4 2" xfId="8547" xr:uid="{00000000-0005-0000-0000-000098910000}"/>
    <cellStyle name="Normal 278 4 2 2" xfId="16343" xr:uid="{00000000-0005-0000-0000-000099910000}"/>
    <cellStyle name="Normal 278 4 2 2 2" xfId="33978" xr:uid="{00000000-0005-0000-0000-00009A910000}"/>
    <cellStyle name="Normal 278 4 2 3" xfId="26948" xr:uid="{00000000-0005-0000-0000-00009B910000}"/>
    <cellStyle name="Normal 278 4 3" xfId="12801" xr:uid="{00000000-0005-0000-0000-00009C910000}"/>
    <cellStyle name="Normal 278 4 3 2" xfId="30458" xr:uid="{00000000-0005-0000-0000-00009D910000}"/>
    <cellStyle name="Normal 278 4 4" xfId="24083" xr:uid="{00000000-0005-0000-0000-00009E910000}"/>
    <cellStyle name="Normal 278 5" xfId="4506" xr:uid="{00000000-0005-0000-0000-00009F910000}"/>
    <cellStyle name="Normal 278 5 2" xfId="8544" xr:uid="{00000000-0005-0000-0000-0000A0910000}"/>
    <cellStyle name="Normal 278 5 2 2" xfId="16340" xr:uid="{00000000-0005-0000-0000-0000A1910000}"/>
    <cellStyle name="Normal 278 5 2 2 2" xfId="33975" xr:uid="{00000000-0005-0000-0000-0000A2910000}"/>
    <cellStyle name="Normal 278 5 2 3" xfId="26945" xr:uid="{00000000-0005-0000-0000-0000A3910000}"/>
    <cellStyle name="Normal 278 5 3" xfId="12798" xr:uid="{00000000-0005-0000-0000-0000A4910000}"/>
    <cellStyle name="Normal 278 5 3 2" xfId="30455" xr:uid="{00000000-0005-0000-0000-0000A5910000}"/>
    <cellStyle name="Normal 278 5 4" xfId="24080" xr:uid="{00000000-0005-0000-0000-0000A6910000}"/>
    <cellStyle name="Normal 278 6" xfId="5858" xr:uid="{00000000-0005-0000-0000-0000A7910000}"/>
    <cellStyle name="Normal 278 6 2" xfId="9158" xr:uid="{00000000-0005-0000-0000-0000A8910000}"/>
    <cellStyle name="Normal 278 6 2 2" xfId="16953" xr:uid="{00000000-0005-0000-0000-0000A9910000}"/>
    <cellStyle name="Normal 278 6 2 2 2" xfId="34589" xr:uid="{00000000-0005-0000-0000-0000AA910000}"/>
    <cellStyle name="Normal 278 6 2 3" xfId="27546" xr:uid="{00000000-0005-0000-0000-0000AB910000}"/>
    <cellStyle name="Normal 278 6 3" xfId="13714" xr:uid="{00000000-0005-0000-0000-0000AC910000}"/>
    <cellStyle name="Normal 278 6 3 2" xfId="31354" xr:uid="{00000000-0005-0000-0000-0000AD910000}"/>
    <cellStyle name="Normal 278 6 4" xfId="24681" xr:uid="{00000000-0005-0000-0000-0000AE910000}"/>
    <cellStyle name="Normal 278 7" xfId="6488" xr:uid="{00000000-0005-0000-0000-0000AF910000}"/>
    <cellStyle name="Normal 278 7 2" xfId="9698" xr:uid="{00000000-0005-0000-0000-0000B0910000}"/>
    <cellStyle name="Normal 278 7 2 2" xfId="17492" xr:uid="{00000000-0005-0000-0000-0000B1910000}"/>
    <cellStyle name="Normal 278 7 2 2 2" xfId="35129" xr:uid="{00000000-0005-0000-0000-0000B2910000}"/>
    <cellStyle name="Normal 278 7 2 3" xfId="28082" xr:uid="{00000000-0005-0000-0000-0000B3910000}"/>
    <cellStyle name="Normal 278 7 3" xfId="14277" xr:uid="{00000000-0005-0000-0000-0000B4910000}"/>
    <cellStyle name="Normal 278 7 3 2" xfId="31912" xr:uid="{00000000-0005-0000-0000-0000B5910000}"/>
    <cellStyle name="Normal 278 7 4" xfId="25218" xr:uid="{00000000-0005-0000-0000-0000B6910000}"/>
    <cellStyle name="Normal 278 8" xfId="7264" xr:uid="{00000000-0005-0000-0000-0000B7910000}"/>
    <cellStyle name="Normal 278 8 2" xfId="10252" xr:uid="{00000000-0005-0000-0000-0000B8910000}"/>
    <cellStyle name="Normal 278 8 2 2" xfId="18045" xr:uid="{00000000-0005-0000-0000-0000B9910000}"/>
    <cellStyle name="Normal 278 8 2 2 2" xfId="35682" xr:uid="{00000000-0005-0000-0000-0000BA910000}"/>
    <cellStyle name="Normal 278 8 2 3" xfId="28619" xr:uid="{00000000-0005-0000-0000-0000BB910000}"/>
    <cellStyle name="Normal 278 8 3" xfId="15052" xr:uid="{00000000-0005-0000-0000-0000BC910000}"/>
    <cellStyle name="Normal 278 8 3 2" xfId="32687" xr:uid="{00000000-0005-0000-0000-0000BD910000}"/>
    <cellStyle name="Normal 278 8 4" xfId="25756" xr:uid="{00000000-0005-0000-0000-0000BE910000}"/>
    <cellStyle name="Normal 278 9" xfId="7865" xr:uid="{00000000-0005-0000-0000-0000BF910000}"/>
    <cellStyle name="Normal 278 9 2" xfId="15662" xr:uid="{00000000-0005-0000-0000-0000C0910000}"/>
    <cellStyle name="Normal 278 9 2 2" xfId="33297" xr:uid="{00000000-0005-0000-0000-0000C1910000}"/>
    <cellStyle name="Normal 278 9 3" xfId="26281" xr:uid="{00000000-0005-0000-0000-0000C2910000}"/>
    <cellStyle name="Normal 279" xfId="2433" xr:uid="{00000000-0005-0000-0000-0000C3910000}"/>
    <cellStyle name="Normal 279 2" xfId="4511" xr:uid="{00000000-0005-0000-0000-0000C4910000}"/>
    <cellStyle name="Normal 279 2 2" xfId="8548" xr:uid="{00000000-0005-0000-0000-0000C5910000}"/>
    <cellStyle name="Normal 279 2 2 2" xfId="16344" xr:uid="{00000000-0005-0000-0000-0000C6910000}"/>
    <cellStyle name="Normal 279 2 2 2 2" xfId="33979" xr:uid="{00000000-0005-0000-0000-0000C7910000}"/>
    <cellStyle name="Normal 279 2 2 3" xfId="26949" xr:uid="{00000000-0005-0000-0000-0000C8910000}"/>
    <cellStyle name="Normal 279 2 3" xfId="12802" xr:uid="{00000000-0005-0000-0000-0000C9910000}"/>
    <cellStyle name="Normal 279 2 3 2" xfId="30459" xr:uid="{00000000-0005-0000-0000-0000CA910000}"/>
    <cellStyle name="Normal 279 2 4" xfId="24084" xr:uid="{00000000-0005-0000-0000-0000CB910000}"/>
    <cellStyle name="Normal 279 3" xfId="5861" xr:uid="{00000000-0005-0000-0000-0000CC910000}"/>
    <cellStyle name="Normal 279 3 2" xfId="9161" xr:uid="{00000000-0005-0000-0000-0000CD910000}"/>
    <cellStyle name="Normal 279 3 2 2" xfId="16956" xr:uid="{00000000-0005-0000-0000-0000CE910000}"/>
    <cellStyle name="Normal 279 3 2 2 2" xfId="34592" xr:uid="{00000000-0005-0000-0000-0000CF910000}"/>
    <cellStyle name="Normal 279 3 2 3" xfId="27549" xr:uid="{00000000-0005-0000-0000-0000D0910000}"/>
    <cellStyle name="Normal 279 3 3" xfId="13717" xr:uid="{00000000-0005-0000-0000-0000D1910000}"/>
    <cellStyle name="Normal 279 3 3 2" xfId="31357" xr:uid="{00000000-0005-0000-0000-0000D2910000}"/>
    <cellStyle name="Normal 279 3 4" xfId="24684" xr:uid="{00000000-0005-0000-0000-0000D3910000}"/>
    <cellStyle name="Normal 279 4" xfId="6491" xr:uid="{00000000-0005-0000-0000-0000D4910000}"/>
    <cellStyle name="Normal 279 4 2" xfId="9701" xr:uid="{00000000-0005-0000-0000-0000D5910000}"/>
    <cellStyle name="Normal 279 4 2 2" xfId="17495" xr:uid="{00000000-0005-0000-0000-0000D6910000}"/>
    <cellStyle name="Normal 279 4 2 2 2" xfId="35132" xr:uid="{00000000-0005-0000-0000-0000D7910000}"/>
    <cellStyle name="Normal 279 4 2 3" xfId="28085" xr:uid="{00000000-0005-0000-0000-0000D8910000}"/>
    <cellStyle name="Normal 279 4 3" xfId="14280" xr:uid="{00000000-0005-0000-0000-0000D9910000}"/>
    <cellStyle name="Normal 279 4 3 2" xfId="31915" xr:uid="{00000000-0005-0000-0000-0000DA910000}"/>
    <cellStyle name="Normal 279 4 4" xfId="25221" xr:uid="{00000000-0005-0000-0000-0000DB910000}"/>
    <cellStyle name="Normal 279 5" xfId="7267" xr:uid="{00000000-0005-0000-0000-0000DC910000}"/>
    <cellStyle name="Normal 279 5 2" xfId="10255" xr:uid="{00000000-0005-0000-0000-0000DD910000}"/>
    <cellStyle name="Normal 279 5 2 2" xfId="18048" xr:uid="{00000000-0005-0000-0000-0000DE910000}"/>
    <cellStyle name="Normal 279 5 2 2 2" xfId="35685" xr:uid="{00000000-0005-0000-0000-0000DF910000}"/>
    <cellStyle name="Normal 279 5 2 3" xfId="28622" xr:uid="{00000000-0005-0000-0000-0000E0910000}"/>
    <cellStyle name="Normal 279 5 3" xfId="15055" xr:uid="{00000000-0005-0000-0000-0000E1910000}"/>
    <cellStyle name="Normal 279 5 3 2" xfId="32690" xr:uid="{00000000-0005-0000-0000-0000E2910000}"/>
    <cellStyle name="Normal 279 5 4" xfId="25759" xr:uid="{00000000-0005-0000-0000-0000E3910000}"/>
    <cellStyle name="Normal 279 6" xfId="7866" xr:uid="{00000000-0005-0000-0000-0000E4910000}"/>
    <cellStyle name="Normal 279 6 2" xfId="15663" xr:uid="{00000000-0005-0000-0000-0000E5910000}"/>
    <cellStyle name="Normal 279 6 2 2" xfId="33298" xr:uid="{00000000-0005-0000-0000-0000E6910000}"/>
    <cellStyle name="Normal 279 6 3" xfId="26282" xr:uid="{00000000-0005-0000-0000-0000E7910000}"/>
    <cellStyle name="Normal 279 7" xfId="11794" xr:uid="{00000000-0005-0000-0000-0000E8910000}"/>
    <cellStyle name="Normal 279 7 2" xfId="29480" xr:uid="{00000000-0005-0000-0000-0000E9910000}"/>
    <cellStyle name="Normal 279 8" xfId="23417" xr:uid="{00000000-0005-0000-0000-0000EA910000}"/>
    <cellStyle name="Normal 279 9" xfId="52142" xr:uid="{00000000-0005-0000-0000-0000EB910000}"/>
    <cellStyle name="Normal 28" xfId="2434" xr:uid="{00000000-0005-0000-0000-0000EC910000}"/>
    <cellStyle name="Normal 28 2" xfId="2435" xr:uid="{00000000-0005-0000-0000-0000ED910000}"/>
    <cellStyle name="Normal 28 2 2" xfId="2436" xr:uid="{00000000-0005-0000-0000-0000EE910000}"/>
    <cellStyle name="Normal 28 2 3" xfId="22981" xr:uid="{00000000-0005-0000-0000-0000EF910000}"/>
    <cellStyle name="Normal 28 2 4" xfId="22767" xr:uid="{00000000-0005-0000-0000-0000F0910000}"/>
    <cellStyle name="Normal 28 2 4 2" xfId="38974" xr:uid="{00000000-0005-0000-0000-0000F1910000}"/>
    <cellStyle name="Normal 28 2_Sheet1" xfId="2437" xr:uid="{00000000-0005-0000-0000-0000F2910000}"/>
    <cellStyle name="Normal 28 3" xfId="2438" xr:uid="{00000000-0005-0000-0000-0000F3910000}"/>
    <cellStyle name="Normal 28 4" xfId="22980" xr:uid="{00000000-0005-0000-0000-0000F4910000}"/>
    <cellStyle name="Normal 28 5" xfId="22556" xr:uid="{00000000-0005-0000-0000-0000F5910000}"/>
    <cellStyle name="Normal 28 5 2" xfId="38869" xr:uid="{00000000-0005-0000-0000-0000F6910000}"/>
    <cellStyle name="Normal 28 6" xfId="53250" xr:uid="{00000000-0005-0000-0000-0000F7910000}"/>
    <cellStyle name="Normal 28_Sheet1" xfId="2439" xr:uid="{00000000-0005-0000-0000-0000F8910000}"/>
    <cellStyle name="Normal 280" xfId="2440" xr:uid="{00000000-0005-0000-0000-0000F9910000}"/>
    <cellStyle name="Normal 280 2" xfId="4512" xr:uid="{00000000-0005-0000-0000-0000FA910000}"/>
    <cellStyle name="Normal 280 3" xfId="52143" xr:uid="{00000000-0005-0000-0000-0000FB910000}"/>
    <cellStyle name="Normal 281" xfId="2441" xr:uid="{00000000-0005-0000-0000-0000FC910000}"/>
    <cellStyle name="Normal 281 2" xfId="4513" xr:uid="{00000000-0005-0000-0000-0000FD910000}"/>
    <cellStyle name="Normal 281 3" xfId="52144" xr:uid="{00000000-0005-0000-0000-0000FE910000}"/>
    <cellStyle name="Normal 282" xfId="2442" xr:uid="{00000000-0005-0000-0000-0000FF910000}"/>
    <cellStyle name="Normal 282 2" xfId="4514" xr:uid="{00000000-0005-0000-0000-000000920000}"/>
    <cellStyle name="Normal 282 3" xfId="52145" xr:uid="{00000000-0005-0000-0000-000001920000}"/>
    <cellStyle name="Normal 283" xfId="2443" xr:uid="{00000000-0005-0000-0000-000002920000}"/>
    <cellStyle name="Normal 283 2" xfId="4515" xr:uid="{00000000-0005-0000-0000-000003920000}"/>
    <cellStyle name="Normal 283 3" xfId="52146" xr:uid="{00000000-0005-0000-0000-000004920000}"/>
    <cellStyle name="Normal 284" xfId="2444" xr:uid="{00000000-0005-0000-0000-000005920000}"/>
    <cellStyle name="Normal 284 2" xfId="4516" xr:uid="{00000000-0005-0000-0000-000006920000}"/>
    <cellStyle name="Normal 284 3" xfId="52147" xr:uid="{00000000-0005-0000-0000-000007920000}"/>
    <cellStyle name="Normal 285" xfId="2445" xr:uid="{00000000-0005-0000-0000-000008920000}"/>
    <cellStyle name="Normal 285 2" xfId="4517" xr:uid="{00000000-0005-0000-0000-000009920000}"/>
    <cellStyle name="Normal 285 3" xfId="52148" xr:uid="{00000000-0005-0000-0000-00000A920000}"/>
    <cellStyle name="Normal 286" xfId="2446" xr:uid="{00000000-0005-0000-0000-00000B920000}"/>
    <cellStyle name="Normal 286 2" xfId="4518" xr:uid="{00000000-0005-0000-0000-00000C920000}"/>
    <cellStyle name="Normal 286 3" xfId="52149" xr:uid="{00000000-0005-0000-0000-00000D920000}"/>
    <cellStyle name="Normal 287" xfId="2447" xr:uid="{00000000-0005-0000-0000-00000E920000}"/>
    <cellStyle name="Normal 287 2" xfId="4519" xr:uid="{00000000-0005-0000-0000-00000F920000}"/>
    <cellStyle name="Normal 287 3" xfId="52150" xr:uid="{00000000-0005-0000-0000-000010920000}"/>
    <cellStyle name="Normal 288" xfId="2448" xr:uid="{00000000-0005-0000-0000-000011920000}"/>
    <cellStyle name="Normal 288 2" xfId="4520" xr:uid="{00000000-0005-0000-0000-000012920000}"/>
    <cellStyle name="Normal 288 3" xfId="52151" xr:uid="{00000000-0005-0000-0000-000013920000}"/>
    <cellStyle name="Normal 289" xfId="2449" xr:uid="{00000000-0005-0000-0000-000014920000}"/>
    <cellStyle name="Normal 289 2" xfId="4521" xr:uid="{00000000-0005-0000-0000-000015920000}"/>
    <cellStyle name="Normal 289 3" xfId="52152" xr:uid="{00000000-0005-0000-0000-000016920000}"/>
    <cellStyle name="Normal 29" xfId="2450" xr:uid="{00000000-0005-0000-0000-000017920000}"/>
    <cellStyle name="Normal 29 2" xfId="2451" xr:uid="{00000000-0005-0000-0000-000018920000}"/>
    <cellStyle name="Normal 29 2 2" xfId="2452" xr:uid="{00000000-0005-0000-0000-000019920000}"/>
    <cellStyle name="Normal 29 2 3" xfId="22983" xr:uid="{00000000-0005-0000-0000-00001A920000}"/>
    <cellStyle name="Normal 29 2 4" xfId="22768" xr:uid="{00000000-0005-0000-0000-00001B920000}"/>
    <cellStyle name="Normal 29 2 4 2" xfId="38975" xr:uid="{00000000-0005-0000-0000-00001C920000}"/>
    <cellStyle name="Normal 29 2_Sheet1" xfId="2453" xr:uid="{00000000-0005-0000-0000-00001D920000}"/>
    <cellStyle name="Normal 29 3" xfId="2454" xr:uid="{00000000-0005-0000-0000-00001E920000}"/>
    <cellStyle name="Normal 29 4" xfId="22982" xr:uid="{00000000-0005-0000-0000-00001F920000}"/>
    <cellStyle name="Normal 29 5" xfId="22557" xr:uid="{00000000-0005-0000-0000-000020920000}"/>
    <cellStyle name="Normal 29 5 2" xfId="38870" xr:uid="{00000000-0005-0000-0000-000021920000}"/>
    <cellStyle name="Normal 29 6" xfId="53251" xr:uid="{00000000-0005-0000-0000-000022920000}"/>
    <cellStyle name="Normal 29_Sheet1" xfId="2455" xr:uid="{00000000-0005-0000-0000-000023920000}"/>
    <cellStyle name="Normal 290" xfId="2456" xr:uid="{00000000-0005-0000-0000-000024920000}"/>
    <cellStyle name="Normal 290 2" xfId="4522" xr:uid="{00000000-0005-0000-0000-000025920000}"/>
    <cellStyle name="Normal 290 3" xfId="52153" xr:uid="{00000000-0005-0000-0000-000026920000}"/>
    <cellStyle name="Normal 291" xfId="2457" xr:uid="{00000000-0005-0000-0000-000027920000}"/>
    <cellStyle name="Normal 291 2" xfId="4523" xr:uid="{00000000-0005-0000-0000-000028920000}"/>
    <cellStyle name="Normal 291 3" xfId="52154" xr:uid="{00000000-0005-0000-0000-000029920000}"/>
    <cellStyle name="Normal 292" xfId="2458" xr:uid="{00000000-0005-0000-0000-00002A920000}"/>
    <cellStyle name="Normal 292 2" xfId="4524" xr:uid="{00000000-0005-0000-0000-00002B920000}"/>
    <cellStyle name="Normal 292 3" xfId="52155" xr:uid="{00000000-0005-0000-0000-00002C920000}"/>
    <cellStyle name="Normal 293" xfId="2459" xr:uid="{00000000-0005-0000-0000-00002D920000}"/>
    <cellStyle name="Normal 293 2" xfId="4525" xr:uid="{00000000-0005-0000-0000-00002E920000}"/>
    <cellStyle name="Normal 293 3" xfId="52156" xr:uid="{00000000-0005-0000-0000-00002F920000}"/>
    <cellStyle name="Normal 294" xfId="2460" xr:uid="{00000000-0005-0000-0000-000030920000}"/>
    <cellStyle name="Normal 294 2" xfId="4526" xr:uid="{00000000-0005-0000-0000-000031920000}"/>
    <cellStyle name="Normal 294 3" xfId="52157" xr:uid="{00000000-0005-0000-0000-000032920000}"/>
    <cellStyle name="Normal 295" xfId="2461" xr:uid="{00000000-0005-0000-0000-000033920000}"/>
    <cellStyle name="Normal 295 2" xfId="4527" xr:uid="{00000000-0005-0000-0000-000034920000}"/>
    <cellStyle name="Normal 295 3" xfId="52158" xr:uid="{00000000-0005-0000-0000-000035920000}"/>
    <cellStyle name="Normal 296" xfId="2462" xr:uid="{00000000-0005-0000-0000-000036920000}"/>
    <cellStyle name="Normal 296 2" xfId="4528" xr:uid="{00000000-0005-0000-0000-000037920000}"/>
    <cellStyle name="Normal 296 3" xfId="52159" xr:uid="{00000000-0005-0000-0000-000038920000}"/>
    <cellStyle name="Normal 297" xfId="2463" xr:uid="{00000000-0005-0000-0000-000039920000}"/>
    <cellStyle name="Normal 297 2" xfId="4529" xr:uid="{00000000-0005-0000-0000-00003A920000}"/>
    <cellStyle name="Normal 297 3" xfId="52160" xr:uid="{00000000-0005-0000-0000-00003B920000}"/>
    <cellStyle name="Normal 298" xfId="2464" xr:uid="{00000000-0005-0000-0000-00003C920000}"/>
    <cellStyle name="Normal 298 2" xfId="4530" xr:uid="{00000000-0005-0000-0000-00003D920000}"/>
    <cellStyle name="Normal 298 3" xfId="52161" xr:uid="{00000000-0005-0000-0000-00003E920000}"/>
    <cellStyle name="Normal 299" xfId="2465" xr:uid="{00000000-0005-0000-0000-00003F920000}"/>
    <cellStyle name="Normal 299 2" xfId="4531" xr:uid="{00000000-0005-0000-0000-000040920000}"/>
    <cellStyle name="Normal 299 3" xfId="52162" xr:uid="{00000000-0005-0000-0000-000041920000}"/>
    <cellStyle name="Normal 3" xfId="2" xr:uid="{00000000-0005-0000-0000-000042920000}"/>
    <cellStyle name="Normal 3 10" xfId="2466" xr:uid="{00000000-0005-0000-0000-000043920000}"/>
    <cellStyle name="Normal 3 10 2" xfId="4532" xr:uid="{00000000-0005-0000-0000-000044920000}"/>
    <cellStyle name="Normal 3 10 3" xfId="52163" xr:uid="{00000000-0005-0000-0000-000045920000}"/>
    <cellStyle name="Normal 3 11" xfId="2467" xr:uid="{00000000-0005-0000-0000-000046920000}"/>
    <cellStyle name="Normal 3 12" xfId="2468" xr:uid="{00000000-0005-0000-0000-000047920000}"/>
    <cellStyle name="Normal 3 12 2" xfId="4533" xr:uid="{00000000-0005-0000-0000-000048920000}"/>
    <cellStyle name="Normal 3 12 3" xfId="22984" xr:uid="{00000000-0005-0000-0000-000049920000}"/>
    <cellStyle name="Normal 3 12 4" xfId="52164" xr:uid="{00000000-0005-0000-0000-00004A920000}"/>
    <cellStyle name="Normal 3 13" xfId="2469" xr:uid="{00000000-0005-0000-0000-00004B920000}"/>
    <cellStyle name="Normal 3 13 2" xfId="22558" xr:uid="{00000000-0005-0000-0000-00004C920000}"/>
    <cellStyle name="Normal 3 13 2 2" xfId="38871" xr:uid="{00000000-0005-0000-0000-00004D920000}"/>
    <cellStyle name="Normal 3 14" xfId="2470" xr:uid="{00000000-0005-0000-0000-00004E920000}"/>
    <cellStyle name="Normal 3 15" xfId="4534" xr:uid="{00000000-0005-0000-0000-00004F920000}"/>
    <cellStyle name="Normal 3 15 2" xfId="53252" xr:uid="{00000000-0005-0000-0000-000050920000}"/>
    <cellStyle name="Normal 3 16" xfId="4535" xr:uid="{00000000-0005-0000-0000-000051920000}"/>
    <cellStyle name="Normal 3 17" xfId="187" xr:uid="{00000000-0005-0000-0000-000052920000}"/>
    <cellStyle name="Normal 3 2" xfId="120" xr:uid="{00000000-0005-0000-0000-000053920000}"/>
    <cellStyle name="Normal 3 2 2" xfId="2472" xr:uid="{00000000-0005-0000-0000-000054920000}"/>
    <cellStyle name="Normal 3 2 3" xfId="22985" xr:uid="{00000000-0005-0000-0000-000055920000}"/>
    <cellStyle name="Normal 3 2 4" xfId="22559" xr:uid="{00000000-0005-0000-0000-000056920000}"/>
    <cellStyle name="Normal 3 2 5" xfId="2471" xr:uid="{00000000-0005-0000-0000-000057920000}"/>
    <cellStyle name="Normal 3 2_Sheet1" xfId="2473" xr:uid="{00000000-0005-0000-0000-000058920000}"/>
    <cellStyle name="Normal 3 3" xfId="2474" xr:uid="{00000000-0005-0000-0000-000059920000}"/>
    <cellStyle name="Normal 3 3 2" xfId="22986" xr:uid="{00000000-0005-0000-0000-00005A920000}"/>
    <cellStyle name="Normal 3 3 3" xfId="22560" xr:uid="{00000000-0005-0000-0000-00005B920000}"/>
    <cellStyle name="Normal 3 3 4" xfId="53253" xr:uid="{00000000-0005-0000-0000-00005C920000}"/>
    <cellStyle name="Normal 3 4" xfId="2475" xr:uid="{00000000-0005-0000-0000-00005D920000}"/>
    <cellStyle name="Normal 3 4 2" xfId="2476" xr:uid="{00000000-0005-0000-0000-00005E920000}"/>
    <cellStyle name="Normal 3 4 2 2" xfId="4537" xr:uid="{00000000-0005-0000-0000-00005F920000}"/>
    <cellStyle name="Normal 3 4 2 3" xfId="22770" xr:uid="{00000000-0005-0000-0000-000060920000}"/>
    <cellStyle name="Normal 3 4 2 3 2" xfId="38977" xr:uid="{00000000-0005-0000-0000-000061920000}"/>
    <cellStyle name="Normal 3 4 2 4" xfId="52166" xr:uid="{00000000-0005-0000-0000-000062920000}"/>
    <cellStyle name="Normal 3 4 3" xfId="4536" xr:uid="{00000000-0005-0000-0000-000063920000}"/>
    <cellStyle name="Normal 3 4 4" xfId="22561" xr:uid="{00000000-0005-0000-0000-000064920000}"/>
    <cellStyle name="Normal 3 4 4 2" xfId="38872" xr:uid="{00000000-0005-0000-0000-000065920000}"/>
    <cellStyle name="Normal 3 4 5" xfId="52165" xr:uid="{00000000-0005-0000-0000-000066920000}"/>
    <cellStyle name="Normal 3 4_BallGrid" xfId="2477" xr:uid="{00000000-0005-0000-0000-000067920000}"/>
    <cellStyle name="Normal 3 5" xfId="2478" xr:uid="{00000000-0005-0000-0000-000068920000}"/>
    <cellStyle name="Normal 3 5 2" xfId="4538" xr:uid="{00000000-0005-0000-0000-000069920000}"/>
    <cellStyle name="Normal 3 5 3" xfId="52167" xr:uid="{00000000-0005-0000-0000-00006A920000}"/>
    <cellStyle name="Normal 3 6" xfId="2479" xr:uid="{00000000-0005-0000-0000-00006B920000}"/>
    <cellStyle name="Normal 3 6 2" xfId="4539" xr:uid="{00000000-0005-0000-0000-00006C920000}"/>
    <cellStyle name="Normal 3 6 3" xfId="22695" xr:uid="{00000000-0005-0000-0000-00006D920000}"/>
    <cellStyle name="Normal 3 6 3 2" xfId="38913" xr:uid="{00000000-0005-0000-0000-00006E920000}"/>
    <cellStyle name="Normal 3 6 4" xfId="52168" xr:uid="{00000000-0005-0000-0000-00006F920000}"/>
    <cellStyle name="Normal 3 7" xfId="2480" xr:uid="{00000000-0005-0000-0000-000070920000}"/>
    <cellStyle name="Normal 3 7 2" xfId="4540" xr:uid="{00000000-0005-0000-0000-000071920000}"/>
    <cellStyle name="Normal 3 7 3" xfId="22769" xr:uid="{00000000-0005-0000-0000-000072920000}"/>
    <cellStyle name="Normal 3 7 3 2" xfId="38976" xr:uid="{00000000-0005-0000-0000-000073920000}"/>
    <cellStyle name="Normal 3 7 4" xfId="52169" xr:uid="{00000000-0005-0000-0000-000074920000}"/>
    <cellStyle name="Normal 3 8" xfId="2481" xr:uid="{00000000-0005-0000-0000-000075920000}"/>
    <cellStyle name="Normal 3 8 2" xfId="4541" xr:uid="{00000000-0005-0000-0000-000076920000}"/>
    <cellStyle name="Normal 3 8 3" xfId="52170" xr:uid="{00000000-0005-0000-0000-000077920000}"/>
    <cellStyle name="Normal 3 9" xfId="2482" xr:uid="{00000000-0005-0000-0000-000078920000}"/>
    <cellStyle name="Normal 3 9 2" xfId="4542" xr:uid="{00000000-0005-0000-0000-000079920000}"/>
    <cellStyle name="Normal 3 9 3" xfId="52171" xr:uid="{00000000-0005-0000-0000-00007A920000}"/>
    <cellStyle name="Normal 3_BallGrid" xfId="2483" xr:uid="{00000000-0005-0000-0000-00007B920000}"/>
    <cellStyle name="Normal 30" xfId="2484" xr:uid="{00000000-0005-0000-0000-00007C920000}"/>
    <cellStyle name="Normal 30 2" xfId="2485" xr:uid="{00000000-0005-0000-0000-00007D920000}"/>
    <cellStyle name="Normal 30 2 10" xfId="52172" xr:uid="{00000000-0005-0000-0000-00007E920000}"/>
    <cellStyle name="Normal 30 2 2" xfId="4543" xr:uid="{00000000-0005-0000-0000-00007F920000}"/>
    <cellStyle name="Normal 30 2 2 2" xfId="8549" xr:uid="{00000000-0005-0000-0000-000080920000}"/>
    <cellStyle name="Normal 30 2 2 2 2" xfId="16345" xr:uid="{00000000-0005-0000-0000-000081920000}"/>
    <cellStyle name="Normal 30 2 2 2 2 2" xfId="33980" xr:uid="{00000000-0005-0000-0000-000082920000}"/>
    <cellStyle name="Normal 30 2 2 2 3" xfId="26950" xr:uid="{00000000-0005-0000-0000-000083920000}"/>
    <cellStyle name="Normal 30 2 2 3" xfId="12810" xr:uid="{00000000-0005-0000-0000-000084920000}"/>
    <cellStyle name="Normal 30 2 2 3 2" xfId="30466" xr:uid="{00000000-0005-0000-0000-000085920000}"/>
    <cellStyle name="Normal 30 2 2 4" xfId="24085" xr:uid="{00000000-0005-0000-0000-000086920000}"/>
    <cellStyle name="Normal 30 2 3" xfId="5862" xr:uid="{00000000-0005-0000-0000-000087920000}"/>
    <cellStyle name="Normal 30 2 3 2" xfId="9162" xr:uid="{00000000-0005-0000-0000-000088920000}"/>
    <cellStyle name="Normal 30 2 3 2 2" xfId="16957" xr:uid="{00000000-0005-0000-0000-000089920000}"/>
    <cellStyle name="Normal 30 2 3 2 2 2" xfId="34593" xr:uid="{00000000-0005-0000-0000-00008A920000}"/>
    <cellStyle name="Normal 30 2 3 2 3" xfId="27550" xr:uid="{00000000-0005-0000-0000-00008B920000}"/>
    <cellStyle name="Normal 30 2 3 3" xfId="13718" xr:uid="{00000000-0005-0000-0000-00008C920000}"/>
    <cellStyle name="Normal 30 2 3 3 2" xfId="31358" xr:uid="{00000000-0005-0000-0000-00008D920000}"/>
    <cellStyle name="Normal 30 2 3 4" xfId="24685" xr:uid="{00000000-0005-0000-0000-00008E920000}"/>
    <cellStyle name="Normal 30 2 4" xfId="6492" xr:uid="{00000000-0005-0000-0000-00008F920000}"/>
    <cellStyle name="Normal 30 2 4 2" xfId="9702" xr:uid="{00000000-0005-0000-0000-000090920000}"/>
    <cellStyle name="Normal 30 2 4 2 2" xfId="17496" xr:uid="{00000000-0005-0000-0000-000091920000}"/>
    <cellStyle name="Normal 30 2 4 2 2 2" xfId="35133" xr:uid="{00000000-0005-0000-0000-000092920000}"/>
    <cellStyle name="Normal 30 2 4 2 3" xfId="28086" xr:uid="{00000000-0005-0000-0000-000093920000}"/>
    <cellStyle name="Normal 30 2 4 3" xfId="14281" xr:uid="{00000000-0005-0000-0000-000094920000}"/>
    <cellStyle name="Normal 30 2 4 3 2" xfId="31916" xr:uid="{00000000-0005-0000-0000-000095920000}"/>
    <cellStyle name="Normal 30 2 4 4" xfId="25222" xr:uid="{00000000-0005-0000-0000-000096920000}"/>
    <cellStyle name="Normal 30 2 5" xfId="7268" xr:uid="{00000000-0005-0000-0000-000097920000}"/>
    <cellStyle name="Normal 30 2 5 2" xfId="10256" xr:uid="{00000000-0005-0000-0000-000098920000}"/>
    <cellStyle name="Normal 30 2 5 2 2" xfId="18049" xr:uid="{00000000-0005-0000-0000-000099920000}"/>
    <cellStyle name="Normal 30 2 5 2 2 2" xfId="35686" xr:uid="{00000000-0005-0000-0000-00009A920000}"/>
    <cellStyle name="Normal 30 2 5 2 3" xfId="28623" xr:uid="{00000000-0005-0000-0000-00009B920000}"/>
    <cellStyle name="Normal 30 2 5 3" xfId="15056" xr:uid="{00000000-0005-0000-0000-00009C920000}"/>
    <cellStyle name="Normal 30 2 5 3 2" xfId="32691" xr:uid="{00000000-0005-0000-0000-00009D920000}"/>
    <cellStyle name="Normal 30 2 5 4" xfId="25760" xr:uid="{00000000-0005-0000-0000-00009E920000}"/>
    <cellStyle name="Normal 30 2 6" xfId="7867" xr:uid="{00000000-0005-0000-0000-00009F920000}"/>
    <cellStyle name="Normal 30 2 6 2" xfId="15664" xr:uid="{00000000-0005-0000-0000-0000A0920000}"/>
    <cellStyle name="Normal 30 2 6 2 2" xfId="33299" xr:uid="{00000000-0005-0000-0000-0000A1920000}"/>
    <cellStyle name="Normal 30 2 6 3" xfId="26283" xr:uid="{00000000-0005-0000-0000-0000A2920000}"/>
    <cellStyle name="Normal 30 2 7" xfId="11803" xr:uid="{00000000-0005-0000-0000-0000A3920000}"/>
    <cellStyle name="Normal 30 2 7 2" xfId="29489" xr:uid="{00000000-0005-0000-0000-0000A4920000}"/>
    <cellStyle name="Normal 30 2 8" xfId="21993" xr:uid="{00000000-0005-0000-0000-0000A5920000}"/>
    <cellStyle name="Normal 30 2 8 2" xfId="38737" xr:uid="{00000000-0005-0000-0000-0000A6920000}"/>
    <cellStyle name="Normal 30 2 9" xfId="23418" xr:uid="{00000000-0005-0000-0000-0000A7920000}"/>
    <cellStyle name="Normal 30 3" xfId="2486" xr:uid="{00000000-0005-0000-0000-0000A8920000}"/>
    <cellStyle name="Normal 30 3 2" xfId="2487" xr:uid="{00000000-0005-0000-0000-0000A9920000}"/>
    <cellStyle name="Normal 30 3_Sheet1" xfId="2488" xr:uid="{00000000-0005-0000-0000-0000AA920000}"/>
    <cellStyle name="Normal 30 4" xfId="2489" xr:uid="{00000000-0005-0000-0000-0000AB920000}"/>
    <cellStyle name="Normal 30 5" xfId="22987" xr:uid="{00000000-0005-0000-0000-0000AC920000}"/>
    <cellStyle name="Normal 30 6" xfId="53254" xr:uid="{00000000-0005-0000-0000-0000AD920000}"/>
    <cellStyle name="Normal 30_Sheet1" xfId="2490" xr:uid="{00000000-0005-0000-0000-0000AE920000}"/>
    <cellStyle name="Normal 300" xfId="2491" xr:uid="{00000000-0005-0000-0000-0000AF920000}"/>
    <cellStyle name="Normal 300 2" xfId="4544" xr:uid="{00000000-0005-0000-0000-0000B0920000}"/>
    <cellStyle name="Normal 300 3" xfId="52173" xr:uid="{00000000-0005-0000-0000-0000B1920000}"/>
    <cellStyle name="Normal 301" xfId="2492" xr:uid="{00000000-0005-0000-0000-0000B2920000}"/>
    <cellStyle name="Normal 301 2" xfId="4545" xr:uid="{00000000-0005-0000-0000-0000B3920000}"/>
    <cellStyle name="Normal 301 3" xfId="52174" xr:uid="{00000000-0005-0000-0000-0000B4920000}"/>
    <cellStyle name="Normal 302" xfId="2493" xr:uid="{00000000-0005-0000-0000-0000B5920000}"/>
    <cellStyle name="Normal 302 2" xfId="4546" xr:uid="{00000000-0005-0000-0000-0000B6920000}"/>
    <cellStyle name="Normal 302 3" xfId="52175" xr:uid="{00000000-0005-0000-0000-0000B7920000}"/>
    <cellStyle name="Normal 303" xfId="2494" xr:uid="{00000000-0005-0000-0000-0000B8920000}"/>
    <cellStyle name="Normal 303 2" xfId="4547" xr:uid="{00000000-0005-0000-0000-0000B9920000}"/>
    <cellStyle name="Normal 303 3" xfId="52176" xr:uid="{00000000-0005-0000-0000-0000BA920000}"/>
    <cellStyle name="Normal 304" xfId="2495" xr:uid="{00000000-0005-0000-0000-0000BB920000}"/>
    <cellStyle name="Normal 304 2" xfId="4548" xr:uid="{00000000-0005-0000-0000-0000BC920000}"/>
    <cellStyle name="Normal 304 3" xfId="52177" xr:uid="{00000000-0005-0000-0000-0000BD920000}"/>
    <cellStyle name="Normal 305" xfId="2496" xr:uid="{00000000-0005-0000-0000-0000BE920000}"/>
    <cellStyle name="Normal 305 2" xfId="4549" xr:uid="{00000000-0005-0000-0000-0000BF920000}"/>
    <cellStyle name="Normal 305 3" xfId="52178" xr:uid="{00000000-0005-0000-0000-0000C0920000}"/>
    <cellStyle name="Normal 306" xfId="2497" xr:uid="{00000000-0005-0000-0000-0000C1920000}"/>
    <cellStyle name="Normal 306 2" xfId="4550" xr:uid="{00000000-0005-0000-0000-0000C2920000}"/>
    <cellStyle name="Normal 306 3" xfId="52179" xr:uid="{00000000-0005-0000-0000-0000C3920000}"/>
    <cellStyle name="Normal 307" xfId="2498" xr:uid="{00000000-0005-0000-0000-0000C4920000}"/>
    <cellStyle name="Normal 307 2" xfId="4551" xr:uid="{00000000-0005-0000-0000-0000C5920000}"/>
    <cellStyle name="Normal 307 3" xfId="52180" xr:uid="{00000000-0005-0000-0000-0000C6920000}"/>
    <cellStyle name="Normal 308" xfId="2499" xr:uid="{00000000-0005-0000-0000-0000C7920000}"/>
    <cellStyle name="Normal 308 2" xfId="4552" xr:uid="{00000000-0005-0000-0000-0000C8920000}"/>
    <cellStyle name="Normal 308 3" xfId="52181" xr:uid="{00000000-0005-0000-0000-0000C9920000}"/>
    <cellStyle name="Normal 309" xfId="2500" xr:uid="{00000000-0005-0000-0000-0000CA920000}"/>
    <cellStyle name="Normal 309 2" xfId="4553" xr:uid="{00000000-0005-0000-0000-0000CB920000}"/>
    <cellStyle name="Normal 309 3" xfId="52182" xr:uid="{00000000-0005-0000-0000-0000CC920000}"/>
    <cellStyle name="Normal 31" xfId="2501" xr:uid="{00000000-0005-0000-0000-0000CD920000}"/>
    <cellStyle name="Normal 31 2" xfId="2502" xr:uid="{00000000-0005-0000-0000-0000CE920000}"/>
    <cellStyle name="Normal 31 2 2" xfId="2503" xr:uid="{00000000-0005-0000-0000-0000CF920000}"/>
    <cellStyle name="Normal 31 2 3" xfId="22989" xr:uid="{00000000-0005-0000-0000-0000D0920000}"/>
    <cellStyle name="Normal 31 2 4" xfId="22771" xr:uid="{00000000-0005-0000-0000-0000D1920000}"/>
    <cellStyle name="Normal 31 2 4 2" xfId="38978" xr:uid="{00000000-0005-0000-0000-0000D2920000}"/>
    <cellStyle name="Normal 31 2_Sheet1" xfId="2504" xr:uid="{00000000-0005-0000-0000-0000D3920000}"/>
    <cellStyle name="Normal 31 3" xfId="2505" xr:uid="{00000000-0005-0000-0000-0000D4920000}"/>
    <cellStyle name="Normal 31 4" xfId="22988" xr:uid="{00000000-0005-0000-0000-0000D5920000}"/>
    <cellStyle name="Normal 31 5" xfId="22562" xr:uid="{00000000-0005-0000-0000-0000D6920000}"/>
    <cellStyle name="Normal 31 5 2" xfId="38873" xr:uid="{00000000-0005-0000-0000-0000D7920000}"/>
    <cellStyle name="Normal 31 6" xfId="53255" xr:uid="{00000000-0005-0000-0000-0000D8920000}"/>
    <cellStyle name="Normal 31_Sheet1" xfId="2506" xr:uid="{00000000-0005-0000-0000-0000D9920000}"/>
    <cellStyle name="Normal 310" xfId="2507" xr:uid="{00000000-0005-0000-0000-0000DA920000}"/>
    <cellStyle name="Normal 310 2" xfId="4554" xr:uid="{00000000-0005-0000-0000-0000DB920000}"/>
    <cellStyle name="Normal 310 3" xfId="52183" xr:uid="{00000000-0005-0000-0000-0000DC920000}"/>
    <cellStyle name="Normal 311" xfId="2508" xr:uid="{00000000-0005-0000-0000-0000DD920000}"/>
    <cellStyle name="Normal 311 2" xfId="4555" xr:uid="{00000000-0005-0000-0000-0000DE920000}"/>
    <cellStyle name="Normal 311 3" xfId="52184" xr:uid="{00000000-0005-0000-0000-0000DF920000}"/>
    <cellStyle name="Normal 312" xfId="2509" xr:uid="{00000000-0005-0000-0000-0000E0920000}"/>
    <cellStyle name="Normal 312 2" xfId="4556" xr:uid="{00000000-0005-0000-0000-0000E1920000}"/>
    <cellStyle name="Normal 312 3" xfId="52185" xr:uid="{00000000-0005-0000-0000-0000E2920000}"/>
    <cellStyle name="Normal 313" xfId="2510" xr:uid="{00000000-0005-0000-0000-0000E3920000}"/>
    <cellStyle name="Normal 313 2" xfId="4557" xr:uid="{00000000-0005-0000-0000-0000E4920000}"/>
    <cellStyle name="Normal 313 3" xfId="52186" xr:uid="{00000000-0005-0000-0000-0000E5920000}"/>
    <cellStyle name="Normal 314" xfId="2511" xr:uid="{00000000-0005-0000-0000-0000E6920000}"/>
    <cellStyle name="Normal 314 2" xfId="4558" xr:uid="{00000000-0005-0000-0000-0000E7920000}"/>
    <cellStyle name="Normal 314 3" xfId="52187" xr:uid="{00000000-0005-0000-0000-0000E8920000}"/>
    <cellStyle name="Normal 315" xfId="2512" xr:uid="{00000000-0005-0000-0000-0000E9920000}"/>
    <cellStyle name="Normal 315 2" xfId="4559" xr:uid="{00000000-0005-0000-0000-0000EA920000}"/>
    <cellStyle name="Normal 315 3" xfId="52188" xr:uid="{00000000-0005-0000-0000-0000EB920000}"/>
    <cellStyle name="Normal 316" xfId="2513" xr:uid="{00000000-0005-0000-0000-0000EC920000}"/>
    <cellStyle name="Normal 316 2" xfId="4560" xr:uid="{00000000-0005-0000-0000-0000ED920000}"/>
    <cellStyle name="Normal 316 3" xfId="52189" xr:uid="{00000000-0005-0000-0000-0000EE920000}"/>
    <cellStyle name="Normal 317" xfId="2514" xr:uid="{00000000-0005-0000-0000-0000EF920000}"/>
    <cellStyle name="Normal 317 2" xfId="4561" xr:uid="{00000000-0005-0000-0000-0000F0920000}"/>
    <cellStyle name="Normal 317 3" xfId="52190" xr:uid="{00000000-0005-0000-0000-0000F1920000}"/>
    <cellStyle name="Normal 318" xfId="2515" xr:uid="{00000000-0005-0000-0000-0000F2920000}"/>
    <cellStyle name="Normal 318 2" xfId="4562" xr:uid="{00000000-0005-0000-0000-0000F3920000}"/>
    <cellStyle name="Normal 318 3" xfId="52191" xr:uid="{00000000-0005-0000-0000-0000F4920000}"/>
    <cellStyle name="Normal 319" xfId="2516" xr:uid="{00000000-0005-0000-0000-0000F5920000}"/>
    <cellStyle name="Normal 319 2" xfId="4563" xr:uid="{00000000-0005-0000-0000-0000F6920000}"/>
    <cellStyle name="Normal 319 2 2" xfId="8550" xr:uid="{00000000-0005-0000-0000-0000F7920000}"/>
    <cellStyle name="Normal 319 2 2 2" xfId="16346" xr:uid="{00000000-0005-0000-0000-0000F8920000}"/>
    <cellStyle name="Normal 319 2 2 2 2" xfId="33981" xr:uid="{00000000-0005-0000-0000-0000F9920000}"/>
    <cellStyle name="Normal 319 2 2 3" xfId="26951" xr:uid="{00000000-0005-0000-0000-0000FA920000}"/>
    <cellStyle name="Normal 319 2 3" xfId="12814" xr:uid="{00000000-0005-0000-0000-0000FB920000}"/>
    <cellStyle name="Normal 319 2 3 2" xfId="30469" xr:uid="{00000000-0005-0000-0000-0000FC920000}"/>
    <cellStyle name="Normal 319 2 4" xfId="24086" xr:uid="{00000000-0005-0000-0000-0000FD920000}"/>
    <cellStyle name="Normal 319 3" xfId="5863" xr:uid="{00000000-0005-0000-0000-0000FE920000}"/>
    <cellStyle name="Normal 319 3 2" xfId="9163" xr:uid="{00000000-0005-0000-0000-0000FF920000}"/>
    <cellStyle name="Normal 319 3 2 2" xfId="16958" xr:uid="{00000000-0005-0000-0000-000000930000}"/>
    <cellStyle name="Normal 319 3 2 2 2" xfId="34594" xr:uid="{00000000-0005-0000-0000-000001930000}"/>
    <cellStyle name="Normal 319 3 2 3" xfId="27551" xr:uid="{00000000-0005-0000-0000-000002930000}"/>
    <cellStyle name="Normal 319 3 3" xfId="13719" xr:uid="{00000000-0005-0000-0000-000003930000}"/>
    <cellStyle name="Normal 319 3 3 2" xfId="31359" xr:uid="{00000000-0005-0000-0000-000004930000}"/>
    <cellStyle name="Normal 319 3 4" xfId="24686" xr:uid="{00000000-0005-0000-0000-000005930000}"/>
    <cellStyle name="Normal 319 4" xfId="6493" xr:uid="{00000000-0005-0000-0000-000006930000}"/>
    <cellStyle name="Normal 319 4 2" xfId="9703" xr:uid="{00000000-0005-0000-0000-000007930000}"/>
    <cellStyle name="Normal 319 4 2 2" xfId="17497" xr:uid="{00000000-0005-0000-0000-000008930000}"/>
    <cellStyle name="Normal 319 4 2 2 2" xfId="35134" xr:uid="{00000000-0005-0000-0000-000009930000}"/>
    <cellStyle name="Normal 319 4 2 3" xfId="28087" xr:uid="{00000000-0005-0000-0000-00000A930000}"/>
    <cellStyle name="Normal 319 4 3" xfId="14282" xr:uid="{00000000-0005-0000-0000-00000B930000}"/>
    <cellStyle name="Normal 319 4 3 2" xfId="31917" xr:uid="{00000000-0005-0000-0000-00000C930000}"/>
    <cellStyle name="Normal 319 4 4" xfId="25223" xr:uid="{00000000-0005-0000-0000-00000D930000}"/>
    <cellStyle name="Normal 319 5" xfId="7269" xr:uid="{00000000-0005-0000-0000-00000E930000}"/>
    <cellStyle name="Normal 319 5 2" xfId="10257" xr:uid="{00000000-0005-0000-0000-00000F930000}"/>
    <cellStyle name="Normal 319 5 2 2" xfId="18050" xr:uid="{00000000-0005-0000-0000-000010930000}"/>
    <cellStyle name="Normal 319 5 2 2 2" xfId="35687" xr:uid="{00000000-0005-0000-0000-000011930000}"/>
    <cellStyle name="Normal 319 5 2 3" xfId="28624" xr:uid="{00000000-0005-0000-0000-000012930000}"/>
    <cellStyle name="Normal 319 5 3" xfId="15057" xr:uid="{00000000-0005-0000-0000-000013930000}"/>
    <cellStyle name="Normal 319 5 3 2" xfId="32692" xr:uid="{00000000-0005-0000-0000-000014930000}"/>
    <cellStyle name="Normal 319 5 4" xfId="25761" xr:uid="{00000000-0005-0000-0000-000015930000}"/>
    <cellStyle name="Normal 319 6" xfId="7868" xr:uid="{00000000-0005-0000-0000-000016930000}"/>
    <cellStyle name="Normal 319 6 2" xfId="15665" xr:uid="{00000000-0005-0000-0000-000017930000}"/>
    <cellStyle name="Normal 319 6 2 2" xfId="33300" xr:uid="{00000000-0005-0000-0000-000018930000}"/>
    <cellStyle name="Normal 319 6 3" xfId="26284" xr:uid="{00000000-0005-0000-0000-000019930000}"/>
    <cellStyle name="Normal 319 7" xfId="11808" xr:uid="{00000000-0005-0000-0000-00001A930000}"/>
    <cellStyle name="Normal 319 7 2" xfId="29494" xr:uid="{00000000-0005-0000-0000-00001B930000}"/>
    <cellStyle name="Normal 319 8" xfId="23419" xr:uid="{00000000-0005-0000-0000-00001C930000}"/>
    <cellStyle name="Normal 319 9" xfId="52192" xr:uid="{00000000-0005-0000-0000-00001D930000}"/>
    <cellStyle name="Normal 32" xfId="2517" xr:uid="{00000000-0005-0000-0000-00001E930000}"/>
    <cellStyle name="Normal 32 2" xfId="2518" xr:uid="{00000000-0005-0000-0000-00001F930000}"/>
    <cellStyle name="Normal 32 2 2" xfId="2519" xr:uid="{00000000-0005-0000-0000-000020930000}"/>
    <cellStyle name="Normal 32 2 3" xfId="22991" xr:uid="{00000000-0005-0000-0000-000021930000}"/>
    <cellStyle name="Normal 32 2 4" xfId="22772" xr:uid="{00000000-0005-0000-0000-000022930000}"/>
    <cellStyle name="Normal 32 2 4 2" xfId="38979" xr:uid="{00000000-0005-0000-0000-000023930000}"/>
    <cellStyle name="Normal 32 2_Sheet1" xfId="2520" xr:uid="{00000000-0005-0000-0000-000024930000}"/>
    <cellStyle name="Normal 32 3" xfId="2521" xr:uid="{00000000-0005-0000-0000-000025930000}"/>
    <cellStyle name="Normal 32 4" xfId="22990" xr:uid="{00000000-0005-0000-0000-000026930000}"/>
    <cellStyle name="Normal 32 5" xfId="22563" xr:uid="{00000000-0005-0000-0000-000027930000}"/>
    <cellStyle name="Normal 32 5 2" xfId="38874" xr:uid="{00000000-0005-0000-0000-000028930000}"/>
    <cellStyle name="Normal 32 6" xfId="53256" xr:uid="{00000000-0005-0000-0000-000029930000}"/>
    <cellStyle name="Normal 32_Sheet1" xfId="2522" xr:uid="{00000000-0005-0000-0000-00002A930000}"/>
    <cellStyle name="Normal 320" xfId="2523" xr:uid="{00000000-0005-0000-0000-00002B930000}"/>
    <cellStyle name="Normal 320 2" xfId="4564" xr:uid="{00000000-0005-0000-0000-00002C930000}"/>
    <cellStyle name="Normal 320 2 2" xfId="8551" xr:uid="{00000000-0005-0000-0000-00002D930000}"/>
    <cellStyle name="Normal 320 2 2 2" xfId="16347" xr:uid="{00000000-0005-0000-0000-00002E930000}"/>
    <cellStyle name="Normal 320 2 2 2 2" xfId="33982" xr:uid="{00000000-0005-0000-0000-00002F930000}"/>
    <cellStyle name="Normal 320 2 2 3" xfId="26952" xr:uid="{00000000-0005-0000-0000-000030930000}"/>
    <cellStyle name="Normal 320 2 3" xfId="12815" xr:uid="{00000000-0005-0000-0000-000031930000}"/>
    <cellStyle name="Normal 320 2 3 2" xfId="30470" xr:uid="{00000000-0005-0000-0000-000032930000}"/>
    <cellStyle name="Normal 320 2 4" xfId="24087" xr:uid="{00000000-0005-0000-0000-000033930000}"/>
    <cellStyle name="Normal 320 3" xfId="5864" xr:uid="{00000000-0005-0000-0000-000034930000}"/>
    <cellStyle name="Normal 320 3 2" xfId="9164" xr:uid="{00000000-0005-0000-0000-000035930000}"/>
    <cellStyle name="Normal 320 3 2 2" xfId="16959" xr:uid="{00000000-0005-0000-0000-000036930000}"/>
    <cellStyle name="Normal 320 3 2 2 2" xfId="34595" xr:uid="{00000000-0005-0000-0000-000037930000}"/>
    <cellStyle name="Normal 320 3 2 3" xfId="27552" xr:uid="{00000000-0005-0000-0000-000038930000}"/>
    <cellStyle name="Normal 320 3 3" xfId="13720" xr:uid="{00000000-0005-0000-0000-000039930000}"/>
    <cellStyle name="Normal 320 3 3 2" xfId="31360" xr:uid="{00000000-0005-0000-0000-00003A930000}"/>
    <cellStyle name="Normal 320 3 4" xfId="24687" xr:uid="{00000000-0005-0000-0000-00003B930000}"/>
    <cellStyle name="Normal 320 4" xfId="6494" xr:uid="{00000000-0005-0000-0000-00003C930000}"/>
    <cellStyle name="Normal 320 4 2" xfId="9704" xr:uid="{00000000-0005-0000-0000-00003D930000}"/>
    <cellStyle name="Normal 320 4 2 2" xfId="17498" xr:uid="{00000000-0005-0000-0000-00003E930000}"/>
    <cellStyle name="Normal 320 4 2 2 2" xfId="35135" xr:uid="{00000000-0005-0000-0000-00003F930000}"/>
    <cellStyle name="Normal 320 4 2 3" xfId="28088" xr:uid="{00000000-0005-0000-0000-000040930000}"/>
    <cellStyle name="Normal 320 4 3" xfId="14283" xr:uid="{00000000-0005-0000-0000-000041930000}"/>
    <cellStyle name="Normal 320 4 3 2" xfId="31918" xr:uid="{00000000-0005-0000-0000-000042930000}"/>
    <cellStyle name="Normal 320 4 4" xfId="25224" xr:uid="{00000000-0005-0000-0000-000043930000}"/>
    <cellStyle name="Normal 320 5" xfId="7270" xr:uid="{00000000-0005-0000-0000-000044930000}"/>
    <cellStyle name="Normal 320 5 2" xfId="10258" xr:uid="{00000000-0005-0000-0000-000045930000}"/>
    <cellStyle name="Normal 320 5 2 2" xfId="18051" xr:uid="{00000000-0005-0000-0000-000046930000}"/>
    <cellStyle name="Normal 320 5 2 2 2" xfId="35688" xr:uid="{00000000-0005-0000-0000-000047930000}"/>
    <cellStyle name="Normal 320 5 2 3" xfId="28625" xr:uid="{00000000-0005-0000-0000-000048930000}"/>
    <cellStyle name="Normal 320 5 3" xfId="15058" xr:uid="{00000000-0005-0000-0000-000049930000}"/>
    <cellStyle name="Normal 320 5 3 2" xfId="32693" xr:uid="{00000000-0005-0000-0000-00004A930000}"/>
    <cellStyle name="Normal 320 5 4" xfId="25762" xr:uid="{00000000-0005-0000-0000-00004B930000}"/>
    <cellStyle name="Normal 320 6" xfId="7869" xr:uid="{00000000-0005-0000-0000-00004C930000}"/>
    <cellStyle name="Normal 320 6 2" xfId="15666" xr:uid="{00000000-0005-0000-0000-00004D930000}"/>
    <cellStyle name="Normal 320 6 2 2" xfId="33301" xr:uid="{00000000-0005-0000-0000-00004E930000}"/>
    <cellStyle name="Normal 320 6 3" xfId="26285" xr:uid="{00000000-0005-0000-0000-00004F930000}"/>
    <cellStyle name="Normal 320 7" xfId="11810" xr:uid="{00000000-0005-0000-0000-000050930000}"/>
    <cellStyle name="Normal 320 7 2" xfId="29496" xr:uid="{00000000-0005-0000-0000-000051930000}"/>
    <cellStyle name="Normal 320 8" xfId="23420" xr:uid="{00000000-0005-0000-0000-000052930000}"/>
    <cellStyle name="Normal 320 9" xfId="52193" xr:uid="{00000000-0005-0000-0000-000053930000}"/>
    <cellStyle name="Normal 321" xfId="2524" xr:uid="{00000000-0005-0000-0000-000054930000}"/>
    <cellStyle name="Normal 321 2" xfId="4565" xr:uid="{00000000-0005-0000-0000-000055930000}"/>
    <cellStyle name="Normal 321 2 2" xfId="8552" xr:uid="{00000000-0005-0000-0000-000056930000}"/>
    <cellStyle name="Normal 321 2 2 2" xfId="16348" xr:uid="{00000000-0005-0000-0000-000057930000}"/>
    <cellStyle name="Normal 321 2 2 2 2" xfId="33983" xr:uid="{00000000-0005-0000-0000-000058930000}"/>
    <cellStyle name="Normal 321 2 2 3" xfId="26953" xr:uid="{00000000-0005-0000-0000-000059930000}"/>
    <cellStyle name="Normal 321 2 3" xfId="12816" xr:uid="{00000000-0005-0000-0000-00005A930000}"/>
    <cellStyle name="Normal 321 2 3 2" xfId="30471" xr:uid="{00000000-0005-0000-0000-00005B930000}"/>
    <cellStyle name="Normal 321 2 4" xfId="24088" xr:uid="{00000000-0005-0000-0000-00005C930000}"/>
    <cellStyle name="Normal 321 3" xfId="5865" xr:uid="{00000000-0005-0000-0000-00005D930000}"/>
    <cellStyle name="Normal 321 3 2" xfId="9165" xr:uid="{00000000-0005-0000-0000-00005E930000}"/>
    <cellStyle name="Normal 321 3 2 2" xfId="16960" xr:uid="{00000000-0005-0000-0000-00005F930000}"/>
    <cellStyle name="Normal 321 3 2 2 2" xfId="34596" xr:uid="{00000000-0005-0000-0000-000060930000}"/>
    <cellStyle name="Normal 321 3 2 3" xfId="27553" xr:uid="{00000000-0005-0000-0000-000061930000}"/>
    <cellStyle name="Normal 321 3 3" xfId="13721" xr:uid="{00000000-0005-0000-0000-000062930000}"/>
    <cellStyle name="Normal 321 3 3 2" xfId="31361" xr:uid="{00000000-0005-0000-0000-000063930000}"/>
    <cellStyle name="Normal 321 3 4" xfId="24688" xr:uid="{00000000-0005-0000-0000-000064930000}"/>
    <cellStyle name="Normal 321 4" xfId="6495" xr:uid="{00000000-0005-0000-0000-000065930000}"/>
    <cellStyle name="Normal 321 4 2" xfId="9705" xr:uid="{00000000-0005-0000-0000-000066930000}"/>
    <cellStyle name="Normal 321 4 2 2" xfId="17499" xr:uid="{00000000-0005-0000-0000-000067930000}"/>
    <cellStyle name="Normal 321 4 2 2 2" xfId="35136" xr:uid="{00000000-0005-0000-0000-000068930000}"/>
    <cellStyle name="Normal 321 4 2 3" xfId="28089" xr:uid="{00000000-0005-0000-0000-000069930000}"/>
    <cellStyle name="Normal 321 4 3" xfId="14284" xr:uid="{00000000-0005-0000-0000-00006A930000}"/>
    <cellStyle name="Normal 321 4 3 2" xfId="31919" xr:uid="{00000000-0005-0000-0000-00006B930000}"/>
    <cellStyle name="Normal 321 4 4" xfId="25225" xr:uid="{00000000-0005-0000-0000-00006C930000}"/>
    <cellStyle name="Normal 321 5" xfId="7271" xr:uid="{00000000-0005-0000-0000-00006D930000}"/>
    <cellStyle name="Normal 321 5 2" xfId="10259" xr:uid="{00000000-0005-0000-0000-00006E930000}"/>
    <cellStyle name="Normal 321 5 2 2" xfId="18052" xr:uid="{00000000-0005-0000-0000-00006F930000}"/>
    <cellStyle name="Normal 321 5 2 2 2" xfId="35689" xr:uid="{00000000-0005-0000-0000-000070930000}"/>
    <cellStyle name="Normal 321 5 2 3" xfId="28626" xr:uid="{00000000-0005-0000-0000-000071930000}"/>
    <cellStyle name="Normal 321 5 3" xfId="15059" xr:uid="{00000000-0005-0000-0000-000072930000}"/>
    <cellStyle name="Normal 321 5 3 2" xfId="32694" xr:uid="{00000000-0005-0000-0000-000073930000}"/>
    <cellStyle name="Normal 321 5 4" xfId="25763" xr:uid="{00000000-0005-0000-0000-000074930000}"/>
    <cellStyle name="Normal 321 6" xfId="7870" xr:uid="{00000000-0005-0000-0000-000075930000}"/>
    <cellStyle name="Normal 321 6 2" xfId="15667" xr:uid="{00000000-0005-0000-0000-000076930000}"/>
    <cellStyle name="Normal 321 6 2 2" xfId="33302" xr:uid="{00000000-0005-0000-0000-000077930000}"/>
    <cellStyle name="Normal 321 6 3" xfId="26286" xr:uid="{00000000-0005-0000-0000-000078930000}"/>
    <cellStyle name="Normal 321 7" xfId="11811" xr:uid="{00000000-0005-0000-0000-000079930000}"/>
    <cellStyle name="Normal 321 7 2" xfId="29497" xr:uid="{00000000-0005-0000-0000-00007A930000}"/>
    <cellStyle name="Normal 321 8" xfId="23421" xr:uid="{00000000-0005-0000-0000-00007B930000}"/>
    <cellStyle name="Normal 321 9" xfId="52194" xr:uid="{00000000-0005-0000-0000-00007C930000}"/>
    <cellStyle name="Normal 322" xfId="2525" xr:uid="{00000000-0005-0000-0000-00007D930000}"/>
    <cellStyle name="Normal 322 2" xfId="4566" xr:uid="{00000000-0005-0000-0000-00007E930000}"/>
    <cellStyle name="Normal 322 2 2" xfId="8553" xr:uid="{00000000-0005-0000-0000-00007F930000}"/>
    <cellStyle name="Normal 322 2 2 2" xfId="16349" xr:uid="{00000000-0005-0000-0000-000080930000}"/>
    <cellStyle name="Normal 322 2 2 2 2" xfId="33984" xr:uid="{00000000-0005-0000-0000-000081930000}"/>
    <cellStyle name="Normal 322 2 2 3" xfId="26954" xr:uid="{00000000-0005-0000-0000-000082930000}"/>
    <cellStyle name="Normal 322 2 3" xfId="12817" xr:uid="{00000000-0005-0000-0000-000083930000}"/>
    <cellStyle name="Normal 322 2 3 2" xfId="30472" xr:uid="{00000000-0005-0000-0000-000084930000}"/>
    <cellStyle name="Normal 322 2 4" xfId="24089" xr:uid="{00000000-0005-0000-0000-000085930000}"/>
    <cellStyle name="Normal 322 3" xfId="5866" xr:uid="{00000000-0005-0000-0000-000086930000}"/>
    <cellStyle name="Normal 322 3 2" xfId="9166" xr:uid="{00000000-0005-0000-0000-000087930000}"/>
    <cellStyle name="Normal 322 3 2 2" xfId="16961" xr:uid="{00000000-0005-0000-0000-000088930000}"/>
    <cellStyle name="Normal 322 3 2 2 2" xfId="34597" xr:uid="{00000000-0005-0000-0000-000089930000}"/>
    <cellStyle name="Normal 322 3 2 3" xfId="27554" xr:uid="{00000000-0005-0000-0000-00008A930000}"/>
    <cellStyle name="Normal 322 3 3" xfId="13722" xr:uid="{00000000-0005-0000-0000-00008B930000}"/>
    <cellStyle name="Normal 322 3 3 2" xfId="31362" xr:uid="{00000000-0005-0000-0000-00008C930000}"/>
    <cellStyle name="Normal 322 3 4" xfId="24689" xr:uid="{00000000-0005-0000-0000-00008D930000}"/>
    <cellStyle name="Normal 322 4" xfId="6496" xr:uid="{00000000-0005-0000-0000-00008E930000}"/>
    <cellStyle name="Normal 322 4 2" xfId="9706" xr:uid="{00000000-0005-0000-0000-00008F930000}"/>
    <cellStyle name="Normal 322 4 2 2" xfId="17500" xr:uid="{00000000-0005-0000-0000-000090930000}"/>
    <cellStyle name="Normal 322 4 2 2 2" xfId="35137" xr:uid="{00000000-0005-0000-0000-000091930000}"/>
    <cellStyle name="Normal 322 4 2 3" xfId="28090" xr:uid="{00000000-0005-0000-0000-000092930000}"/>
    <cellStyle name="Normal 322 4 3" xfId="14285" xr:uid="{00000000-0005-0000-0000-000093930000}"/>
    <cellStyle name="Normal 322 4 3 2" xfId="31920" xr:uid="{00000000-0005-0000-0000-000094930000}"/>
    <cellStyle name="Normal 322 4 4" xfId="25226" xr:uid="{00000000-0005-0000-0000-000095930000}"/>
    <cellStyle name="Normal 322 5" xfId="7272" xr:uid="{00000000-0005-0000-0000-000096930000}"/>
    <cellStyle name="Normal 322 5 2" xfId="10260" xr:uid="{00000000-0005-0000-0000-000097930000}"/>
    <cellStyle name="Normal 322 5 2 2" xfId="18053" xr:uid="{00000000-0005-0000-0000-000098930000}"/>
    <cellStyle name="Normal 322 5 2 2 2" xfId="35690" xr:uid="{00000000-0005-0000-0000-000099930000}"/>
    <cellStyle name="Normal 322 5 2 3" xfId="28627" xr:uid="{00000000-0005-0000-0000-00009A930000}"/>
    <cellStyle name="Normal 322 5 3" xfId="15060" xr:uid="{00000000-0005-0000-0000-00009B930000}"/>
    <cellStyle name="Normal 322 5 3 2" xfId="32695" xr:uid="{00000000-0005-0000-0000-00009C930000}"/>
    <cellStyle name="Normal 322 5 4" xfId="25764" xr:uid="{00000000-0005-0000-0000-00009D930000}"/>
    <cellStyle name="Normal 322 6" xfId="7871" xr:uid="{00000000-0005-0000-0000-00009E930000}"/>
    <cellStyle name="Normal 322 6 2" xfId="15668" xr:uid="{00000000-0005-0000-0000-00009F930000}"/>
    <cellStyle name="Normal 322 6 2 2" xfId="33303" xr:uid="{00000000-0005-0000-0000-0000A0930000}"/>
    <cellStyle name="Normal 322 6 3" xfId="26287" xr:uid="{00000000-0005-0000-0000-0000A1930000}"/>
    <cellStyle name="Normal 322 7" xfId="11812" xr:uid="{00000000-0005-0000-0000-0000A2930000}"/>
    <cellStyle name="Normal 322 7 2" xfId="29498" xr:uid="{00000000-0005-0000-0000-0000A3930000}"/>
    <cellStyle name="Normal 322 8" xfId="23422" xr:uid="{00000000-0005-0000-0000-0000A4930000}"/>
    <cellStyle name="Normal 322 9" xfId="52195" xr:uid="{00000000-0005-0000-0000-0000A5930000}"/>
    <cellStyle name="Normal 323" xfId="2526" xr:uid="{00000000-0005-0000-0000-0000A6930000}"/>
    <cellStyle name="Normal 323 2" xfId="4567" xr:uid="{00000000-0005-0000-0000-0000A7930000}"/>
    <cellStyle name="Normal 323 2 2" xfId="8554" xr:uid="{00000000-0005-0000-0000-0000A8930000}"/>
    <cellStyle name="Normal 323 2 2 2" xfId="16350" xr:uid="{00000000-0005-0000-0000-0000A9930000}"/>
    <cellStyle name="Normal 323 2 2 2 2" xfId="33985" xr:uid="{00000000-0005-0000-0000-0000AA930000}"/>
    <cellStyle name="Normal 323 2 2 3" xfId="26955" xr:uid="{00000000-0005-0000-0000-0000AB930000}"/>
    <cellStyle name="Normal 323 2 3" xfId="12818" xr:uid="{00000000-0005-0000-0000-0000AC930000}"/>
    <cellStyle name="Normal 323 2 3 2" xfId="30473" xr:uid="{00000000-0005-0000-0000-0000AD930000}"/>
    <cellStyle name="Normal 323 2 4" xfId="24090" xr:uid="{00000000-0005-0000-0000-0000AE930000}"/>
    <cellStyle name="Normal 323 3" xfId="5867" xr:uid="{00000000-0005-0000-0000-0000AF930000}"/>
    <cellStyle name="Normal 323 3 2" xfId="9167" xr:uid="{00000000-0005-0000-0000-0000B0930000}"/>
    <cellStyle name="Normal 323 3 2 2" xfId="16962" xr:uid="{00000000-0005-0000-0000-0000B1930000}"/>
    <cellStyle name="Normal 323 3 2 2 2" xfId="34598" xr:uid="{00000000-0005-0000-0000-0000B2930000}"/>
    <cellStyle name="Normal 323 3 2 3" xfId="27555" xr:uid="{00000000-0005-0000-0000-0000B3930000}"/>
    <cellStyle name="Normal 323 3 3" xfId="13723" xr:uid="{00000000-0005-0000-0000-0000B4930000}"/>
    <cellStyle name="Normal 323 3 3 2" xfId="31363" xr:uid="{00000000-0005-0000-0000-0000B5930000}"/>
    <cellStyle name="Normal 323 3 4" xfId="24690" xr:uid="{00000000-0005-0000-0000-0000B6930000}"/>
    <cellStyle name="Normal 323 4" xfId="6497" xr:uid="{00000000-0005-0000-0000-0000B7930000}"/>
    <cellStyle name="Normal 323 4 2" xfId="9707" xr:uid="{00000000-0005-0000-0000-0000B8930000}"/>
    <cellStyle name="Normal 323 4 2 2" xfId="17501" xr:uid="{00000000-0005-0000-0000-0000B9930000}"/>
    <cellStyle name="Normal 323 4 2 2 2" xfId="35138" xr:uid="{00000000-0005-0000-0000-0000BA930000}"/>
    <cellStyle name="Normal 323 4 2 3" xfId="28091" xr:uid="{00000000-0005-0000-0000-0000BB930000}"/>
    <cellStyle name="Normal 323 4 3" xfId="14286" xr:uid="{00000000-0005-0000-0000-0000BC930000}"/>
    <cellStyle name="Normal 323 4 3 2" xfId="31921" xr:uid="{00000000-0005-0000-0000-0000BD930000}"/>
    <cellStyle name="Normal 323 4 4" xfId="25227" xr:uid="{00000000-0005-0000-0000-0000BE930000}"/>
    <cellStyle name="Normal 323 5" xfId="7273" xr:uid="{00000000-0005-0000-0000-0000BF930000}"/>
    <cellStyle name="Normal 323 5 2" xfId="10261" xr:uid="{00000000-0005-0000-0000-0000C0930000}"/>
    <cellStyle name="Normal 323 5 2 2" xfId="18054" xr:uid="{00000000-0005-0000-0000-0000C1930000}"/>
    <cellStyle name="Normal 323 5 2 2 2" xfId="35691" xr:uid="{00000000-0005-0000-0000-0000C2930000}"/>
    <cellStyle name="Normal 323 5 2 3" xfId="28628" xr:uid="{00000000-0005-0000-0000-0000C3930000}"/>
    <cellStyle name="Normal 323 5 3" xfId="15061" xr:uid="{00000000-0005-0000-0000-0000C4930000}"/>
    <cellStyle name="Normal 323 5 3 2" xfId="32696" xr:uid="{00000000-0005-0000-0000-0000C5930000}"/>
    <cellStyle name="Normal 323 5 4" xfId="25765" xr:uid="{00000000-0005-0000-0000-0000C6930000}"/>
    <cellStyle name="Normal 323 6" xfId="7872" xr:uid="{00000000-0005-0000-0000-0000C7930000}"/>
    <cellStyle name="Normal 323 6 2" xfId="15669" xr:uid="{00000000-0005-0000-0000-0000C8930000}"/>
    <cellStyle name="Normal 323 6 2 2" xfId="33304" xr:uid="{00000000-0005-0000-0000-0000C9930000}"/>
    <cellStyle name="Normal 323 6 3" xfId="26288" xr:uid="{00000000-0005-0000-0000-0000CA930000}"/>
    <cellStyle name="Normal 323 7" xfId="11813" xr:uid="{00000000-0005-0000-0000-0000CB930000}"/>
    <cellStyle name="Normal 323 7 2" xfId="29499" xr:uid="{00000000-0005-0000-0000-0000CC930000}"/>
    <cellStyle name="Normal 323 8" xfId="23423" xr:uid="{00000000-0005-0000-0000-0000CD930000}"/>
    <cellStyle name="Normal 323 9" xfId="52196" xr:uid="{00000000-0005-0000-0000-0000CE930000}"/>
    <cellStyle name="Normal 324" xfId="2527" xr:uid="{00000000-0005-0000-0000-0000CF930000}"/>
    <cellStyle name="Normal 324 2" xfId="4568" xr:uid="{00000000-0005-0000-0000-0000D0930000}"/>
    <cellStyle name="Normal 324 2 2" xfId="8555" xr:uid="{00000000-0005-0000-0000-0000D1930000}"/>
    <cellStyle name="Normal 324 2 2 2" xfId="16351" xr:uid="{00000000-0005-0000-0000-0000D2930000}"/>
    <cellStyle name="Normal 324 2 2 2 2" xfId="33986" xr:uid="{00000000-0005-0000-0000-0000D3930000}"/>
    <cellStyle name="Normal 324 2 2 3" xfId="26956" xr:uid="{00000000-0005-0000-0000-0000D4930000}"/>
    <cellStyle name="Normal 324 2 3" xfId="12819" xr:uid="{00000000-0005-0000-0000-0000D5930000}"/>
    <cellStyle name="Normal 324 2 3 2" xfId="30474" xr:uid="{00000000-0005-0000-0000-0000D6930000}"/>
    <cellStyle name="Normal 324 2 4" xfId="24091" xr:uid="{00000000-0005-0000-0000-0000D7930000}"/>
    <cellStyle name="Normal 324 3" xfId="5868" xr:uid="{00000000-0005-0000-0000-0000D8930000}"/>
    <cellStyle name="Normal 324 3 2" xfId="9168" xr:uid="{00000000-0005-0000-0000-0000D9930000}"/>
    <cellStyle name="Normal 324 3 2 2" xfId="16963" xr:uid="{00000000-0005-0000-0000-0000DA930000}"/>
    <cellStyle name="Normal 324 3 2 2 2" xfId="34599" xr:uid="{00000000-0005-0000-0000-0000DB930000}"/>
    <cellStyle name="Normal 324 3 2 3" xfId="27556" xr:uid="{00000000-0005-0000-0000-0000DC930000}"/>
    <cellStyle name="Normal 324 3 3" xfId="13724" xr:uid="{00000000-0005-0000-0000-0000DD930000}"/>
    <cellStyle name="Normal 324 3 3 2" xfId="31364" xr:uid="{00000000-0005-0000-0000-0000DE930000}"/>
    <cellStyle name="Normal 324 3 4" xfId="24691" xr:uid="{00000000-0005-0000-0000-0000DF930000}"/>
    <cellStyle name="Normal 324 4" xfId="6498" xr:uid="{00000000-0005-0000-0000-0000E0930000}"/>
    <cellStyle name="Normal 324 4 2" xfId="9708" xr:uid="{00000000-0005-0000-0000-0000E1930000}"/>
    <cellStyle name="Normal 324 4 2 2" xfId="17502" xr:uid="{00000000-0005-0000-0000-0000E2930000}"/>
    <cellStyle name="Normal 324 4 2 2 2" xfId="35139" xr:uid="{00000000-0005-0000-0000-0000E3930000}"/>
    <cellStyle name="Normal 324 4 2 3" xfId="28092" xr:uid="{00000000-0005-0000-0000-0000E4930000}"/>
    <cellStyle name="Normal 324 4 3" xfId="14287" xr:uid="{00000000-0005-0000-0000-0000E5930000}"/>
    <cellStyle name="Normal 324 4 3 2" xfId="31922" xr:uid="{00000000-0005-0000-0000-0000E6930000}"/>
    <cellStyle name="Normal 324 4 4" xfId="25228" xr:uid="{00000000-0005-0000-0000-0000E7930000}"/>
    <cellStyle name="Normal 324 5" xfId="7274" xr:uid="{00000000-0005-0000-0000-0000E8930000}"/>
    <cellStyle name="Normal 324 5 2" xfId="10262" xr:uid="{00000000-0005-0000-0000-0000E9930000}"/>
    <cellStyle name="Normal 324 5 2 2" xfId="18055" xr:uid="{00000000-0005-0000-0000-0000EA930000}"/>
    <cellStyle name="Normal 324 5 2 2 2" xfId="35692" xr:uid="{00000000-0005-0000-0000-0000EB930000}"/>
    <cellStyle name="Normal 324 5 2 3" xfId="28629" xr:uid="{00000000-0005-0000-0000-0000EC930000}"/>
    <cellStyle name="Normal 324 5 3" xfId="15062" xr:uid="{00000000-0005-0000-0000-0000ED930000}"/>
    <cellStyle name="Normal 324 5 3 2" xfId="32697" xr:uid="{00000000-0005-0000-0000-0000EE930000}"/>
    <cellStyle name="Normal 324 5 4" xfId="25766" xr:uid="{00000000-0005-0000-0000-0000EF930000}"/>
    <cellStyle name="Normal 324 6" xfId="7873" xr:uid="{00000000-0005-0000-0000-0000F0930000}"/>
    <cellStyle name="Normal 324 6 2" xfId="15670" xr:uid="{00000000-0005-0000-0000-0000F1930000}"/>
    <cellStyle name="Normal 324 6 2 2" xfId="33305" xr:uid="{00000000-0005-0000-0000-0000F2930000}"/>
    <cellStyle name="Normal 324 6 3" xfId="26289" xr:uid="{00000000-0005-0000-0000-0000F3930000}"/>
    <cellStyle name="Normal 324 7" xfId="11814" xr:uid="{00000000-0005-0000-0000-0000F4930000}"/>
    <cellStyle name="Normal 324 7 2" xfId="29500" xr:uid="{00000000-0005-0000-0000-0000F5930000}"/>
    <cellStyle name="Normal 324 8" xfId="23424" xr:uid="{00000000-0005-0000-0000-0000F6930000}"/>
    <cellStyle name="Normal 324 9" xfId="52197" xr:uid="{00000000-0005-0000-0000-0000F7930000}"/>
    <cellStyle name="Normal 325" xfId="2528" xr:uid="{00000000-0005-0000-0000-0000F8930000}"/>
    <cellStyle name="Normal 325 2" xfId="4569" xr:uid="{00000000-0005-0000-0000-0000F9930000}"/>
    <cellStyle name="Normal 325 2 2" xfId="8556" xr:uid="{00000000-0005-0000-0000-0000FA930000}"/>
    <cellStyle name="Normal 325 2 2 2" xfId="16352" xr:uid="{00000000-0005-0000-0000-0000FB930000}"/>
    <cellStyle name="Normal 325 2 2 2 2" xfId="33987" xr:uid="{00000000-0005-0000-0000-0000FC930000}"/>
    <cellStyle name="Normal 325 2 2 3" xfId="26957" xr:uid="{00000000-0005-0000-0000-0000FD930000}"/>
    <cellStyle name="Normal 325 2 3" xfId="12820" xr:uid="{00000000-0005-0000-0000-0000FE930000}"/>
    <cellStyle name="Normal 325 2 3 2" xfId="30475" xr:uid="{00000000-0005-0000-0000-0000FF930000}"/>
    <cellStyle name="Normal 325 2 4" xfId="24092" xr:uid="{00000000-0005-0000-0000-000000940000}"/>
    <cellStyle name="Normal 325 3" xfId="5869" xr:uid="{00000000-0005-0000-0000-000001940000}"/>
    <cellStyle name="Normal 325 3 2" xfId="9169" xr:uid="{00000000-0005-0000-0000-000002940000}"/>
    <cellStyle name="Normal 325 3 2 2" xfId="16964" xr:uid="{00000000-0005-0000-0000-000003940000}"/>
    <cellStyle name="Normal 325 3 2 2 2" xfId="34600" xr:uid="{00000000-0005-0000-0000-000004940000}"/>
    <cellStyle name="Normal 325 3 2 3" xfId="27557" xr:uid="{00000000-0005-0000-0000-000005940000}"/>
    <cellStyle name="Normal 325 3 3" xfId="13725" xr:uid="{00000000-0005-0000-0000-000006940000}"/>
    <cellStyle name="Normal 325 3 3 2" xfId="31365" xr:uid="{00000000-0005-0000-0000-000007940000}"/>
    <cellStyle name="Normal 325 3 4" xfId="24692" xr:uid="{00000000-0005-0000-0000-000008940000}"/>
    <cellStyle name="Normal 325 4" xfId="6499" xr:uid="{00000000-0005-0000-0000-000009940000}"/>
    <cellStyle name="Normal 325 4 2" xfId="9709" xr:uid="{00000000-0005-0000-0000-00000A940000}"/>
    <cellStyle name="Normal 325 4 2 2" xfId="17503" xr:uid="{00000000-0005-0000-0000-00000B940000}"/>
    <cellStyle name="Normal 325 4 2 2 2" xfId="35140" xr:uid="{00000000-0005-0000-0000-00000C940000}"/>
    <cellStyle name="Normal 325 4 2 3" xfId="28093" xr:uid="{00000000-0005-0000-0000-00000D940000}"/>
    <cellStyle name="Normal 325 4 3" xfId="14288" xr:uid="{00000000-0005-0000-0000-00000E940000}"/>
    <cellStyle name="Normal 325 4 3 2" xfId="31923" xr:uid="{00000000-0005-0000-0000-00000F940000}"/>
    <cellStyle name="Normal 325 4 4" xfId="25229" xr:uid="{00000000-0005-0000-0000-000010940000}"/>
    <cellStyle name="Normal 325 5" xfId="7275" xr:uid="{00000000-0005-0000-0000-000011940000}"/>
    <cellStyle name="Normal 325 5 2" xfId="10263" xr:uid="{00000000-0005-0000-0000-000012940000}"/>
    <cellStyle name="Normal 325 5 2 2" xfId="18056" xr:uid="{00000000-0005-0000-0000-000013940000}"/>
    <cellStyle name="Normal 325 5 2 2 2" xfId="35693" xr:uid="{00000000-0005-0000-0000-000014940000}"/>
    <cellStyle name="Normal 325 5 2 3" xfId="28630" xr:uid="{00000000-0005-0000-0000-000015940000}"/>
    <cellStyle name="Normal 325 5 3" xfId="15063" xr:uid="{00000000-0005-0000-0000-000016940000}"/>
    <cellStyle name="Normal 325 5 3 2" xfId="32698" xr:uid="{00000000-0005-0000-0000-000017940000}"/>
    <cellStyle name="Normal 325 5 4" xfId="25767" xr:uid="{00000000-0005-0000-0000-000018940000}"/>
    <cellStyle name="Normal 325 6" xfId="7874" xr:uid="{00000000-0005-0000-0000-000019940000}"/>
    <cellStyle name="Normal 325 6 2" xfId="15671" xr:uid="{00000000-0005-0000-0000-00001A940000}"/>
    <cellStyle name="Normal 325 6 2 2" xfId="33306" xr:uid="{00000000-0005-0000-0000-00001B940000}"/>
    <cellStyle name="Normal 325 6 3" xfId="26290" xr:uid="{00000000-0005-0000-0000-00001C940000}"/>
    <cellStyle name="Normal 325 7" xfId="11815" xr:uid="{00000000-0005-0000-0000-00001D940000}"/>
    <cellStyle name="Normal 325 7 2" xfId="29501" xr:uid="{00000000-0005-0000-0000-00001E940000}"/>
    <cellStyle name="Normal 325 8" xfId="23425" xr:uid="{00000000-0005-0000-0000-00001F940000}"/>
    <cellStyle name="Normal 325 9" xfId="52198" xr:uid="{00000000-0005-0000-0000-000020940000}"/>
    <cellStyle name="Normal 326" xfId="2529" xr:uid="{00000000-0005-0000-0000-000021940000}"/>
    <cellStyle name="Normal 326 2" xfId="4570" xr:uid="{00000000-0005-0000-0000-000022940000}"/>
    <cellStyle name="Normal 326 2 2" xfId="8557" xr:uid="{00000000-0005-0000-0000-000023940000}"/>
    <cellStyle name="Normal 326 2 2 2" xfId="16353" xr:uid="{00000000-0005-0000-0000-000024940000}"/>
    <cellStyle name="Normal 326 2 2 2 2" xfId="33988" xr:uid="{00000000-0005-0000-0000-000025940000}"/>
    <cellStyle name="Normal 326 2 2 3" xfId="26958" xr:uid="{00000000-0005-0000-0000-000026940000}"/>
    <cellStyle name="Normal 326 2 3" xfId="12821" xr:uid="{00000000-0005-0000-0000-000027940000}"/>
    <cellStyle name="Normal 326 2 3 2" xfId="30476" xr:uid="{00000000-0005-0000-0000-000028940000}"/>
    <cellStyle name="Normal 326 2 4" xfId="24093" xr:uid="{00000000-0005-0000-0000-000029940000}"/>
    <cellStyle name="Normal 326 3" xfId="5870" xr:uid="{00000000-0005-0000-0000-00002A940000}"/>
    <cellStyle name="Normal 326 3 2" xfId="9170" xr:uid="{00000000-0005-0000-0000-00002B940000}"/>
    <cellStyle name="Normal 326 3 2 2" xfId="16965" xr:uid="{00000000-0005-0000-0000-00002C940000}"/>
    <cellStyle name="Normal 326 3 2 2 2" xfId="34601" xr:uid="{00000000-0005-0000-0000-00002D940000}"/>
    <cellStyle name="Normal 326 3 2 3" xfId="27558" xr:uid="{00000000-0005-0000-0000-00002E940000}"/>
    <cellStyle name="Normal 326 3 3" xfId="13726" xr:uid="{00000000-0005-0000-0000-00002F940000}"/>
    <cellStyle name="Normal 326 3 3 2" xfId="31366" xr:uid="{00000000-0005-0000-0000-000030940000}"/>
    <cellStyle name="Normal 326 3 4" xfId="24693" xr:uid="{00000000-0005-0000-0000-000031940000}"/>
    <cellStyle name="Normal 326 4" xfId="6500" xr:uid="{00000000-0005-0000-0000-000032940000}"/>
    <cellStyle name="Normal 326 4 2" xfId="9710" xr:uid="{00000000-0005-0000-0000-000033940000}"/>
    <cellStyle name="Normal 326 4 2 2" xfId="17504" xr:uid="{00000000-0005-0000-0000-000034940000}"/>
    <cellStyle name="Normal 326 4 2 2 2" xfId="35141" xr:uid="{00000000-0005-0000-0000-000035940000}"/>
    <cellStyle name="Normal 326 4 2 3" xfId="28094" xr:uid="{00000000-0005-0000-0000-000036940000}"/>
    <cellStyle name="Normal 326 4 3" xfId="14289" xr:uid="{00000000-0005-0000-0000-000037940000}"/>
    <cellStyle name="Normal 326 4 3 2" xfId="31924" xr:uid="{00000000-0005-0000-0000-000038940000}"/>
    <cellStyle name="Normal 326 4 4" xfId="25230" xr:uid="{00000000-0005-0000-0000-000039940000}"/>
    <cellStyle name="Normal 326 5" xfId="7276" xr:uid="{00000000-0005-0000-0000-00003A940000}"/>
    <cellStyle name="Normal 326 5 2" xfId="10264" xr:uid="{00000000-0005-0000-0000-00003B940000}"/>
    <cellStyle name="Normal 326 5 2 2" xfId="18057" xr:uid="{00000000-0005-0000-0000-00003C940000}"/>
    <cellStyle name="Normal 326 5 2 2 2" xfId="35694" xr:uid="{00000000-0005-0000-0000-00003D940000}"/>
    <cellStyle name="Normal 326 5 2 3" xfId="28631" xr:uid="{00000000-0005-0000-0000-00003E940000}"/>
    <cellStyle name="Normal 326 5 3" xfId="15064" xr:uid="{00000000-0005-0000-0000-00003F940000}"/>
    <cellStyle name="Normal 326 5 3 2" xfId="32699" xr:uid="{00000000-0005-0000-0000-000040940000}"/>
    <cellStyle name="Normal 326 5 4" xfId="25768" xr:uid="{00000000-0005-0000-0000-000041940000}"/>
    <cellStyle name="Normal 326 6" xfId="7875" xr:uid="{00000000-0005-0000-0000-000042940000}"/>
    <cellStyle name="Normal 326 6 2" xfId="15672" xr:uid="{00000000-0005-0000-0000-000043940000}"/>
    <cellStyle name="Normal 326 6 2 2" xfId="33307" xr:uid="{00000000-0005-0000-0000-000044940000}"/>
    <cellStyle name="Normal 326 6 3" xfId="26291" xr:uid="{00000000-0005-0000-0000-000045940000}"/>
    <cellStyle name="Normal 326 7" xfId="11816" xr:uid="{00000000-0005-0000-0000-000046940000}"/>
    <cellStyle name="Normal 326 7 2" xfId="29502" xr:uid="{00000000-0005-0000-0000-000047940000}"/>
    <cellStyle name="Normal 326 8" xfId="23426" xr:uid="{00000000-0005-0000-0000-000048940000}"/>
    <cellStyle name="Normal 326 9" xfId="52199" xr:uid="{00000000-0005-0000-0000-000049940000}"/>
    <cellStyle name="Normal 327" xfId="2530" xr:uid="{00000000-0005-0000-0000-00004A940000}"/>
    <cellStyle name="Normal 327 2" xfId="4571" xr:uid="{00000000-0005-0000-0000-00004B940000}"/>
    <cellStyle name="Normal 327 2 2" xfId="8558" xr:uid="{00000000-0005-0000-0000-00004C940000}"/>
    <cellStyle name="Normal 327 2 2 2" xfId="16354" xr:uid="{00000000-0005-0000-0000-00004D940000}"/>
    <cellStyle name="Normal 327 2 2 2 2" xfId="33989" xr:uid="{00000000-0005-0000-0000-00004E940000}"/>
    <cellStyle name="Normal 327 2 2 3" xfId="26959" xr:uid="{00000000-0005-0000-0000-00004F940000}"/>
    <cellStyle name="Normal 327 2 3" xfId="12822" xr:uid="{00000000-0005-0000-0000-000050940000}"/>
    <cellStyle name="Normal 327 2 3 2" xfId="30477" xr:uid="{00000000-0005-0000-0000-000051940000}"/>
    <cellStyle name="Normal 327 2 4" xfId="24094" xr:uid="{00000000-0005-0000-0000-000052940000}"/>
    <cellStyle name="Normal 327 3" xfId="5871" xr:uid="{00000000-0005-0000-0000-000053940000}"/>
    <cellStyle name="Normal 327 3 2" xfId="9171" xr:uid="{00000000-0005-0000-0000-000054940000}"/>
    <cellStyle name="Normal 327 3 2 2" xfId="16966" xr:uid="{00000000-0005-0000-0000-000055940000}"/>
    <cellStyle name="Normal 327 3 2 2 2" xfId="34602" xr:uid="{00000000-0005-0000-0000-000056940000}"/>
    <cellStyle name="Normal 327 3 2 3" xfId="27559" xr:uid="{00000000-0005-0000-0000-000057940000}"/>
    <cellStyle name="Normal 327 3 3" xfId="13727" xr:uid="{00000000-0005-0000-0000-000058940000}"/>
    <cellStyle name="Normal 327 3 3 2" xfId="31367" xr:uid="{00000000-0005-0000-0000-000059940000}"/>
    <cellStyle name="Normal 327 3 4" xfId="24694" xr:uid="{00000000-0005-0000-0000-00005A940000}"/>
    <cellStyle name="Normal 327 4" xfId="6501" xr:uid="{00000000-0005-0000-0000-00005B940000}"/>
    <cellStyle name="Normal 327 4 2" xfId="9711" xr:uid="{00000000-0005-0000-0000-00005C940000}"/>
    <cellStyle name="Normal 327 4 2 2" xfId="17505" xr:uid="{00000000-0005-0000-0000-00005D940000}"/>
    <cellStyle name="Normal 327 4 2 2 2" xfId="35142" xr:uid="{00000000-0005-0000-0000-00005E940000}"/>
    <cellStyle name="Normal 327 4 2 3" xfId="28095" xr:uid="{00000000-0005-0000-0000-00005F940000}"/>
    <cellStyle name="Normal 327 4 3" xfId="14290" xr:uid="{00000000-0005-0000-0000-000060940000}"/>
    <cellStyle name="Normal 327 4 3 2" xfId="31925" xr:uid="{00000000-0005-0000-0000-000061940000}"/>
    <cellStyle name="Normal 327 4 4" xfId="25231" xr:uid="{00000000-0005-0000-0000-000062940000}"/>
    <cellStyle name="Normal 327 5" xfId="7277" xr:uid="{00000000-0005-0000-0000-000063940000}"/>
    <cellStyle name="Normal 327 5 2" xfId="10265" xr:uid="{00000000-0005-0000-0000-000064940000}"/>
    <cellStyle name="Normal 327 5 2 2" xfId="18058" xr:uid="{00000000-0005-0000-0000-000065940000}"/>
    <cellStyle name="Normal 327 5 2 2 2" xfId="35695" xr:uid="{00000000-0005-0000-0000-000066940000}"/>
    <cellStyle name="Normal 327 5 2 3" xfId="28632" xr:uid="{00000000-0005-0000-0000-000067940000}"/>
    <cellStyle name="Normal 327 5 3" xfId="15065" xr:uid="{00000000-0005-0000-0000-000068940000}"/>
    <cellStyle name="Normal 327 5 3 2" xfId="32700" xr:uid="{00000000-0005-0000-0000-000069940000}"/>
    <cellStyle name="Normal 327 5 4" xfId="25769" xr:uid="{00000000-0005-0000-0000-00006A940000}"/>
    <cellStyle name="Normal 327 6" xfId="7876" xr:uid="{00000000-0005-0000-0000-00006B940000}"/>
    <cellStyle name="Normal 327 6 2" xfId="15673" xr:uid="{00000000-0005-0000-0000-00006C940000}"/>
    <cellStyle name="Normal 327 6 2 2" xfId="33308" xr:uid="{00000000-0005-0000-0000-00006D940000}"/>
    <cellStyle name="Normal 327 6 3" xfId="26292" xr:uid="{00000000-0005-0000-0000-00006E940000}"/>
    <cellStyle name="Normal 327 7" xfId="11817" xr:uid="{00000000-0005-0000-0000-00006F940000}"/>
    <cellStyle name="Normal 327 7 2" xfId="29503" xr:uid="{00000000-0005-0000-0000-000070940000}"/>
    <cellStyle name="Normal 327 8" xfId="23427" xr:uid="{00000000-0005-0000-0000-000071940000}"/>
    <cellStyle name="Normal 327 9" xfId="52200" xr:uid="{00000000-0005-0000-0000-000072940000}"/>
    <cellStyle name="Normal 328" xfId="2531" xr:uid="{00000000-0005-0000-0000-000073940000}"/>
    <cellStyle name="Normal 328 2" xfId="4572" xr:uid="{00000000-0005-0000-0000-000074940000}"/>
    <cellStyle name="Normal 328 2 2" xfId="8559" xr:uid="{00000000-0005-0000-0000-000075940000}"/>
    <cellStyle name="Normal 328 2 2 2" xfId="16355" xr:uid="{00000000-0005-0000-0000-000076940000}"/>
    <cellStyle name="Normal 328 2 2 2 2" xfId="33990" xr:uid="{00000000-0005-0000-0000-000077940000}"/>
    <cellStyle name="Normal 328 2 2 3" xfId="26960" xr:uid="{00000000-0005-0000-0000-000078940000}"/>
    <cellStyle name="Normal 328 2 3" xfId="12823" xr:uid="{00000000-0005-0000-0000-000079940000}"/>
    <cellStyle name="Normal 328 2 3 2" xfId="30478" xr:uid="{00000000-0005-0000-0000-00007A940000}"/>
    <cellStyle name="Normal 328 2 4" xfId="24095" xr:uid="{00000000-0005-0000-0000-00007B940000}"/>
    <cellStyle name="Normal 328 3" xfId="5872" xr:uid="{00000000-0005-0000-0000-00007C940000}"/>
    <cellStyle name="Normal 328 3 2" xfId="9172" xr:uid="{00000000-0005-0000-0000-00007D940000}"/>
    <cellStyle name="Normal 328 3 2 2" xfId="16967" xr:uid="{00000000-0005-0000-0000-00007E940000}"/>
    <cellStyle name="Normal 328 3 2 2 2" xfId="34603" xr:uid="{00000000-0005-0000-0000-00007F940000}"/>
    <cellStyle name="Normal 328 3 2 3" xfId="27560" xr:uid="{00000000-0005-0000-0000-000080940000}"/>
    <cellStyle name="Normal 328 3 3" xfId="13728" xr:uid="{00000000-0005-0000-0000-000081940000}"/>
    <cellStyle name="Normal 328 3 3 2" xfId="31368" xr:uid="{00000000-0005-0000-0000-000082940000}"/>
    <cellStyle name="Normal 328 3 4" xfId="24695" xr:uid="{00000000-0005-0000-0000-000083940000}"/>
    <cellStyle name="Normal 328 4" xfId="6502" xr:uid="{00000000-0005-0000-0000-000084940000}"/>
    <cellStyle name="Normal 328 4 2" xfId="9712" xr:uid="{00000000-0005-0000-0000-000085940000}"/>
    <cellStyle name="Normal 328 4 2 2" xfId="17506" xr:uid="{00000000-0005-0000-0000-000086940000}"/>
    <cellStyle name="Normal 328 4 2 2 2" xfId="35143" xr:uid="{00000000-0005-0000-0000-000087940000}"/>
    <cellStyle name="Normal 328 4 2 3" xfId="28096" xr:uid="{00000000-0005-0000-0000-000088940000}"/>
    <cellStyle name="Normal 328 4 3" xfId="14291" xr:uid="{00000000-0005-0000-0000-000089940000}"/>
    <cellStyle name="Normal 328 4 3 2" xfId="31926" xr:uid="{00000000-0005-0000-0000-00008A940000}"/>
    <cellStyle name="Normal 328 4 4" xfId="25232" xr:uid="{00000000-0005-0000-0000-00008B940000}"/>
    <cellStyle name="Normal 328 5" xfId="7278" xr:uid="{00000000-0005-0000-0000-00008C940000}"/>
    <cellStyle name="Normal 328 5 2" xfId="10266" xr:uid="{00000000-0005-0000-0000-00008D940000}"/>
    <cellStyle name="Normal 328 5 2 2" xfId="18059" xr:uid="{00000000-0005-0000-0000-00008E940000}"/>
    <cellStyle name="Normal 328 5 2 2 2" xfId="35696" xr:uid="{00000000-0005-0000-0000-00008F940000}"/>
    <cellStyle name="Normal 328 5 2 3" xfId="28633" xr:uid="{00000000-0005-0000-0000-000090940000}"/>
    <cellStyle name="Normal 328 5 3" xfId="15066" xr:uid="{00000000-0005-0000-0000-000091940000}"/>
    <cellStyle name="Normal 328 5 3 2" xfId="32701" xr:uid="{00000000-0005-0000-0000-000092940000}"/>
    <cellStyle name="Normal 328 5 4" xfId="25770" xr:uid="{00000000-0005-0000-0000-000093940000}"/>
    <cellStyle name="Normal 328 6" xfId="7877" xr:uid="{00000000-0005-0000-0000-000094940000}"/>
    <cellStyle name="Normal 328 6 2" xfId="15674" xr:uid="{00000000-0005-0000-0000-000095940000}"/>
    <cellStyle name="Normal 328 6 2 2" xfId="33309" xr:uid="{00000000-0005-0000-0000-000096940000}"/>
    <cellStyle name="Normal 328 6 3" xfId="26293" xr:uid="{00000000-0005-0000-0000-000097940000}"/>
    <cellStyle name="Normal 328 7" xfId="11818" xr:uid="{00000000-0005-0000-0000-000098940000}"/>
    <cellStyle name="Normal 328 7 2" xfId="29504" xr:uid="{00000000-0005-0000-0000-000099940000}"/>
    <cellStyle name="Normal 328 8" xfId="23428" xr:uid="{00000000-0005-0000-0000-00009A940000}"/>
    <cellStyle name="Normal 328 9" xfId="52201" xr:uid="{00000000-0005-0000-0000-00009B940000}"/>
    <cellStyle name="Normal 329" xfId="2532" xr:uid="{00000000-0005-0000-0000-00009C940000}"/>
    <cellStyle name="Normal 329 2" xfId="4573" xr:uid="{00000000-0005-0000-0000-00009D940000}"/>
    <cellStyle name="Normal 329 2 2" xfId="8560" xr:uid="{00000000-0005-0000-0000-00009E940000}"/>
    <cellStyle name="Normal 329 2 2 2" xfId="16356" xr:uid="{00000000-0005-0000-0000-00009F940000}"/>
    <cellStyle name="Normal 329 2 2 2 2" xfId="33991" xr:uid="{00000000-0005-0000-0000-0000A0940000}"/>
    <cellStyle name="Normal 329 2 2 3" xfId="26961" xr:uid="{00000000-0005-0000-0000-0000A1940000}"/>
    <cellStyle name="Normal 329 2 3" xfId="12824" xr:uid="{00000000-0005-0000-0000-0000A2940000}"/>
    <cellStyle name="Normal 329 2 3 2" xfId="30479" xr:uid="{00000000-0005-0000-0000-0000A3940000}"/>
    <cellStyle name="Normal 329 2 4" xfId="24096" xr:uid="{00000000-0005-0000-0000-0000A4940000}"/>
    <cellStyle name="Normal 329 3" xfId="5873" xr:uid="{00000000-0005-0000-0000-0000A5940000}"/>
    <cellStyle name="Normal 329 3 2" xfId="9173" xr:uid="{00000000-0005-0000-0000-0000A6940000}"/>
    <cellStyle name="Normal 329 3 2 2" xfId="16968" xr:uid="{00000000-0005-0000-0000-0000A7940000}"/>
    <cellStyle name="Normal 329 3 2 2 2" xfId="34604" xr:uid="{00000000-0005-0000-0000-0000A8940000}"/>
    <cellStyle name="Normal 329 3 2 3" xfId="27561" xr:uid="{00000000-0005-0000-0000-0000A9940000}"/>
    <cellStyle name="Normal 329 3 3" xfId="13729" xr:uid="{00000000-0005-0000-0000-0000AA940000}"/>
    <cellStyle name="Normal 329 3 3 2" xfId="31369" xr:uid="{00000000-0005-0000-0000-0000AB940000}"/>
    <cellStyle name="Normal 329 3 4" xfId="24696" xr:uid="{00000000-0005-0000-0000-0000AC940000}"/>
    <cellStyle name="Normal 329 4" xfId="6503" xr:uid="{00000000-0005-0000-0000-0000AD940000}"/>
    <cellStyle name="Normal 329 4 2" xfId="9713" xr:uid="{00000000-0005-0000-0000-0000AE940000}"/>
    <cellStyle name="Normal 329 4 2 2" xfId="17507" xr:uid="{00000000-0005-0000-0000-0000AF940000}"/>
    <cellStyle name="Normal 329 4 2 2 2" xfId="35144" xr:uid="{00000000-0005-0000-0000-0000B0940000}"/>
    <cellStyle name="Normal 329 4 2 3" xfId="28097" xr:uid="{00000000-0005-0000-0000-0000B1940000}"/>
    <cellStyle name="Normal 329 4 3" xfId="14292" xr:uid="{00000000-0005-0000-0000-0000B2940000}"/>
    <cellStyle name="Normal 329 4 3 2" xfId="31927" xr:uid="{00000000-0005-0000-0000-0000B3940000}"/>
    <cellStyle name="Normal 329 4 4" xfId="25233" xr:uid="{00000000-0005-0000-0000-0000B4940000}"/>
    <cellStyle name="Normal 329 5" xfId="7279" xr:uid="{00000000-0005-0000-0000-0000B5940000}"/>
    <cellStyle name="Normal 329 5 2" xfId="10267" xr:uid="{00000000-0005-0000-0000-0000B6940000}"/>
    <cellStyle name="Normal 329 5 2 2" xfId="18060" xr:uid="{00000000-0005-0000-0000-0000B7940000}"/>
    <cellStyle name="Normal 329 5 2 2 2" xfId="35697" xr:uid="{00000000-0005-0000-0000-0000B8940000}"/>
    <cellStyle name="Normal 329 5 2 3" xfId="28634" xr:uid="{00000000-0005-0000-0000-0000B9940000}"/>
    <cellStyle name="Normal 329 5 3" xfId="15067" xr:uid="{00000000-0005-0000-0000-0000BA940000}"/>
    <cellStyle name="Normal 329 5 3 2" xfId="32702" xr:uid="{00000000-0005-0000-0000-0000BB940000}"/>
    <cellStyle name="Normal 329 5 4" xfId="25771" xr:uid="{00000000-0005-0000-0000-0000BC940000}"/>
    <cellStyle name="Normal 329 6" xfId="7878" xr:uid="{00000000-0005-0000-0000-0000BD940000}"/>
    <cellStyle name="Normal 329 6 2" xfId="15675" xr:uid="{00000000-0005-0000-0000-0000BE940000}"/>
    <cellStyle name="Normal 329 6 2 2" xfId="33310" xr:uid="{00000000-0005-0000-0000-0000BF940000}"/>
    <cellStyle name="Normal 329 6 3" xfId="26294" xr:uid="{00000000-0005-0000-0000-0000C0940000}"/>
    <cellStyle name="Normal 329 7" xfId="11819" xr:uid="{00000000-0005-0000-0000-0000C1940000}"/>
    <cellStyle name="Normal 329 7 2" xfId="29505" xr:uid="{00000000-0005-0000-0000-0000C2940000}"/>
    <cellStyle name="Normal 329 8" xfId="23429" xr:uid="{00000000-0005-0000-0000-0000C3940000}"/>
    <cellStyle name="Normal 329 9" xfId="52202" xr:uid="{00000000-0005-0000-0000-0000C4940000}"/>
    <cellStyle name="Normal 33" xfId="2533" xr:uid="{00000000-0005-0000-0000-0000C5940000}"/>
    <cellStyle name="Normal 33 10" xfId="2534" xr:uid="{00000000-0005-0000-0000-0000C6940000}"/>
    <cellStyle name="Normal 33 10 2" xfId="2535" xr:uid="{00000000-0005-0000-0000-0000C7940000}"/>
    <cellStyle name="Normal 33 10 2 2" xfId="4575" xr:uid="{00000000-0005-0000-0000-0000C8940000}"/>
    <cellStyle name="Normal 33 10 2 3" xfId="52204" xr:uid="{00000000-0005-0000-0000-0000C9940000}"/>
    <cellStyle name="Normal 33 10 3" xfId="4574" xr:uid="{00000000-0005-0000-0000-0000CA940000}"/>
    <cellStyle name="Normal 33 10 4" xfId="52203" xr:uid="{00000000-0005-0000-0000-0000CB940000}"/>
    <cellStyle name="Normal 33 11" xfId="2536" xr:uid="{00000000-0005-0000-0000-0000CC940000}"/>
    <cellStyle name="Normal 33 11 2" xfId="2537" xr:uid="{00000000-0005-0000-0000-0000CD940000}"/>
    <cellStyle name="Normal 33 11 2 2" xfId="4577" xr:uid="{00000000-0005-0000-0000-0000CE940000}"/>
    <cellStyle name="Normal 33 11 2 3" xfId="52206" xr:uid="{00000000-0005-0000-0000-0000CF940000}"/>
    <cellStyle name="Normal 33 11 3" xfId="4576" xr:uid="{00000000-0005-0000-0000-0000D0940000}"/>
    <cellStyle name="Normal 33 11 4" xfId="52205" xr:uid="{00000000-0005-0000-0000-0000D1940000}"/>
    <cellStyle name="Normal 33 12" xfId="2538" xr:uid="{00000000-0005-0000-0000-0000D2940000}"/>
    <cellStyle name="Normal 33 12 2" xfId="2539" xr:uid="{00000000-0005-0000-0000-0000D3940000}"/>
    <cellStyle name="Normal 33 12 2 2" xfId="4579" xr:uid="{00000000-0005-0000-0000-0000D4940000}"/>
    <cellStyle name="Normal 33 12 2 3" xfId="52208" xr:uid="{00000000-0005-0000-0000-0000D5940000}"/>
    <cellStyle name="Normal 33 12 3" xfId="2540" xr:uid="{00000000-0005-0000-0000-0000D6940000}"/>
    <cellStyle name="Normal 33 12 3 2" xfId="2541" xr:uid="{00000000-0005-0000-0000-0000D7940000}"/>
    <cellStyle name="Normal 33 12 3 2 2" xfId="4581" xr:uid="{00000000-0005-0000-0000-0000D8940000}"/>
    <cellStyle name="Normal 33 12 3 2 3" xfId="52210" xr:uid="{00000000-0005-0000-0000-0000D9940000}"/>
    <cellStyle name="Normal 33 12 3 3" xfId="2542" xr:uid="{00000000-0005-0000-0000-0000DA940000}"/>
    <cellStyle name="Normal 33 12 3 3 2" xfId="2543" xr:uid="{00000000-0005-0000-0000-0000DB940000}"/>
    <cellStyle name="Normal 33 12 3 3 2 2" xfId="4583" xr:uid="{00000000-0005-0000-0000-0000DC940000}"/>
    <cellStyle name="Normal 33 12 3 3 2 3" xfId="52212" xr:uid="{00000000-0005-0000-0000-0000DD940000}"/>
    <cellStyle name="Normal 33 12 3 3 3" xfId="4582" xr:uid="{00000000-0005-0000-0000-0000DE940000}"/>
    <cellStyle name="Normal 33 12 3 3 4" xfId="52211" xr:uid="{00000000-0005-0000-0000-0000DF940000}"/>
    <cellStyle name="Normal 33 12 3 4" xfId="4584" xr:uid="{00000000-0005-0000-0000-0000E0940000}"/>
    <cellStyle name="Normal 33 12 3 5" xfId="4580" xr:uid="{00000000-0005-0000-0000-0000E1940000}"/>
    <cellStyle name="Normal 33 12 3 6" xfId="52209" xr:uid="{00000000-0005-0000-0000-0000E2940000}"/>
    <cellStyle name="Normal 33 12 4" xfId="4578" xr:uid="{00000000-0005-0000-0000-0000E3940000}"/>
    <cellStyle name="Normal 33 12 5" xfId="52207" xr:uid="{00000000-0005-0000-0000-0000E4940000}"/>
    <cellStyle name="Normal 33 13" xfId="2544" xr:uid="{00000000-0005-0000-0000-0000E5940000}"/>
    <cellStyle name="Normal 33 13 2" xfId="2545" xr:uid="{00000000-0005-0000-0000-0000E6940000}"/>
    <cellStyle name="Normal 33 13 2 2" xfId="4586" xr:uid="{00000000-0005-0000-0000-0000E7940000}"/>
    <cellStyle name="Normal 33 13 2 3" xfId="52214" xr:uid="{00000000-0005-0000-0000-0000E8940000}"/>
    <cellStyle name="Normal 33 13 3" xfId="2546" xr:uid="{00000000-0005-0000-0000-0000E9940000}"/>
    <cellStyle name="Normal 33 13 3 2" xfId="4587" xr:uid="{00000000-0005-0000-0000-0000EA940000}"/>
    <cellStyle name="Normal 33 13 3 3" xfId="52215" xr:uid="{00000000-0005-0000-0000-0000EB940000}"/>
    <cellStyle name="Normal 33 13 4" xfId="2547" xr:uid="{00000000-0005-0000-0000-0000EC940000}"/>
    <cellStyle name="Normal 33 13 5" xfId="4588" xr:uid="{00000000-0005-0000-0000-0000ED940000}"/>
    <cellStyle name="Normal 33 13 6" xfId="4589" xr:uid="{00000000-0005-0000-0000-0000EE940000}"/>
    <cellStyle name="Normal 33 13 7" xfId="4585" xr:uid="{00000000-0005-0000-0000-0000EF940000}"/>
    <cellStyle name="Normal 33 13 8" xfId="52213" xr:uid="{00000000-0005-0000-0000-0000F0940000}"/>
    <cellStyle name="Normal 33 14" xfId="2548" xr:uid="{00000000-0005-0000-0000-0000F1940000}"/>
    <cellStyle name="Normal 33 14 2" xfId="2549" xr:uid="{00000000-0005-0000-0000-0000F2940000}"/>
    <cellStyle name="Normal 33 14 2 2" xfId="4590" xr:uid="{00000000-0005-0000-0000-0000F3940000}"/>
    <cellStyle name="Normal 33 14 2 3" xfId="52217" xr:uid="{00000000-0005-0000-0000-0000F4940000}"/>
    <cellStyle name="Normal 33 14 3" xfId="2550" xr:uid="{00000000-0005-0000-0000-0000F5940000}"/>
    <cellStyle name="Normal 33 14 3 2" xfId="4592" xr:uid="{00000000-0005-0000-0000-0000F6940000}"/>
    <cellStyle name="Normal 33 14 3 3" xfId="4591" xr:uid="{00000000-0005-0000-0000-0000F7940000}"/>
    <cellStyle name="Normal 33 14 3 4" xfId="52218" xr:uid="{00000000-0005-0000-0000-0000F8940000}"/>
    <cellStyle name="Normal 33 14 4" xfId="2551" xr:uid="{00000000-0005-0000-0000-0000F9940000}"/>
    <cellStyle name="Normal 33 14 5" xfId="52216" xr:uid="{00000000-0005-0000-0000-0000FA940000}"/>
    <cellStyle name="Normal 33 15" xfId="2552" xr:uid="{00000000-0005-0000-0000-0000FB940000}"/>
    <cellStyle name="Normal 33 15 2" xfId="2553" xr:uid="{00000000-0005-0000-0000-0000FC940000}"/>
    <cellStyle name="Normal 33 15 3" xfId="52219" xr:uid="{00000000-0005-0000-0000-0000FD940000}"/>
    <cellStyle name="Normal 33 16" xfId="2554" xr:uid="{00000000-0005-0000-0000-0000FE940000}"/>
    <cellStyle name="Normal 33 16 2" xfId="2555" xr:uid="{00000000-0005-0000-0000-0000FF940000}"/>
    <cellStyle name="Normal 33 16 2 2" xfId="52221" xr:uid="{00000000-0005-0000-0000-000000950000}"/>
    <cellStyle name="Normal 33 16 3" xfId="2556" xr:uid="{00000000-0005-0000-0000-000001950000}"/>
    <cellStyle name="Normal 33 16 3 2" xfId="2557" xr:uid="{00000000-0005-0000-0000-000002950000}"/>
    <cellStyle name="Normal 33 16 3 3" xfId="2558" xr:uid="{00000000-0005-0000-0000-000003950000}"/>
    <cellStyle name="Normal 33 16 3 4" xfId="2559" xr:uid="{00000000-0005-0000-0000-000004950000}"/>
    <cellStyle name="Normal 33 16 4" xfId="52220" xr:uid="{00000000-0005-0000-0000-000005950000}"/>
    <cellStyle name="Normal 33 17" xfId="2560" xr:uid="{00000000-0005-0000-0000-000006950000}"/>
    <cellStyle name="Normal 33 17 2" xfId="2561" xr:uid="{00000000-0005-0000-0000-000007950000}"/>
    <cellStyle name="Normal 33 17 3" xfId="2562" xr:uid="{00000000-0005-0000-0000-000008950000}"/>
    <cellStyle name="Normal 33 18" xfId="2563" xr:uid="{00000000-0005-0000-0000-000009950000}"/>
    <cellStyle name="Normal 33 19" xfId="2564" xr:uid="{00000000-0005-0000-0000-00000A950000}"/>
    <cellStyle name="Normal 33 2" xfId="2565" xr:uid="{00000000-0005-0000-0000-00000B950000}"/>
    <cellStyle name="Normal 33 2 2" xfId="4593" xr:uid="{00000000-0005-0000-0000-00000C950000}"/>
    <cellStyle name="Normal 33 2 3" xfId="22773" xr:uid="{00000000-0005-0000-0000-00000D950000}"/>
    <cellStyle name="Normal 33 2 3 2" xfId="38980" xr:uid="{00000000-0005-0000-0000-00000E950000}"/>
    <cellStyle name="Normal 33 2 4" xfId="52222" xr:uid="{00000000-0005-0000-0000-00000F950000}"/>
    <cellStyle name="Normal 33 20" xfId="2566" xr:uid="{00000000-0005-0000-0000-000010950000}"/>
    <cellStyle name="Normal 33 3" xfId="2567" xr:uid="{00000000-0005-0000-0000-000011950000}"/>
    <cellStyle name="Normal 33 3 2" xfId="4594" xr:uid="{00000000-0005-0000-0000-000012950000}"/>
    <cellStyle name="Normal 33 3 3" xfId="52223" xr:uid="{00000000-0005-0000-0000-000013950000}"/>
    <cellStyle name="Normal 33 4" xfId="2568" xr:uid="{00000000-0005-0000-0000-000014950000}"/>
    <cellStyle name="Normal 33 4 2" xfId="4595" xr:uid="{00000000-0005-0000-0000-000015950000}"/>
    <cellStyle name="Normal 33 4 3" xfId="52224" xr:uid="{00000000-0005-0000-0000-000016950000}"/>
    <cellStyle name="Normal 33 5" xfId="2569" xr:uid="{00000000-0005-0000-0000-000017950000}"/>
    <cellStyle name="Normal 33 5 2" xfId="2570" xr:uid="{00000000-0005-0000-0000-000018950000}"/>
    <cellStyle name="Normal 33 5 2 2" xfId="4597" xr:uid="{00000000-0005-0000-0000-000019950000}"/>
    <cellStyle name="Normal 33 5 2 3" xfId="52226" xr:uid="{00000000-0005-0000-0000-00001A950000}"/>
    <cellStyle name="Normal 33 5 3" xfId="4596" xr:uid="{00000000-0005-0000-0000-00001B950000}"/>
    <cellStyle name="Normal 33 5 4" xfId="52225" xr:uid="{00000000-0005-0000-0000-00001C950000}"/>
    <cellStyle name="Normal 33 5_BallGrid" xfId="2571" xr:uid="{00000000-0005-0000-0000-00001D950000}"/>
    <cellStyle name="Normal 33 6" xfId="2572" xr:uid="{00000000-0005-0000-0000-00001E950000}"/>
    <cellStyle name="Normal 33 6 2" xfId="2573" xr:uid="{00000000-0005-0000-0000-00001F950000}"/>
    <cellStyle name="Normal 33 6 2 2" xfId="4599" xr:uid="{00000000-0005-0000-0000-000020950000}"/>
    <cellStyle name="Normal 33 6 2 3" xfId="52228" xr:uid="{00000000-0005-0000-0000-000021950000}"/>
    <cellStyle name="Normal 33 6 3" xfId="4598" xr:uid="{00000000-0005-0000-0000-000022950000}"/>
    <cellStyle name="Normal 33 6 4" xfId="52227" xr:uid="{00000000-0005-0000-0000-000023950000}"/>
    <cellStyle name="Normal 33 7" xfId="2574" xr:uid="{00000000-0005-0000-0000-000024950000}"/>
    <cellStyle name="Normal 33 7 2" xfId="2575" xr:uid="{00000000-0005-0000-0000-000025950000}"/>
    <cellStyle name="Normal 33 7 2 2" xfId="4601" xr:uid="{00000000-0005-0000-0000-000026950000}"/>
    <cellStyle name="Normal 33 7 2 3" xfId="52230" xr:uid="{00000000-0005-0000-0000-000027950000}"/>
    <cellStyle name="Normal 33 7 3" xfId="2576" xr:uid="{00000000-0005-0000-0000-000028950000}"/>
    <cellStyle name="Normal 33 7 3 2" xfId="4602" xr:uid="{00000000-0005-0000-0000-000029950000}"/>
    <cellStyle name="Normal 33 7 3 3" xfId="52231" xr:uid="{00000000-0005-0000-0000-00002A950000}"/>
    <cellStyle name="Normal 33 7 4" xfId="2577" xr:uid="{00000000-0005-0000-0000-00002B950000}"/>
    <cellStyle name="Normal 33 7 4 2" xfId="2578" xr:uid="{00000000-0005-0000-0000-00002C950000}"/>
    <cellStyle name="Normal 33 7 4 2 2" xfId="4604" xr:uid="{00000000-0005-0000-0000-00002D950000}"/>
    <cellStyle name="Normal 33 7 4 2 3" xfId="52233" xr:uid="{00000000-0005-0000-0000-00002E950000}"/>
    <cellStyle name="Normal 33 7 4 3" xfId="4603" xr:uid="{00000000-0005-0000-0000-00002F950000}"/>
    <cellStyle name="Normal 33 7 4 4" xfId="52232" xr:uid="{00000000-0005-0000-0000-000030950000}"/>
    <cellStyle name="Normal 33 7 5" xfId="2579" xr:uid="{00000000-0005-0000-0000-000031950000}"/>
    <cellStyle name="Normal 33 7 5 2" xfId="2580" xr:uid="{00000000-0005-0000-0000-000032950000}"/>
    <cellStyle name="Normal 33 7 5 2 2" xfId="4606" xr:uid="{00000000-0005-0000-0000-000033950000}"/>
    <cellStyle name="Normal 33 7 5 2 3" xfId="52235" xr:uid="{00000000-0005-0000-0000-000034950000}"/>
    <cellStyle name="Normal 33 7 5 3" xfId="2581" xr:uid="{00000000-0005-0000-0000-000035950000}"/>
    <cellStyle name="Normal 33 7 5 3 2" xfId="2582" xr:uid="{00000000-0005-0000-0000-000036950000}"/>
    <cellStyle name="Normal 33 7 5 3 2 2" xfId="4608" xr:uid="{00000000-0005-0000-0000-000037950000}"/>
    <cellStyle name="Normal 33 7 5 3 2 3" xfId="52237" xr:uid="{00000000-0005-0000-0000-000038950000}"/>
    <cellStyle name="Normal 33 7 5 3 3" xfId="2583" xr:uid="{00000000-0005-0000-0000-000039950000}"/>
    <cellStyle name="Normal 33 7 5 3 3 2" xfId="2584" xr:uid="{00000000-0005-0000-0000-00003A950000}"/>
    <cellStyle name="Normal 33 7 5 3 3 2 2" xfId="4610" xr:uid="{00000000-0005-0000-0000-00003B950000}"/>
    <cellStyle name="Normal 33 7 5 3 3 2 3" xfId="52239" xr:uid="{00000000-0005-0000-0000-00003C950000}"/>
    <cellStyle name="Normal 33 7 5 3 3 3" xfId="4609" xr:uid="{00000000-0005-0000-0000-00003D950000}"/>
    <cellStyle name="Normal 33 7 5 3 3 4" xfId="52238" xr:uid="{00000000-0005-0000-0000-00003E950000}"/>
    <cellStyle name="Normal 33 7 5 3 4" xfId="4611" xr:uid="{00000000-0005-0000-0000-00003F950000}"/>
    <cellStyle name="Normal 33 7 5 3 5" xfId="4607" xr:uid="{00000000-0005-0000-0000-000040950000}"/>
    <cellStyle name="Normal 33 7 5 3 6" xfId="52236" xr:uid="{00000000-0005-0000-0000-000041950000}"/>
    <cellStyle name="Normal 33 7 5 4" xfId="4605" xr:uid="{00000000-0005-0000-0000-000042950000}"/>
    <cellStyle name="Normal 33 7 5 5" xfId="52234" xr:uid="{00000000-0005-0000-0000-000043950000}"/>
    <cellStyle name="Normal 33 7 6" xfId="4600" xr:uid="{00000000-0005-0000-0000-000044950000}"/>
    <cellStyle name="Normal 33 7 7" xfId="22564" xr:uid="{00000000-0005-0000-0000-000045950000}"/>
    <cellStyle name="Normal 33 7 7 2" xfId="38875" xr:uid="{00000000-0005-0000-0000-000046950000}"/>
    <cellStyle name="Normal 33 7 8" xfId="52229" xr:uid="{00000000-0005-0000-0000-000047950000}"/>
    <cellStyle name="Normal 33 8" xfId="2585" xr:uid="{00000000-0005-0000-0000-000048950000}"/>
    <cellStyle name="Normal 33 8 2" xfId="2586" xr:uid="{00000000-0005-0000-0000-000049950000}"/>
    <cellStyle name="Normal 33 8 2 2" xfId="4613" xr:uid="{00000000-0005-0000-0000-00004A950000}"/>
    <cellStyle name="Normal 33 8 2 3" xfId="52241" xr:uid="{00000000-0005-0000-0000-00004B950000}"/>
    <cellStyle name="Normal 33 8 3" xfId="2587" xr:uid="{00000000-0005-0000-0000-00004C950000}"/>
    <cellStyle name="Normal 33 8 3 2" xfId="2588" xr:uid="{00000000-0005-0000-0000-00004D950000}"/>
    <cellStyle name="Normal 33 8 3 2 2" xfId="4615" xr:uid="{00000000-0005-0000-0000-00004E950000}"/>
    <cellStyle name="Normal 33 8 3 2 3" xfId="52243" xr:uid="{00000000-0005-0000-0000-00004F950000}"/>
    <cellStyle name="Normal 33 8 3 3" xfId="4614" xr:uid="{00000000-0005-0000-0000-000050950000}"/>
    <cellStyle name="Normal 33 8 3 4" xfId="52242" xr:uid="{00000000-0005-0000-0000-000051950000}"/>
    <cellStyle name="Normal 33 8 4" xfId="2589" xr:uid="{00000000-0005-0000-0000-000052950000}"/>
    <cellStyle name="Normal 33 8 4 2" xfId="2590" xr:uid="{00000000-0005-0000-0000-000053950000}"/>
    <cellStyle name="Normal 33 8 4 2 2" xfId="4617" xr:uid="{00000000-0005-0000-0000-000054950000}"/>
    <cellStyle name="Normal 33 8 4 2 3" xfId="52245" xr:uid="{00000000-0005-0000-0000-000055950000}"/>
    <cellStyle name="Normal 33 8 4 3" xfId="2591" xr:uid="{00000000-0005-0000-0000-000056950000}"/>
    <cellStyle name="Normal 33 8 4 3 2" xfId="2592" xr:uid="{00000000-0005-0000-0000-000057950000}"/>
    <cellStyle name="Normal 33 8 4 3 2 2" xfId="4619" xr:uid="{00000000-0005-0000-0000-000058950000}"/>
    <cellStyle name="Normal 33 8 4 3 2 3" xfId="52247" xr:uid="{00000000-0005-0000-0000-000059950000}"/>
    <cellStyle name="Normal 33 8 4 3 3" xfId="2593" xr:uid="{00000000-0005-0000-0000-00005A950000}"/>
    <cellStyle name="Normal 33 8 4 3 3 2" xfId="2594" xr:uid="{00000000-0005-0000-0000-00005B950000}"/>
    <cellStyle name="Normal 33 8 4 3 3 2 2" xfId="4621" xr:uid="{00000000-0005-0000-0000-00005C950000}"/>
    <cellStyle name="Normal 33 8 4 3 3 2 3" xfId="52249" xr:uid="{00000000-0005-0000-0000-00005D950000}"/>
    <cellStyle name="Normal 33 8 4 3 3 3" xfId="4620" xr:uid="{00000000-0005-0000-0000-00005E950000}"/>
    <cellStyle name="Normal 33 8 4 3 3 4" xfId="52248" xr:uid="{00000000-0005-0000-0000-00005F950000}"/>
    <cellStyle name="Normal 33 8 4 3 4" xfId="4622" xr:uid="{00000000-0005-0000-0000-000060950000}"/>
    <cellStyle name="Normal 33 8 4 3 5" xfId="4618" xr:uid="{00000000-0005-0000-0000-000061950000}"/>
    <cellStyle name="Normal 33 8 4 3 6" xfId="52246" xr:uid="{00000000-0005-0000-0000-000062950000}"/>
    <cellStyle name="Normal 33 8 4 4" xfId="4616" xr:uid="{00000000-0005-0000-0000-000063950000}"/>
    <cellStyle name="Normal 33 8 4 5" xfId="52244" xr:uid="{00000000-0005-0000-0000-000064950000}"/>
    <cellStyle name="Normal 33 8 5" xfId="4612" xr:uid="{00000000-0005-0000-0000-000065950000}"/>
    <cellStyle name="Normal 33 8 6" xfId="52240" xr:uid="{00000000-0005-0000-0000-000066950000}"/>
    <cellStyle name="Normal 33 9" xfId="2595" xr:uid="{00000000-0005-0000-0000-000067950000}"/>
    <cellStyle name="Normal 33 9 2" xfId="2596" xr:uid="{00000000-0005-0000-0000-000068950000}"/>
    <cellStyle name="Normal 33 9 2 2" xfId="4624" xr:uid="{00000000-0005-0000-0000-000069950000}"/>
    <cellStyle name="Normal 33 9 2 3" xfId="52251" xr:uid="{00000000-0005-0000-0000-00006A950000}"/>
    <cellStyle name="Normal 33 9 3" xfId="2597" xr:uid="{00000000-0005-0000-0000-00006B950000}"/>
    <cellStyle name="Normal 33 9 3 2" xfId="2598" xr:uid="{00000000-0005-0000-0000-00006C950000}"/>
    <cellStyle name="Normal 33 9 3 2 2" xfId="4626" xr:uid="{00000000-0005-0000-0000-00006D950000}"/>
    <cellStyle name="Normal 33 9 3 2 3" xfId="52253" xr:uid="{00000000-0005-0000-0000-00006E950000}"/>
    <cellStyle name="Normal 33 9 3 3" xfId="4625" xr:uid="{00000000-0005-0000-0000-00006F950000}"/>
    <cellStyle name="Normal 33 9 3 4" xfId="52252" xr:uid="{00000000-0005-0000-0000-000070950000}"/>
    <cellStyle name="Normal 33 9 4" xfId="2599" xr:uid="{00000000-0005-0000-0000-000071950000}"/>
    <cellStyle name="Normal 33 9 4 2" xfId="4627" xr:uid="{00000000-0005-0000-0000-000072950000}"/>
    <cellStyle name="Normal 33 9 4 3" xfId="52254" xr:uid="{00000000-0005-0000-0000-000073950000}"/>
    <cellStyle name="Normal 33 9 5" xfId="4623" xr:uid="{00000000-0005-0000-0000-000074950000}"/>
    <cellStyle name="Normal 33 9 6" xfId="52250" xr:uid="{00000000-0005-0000-0000-000075950000}"/>
    <cellStyle name="Normal 33_BallGrid" xfId="2600" xr:uid="{00000000-0005-0000-0000-000076950000}"/>
    <cellStyle name="Normal 330" xfId="2601" xr:uid="{00000000-0005-0000-0000-000077950000}"/>
    <cellStyle name="Normal 330 2" xfId="4628" xr:uid="{00000000-0005-0000-0000-000078950000}"/>
    <cellStyle name="Normal 330 2 2" xfId="8561" xr:uid="{00000000-0005-0000-0000-000079950000}"/>
    <cellStyle name="Normal 330 2 2 2" xfId="16357" xr:uid="{00000000-0005-0000-0000-00007A950000}"/>
    <cellStyle name="Normal 330 2 2 2 2" xfId="33992" xr:uid="{00000000-0005-0000-0000-00007B950000}"/>
    <cellStyle name="Normal 330 2 2 3" xfId="26962" xr:uid="{00000000-0005-0000-0000-00007C950000}"/>
    <cellStyle name="Normal 330 2 3" xfId="12830" xr:uid="{00000000-0005-0000-0000-00007D950000}"/>
    <cellStyle name="Normal 330 2 3 2" xfId="30485" xr:uid="{00000000-0005-0000-0000-00007E950000}"/>
    <cellStyle name="Normal 330 2 4" xfId="24097" xr:uid="{00000000-0005-0000-0000-00007F950000}"/>
    <cellStyle name="Normal 330 3" xfId="5874" xr:uid="{00000000-0005-0000-0000-000080950000}"/>
    <cellStyle name="Normal 330 3 2" xfId="9174" xr:uid="{00000000-0005-0000-0000-000081950000}"/>
    <cellStyle name="Normal 330 3 2 2" xfId="16969" xr:uid="{00000000-0005-0000-0000-000082950000}"/>
    <cellStyle name="Normal 330 3 2 2 2" xfId="34605" xr:uid="{00000000-0005-0000-0000-000083950000}"/>
    <cellStyle name="Normal 330 3 2 3" xfId="27562" xr:uid="{00000000-0005-0000-0000-000084950000}"/>
    <cellStyle name="Normal 330 3 3" xfId="13730" xr:uid="{00000000-0005-0000-0000-000085950000}"/>
    <cellStyle name="Normal 330 3 3 2" xfId="31370" xr:uid="{00000000-0005-0000-0000-000086950000}"/>
    <cellStyle name="Normal 330 3 4" xfId="24697" xr:uid="{00000000-0005-0000-0000-000087950000}"/>
    <cellStyle name="Normal 330 4" xfId="6504" xr:uid="{00000000-0005-0000-0000-000088950000}"/>
    <cellStyle name="Normal 330 4 2" xfId="9714" xr:uid="{00000000-0005-0000-0000-000089950000}"/>
    <cellStyle name="Normal 330 4 2 2" xfId="17508" xr:uid="{00000000-0005-0000-0000-00008A950000}"/>
    <cellStyle name="Normal 330 4 2 2 2" xfId="35145" xr:uid="{00000000-0005-0000-0000-00008B950000}"/>
    <cellStyle name="Normal 330 4 2 3" xfId="28098" xr:uid="{00000000-0005-0000-0000-00008C950000}"/>
    <cellStyle name="Normal 330 4 3" xfId="14293" xr:uid="{00000000-0005-0000-0000-00008D950000}"/>
    <cellStyle name="Normal 330 4 3 2" xfId="31928" xr:uid="{00000000-0005-0000-0000-00008E950000}"/>
    <cellStyle name="Normal 330 4 4" xfId="25234" xr:uid="{00000000-0005-0000-0000-00008F950000}"/>
    <cellStyle name="Normal 330 5" xfId="7280" xr:uid="{00000000-0005-0000-0000-000090950000}"/>
    <cellStyle name="Normal 330 5 2" xfId="10268" xr:uid="{00000000-0005-0000-0000-000091950000}"/>
    <cellStyle name="Normal 330 5 2 2" xfId="18061" xr:uid="{00000000-0005-0000-0000-000092950000}"/>
    <cellStyle name="Normal 330 5 2 2 2" xfId="35698" xr:uid="{00000000-0005-0000-0000-000093950000}"/>
    <cellStyle name="Normal 330 5 2 3" xfId="28635" xr:uid="{00000000-0005-0000-0000-000094950000}"/>
    <cellStyle name="Normal 330 5 3" xfId="15068" xr:uid="{00000000-0005-0000-0000-000095950000}"/>
    <cellStyle name="Normal 330 5 3 2" xfId="32703" xr:uid="{00000000-0005-0000-0000-000096950000}"/>
    <cellStyle name="Normal 330 5 4" xfId="25772" xr:uid="{00000000-0005-0000-0000-000097950000}"/>
    <cellStyle name="Normal 330 6" xfId="7879" xr:uid="{00000000-0005-0000-0000-000098950000}"/>
    <cellStyle name="Normal 330 6 2" xfId="15676" xr:uid="{00000000-0005-0000-0000-000099950000}"/>
    <cellStyle name="Normal 330 6 2 2" xfId="33311" xr:uid="{00000000-0005-0000-0000-00009A950000}"/>
    <cellStyle name="Normal 330 6 3" xfId="26295" xr:uid="{00000000-0005-0000-0000-00009B950000}"/>
    <cellStyle name="Normal 330 7" xfId="11826" xr:uid="{00000000-0005-0000-0000-00009C950000}"/>
    <cellStyle name="Normal 330 7 2" xfId="29511" xr:uid="{00000000-0005-0000-0000-00009D950000}"/>
    <cellStyle name="Normal 330 8" xfId="23430" xr:uid="{00000000-0005-0000-0000-00009E950000}"/>
    <cellStyle name="Normal 330 9" xfId="52255" xr:uid="{00000000-0005-0000-0000-00009F950000}"/>
    <cellStyle name="Normal 331" xfId="2602" xr:uid="{00000000-0005-0000-0000-0000A0950000}"/>
    <cellStyle name="Normal 331 2" xfId="4629" xr:uid="{00000000-0005-0000-0000-0000A1950000}"/>
    <cellStyle name="Normal 331 2 2" xfId="8562" xr:uid="{00000000-0005-0000-0000-0000A2950000}"/>
    <cellStyle name="Normal 331 2 2 2" xfId="16358" xr:uid="{00000000-0005-0000-0000-0000A3950000}"/>
    <cellStyle name="Normal 331 2 2 2 2" xfId="33993" xr:uid="{00000000-0005-0000-0000-0000A4950000}"/>
    <cellStyle name="Normal 331 2 2 3" xfId="26963" xr:uid="{00000000-0005-0000-0000-0000A5950000}"/>
    <cellStyle name="Normal 331 2 3" xfId="12831" xr:uid="{00000000-0005-0000-0000-0000A6950000}"/>
    <cellStyle name="Normal 331 2 3 2" xfId="30486" xr:uid="{00000000-0005-0000-0000-0000A7950000}"/>
    <cellStyle name="Normal 331 2 4" xfId="24098" xr:uid="{00000000-0005-0000-0000-0000A8950000}"/>
    <cellStyle name="Normal 331 3" xfId="5875" xr:uid="{00000000-0005-0000-0000-0000A9950000}"/>
    <cellStyle name="Normal 331 3 2" xfId="9175" xr:uid="{00000000-0005-0000-0000-0000AA950000}"/>
    <cellStyle name="Normal 331 3 2 2" xfId="16970" xr:uid="{00000000-0005-0000-0000-0000AB950000}"/>
    <cellStyle name="Normal 331 3 2 2 2" xfId="34606" xr:uid="{00000000-0005-0000-0000-0000AC950000}"/>
    <cellStyle name="Normal 331 3 2 3" xfId="27563" xr:uid="{00000000-0005-0000-0000-0000AD950000}"/>
    <cellStyle name="Normal 331 3 3" xfId="13731" xr:uid="{00000000-0005-0000-0000-0000AE950000}"/>
    <cellStyle name="Normal 331 3 3 2" xfId="31371" xr:uid="{00000000-0005-0000-0000-0000AF950000}"/>
    <cellStyle name="Normal 331 3 4" xfId="24698" xr:uid="{00000000-0005-0000-0000-0000B0950000}"/>
    <cellStyle name="Normal 331 4" xfId="6505" xr:uid="{00000000-0005-0000-0000-0000B1950000}"/>
    <cellStyle name="Normal 331 4 2" xfId="9715" xr:uid="{00000000-0005-0000-0000-0000B2950000}"/>
    <cellStyle name="Normal 331 4 2 2" xfId="17509" xr:uid="{00000000-0005-0000-0000-0000B3950000}"/>
    <cellStyle name="Normal 331 4 2 2 2" xfId="35146" xr:uid="{00000000-0005-0000-0000-0000B4950000}"/>
    <cellStyle name="Normal 331 4 2 3" xfId="28099" xr:uid="{00000000-0005-0000-0000-0000B5950000}"/>
    <cellStyle name="Normal 331 4 3" xfId="14294" xr:uid="{00000000-0005-0000-0000-0000B6950000}"/>
    <cellStyle name="Normal 331 4 3 2" xfId="31929" xr:uid="{00000000-0005-0000-0000-0000B7950000}"/>
    <cellStyle name="Normal 331 4 4" xfId="25235" xr:uid="{00000000-0005-0000-0000-0000B8950000}"/>
    <cellStyle name="Normal 331 5" xfId="7281" xr:uid="{00000000-0005-0000-0000-0000B9950000}"/>
    <cellStyle name="Normal 331 5 2" xfId="10269" xr:uid="{00000000-0005-0000-0000-0000BA950000}"/>
    <cellStyle name="Normal 331 5 2 2" xfId="18062" xr:uid="{00000000-0005-0000-0000-0000BB950000}"/>
    <cellStyle name="Normal 331 5 2 2 2" xfId="35699" xr:uid="{00000000-0005-0000-0000-0000BC950000}"/>
    <cellStyle name="Normal 331 5 2 3" xfId="28636" xr:uid="{00000000-0005-0000-0000-0000BD950000}"/>
    <cellStyle name="Normal 331 5 3" xfId="15069" xr:uid="{00000000-0005-0000-0000-0000BE950000}"/>
    <cellStyle name="Normal 331 5 3 2" xfId="32704" xr:uid="{00000000-0005-0000-0000-0000BF950000}"/>
    <cellStyle name="Normal 331 5 4" xfId="25773" xr:uid="{00000000-0005-0000-0000-0000C0950000}"/>
    <cellStyle name="Normal 331 6" xfId="7880" xr:uid="{00000000-0005-0000-0000-0000C1950000}"/>
    <cellStyle name="Normal 331 6 2" xfId="15677" xr:uid="{00000000-0005-0000-0000-0000C2950000}"/>
    <cellStyle name="Normal 331 6 2 2" xfId="33312" xr:uid="{00000000-0005-0000-0000-0000C3950000}"/>
    <cellStyle name="Normal 331 6 3" xfId="26296" xr:uid="{00000000-0005-0000-0000-0000C4950000}"/>
    <cellStyle name="Normal 331 7" xfId="11827" xr:uid="{00000000-0005-0000-0000-0000C5950000}"/>
    <cellStyle name="Normal 331 7 2" xfId="29512" xr:uid="{00000000-0005-0000-0000-0000C6950000}"/>
    <cellStyle name="Normal 331 8" xfId="23431" xr:uid="{00000000-0005-0000-0000-0000C7950000}"/>
    <cellStyle name="Normal 331 9" xfId="52256" xr:uid="{00000000-0005-0000-0000-0000C8950000}"/>
    <cellStyle name="Normal 332" xfId="2603" xr:uid="{00000000-0005-0000-0000-0000C9950000}"/>
    <cellStyle name="Normal 332 2" xfId="4630" xr:uid="{00000000-0005-0000-0000-0000CA950000}"/>
    <cellStyle name="Normal 332 2 2" xfId="8563" xr:uid="{00000000-0005-0000-0000-0000CB950000}"/>
    <cellStyle name="Normal 332 2 2 2" xfId="16359" xr:uid="{00000000-0005-0000-0000-0000CC950000}"/>
    <cellStyle name="Normal 332 2 2 2 2" xfId="33994" xr:uid="{00000000-0005-0000-0000-0000CD950000}"/>
    <cellStyle name="Normal 332 2 2 3" xfId="26964" xr:uid="{00000000-0005-0000-0000-0000CE950000}"/>
    <cellStyle name="Normal 332 2 3" xfId="12832" xr:uid="{00000000-0005-0000-0000-0000CF950000}"/>
    <cellStyle name="Normal 332 2 3 2" xfId="30487" xr:uid="{00000000-0005-0000-0000-0000D0950000}"/>
    <cellStyle name="Normal 332 2 4" xfId="24099" xr:uid="{00000000-0005-0000-0000-0000D1950000}"/>
    <cellStyle name="Normal 332 3" xfId="5876" xr:uid="{00000000-0005-0000-0000-0000D2950000}"/>
    <cellStyle name="Normal 332 3 2" xfId="9176" xr:uid="{00000000-0005-0000-0000-0000D3950000}"/>
    <cellStyle name="Normal 332 3 2 2" xfId="16971" xr:uid="{00000000-0005-0000-0000-0000D4950000}"/>
    <cellStyle name="Normal 332 3 2 2 2" xfId="34607" xr:uid="{00000000-0005-0000-0000-0000D5950000}"/>
    <cellStyle name="Normal 332 3 2 3" xfId="27564" xr:uid="{00000000-0005-0000-0000-0000D6950000}"/>
    <cellStyle name="Normal 332 3 3" xfId="13732" xr:uid="{00000000-0005-0000-0000-0000D7950000}"/>
    <cellStyle name="Normal 332 3 3 2" xfId="31372" xr:uid="{00000000-0005-0000-0000-0000D8950000}"/>
    <cellStyle name="Normal 332 3 4" xfId="24699" xr:uid="{00000000-0005-0000-0000-0000D9950000}"/>
    <cellStyle name="Normal 332 4" xfId="6506" xr:uid="{00000000-0005-0000-0000-0000DA950000}"/>
    <cellStyle name="Normal 332 4 2" xfId="9716" xr:uid="{00000000-0005-0000-0000-0000DB950000}"/>
    <cellStyle name="Normal 332 4 2 2" xfId="17510" xr:uid="{00000000-0005-0000-0000-0000DC950000}"/>
    <cellStyle name="Normal 332 4 2 2 2" xfId="35147" xr:uid="{00000000-0005-0000-0000-0000DD950000}"/>
    <cellStyle name="Normal 332 4 2 3" xfId="28100" xr:uid="{00000000-0005-0000-0000-0000DE950000}"/>
    <cellStyle name="Normal 332 4 3" xfId="14295" xr:uid="{00000000-0005-0000-0000-0000DF950000}"/>
    <cellStyle name="Normal 332 4 3 2" xfId="31930" xr:uid="{00000000-0005-0000-0000-0000E0950000}"/>
    <cellStyle name="Normal 332 4 4" xfId="25236" xr:uid="{00000000-0005-0000-0000-0000E1950000}"/>
    <cellStyle name="Normal 332 5" xfId="7282" xr:uid="{00000000-0005-0000-0000-0000E2950000}"/>
    <cellStyle name="Normal 332 5 2" xfId="10270" xr:uid="{00000000-0005-0000-0000-0000E3950000}"/>
    <cellStyle name="Normal 332 5 2 2" xfId="18063" xr:uid="{00000000-0005-0000-0000-0000E4950000}"/>
    <cellStyle name="Normal 332 5 2 2 2" xfId="35700" xr:uid="{00000000-0005-0000-0000-0000E5950000}"/>
    <cellStyle name="Normal 332 5 2 3" xfId="28637" xr:uid="{00000000-0005-0000-0000-0000E6950000}"/>
    <cellStyle name="Normal 332 5 3" xfId="15070" xr:uid="{00000000-0005-0000-0000-0000E7950000}"/>
    <cellStyle name="Normal 332 5 3 2" xfId="32705" xr:uid="{00000000-0005-0000-0000-0000E8950000}"/>
    <cellStyle name="Normal 332 5 4" xfId="25774" xr:uid="{00000000-0005-0000-0000-0000E9950000}"/>
    <cellStyle name="Normal 332 6" xfId="7881" xr:uid="{00000000-0005-0000-0000-0000EA950000}"/>
    <cellStyle name="Normal 332 6 2" xfId="15678" xr:uid="{00000000-0005-0000-0000-0000EB950000}"/>
    <cellStyle name="Normal 332 6 2 2" xfId="33313" xr:uid="{00000000-0005-0000-0000-0000EC950000}"/>
    <cellStyle name="Normal 332 6 3" xfId="26297" xr:uid="{00000000-0005-0000-0000-0000ED950000}"/>
    <cellStyle name="Normal 332 7" xfId="11828" xr:uid="{00000000-0005-0000-0000-0000EE950000}"/>
    <cellStyle name="Normal 332 7 2" xfId="29513" xr:uid="{00000000-0005-0000-0000-0000EF950000}"/>
    <cellStyle name="Normal 332 8" xfId="23432" xr:uid="{00000000-0005-0000-0000-0000F0950000}"/>
    <cellStyle name="Normal 332 9" xfId="52257" xr:uid="{00000000-0005-0000-0000-0000F1950000}"/>
    <cellStyle name="Normal 333" xfId="2604" xr:uid="{00000000-0005-0000-0000-0000F2950000}"/>
    <cellStyle name="Normal 333 2" xfId="4631" xr:uid="{00000000-0005-0000-0000-0000F3950000}"/>
    <cellStyle name="Normal 333 2 2" xfId="8564" xr:uid="{00000000-0005-0000-0000-0000F4950000}"/>
    <cellStyle name="Normal 333 2 2 2" xfId="16360" xr:uid="{00000000-0005-0000-0000-0000F5950000}"/>
    <cellStyle name="Normal 333 2 2 2 2" xfId="33995" xr:uid="{00000000-0005-0000-0000-0000F6950000}"/>
    <cellStyle name="Normal 333 2 2 3" xfId="26965" xr:uid="{00000000-0005-0000-0000-0000F7950000}"/>
    <cellStyle name="Normal 333 2 3" xfId="12833" xr:uid="{00000000-0005-0000-0000-0000F8950000}"/>
    <cellStyle name="Normal 333 2 3 2" xfId="30488" xr:uid="{00000000-0005-0000-0000-0000F9950000}"/>
    <cellStyle name="Normal 333 2 4" xfId="24100" xr:uid="{00000000-0005-0000-0000-0000FA950000}"/>
    <cellStyle name="Normal 333 3" xfId="5877" xr:uid="{00000000-0005-0000-0000-0000FB950000}"/>
    <cellStyle name="Normal 333 3 2" xfId="9177" xr:uid="{00000000-0005-0000-0000-0000FC950000}"/>
    <cellStyle name="Normal 333 3 2 2" xfId="16972" xr:uid="{00000000-0005-0000-0000-0000FD950000}"/>
    <cellStyle name="Normal 333 3 2 2 2" xfId="34608" xr:uid="{00000000-0005-0000-0000-0000FE950000}"/>
    <cellStyle name="Normal 333 3 2 3" xfId="27565" xr:uid="{00000000-0005-0000-0000-0000FF950000}"/>
    <cellStyle name="Normal 333 3 3" xfId="13733" xr:uid="{00000000-0005-0000-0000-000000960000}"/>
    <cellStyle name="Normal 333 3 3 2" xfId="31373" xr:uid="{00000000-0005-0000-0000-000001960000}"/>
    <cellStyle name="Normal 333 3 4" xfId="24700" xr:uid="{00000000-0005-0000-0000-000002960000}"/>
    <cellStyle name="Normal 333 4" xfId="6507" xr:uid="{00000000-0005-0000-0000-000003960000}"/>
    <cellStyle name="Normal 333 4 2" xfId="9717" xr:uid="{00000000-0005-0000-0000-000004960000}"/>
    <cellStyle name="Normal 333 4 2 2" xfId="17511" xr:uid="{00000000-0005-0000-0000-000005960000}"/>
    <cellStyle name="Normal 333 4 2 2 2" xfId="35148" xr:uid="{00000000-0005-0000-0000-000006960000}"/>
    <cellStyle name="Normal 333 4 2 3" xfId="28101" xr:uid="{00000000-0005-0000-0000-000007960000}"/>
    <cellStyle name="Normal 333 4 3" xfId="14296" xr:uid="{00000000-0005-0000-0000-000008960000}"/>
    <cellStyle name="Normal 333 4 3 2" xfId="31931" xr:uid="{00000000-0005-0000-0000-000009960000}"/>
    <cellStyle name="Normal 333 4 4" xfId="25237" xr:uid="{00000000-0005-0000-0000-00000A960000}"/>
    <cellStyle name="Normal 333 5" xfId="7283" xr:uid="{00000000-0005-0000-0000-00000B960000}"/>
    <cellStyle name="Normal 333 5 2" xfId="10271" xr:uid="{00000000-0005-0000-0000-00000C960000}"/>
    <cellStyle name="Normal 333 5 2 2" xfId="18064" xr:uid="{00000000-0005-0000-0000-00000D960000}"/>
    <cellStyle name="Normal 333 5 2 2 2" xfId="35701" xr:uid="{00000000-0005-0000-0000-00000E960000}"/>
    <cellStyle name="Normal 333 5 2 3" xfId="28638" xr:uid="{00000000-0005-0000-0000-00000F960000}"/>
    <cellStyle name="Normal 333 5 3" xfId="15071" xr:uid="{00000000-0005-0000-0000-000010960000}"/>
    <cellStyle name="Normal 333 5 3 2" xfId="32706" xr:uid="{00000000-0005-0000-0000-000011960000}"/>
    <cellStyle name="Normal 333 5 4" xfId="25775" xr:uid="{00000000-0005-0000-0000-000012960000}"/>
    <cellStyle name="Normal 333 6" xfId="7882" xr:uid="{00000000-0005-0000-0000-000013960000}"/>
    <cellStyle name="Normal 333 6 2" xfId="15679" xr:uid="{00000000-0005-0000-0000-000014960000}"/>
    <cellStyle name="Normal 333 6 2 2" xfId="33314" xr:uid="{00000000-0005-0000-0000-000015960000}"/>
    <cellStyle name="Normal 333 6 3" xfId="26298" xr:uid="{00000000-0005-0000-0000-000016960000}"/>
    <cellStyle name="Normal 333 7" xfId="11829" xr:uid="{00000000-0005-0000-0000-000017960000}"/>
    <cellStyle name="Normal 333 7 2" xfId="29514" xr:uid="{00000000-0005-0000-0000-000018960000}"/>
    <cellStyle name="Normal 333 8" xfId="23433" xr:uid="{00000000-0005-0000-0000-000019960000}"/>
    <cellStyle name="Normal 333 9" xfId="52258" xr:uid="{00000000-0005-0000-0000-00001A960000}"/>
    <cellStyle name="Normal 334" xfId="2605" xr:uid="{00000000-0005-0000-0000-00001B960000}"/>
    <cellStyle name="Normal 334 2" xfId="4632" xr:uid="{00000000-0005-0000-0000-00001C960000}"/>
    <cellStyle name="Normal 334 2 2" xfId="8565" xr:uid="{00000000-0005-0000-0000-00001D960000}"/>
    <cellStyle name="Normal 334 2 2 2" xfId="16361" xr:uid="{00000000-0005-0000-0000-00001E960000}"/>
    <cellStyle name="Normal 334 2 2 2 2" xfId="33996" xr:uid="{00000000-0005-0000-0000-00001F960000}"/>
    <cellStyle name="Normal 334 2 2 3" xfId="26966" xr:uid="{00000000-0005-0000-0000-000020960000}"/>
    <cellStyle name="Normal 334 2 3" xfId="12834" xr:uid="{00000000-0005-0000-0000-000021960000}"/>
    <cellStyle name="Normal 334 2 3 2" xfId="30489" xr:uid="{00000000-0005-0000-0000-000022960000}"/>
    <cellStyle name="Normal 334 2 4" xfId="24101" xr:uid="{00000000-0005-0000-0000-000023960000}"/>
    <cellStyle name="Normal 334 3" xfId="5878" xr:uid="{00000000-0005-0000-0000-000024960000}"/>
    <cellStyle name="Normal 334 3 2" xfId="9178" xr:uid="{00000000-0005-0000-0000-000025960000}"/>
    <cellStyle name="Normal 334 3 2 2" xfId="16973" xr:uid="{00000000-0005-0000-0000-000026960000}"/>
    <cellStyle name="Normal 334 3 2 2 2" xfId="34609" xr:uid="{00000000-0005-0000-0000-000027960000}"/>
    <cellStyle name="Normal 334 3 2 3" xfId="27566" xr:uid="{00000000-0005-0000-0000-000028960000}"/>
    <cellStyle name="Normal 334 3 3" xfId="13734" xr:uid="{00000000-0005-0000-0000-000029960000}"/>
    <cellStyle name="Normal 334 3 3 2" xfId="31374" xr:uid="{00000000-0005-0000-0000-00002A960000}"/>
    <cellStyle name="Normal 334 3 4" xfId="24701" xr:uid="{00000000-0005-0000-0000-00002B960000}"/>
    <cellStyle name="Normal 334 4" xfId="6508" xr:uid="{00000000-0005-0000-0000-00002C960000}"/>
    <cellStyle name="Normal 334 4 2" xfId="9718" xr:uid="{00000000-0005-0000-0000-00002D960000}"/>
    <cellStyle name="Normal 334 4 2 2" xfId="17512" xr:uid="{00000000-0005-0000-0000-00002E960000}"/>
    <cellStyle name="Normal 334 4 2 2 2" xfId="35149" xr:uid="{00000000-0005-0000-0000-00002F960000}"/>
    <cellStyle name="Normal 334 4 2 3" xfId="28102" xr:uid="{00000000-0005-0000-0000-000030960000}"/>
    <cellStyle name="Normal 334 4 3" xfId="14297" xr:uid="{00000000-0005-0000-0000-000031960000}"/>
    <cellStyle name="Normal 334 4 3 2" xfId="31932" xr:uid="{00000000-0005-0000-0000-000032960000}"/>
    <cellStyle name="Normal 334 4 4" xfId="25238" xr:uid="{00000000-0005-0000-0000-000033960000}"/>
    <cellStyle name="Normal 334 5" xfId="7284" xr:uid="{00000000-0005-0000-0000-000034960000}"/>
    <cellStyle name="Normal 334 5 2" xfId="10272" xr:uid="{00000000-0005-0000-0000-000035960000}"/>
    <cellStyle name="Normal 334 5 2 2" xfId="18065" xr:uid="{00000000-0005-0000-0000-000036960000}"/>
    <cellStyle name="Normal 334 5 2 2 2" xfId="35702" xr:uid="{00000000-0005-0000-0000-000037960000}"/>
    <cellStyle name="Normal 334 5 2 3" xfId="28639" xr:uid="{00000000-0005-0000-0000-000038960000}"/>
    <cellStyle name="Normal 334 5 3" xfId="15072" xr:uid="{00000000-0005-0000-0000-000039960000}"/>
    <cellStyle name="Normal 334 5 3 2" xfId="32707" xr:uid="{00000000-0005-0000-0000-00003A960000}"/>
    <cellStyle name="Normal 334 5 4" xfId="25776" xr:uid="{00000000-0005-0000-0000-00003B960000}"/>
    <cellStyle name="Normal 334 6" xfId="7883" xr:uid="{00000000-0005-0000-0000-00003C960000}"/>
    <cellStyle name="Normal 334 6 2" xfId="15680" xr:uid="{00000000-0005-0000-0000-00003D960000}"/>
    <cellStyle name="Normal 334 6 2 2" xfId="33315" xr:uid="{00000000-0005-0000-0000-00003E960000}"/>
    <cellStyle name="Normal 334 6 3" xfId="26299" xr:uid="{00000000-0005-0000-0000-00003F960000}"/>
    <cellStyle name="Normal 334 7" xfId="11830" xr:uid="{00000000-0005-0000-0000-000040960000}"/>
    <cellStyle name="Normal 334 7 2" xfId="29515" xr:uid="{00000000-0005-0000-0000-000041960000}"/>
    <cellStyle name="Normal 334 8" xfId="23434" xr:uid="{00000000-0005-0000-0000-000042960000}"/>
    <cellStyle name="Normal 334 9" xfId="52259" xr:uid="{00000000-0005-0000-0000-000043960000}"/>
    <cellStyle name="Normal 335" xfId="2606" xr:uid="{00000000-0005-0000-0000-000044960000}"/>
    <cellStyle name="Normal 335 2" xfId="4633" xr:uid="{00000000-0005-0000-0000-000045960000}"/>
    <cellStyle name="Normal 335 2 2" xfId="8566" xr:uid="{00000000-0005-0000-0000-000046960000}"/>
    <cellStyle name="Normal 335 2 2 2" xfId="16362" xr:uid="{00000000-0005-0000-0000-000047960000}"/>
    <cellStyle name="Normal 335 2 2 2 2" xfId="33997" xr:uid="{00000000-0005-0000-0000-000048960000}"/>
    <cellStyle name="Normal 335 2 2 3" xfId="26967" xr:uid="{00000000-0005-0000-0000-000049960000}"/>
    <cellStyle name="Normal 335 2 3" xfId="12835" xr:uid="{00000000-0005-0000-0000-00004A960000}"/>
    <cellStyle name="Normal 335 2 3 2" xfId="30490" xr:uid="{00000000-0005-0000-0000-00004B960000}"/>
    <cellStyle name="Normal 335 2 4" xfId="24102" xr:uid="{00000000-0005-0000-0000-00004C960000}"/>
    <cellStyle name="Normal 335 3" xfId="5879" xr:uid="{00000000-0005-0000-0000-00004D960000}"/>
    <cellStyle name="Normal 335 3 2" xfId="9179" xr:uid="{00000000-0005-0000-0000-00004E960000}"/>
    <cellStyle name="Normal 335 3 2 2" xfId="16974" xr:uid="{00000000-0005-0000-0000-00004F960000}"/>
    <cellStyle name="Normal 335 3 2 2 2" xfId="34610" xr:uid="{00000000-0005-0000-0000-000050960000}"/>
    <cellStyle name="Normal 335 3 2 3" xfId="27567" xr:uid="{00000000-0005-0000-0000-000051960000}"/>
    <cellStyle name="Normal 335 3 3" xfId="13735" xr:uid="{00000000-0005-0000-0000-000052960000}"/>
    <cellStyle name="Normal 335 3 3 2" xfId="31375" xr:uid="{00000000-0005-0000-0000-000053960000}"/>
    <cellStyle name="Normal 335 3 4" xfId="24702" xr:uid="{00000000-0005-0000-0000-000054960000}"/>
    <cellStyle name="Normal 335 4" xfId="6509" xr:uid="{00000000-0005-0000-0000-000055960000}"/>
    <cellStyle name="Normal 335 4 2" xfId="9719" xr:uid="{00000000-0005-0000-0000-000056960000}"/>
    <cellStyle name="Normal 335 4 2 2" xfId="17513" xr:uid="{00000000-0005-0000-0000-000057960000}"/>
    <cellStyle name="Normal 335 4 2 2 2" xfId="35150" xr:uid="{00000000-0005-0000-0000-000058960000}"/>
    <cellStyle name="Normal 335 4 2 3" xfId="28103" xr:uid="{00000000-0005-0000-0000-000059960000}"/>
    <cellStyle name="Normal 335 4 3" xfId="14298" xr:uid="{00000000-0005-0000-0000-00005A960000}"/>
    <cellStyle name="Normal 335 4 3 2" xfId="31933" xr:uid="{00000000-0005-0000-0000-00005B960000}"/>
    <cellStyle name="Normal 335 4 4" xfId="25239" xr:uid="{00000000-0005-0000-0000-00005C960000}"/>
    <cellStyle name="Normal 335 5" xfId="7285" xr:uid="{00000000-0005-0000-0000-00005D960000}"/>
    <cellStyle name="Normal 335 5 2" xfId="10273" xr:uid="{00000000-0005-0000-0000-00005E960000}"/>
    <cellStyle name="Normal 335 5 2 2" xfId="18066" xr:uid="{00000000-0005-0000-0000-00005F960000}"/>
    <cellStyle name="Normal 335 5 2 2 2" xfId="35703" xr:uid="{00000000-0005-0000-0000-000060960000}"/>
    <cellStyle name="Normal 335 5 2 3" xfId="28640" xr:uid="{00000000-0005-0000-0000-000061960000}"/>
    <cellStyle name="Normal 335 5 3" xfId="15073" xr:uid="{00000000-0005-0000-0000-000062960000}"/>
    <cellStyle name="Normal 335 5 3 2" xfId="32708" xr:uid="{00000000-0005-0000-0000-000063960000}"/>
    <cellStyle name="Normal 335 5 4" xfId="25777" xr:uid="{00000000-0005-0000-0000-000064960000}"/>
    <cellStyle name="Normal 335 6" xfId="7884" xr:uid="{00000000-0005-0000-0000-000065960000}"/>
    <cellStyle name="Normal 335 6 2" xfId="15681" xr:uid="{00000000-0005-0000-0000-000066960000}"/>
    <cellStyle name="Normal 335 6 2 2" xfId="33316" xr:uid="{00000000-0005-0000-0000-000067960000}"/>
    <cellStyle name="Normal 335 6 3" xfId="26300" xr:uid="{00000000-0005-0000-0000-000068960000}"/>
    <cellStyle name="Normal 335 7" xfId="11831" xr:uid="{00000000-0005-0000-0000-000069960000}"/>
    <cellStyle name="Normal 335 7 2" xfId="29516" xr:uid="{00000000-0005-0000-0000-00006A960000}"/>
    <cellStyle name="Normal 335 8" xfId="23435" xr:uid="{00000000-0005-0000-0000-00006B960000}"/>
    <cellStyle name="Normal 335 9" xfId="52260" xr:uid="{00000000-0005-0000-0000-00006C960000}"/>
    <cellStyle name="Normal 336" xfId="2607" xr:uid="{00000000-0005-0000-0000-00006D960000}"/>
    <cellStyle name="Normal 336 2" xfId="4634" xr:uid="{00000000-0005-0000-0000-00006E960000}"/>
    <cellStyle name="Normal 336 2 2" xfId="8567" xr:uid="{00000000-0005-0000-0000-00006F960000}"/>
    <cellStyle name="Normal 336 2 2 2" xfId="16363" xr:uid="{00000000-0005-0000-0000-000070960000}"/>
    <cellStyle name="Normal 336 2 2 2 2" xfId="33998" xr:uid="{00000000-0005-0000-0000-000071960000}"/>
    <cellStyle name="Normal 336 2 2 3" xfId="26968" xr:uid="{00000000-0005-0000-0000-000072960000}"/>
    <cellStyle name="Normal 336 2 3" xfId="12836" xr:uid="{00000000-0005-0000-0000-000073960000}"/>
    <cellStyle name="Normal 336 2 3 2" xfId="30491" xr:uid="{00000000-0005-0000-0000-000074960000}"/>
    <cellStyle name="Normal 336 2 4" xfId="24103" xr:uid="{00000000-0005-0000-0000-000075960000}"/>
    <cellStyle name="Normal 336 3" xfId="5880" xr:uid="{00000000-0005-0000-0000-000076960000}"/>
    <cellStyle name="Normal 336 3 2" xfId="9180" xr:uid="{00000000-0005-0000-0000-000077960000}"/>
    <cellStyle name="Normal 336 3 2 2" xfId="16975" xr:uid="{00000000-0005-0000-0000-000078960000}"/>
    <cellStyle name="Normal 336 3 2 2 2" xfId="34611" xr:uid="{00000000-0005-0000-0000-000079960000}"/>
    <cellStyle name="Normal 336 3 2 3" xfId="27568" xr:uid="{00000000-0005-0000-0000-00007A960000}"/>
    <cellStyle name="Normal 336 3 3" xfId="13736" xr:uid="{00000000-0005-0000-0000-00007B960000}"/>
    <cellStyle name="Normal 336 3 3 2" xfId="31376" xr:uid="{00000000-0005-0000-0000-00007C960000}"/>
    <cellStyle name="Normal 336 3 4" xfId="24703" xr:uid="{00000000-0005-0000-0000-00007D960000}"/>
    <cellStyle name="Normal 336 4" xfId="6510" xr:uid="{00000000-0005-0000-0000-00007E960000}"/>
    <cellStyle name="Normal 336 4 2" xfId="9720" xr:uid="{00000000-0005-0000-0000-00007F960000}"/>
    <cellStyle name="Normal 336 4 2 2" xfId="17514" xr:uid="{00000000-0005-0000-0000-000080960000}"/>
    <cellStyle name="Normal 336 4 2 2 2" xfId="35151" xr:uid="{00000000-0005-0000-0000-000081960000}"/>
    <cellStyle name="Normal 336 4 2 3" xfId="28104" xr:uid="{00000000-0005-0000-0000-000082960000}"/>
    <cellStyle name="Normal 336 4 3" xfId="14299" xr:uid="{00000000-0005-0000-0000-000083960000}"/>
    <cellStyle name="Normal 336 4 3 2" xfId="31934" xr:uid="{00000000-0005-0000-0000-000084960000}"/>
    <cellStyle name="Normal 336 4 4" xfId="25240" xr:uid="{00000000-0005-0000-0000-000085960000}"/>
    <cellStyle name="Normal 336 5" xfId="7286" xr:uid="{00000000-0005-0000-0000-000086960000}"/>
    <cellStyle name="Normal 336 5 2" xfId="10274" xr:uid="{00000000-0005-0000-0000-000087960000}"/>
    <cellStyle name="Normal 336 5 2 2" xfId="18067" xr:uid="{00000000-0005-0000-0000-000088960000}"/>
    <cellStyle name="Normal 336 5 2 2 2" xfId="35704" xr:uid="{00000000-0005-0000-0000-000089960000}"/>
    <cellStyle name="Normal 336 5 2 3" xfId="28641" xr:uid="{00000000-0005-0000-0000-00008A960000}"/>
    <cellStyle name="Normal 336 5 3" xfId="15074" xr:uid="{00000000-0005-0000-0000-00008B960000}"/>
    <cellStyle name="Normal 336 5 3 2" xfId="32709" xr:uid="{00000000-0005-0000-0000-00008C960000}"/>
    <cellStyle name="Normal 336 5 4" xfId="25778" xr:uid="{00000000-0005-0000-0000-00008D960000}"/>
    <cellStyle name="Normal 336 6" xfId="7885" xr:uid="{00000000-0005-0000-0000-00008E960000}"/>
    <cellStyle name="Normal 336 6 2" xfId="15682" xr:uid="{00000000-0005-0000-0000-00008F960000}"/>
    <cellStyle name="Normal 336 6 2 2" xfId="33317" xr:uid="{00000000-0005-0000-0000-000090960000}"/>
    <cellStyle name="Normal 336 6 3" xfId="26301" xr:uid="{00000000-0005-0000-0000-000091960000}"/>
    <cellStyle name="Normal 336 7" xfId="11832" xr:uid="{00000000-0005-0000-0000-000092960000}"/>
    <cellStyle name="Normal 336 7 2" xfId="29517" xr:uid="{00000000-0005-0000-0000-000093960000}"/>
    <cellStyle name="Normal 336 8" xfId="23436" xr:uid="{00000000-0005-0000-0000-000094960000}"/>
    <cellStyle name="Normal 336 9" xfId="52261" xr:uid="{00000000-0005-0000-0000-000095960000}"/>
    <cellStyle name="Normal 337" xfId="2608" xr:uid="{00000000-0005-0000-0000-000096960000}"/>
    <cellStyle name="Normal 337 2" xfId="4635" xr:uid="{00000000-0005-0000-0000-000097960000}"/>
    <cellStyle name="Normal 337 2 2" xfId="8568" xr:uid="{00000000-0005-0000-0000-000098960000}"/>
    <cellStyle name="Normal 337 2 2 2" xfId="16364" xr:uid="{00000000-0005-0000-0000-000099960000}"/>
    <cellStyle name="Normal 337 2 2 2 2" xfId="33999" xr:uid="{00000000-0005-0000-0000-00009A960000}"/>
    <cellStyle name="Normal 337 2 2 3" xfId="26969" xr:uid="{00000000-0005-0000-0000-00009B960000}"/>
    <cellStyle name="Normal 337 2 3" xfId="12837" xr:uid="{00000000-0005-0000-0000-00009C960000}"/>
    <cellStyle name="Normal 337 2 3 2" xfId="30492" xr:uid="{00000000-0005-0000-0000-00009D960000}"/>
    <cellStyle name="Normal 337 2 4" xfId="24104" xr:uid="{00000000-0005-0000-0000-00009E960000}"/>
    <cellStyle name="Normal 337 3" xfId="5881" xr:uid="{00000000-0005-0000-0000-00009F960000}"/>
    <cellStyle name="Normal 337 3 2" xfId="9181" xr:uid="{00000000-0005-0000-0000-0000A0960000}"/>
    <cellStyle name="Normal 337 3 2 2" xfId="16976" xr:uid="{00000000-0005-0000-0000-0000A1960000}"/>
    <cellStyle name="Normal 337 3 2 2 2" xfId="34612" xr:uid="{00000000-0005-0000-0000-0000A2960000}"/>
    <cellStyle name="Normal 337 3 2 3" xfId="27569" xr:uid="{00000000-0005-0000-0000-0000A3960000}"/>
    <cellStyle name="Normal 337 3 3" xfId="13737" xr:uid="{00000000-0005-0000-0000-0000A4960000}"/>
    <cellStyle name="Normal 337 3 3 2" xfId="31377" xr:uid="{00000000-0005-0000-0000-0000A5960000}"/>
    <cellStyle name="Normal 337 3 4" xfId="24704" xr:uid="{00000000-0005-0000-0000-0000A6960000}"/>
    <cellStyle name="Normal 337 4" xfId="6511" xr:uid="{00000000-0005-0000-0000-0000A7960000}"/>
    <cellStyle name="Normal 337 4 2" xfId="9721" xr:uid="{00000000-0005-0000-0000-0000A8960000}"/>
    <cellStyle name="Normal 337 4 2 2" xfId="17515" xr:uid="{00000000-0005-0000-0000-0000A9960000}"/>
    <cellStyle name="Normal 337 4 2 2 2" xfId="35152" xr:uid="{00000000-0005-0000-0000-0000AA960000}"/>
    <cellStyle name="Normal 337 4 2 3" xfId="28105" xr:uid="{00000000-0005-0000-0000-0000AB960000}"/>
    <cellStyle name="Normal 337 4 3" xfId="14300" xr:uid="{00000000-0005-0000-0000-0000AC960000}"/>
    <cellStyle name="Normal 337 4 3 2" xfId="31935" xr:uid="{00000000-0005-0000-0000-0000AD960000}"/>
    <cellStyle name="Normal 337 4 4" xfId="25241" xr:uid="{00000000-0005-0000-0000-0000AE960000}"/>
    <cellStyle name="Normal 337 5" xfId="7287" xr:uid="{00000000-0005-0000-0000-0000AF960000}"/>
    <cellStyle name="Normal 337 5 2" xfId="10275" xr:uid="{00000000-0005-0000-0000-0000B0960000}"/>
    <cellStyle name="Normal 337 5 2 2" xfId="18068" xr:uid="{00000000-0005-0000-0000-0000B1960000}"/>
    <cellStyle name="Normal 337 5 2 2 2" xfId="35705" xr:uid="{00000000-0005-0000-0000-0000B2960000}"/>
    <cellStyle name="Normal 337 5 2 3" xfId="28642" xr:uid="{00000000-0005-0000-0000-0000B3960000}"/>
    <cellStyle name="Normal 337 5 3" xfId="15075" xr:uid="{00000000-0005-0000-0000-0000B4960000}"/>
    <cellStyle name="Normal 337 5 3 2" xfId="32710" xr:uid="{00000000-0005-0000-0000-0000B5960000}"/>
    <cellStyle name="Normal 337 5 4" xfId="25779" xr:uid="{00000000-0005-0000-0000-0000B6960000}"/>
    <cellStyle name="Normal 337 6" xfId="7886" xr:uid="{00000000-0005-0000-0000-0000B7960000}"/>
    <cellStyle name="Normal 337 6 2" xfId="15683" xr:uid="{00000000-0005-0000-0000-0000B8960000}"/>
    <cellStyle name="Normal 337 6 2 2" xfId="33318" xr:uid="{00000000-0005-0000-0000-0000B9960000}"/>
    <cellStyle name="Normal 337 6 3" xfId="26302" xr:uid="{00000000-0005-0000-0000-0000BA960000}"/>
    <cellStyle name="Normal 337 7" xfId="11833" xr:uid="{00000000-0005-0000-0000-0000BB960000}"/>
    <cellStyle name="Normal 337 7 2" xfId="29518" xr:uid="{00000000-0005-0000-0000-0000BC960000}"/>
    <cellStyle name="Normal 337 8" xfId="23437" xr:uid="{00000000-0005-0000-0000-0000BD960000}"/>
    <cellStyle name="Normal 337 9" xfId="52262" xr:uid="{00000000-0005-0000-0000-0000BE960000}"/>
    <cellStyle name="Normal 338" xfId="2609" xr:uid="{00000000-0005-0000-0000-0000BF960000}"/>
    <cellStyle name="Normal 338 2" xfId="4636" xr:uid="{00000000-0005-0000-0000-0000C0960000}"/>
    <cellStyle name="Normal 338 2 2" xfId="8569" xr:uid="{00000000-0005-0000-0000-0000C1960000}"/>
    <cellStyle name="Normal 338 2 2 2" xfId="16365" xr:uid="{00000000-0005-0000-0000-0000C2960000}"/>
    <cellStyle name="Normal 338 2 2 2 2" xfId="34000" xr:uid="{00000000-0005-0000-0000-0000C3960000}"/>
    <cellStyle name="Normal 338 2 2 3" xfId="26970" xr:uid="{00000000-0005-0000-0000-0000C4960000}"/>
    <cellStyle name="Normal 338 2 3" xfId="12838" xr:uid="{00000000-0005-0000-0000-0000C5960000}"/>
    <cellStyle name="Normal 338 2 3 2" xfId="30493" xr:uid="{00000000-0005-0000-0000-0000C6960000}"/>
    <cellStyle name="Normal 338 2 4" xfId="24105" xr:uid="{00000000-0005-0000-0000-0000C7960000}"/>
    <cellStyle name="Normal 338 3" xfId="5882" xr:uid="{00000000-0005-0000-0000-0000C8960000}"/>
    <cellStyle name="Normal 338 3 2" xfId="9182" xr:uid="{00000000-0005-0000-0000-0000C9960000}"/>
    <cellStyle name="Normal 338 3 2 2" xfId="16977" xr:uid="{00000000-0005-0000-0000-0000CA960000}"/>
    <cellStyle name="Normal 338 3 2 2 2" xfId="34613" xr:uid="{00000000-0005-0000-0000-0000CB960000}"/>
    <cellStyle name="Normal 338 3 2 3" xfId="27570" xr:uid="{00000000-0005-0000-0000-0000CC960000}"/>
    <cellStyle name="Normal 338 3 3" xfId="13738" xr:uid="{00000000-0005-0000-0000-0000CD960000}"/>
    <cellStyle name="Normal 338 3 3 2" xfId="31378" xr:uid="{00000000-0005-0000-0000-0000CE960000}"/>
    <cellStyle name="Normal 338 3 4" xfId="24705" xr:uid="{00000000-0005-0000-0000-0000CF960000}"/>
    <cellStyle name="Normal 338 4" xfId="6512" xr:uid="{00000000-0005-0000-0000-0000D0960000}"/>
    <cellStyle name="Normal 338 4 2" xfId="9722" xr:uid="{00000000-0005-0000-0000-0000D1960000}"/>
    <cellStyle name="Normal 338 4 2 2" xfId="17516" xr:uid="{00000000-0005-0000-0000-0000D2960000}"/>
    <cellStyle name="Normal 338 4 2 2 2" xfId="35153" xr:uid="{00000000-0005-0000-0000-0000D3960000}"/>
    <cellStyle name="Normal 338 4 2 3" xfId="28106" xr:uid="{00000000-0005-0000-0000-0000D4960000}"/>
    <cellStyle name="Normal 338 4 3" xfId="14301" xr:uid="{00000000-0005-0000-0000-0000D5960000}"/>
    <cellStyle name="Normal 338 4 3 2" xfId="31936" xr:uid="{00000000-0005-0000-0000-0000D6960000}"/>
    <cellStyle name="Normal 338 4 4" xfId="25242" xr:uid="{00000000-0005-0000-0000-0000D7960000}"/>
    <cellStyle name="Normal 338 5" xfId="7288" xr:uid="{00000000-0005-0000-0000-0000D8960000}"/>
    <cellStyle name="Normal 338 5 2" xfId="10276" xr:uid="{00000000-0005-0000-0000-0000D9960000}"/>
    <cellStyle name="Normal 338 5 2 2" xfId="18069" xr:uid="{00000000-0005-0000-0000-0000DA960000}"/>
    <cellStyle name="Normal 338 5 2 2 2" xfId="35706" xr:uid="{00000000-0005-0000-0000-0000DB960000}"/>
    <cellStyle name="Normal 338 5 2 3" xfId="28643" xr:uid="{00000000-0005-0000-0000-0000DC960000}"/>
    <cellStyle name="Normal 338 5 3" xfId="15076" xr:uid="{00000000-0005-0000-0000-0000DD960000}"/>
    <cellStyle name="Normal 338 5 3 2" xfId="32711" xr:uid="{00000000-0005-0000-0000-0000DE960000}"/>
    <cellStyle name="Normal 338 5 4" xfId="25780" xr:uid="{00000000-0005-0000-0000-0000DF960000}"/>
    <cellStyle name="Normal 338 6" xfId="7887" xr:uid="{00000000-0005-0000-0000-0000E0960000}"/>
    <cellStyle name="Normal 338 6 2" xfId="15684" xr:uid="{00000000-0005-0000-0000-0000E1960000}"/>
    <cellStyle name="Normal 338 6 2 2" xfId="33319" xr:uid="{00000000-0005-0000-0000-0000E2960000}"/>
    <cellStyle name="Normal 338 6 3" xfId="26303" xr:uid="{00000000-0005-0000-0000-0000E3960000}"/>
    <cellStyle name="Normal 338 7" xfId="11834" xr:uid="{00000000-0005-0000-0000-0000E4960000}"/>
    <cellStyle name="Normal 338 7 2" xfId="29519" xr:uid="{00000000-0005-0000-0000-0000E5960000}"/>
    <cellStyle name="Normal 338 8" xfId="23438" xr:uid="{00000000-0005-0000-0000-0000E6960000}"/>
    <cellStyle name="Normal 338 9" xfId="52263" xr:uid="{00000000-0005-0000-0000-0000E7960000}"/>
    <cellStyle name="Normal 339" xfId="2610" xr:uid="{00000000-0005-0000-0000-0000E8960000}"/>
    <cellStyle name="Normal 339 2" xfId="4637" xr:uid="{00000000-0005-0000-0000-0000E9960000}"/>
    <cellStyle name="Normal 339 2 2" xfId="8570" xr:uid="{00000000-0005-0000-0000-0000EA960000}"/>
    <cellStyle name="Normal 339 2 2 2" xfId="16366" xr:uid="{00000000-0005-0000-0000-0000EB960000}"/>
    <cellStyle name="Normal 339 2 2 2 2" xfId="34001" xr:uid="{00000000-0005-0000-0000-0000EC960000}"/>
    <cellStyle name="Normal 339 2 2 3" xfId="26971" xr:uid="{00000000-0005-0000-0000-0000ED960000}"/>
    <cellStyle name="Normal 339 2 3" xfId="12839" xr:uid="{00000000-0005-0000-0000-0000EE960000}"/>
    <cellStyle name="Normal 339 2 3 2" xfId="30494" xr:uid="{00000000-0005-0000-0000-0000EF960000}"/>
    <cellStyle name="Normal 339 2 4" xfId="24106" xr:uid="{00000000-0005-0000-0000-0000F0960000}"/>
    <cellStyle name="Normal 339 3" xfId="5883" xr:uid="{00000000-0005-0000-0000-0000F1960000}"/>
    <cellStyle name="Normal 339 3 2" xfId="9183" xr:uid="{00000000-0005-0000-0000-0000F2960000}"/>
    <cellStyle name="Normal 339 3 2 2" xfId="16978" xr:uid="{00000000-0005-0000-0000-0000F3960000}"/>
    <cellStyle name="Normal 339 3 2 2 2" xfId="34614" xr:uid="{00000000-0005-0000-0000-0000F4960000}"/>
    <cellStyle name="Normal 339 3 2 3" xfId="27571" xr:uid="{00000000-0005-0000-0000-0000F5960000}"/>
    <cellStyle name="Normal 339 3 3" xfId="13739" xr:uid="{00000000-0005-0000-0000-0000F6960000}"/>
    <cellStyle name="Normal 339 3 3 2" xfId="31379" xr:uid="{00000000-0005-0000-0000-0000F7960000}"/>
    <cellStyle name="Normal 339 3 4" xfId="24706" xr:uid="{00000000-0005-0000-0000-0000F8960000}"/>
    <cellStyle name="Normal 339 4" xfId="6513" xr:uid="{00000000-0005-0000-0000-0000F9960000}"/>
    <cellStyle name="Normal 339 4 2" xfId="9723" xr:uid="{00000000-0005-0000-0000-0000FA960000}"/>
    <cellStyle name="Normal 339 4 2 2" xfId="17517" xr:uid="{00000000-0005-0000-0000-0000FB960000}"/>
    <cellStyle name="Normal 339 4 2 2 2" xfId="35154" xr:uid="{00000000-0005-0000-0000-0000FC960000}"/>
    <cellStyle name="Normal 339 4 2 3" xfId="28107" xr:uid="{00000000-0005-0000-0000-0000FD960000}"/>
    <cellStyle name="Normal 339 4 3" xfId="14302" xr:uid="{00000000-0005-0000-0000-0000FE960000}"/>
    <cellStyle name="Normal 339 4 3 2" xfId="31937" xr:uid="{00000000-0005-0000-0000-0000FF960000}"/>
    <cellStyle name="Normal 339 4 4" xfId="25243" xr:uid="{00000000-0005-0000-0000-000000970000}"/>
    <cellStyle name="Normal 339 5" xfId="7289" xr:uid="{00000000-0005-0000-0000-000001970000}"/>
    <cellStyle name="Normal 339 5 2" xfId="10277" xr:uid="{00000000-0005-0000-0000-000002970000}"/>
    <cellStyle name="Normal 339 5 2 2" xfId="18070" xr:uid="{00000000-0005-0000-0000-000003970000}"/>
    <cellStyle name="Normal 339 5 2 2 2" xfId="35707" xr:uid="{00000000-0005-0000-0000-000004970000}"/>
    <cellStyle name="Normal 339 5 2 3" xfId="28644" xr:uid="{00000000-0005-0000-0000-000005970000}"/>
    <cellStyle name="Normal 339 5 3" xfId="15077" xr:uid="{00000000-0005-0000-0000-000006970000}"/>
    <cellStyle name="Normal 339 5 3 2" xfId="32712" xr:uid="{00000000-0005-0000-0000-000007970000}"/>
    <cellStyle name="Normal 339 5 4" xfId="25781" xr:uid="{00000000-0005-0000-0000-000008970000}"/>
    <cellStyle name="Normal 339 6" xfId="7888" xr:uid="{00000000-0005-0000-0000-000009970000}"/>
    <cellStyle name="Normal 339 6 2" xfId="15685" xr:uid="{00000000-0005-0000-0000-00000A970000}"/>
    <cellStyle name="Normal 339 6 2 2" xfId="33320" xr:uid="{00000000-0005-0000-0000-00000B970000}"/>
    <cellStyle name="Normal 339 6 3" xfId="26304" xr:uid="{00000000-0005-0000-0000-00000C970000}"/>
    <cellStyle name="Normal 339 7" xfId="11835" xr:uid="{00000000-0005-0000-0000-00000D970000}"/>
    <cellStyle name="Normal 339 7 2" xfId="29520" xr:uid="{00000000-0005-0000-0000-00000E970000}"/>
    <cellStyle name="Normal 339 8" xfId="23439" xr:uid="{00000000-0005-0000-0000-00000F970000}"/>
    <cellStyle name="Normal 339 9" xfId="52264" xr:uid="{00000000-0005-0000-0000-000010970000}"/>
    <cellStyle name="Normal 34" xfId="2611" xr:uid="{00000000-0005-0000-0000-000011970000}"/>
    <cellStyle name="Normal 34 2" xfId="2612" xr:uid="{00000000-0005-0000-0000-000012970000}"/>
    <cellStyle name="Normal 34 2 2" xfId="4639" xr:uid="{00000000-0005-0000-0000-000013970000}"/>
    <cellStyle name="Normal 34 2 3" xfId="22774" xr:uid="{00000000-0005-0000-0000-000014970000}"/>
    <cellStyle name="Normal 34 2 3 2" xfId="38981" xr:uid="{00000000-0005-0000-0000-000015970000}"/>
    <cellStyle name="Normal 34 2 4" xfId="52266" xr:uid="{00000000-0005-0000-0000-000016970000}"/>
    <cellStyle name="Normal 34 3" xfId="4638" xr:uid="{00000000-0005-0000-0000-000017970000}"/>
    <cellStyle name="Normal 34 4" xfId="22565" xr:uid="{00000000-0005-0000-0000-000018970000}"/>
    <cellStyle name="Normal 34 4 2" xfId="38876" xr:uid="{00000000-0005-0000-0000-000019970000}"/>
    <cellStyle name="Normal 34 5" xfId="52265" xr:uid="{00000000-0005-0000-0000-00001A970000}"/>
    <cellStyle name="Normal 340" xfId="2613" xr:uid="{00000000-0005-0000-0000-00001B970000}"/>
    <cellStyle name="Normal 340 2" xfId="4640" xr:uid="{00000000-0005-0000-0000-00001C970000}"/>
    <cellStyle name="Normal 340 2 2" xfId="8571" xr:uid="{00000000-0005-0000-0000-00001D970000}"/>
    <cellStyle name="Normal 340 2 2 2" xfId="16367" xr:uid="{00000000-0005-0000-0000-00001E970000}"/>
    <cellStyle name="Normal 340 2 2 2 2" xfId="34002" xr:uid="{00000000-0005-0000-0000-00001F970000}"/>
    <cellStyle name="Normal 340 2 2 3" xfId="26972" xr:uid="{00000000-0005-0000-0000-000020970000}"/>
    <cellStyle name="Normal 340 2 3" xfId="12840" xr:uid="{00000000-0005-0000-0000-000021970000}"/>
    <cellStyle name="Normal 340 2 3 2" xfId="30495" xr:uid="{00000000-0005-0000-0000-000022970000}"/>
    <cellStyle name="Normal 340 2 4" xfId="24107" xr:uid="{00000000-0005-0000-0000-000023970000}"/>
    <cellStyle name="Normal 340 3" xfId="5884" xr:uid="{00000000-0005-0000-0000-000024970000}"/>
    <cellStyle name="Normal 340 3 2" xfId="9184" xr:uid="{00000000-0005-0000-0000-000025970000}"/>
    <cellStyle name="Normal 340 3 2 2" xfId="16979" xr:uid="{00000000-0005-0000-0000-000026970000}"/>
    <cellStyle name="Normal 340 3 2 2 2" xfId="34615" xr:uid="{00000000-0005-0000-0000-000027970000}"/>
    <cellStyle name="Normal 340 3 2 3" xfId="27572" xr:uid="{00000000-0005-0000-0000-000028970000}"/>
    <cellStyle name="Normal 340 3 3" xfId="13740" xr:uid="{00000000-0005-0000-0000-000029970000}"/>
    <cellStyle name="Normal 340 3 3 2" xfId="31380" xr:uid="{00000000-0005-0000-0000-00002A970000}"/>
    <cellStyle name="Normal 340 3 4" xfId="24707" xr:uid="{00000000-0005-0000-0000-00002B970000}"/>
    <cellStyle name="Normal 340 4" xfId="6514" xr:uid="{00000000-0005-0000-0000-00002C970000}"/>
    <cellStyle name="Normal 340 4 2" xfId="9724" xr:uid="{00000000-0005-0000-0000-00002D970000}"/>
    <cellStyle name="Normal 340 4 2 2" xfId="17518" xr:uid="{00000000-0005-0000-0000-00002E970000}"/>
    <cellStyle name="Normal 340 4 2 2 2" xfId="35155" xr:uid="{00000000-0005-0000-0000-00002F970000}"/>
    <cellStyle name="Normal 340 4 2 3" xfId="28108" xr:uid="{00000000-0005-0000-0000-000030970000}"/>
    <cellStyle name="Normal 340 4 3" xfId="14303" xr:uid="{00000000-0005-0000-0000-000031970000}"/>
    <cellStyle name="Normal 340 4 3 2" xfId="31938" xr:uid="{00000000-0005-0000-0000-000032970000}"/>
    <cellStyle name="Normal 340 4 4" xfId="25244" xr:uid="{00000000-0005-0000-0000-000033970000}"/>
    <cellStyle name="Normal 340 5" xfId="7290" xr:uid="{00000000-0005-0000-0000-000034970000}"/>
    <cellStyle name="Normal 340 5 2" xfId="10278" xr:uid="{00000000-0005-0000-0000-000035970000}"/>
    <cellStyle name="Normal 340 5 2 2" xfId="18071" xr:uid="{00000000-0005-0000-0000-000036970000}"/>
    <cellStyle name="Normal 340 5 2 2 2" xfId="35708" xr:uid="{00000000-0005-0000-0000-000037970000}"/>
    <cellStyle name="Normal 340 5 2 3" xfId="28645" xr:uid="{00000000-0005-0000-0000-000038970000}"/>
    <cellStyle name="Normal 340 5 3" xfId="15078" xr:uid="{00000000-0005-0000-0000-000039970000}"/>
    <cellStyle name="Normal 340 5 3 2" xfId="32713" xr:uid="{00000000-0005-0000-0000-00003A970000}"/>
    <cellStyle name="Normal 340 5 4" xfId="25782" xr:uid="{00000000-0005-0000-0000-00003B970000}"/>
    <cellStyle name="Normal 340 6" xfId="7889" xr:uid="{00000000-0005-0000-0000-00003C970000}"/>
    <cellStyle name="Normal 340 6 2" xfId="15686" xr:uid="{00000000-0005-0000-0000-00003D970000}"/>
    <cellStyle name="Normal 340 6 2 2" xfId="33321" xr:uid="{00000000-0005-0000-0000-00003E970000}"/>
    <cellStyle name="Normal 340 6 3" xfId="26305" xr:uid="{00000000-0005-0000-0000-00003F970000}"/>
    <cellStyle name="Normal 340 7" xfId="11836" xr:uid="{00000000-0005-0000-0000-000040970000}"/>
    <cellStyle name="Normal 340 7 2" xfId="29521" xr:uid="{00000000-0005-0000-0000-000041970000}"/>
    <cellStyle name="Normal 340 8" xfId="23440" xr:uid="{00000000-0005-0000-0000-000042970000}"/>
    <cellStyle name="Normal 340 9" xfId="52267" xr:uid="{00000000-0005-0000-0000-000043970000}"/>
    <cellStyle name="Normal 341" xfId="2614" xr:uid="{00000000-0005-0000-0000-000044970000}"/>
    <cellStyle name="Normal 341 2" xfId="4641" xr:uid="{00000000-0005-0000-0000-000045970000}"/>
    <cellStyle name="Normal 341 2 2" xfId="8572" xr:uid="{00000000-0005-0000-0000-000046970000}"/>
    <cellStyle name="Normal 341 2 2 2" xfId="16368" xr:uid="{00000000-0005-0000-0000-000047970000}"/>
    <cellStyle name="Normal 341 2 2 2 2" xfId="34003" xr:uid="{00000000-0005-0000-0000-000048970000}"/>
    <cellStyle name="Normal 341 2 2 3" xfId="26973" xr:uid="{00000000-0005-0000-0000-000049970000}"/>
    <cellStyle name="Normal 341 2 3" xfId="12841" xr:uid="{00000000-0005-0000-0000-00004A970000}"/>
    <cellStyle name="Normal 341 2 3 2" xfId="30496" xr:uid="{00000000-0005-0000-0000-00004B970000}"/>
    <cellStyle name="Normal 341 2 4" xfId="24108" xr:uid="{00000000-0005-0000-0000-00004C970000}"/>
    <cellStyle name="Normal 341 3" xfId="5885" xr:uid="{00000000-0005-0000-0000-00004D970000}"/>
    <cellStyle name="Normal 341 3 2" xfId="9185" xr:uid="{00000000-0005-0000-0000-00004E970000}"/>
    <cellStyle name="Normal 341 3 2 2" xfId="16980" xr:uid="{00000000-0005-0000-0000-00004F970000}"/>
    <cellStyle name="Normal 341 3 2 2 2" xfId="34616" xr:uid="{00000000-0005-0000-0000-000050970000}"/>
    <cellStyle name="Normal 341 3 2 3" xfId="27573" xr:uid="{00000000-0005-0000-0000-000051970000}"/>
    <cellStyle name="Normal 341 3 3" xfId="13741" xr:uid="{00000000-0005-0000-0000-000052970000}"/>
    <cellStyle name="Normal 341 3 3 2" xfId="31381" xr:uid="{00000000-0005-0000-0000-000053970000}"/>
    <cellStyle name="Normal 341 3 4" xfId="24708" xr:uid="{00000000-0005-0000-0000-000054970000}"/>
    <cellStyle name="Normal 341 4" xfId="6515" xr:uid="{00000000-0005-0000-0000-000055970000}"/>
    <cellStyle name="Normal 341 4 2" xfId="9725" xr:uid="{00000000-0005-0000-0000-000056970000}"/>
    <cellStyle name="Normal 341 4 2 2" xfId="17519" xr:uid="{00000000-0005-0000-0000-000057970000}"/>
    <cellStyle name="Normal 341 4 2 2 2" xfId="35156" xr:uid="{00000000-0005-0000-0000-000058970000}"/>
    <cellStyle name="Normal 341 4 2 3" xfId="28109" xr:uid="{00000000-0005-0000-0000-000059970000}"/>
    <cellStyle name="Normal 341 4 3" xfId="14304" xr:uid="{00000000-0005-0000-0000-00005A970000}"/>
    <cellStyle name="Normal 341 4 3 2" xfId="31939" xr:uid="{00000000-0005-0000-0000-00005B970000}"/>
    <cellStyle name="Normal 341 4 4" xfId="25245" xr:uid="{00000000-0005-0000-0000-00005C970000}"/>
    <cellStyle name="Normal 341 5" xfId="7291" xr:uid="{00000000-0005-0000-0000-00005D970000}"/>
    <cellStyle name="Normal 341 5 2" xfId="10279" xr:uid="{00000000-0005-0000-0000-00005E970000}"/>
    <cellStyle name="Normal 341 5 2 2" xfId="18072" xr:uid="{00000000-0005-0000-0000-00005F970000}"/>
    <cellStyle name="Normal 341 5 2 2 2" xfId="35709" xr:uid="{00000000-0005-0000-0000-000060970000}"/>
    <cellStyle name="Normal 341 5 2 3" xfId="28646" xr:uid="{00000000-0005-0000-0000-000061970000}"/>
    <cellStyle name="Normal 341 5 3" xfId="15079" xr:uid="{00000000-0005-0000-0000-000062970000}"/>
    <cellStyle name="Normal 341 5 3 2" xfId="32714" xr:uid="{00000000-0005-0000-0000-000063970000}"/>
    <cellStyle name="Normal 341 5 4" xfId="25783" xr:uid="{00000000-0005-0000-0000-000064970000}"/>
    <cellStyle name="Normal 341 6" xfId="7890" xr:uid="{00000000-0005-0000-0000-000065970000}"/>
    <cellStyle name="Normal 341 6 2" xfId="15687" xr:uid="{00000000-0005-0000-0000-000066970000}"/>
    <cellStyle name="Normal 341 6 2 2" xfId="33322" xr:uid="{00000000-0005-0000-0000-000067970000}"/>
    <cellStyle name="Normal 341 6 3" xfId="26306" xr:uid="{00000000-0005-0000-0000-000068970000}"/>
    <cellStyle name="Normal 341 7" xfId="11837" xr:uid="{00000000-0005-0000-0000-000069970000}"/>
    <cellStyle name="Normal 341 7 2" xfId="29522" xr:uid="{00000000-0005-0000-0000-00006A970000}"/>
    <cellStyle name="Normal 341 8" xfId="23441" xr:uid="{00000000-0005-0000-0000-00006B970000}"/>
    <cellStyle name="Normal 341 9" xfId="52268" xr:uid="{00000000-0005-0000-0000-00006C970000}"/>
    <cellStyle name="Normal 342" xfId="2615" xr:uid="{00000000-0005-0000-0000-00006D970000}"/>
    <cellStyle name="Normal 342 2" xfId="4642" xr:uid="{00000000-0005-0000-0000-00006E970000}"/>
    <cellStyle name="Normal 342 2 2" xfId="8573" xr:uid="{00000000-0005-0000-0000-00006F970000}"/>
    <cellStyle name="Normal 342 2 2 2" xfId="16369" xr:uid="{00000000-0005-0000-0000-000070970000}"/>
    <cellStyle name="Normal 342 2 2 2 2" xfId="34004" xr:uid="{00000000-0005-0000-0000-000071970000}"/>
    <cellStyle name="Normal 342 2 2 3" xfId="26974" xr:uid="{00000000-0005-0000-0000-000072970000}"/>
    <cellStyle name="Normal 342 2 3" xfId="12842" xr:uid="{00000000-0005-0000-0000-000073970000}"/>
    <cellStyle name="Normal 342 2 3 2" xfId="30497" xr:uid="{00000000-0005-0000-0000-000074970000}"/>
    <cellStyle name="Normal 342 2 4" xfId="24109" xr:uid="{00000000-0005-0000-0000-000075970000}"/>
    <cellStyle name="Normal 342 3" xfId="5886" xr:uid="{00000000-0005-0000-0000-000076970000}"/>
    <cellStyle name="Normal 342 3 2" xfId="9186" xr:uid="{00000000-0005-0000-0000-000077970000}"/>
    <cellStyle name="Normal 342 3 2 2" xfId="16981" xr:uid="{00000000-0005-0000-0000-000078970000}"/>
    <cellStyle name="Normal 342 3 2 2 2" xfId="34617" xr:uid="{00000000-0005-0000-0000-000079970000}"/>
    <cellStyle name="Normal 342 3 2 3" xfId="27574" xr:uid="{00000000-0005-0000-0000-00007A970000}"/>
    <cellStyle name="Normal 342 3 3" xfId="13742" xr:uid="{00000000-0005-0000-0000-00007B970000}"/>
    <cellStyle name="Normal 342 3 3 2" xfId="31382" xr:uid="{00000000-0005-0000-0000-00007C970000}"/>
    <cellStyle name="Normal 342 3 4" xfId="24709" xr:uid="{00000000-0005-0000-0000-00007D970000}"/>
    <cellStyle name="Normal 342 4" xfId="6516" xr:uid="{00000000-0005-0000-0000-00007E970000}"/>
    <cellStyle name="Normal 342 4 2" xfId="9726" xr:uid="{00000000-0005-0000-0000-00007F970000}"/>
    <cellStyle name="Normal 342 4 2 2" xfId="17520" xr:uid="{00000000-0005-0000-0000-000080970000}"/>
    <cellStyle name="Normal 342 4 2 2 2" xfId="35157" xr:uid="{00000000-0005-0000-0000-000081970000}"/>
    <cellStyle name="Normal 342 4 2 3" xfId="28110" xr:uid="{00000000-0005-0000-0000-000082970000}"/>
    <cellStyle name="Normal 342 4 3" xfId="14305" xr:uid="{00000000-0005-0000-0000-000083970000}"/>
    <cellStyle name="Normal 342 4 3 2" xfId="31940" xr:uid="{00000000-0005-0000-0000-000084970000}"/>
    <cellStyle name="Normal 342 4 4" xfId="25246" xr:uid="{00000000-0005-0000-0000-000085970000}"/>
    <cellStyle name="Normal 342 5" xfId="7292" xr:uid="{00000000-0005-0000-0000-000086970000}"/>
    <cellStyle name="Normal 342 5 2" xfId="10280" xr:uid="{00000000-0005-0000-0000-000087970000}"/>
    <cellStyle name="Normal 342 5 2 2" xfId="18073" xr:uid="{00000000-0005-0000-0000-000088970000}"/>
    <cellStyle name="Normal 342 5 2 2 2" xfId="35710" xr:uid="{00000000-0005-0000-0000-000089970000}"/>
    <cellStyle name="Normal 342 5 2 3" xfId="28647" xr:uid="{00000000-0005-0000-0000-00008A970000}"/>
    <cellStyle name="Normal 342 5 3" xfId="15080" xr:uid="{00000000-0005-0000-0000-00008B970000}"/>
    <cellStyle name="Normal 342 5 3 2" xfId="32715" xr:uid="{00000000-0005-0000-0000-00008C970000}"/>
    <cellStyle name="Normal 342 5 4" xfId="25784" xr:uid="{00000000-0005-0000-0000-00008D970000}"/>
    <cellStyle name="Normal 342 6" xfId="7891" xr:uid="{00000000-0005-0000-0000-00008E970000}"/>
    <cellStyle name="Normal 342 6 2" xfId="15688" xr:uid="{00000000-0005-0000-0000-00008F970000}"/>
    <cellStyle name="Normal 342 6 2 2" xfId="33323" xr:uid="{00000000-0005-0000-0000-000090970000}"/>
    <cellStyle name="Normal 342 6 3" xfId="26307" xr:uid="{00000000-0005-0000-0000-000091970000}"/>
    <cellStyle name="Normal 342 7" xfId="11838" xr:uid="{00000000-0005-0000-0000-000092970000}"/>
    <cellStyle name="Normal 342 7 2" xfId="29523" xr:uid="{00000000-0005-0000-0000-000093970000}"/>
    <cellStyle name="Normal 342 8" xfId="23442" xr:uid="{00000000-0005-0000-0000-000094970000}"/>
    <cellStyle name="Normal 342 9" xfId="52269" xr:uid="{00000000-0005-0000-0000-000095970000}"/>
    <cellStyle name="Normal 343" xfId="2616" xr:uid="{00000000-0005-0000-0000-000096970000}"/>
    <cellStyle name="Normal 343 2" xfId="4643" xr:uid="{00000000-0005-0000-0000-000097970000}"/>
    <cellStyle name="Normal 343 2 2" xfId="8574" xr:uid="{00000000-0005-0000-0000-000098970000}"/>
    <cellStyle name="Normal 343 2 2 2" xfId="16370" xr:uid="{00000000-0005-0000-0000-000099970000}"/>
    <cellStyle name="Normal 343 2 2 2 2" xfId="34005" xr:uid="{00000000-0005-0000-0000-00009A970000}"/>
    <cellStyle name="Normal 343 2 2 3" xfId="26975" xr:uid="{00000000-0005-0000-0000-00009B970000}"/>
    <cellStyle name="Normal 343 2 3" xfId="12843" xr:uid="{00000000-0005-0000-0000-00009C970000}"/>
    <cellStyle name="Normal 343 2 3 2" xfId="30498" xr:uid="{00000000-0005-0000-0000-00009D970000}"/>
    <cellStyle name="Normal 343 2 4" xfId="24110" xr:uid="{00000000-0005-0000-0000-00009E970000}"/>
    <cellStyle name="Normal 343 3" xfId="5887" xr:uid="{00000000-0005-0000-0000-00009F970000}"/>
    <cellStyle name="Normal 343 3 2" xfId="9187" xr:uid="{00000000-0005-0000-0000-0000A0970000}"/>
    <cellStyle name="Normal 343 3 2 2" xfId="16982" xr:uid="{00000000-0005-0000-0000-0000A1970000}"/>
    <cellStyle name="Normal 343 3 2 2 2" xfId="34618" xr:uid="{00000000-0005-0000-0000-0000A2970000}"/>
    <cellStyle name="Normal 343 3 2 3" xfId="27575" xr:uid="{00000000-0005-0000-0000-0000A3970000}"/>
    <cellStyle name="Normal 343 3 3" xfId="13743" xr:uid="{00000000-0005-0000-0000-0000A4970000}"/>
    <cellStyle name="Normal 343 3 3 2" xfId="31383" xr:uid="{00000000-0005-0000-0000-0000A5970000}"/>
    <cellStyle name="Normal 343 3 4" xfId="24710" xr:uid="{00000000-0005-0000-0000-0000A6970000}"/>
    <cellStyle name="Normal 343 4" xfId="6517" xr:uid="{00000000-0005-0000-0000-0000A7970000}"/>
    <cellStyle name="Normal 343 4 2" xfId="9727" xr:uid="{00000000-0005-0000-0000-0000A8970000}"/>
    <cellStyle name="Normal 343 4 2 2" xfId="17521" xr:uid="{00000000-0005-0000-0000-0000A9970000}"/>
    <cellStyle name="Normal 343 4 2 2 2" xfId="35158" xr:uid="{00000000-0005-0000-0000-0000AA970000}"/>
    <cellStyle name="Normal 343 4 2 3" xfId="28111" xr:uid="{00000000-0005-0000-0000-0000AB970000}"/>
    <cellStyle name="Normal 343 4 3" xfId="14306" xr:uid="{00000000-0005-0000-0000-0000AC970000}"/>
    <cellStyle name="Normal 343 4 3 2" xfId="31941" xr:uid="{00000000-0005-0000-0000-0000AD970000}"/>
    <cellStyle name="Normal 343 4 4" xfId="25247" xr:uid="{00000000-0005-0000-0000-0000AE970000}"/>
    <cellStyle name="Normal 343 5" xfId="7293" xr:uid="{00000000-0005-0000-0000-0000AF970000}"/>
    <cellStyle name="Normal 343 5 2" xfId="10281" xr:uid="{00000000-0005-0000-0000-0000B0970000}"/>
    <cellStyle name="Normal 343 5 2 2" xfId="18074" xr:uid="{00000000-0005-0000-0000-0000B1970000}"/>
    <cellStyle name="Normal 343 5 2 2 2" xfId="35711" xr:uid="{00000000-0005-0000-0000-0000B2970000}"/>
    <cellStyle name="Normal 343 5 2 3" xfId="28648" xr:uid="{00000000-0005-0000-0000-0000B3970000}"/>
    <cellStyle name="Normal 343 5 3" xfId="15081" xr:uid="{00000000-0005-0000-0000-0000B4970000}"/>
    <cellStyle name="Normal 343 5 3 2" xfId="32716" xr:uid="{00000000-0005-0000-0000-0000B5970000}"/>
    <cellStyle name="Normal 343 5 4" xfId="25785" xr:uid="{00000000-0005-0000-0000-0000B6970000}"/>
    <cellStyle name="Normal 343 6" xfId="7892" xr:uid="{00000000-0005-0000-0000-0000B7970000}"/>
    <cellStyle name="Normal 343 6 2" xfId="15689" xr:uid="{00000000-0005-0000-0000-0000B8970000}"/>
    <cellStyle name="Normal 343 6 2 2" xfId="33324" xr:uid="{00000000-0005-0000-0000-0000B9970000}"/>
    <cellStyle name="Normal 343 6 3" xfId="26308" xr:uid="{00000000-0005-0000-0000-0000BA970000}"/>
    <cellStyle name="Normal 343 7" xfId="11839" xr:uid="{00000000-0005-0000-0000-0000BB970000}"/>
    <cellStyle name="Normal 343 7 2" xfId="29524" xr:uid="{00000000-0005-0000-0000-0000BC970000}"/>
    <cellStyle name="Normal 343 8" xfId="23443" xr:uid="{00000000-0005-0000-0000-0000BD970000}"/>
    <cellStyle name="Normal 343 9" xfId="52270" xr:uid="{00000000-0005-0000-0000-0000BE970000}"/>
    <cellStyle name="Normal 344" xfId="2617" xr:uid="{00000000-0005-0000-0000-0000BF970000}"/>
    <cellStyle name="Normal 344 2" xfId="4644" xr:uid="{00000000-0005-0000-0000-0000C0970000}"/>
    <cellStyle name="Normal 344 2 2" xfId="8575" xr:uid="{00000000-0005-0000-0000-0000C1970000}"/>
    <cellStyle name="Normal 344 2 2 2" xfId="16371" xr:uid="{00000000-0005-0000-0000-0000C2970000}"/>
    <cellStyle name="Normal 344 2 2 2 2" xfId="34006" xr:uid="{00000000-0005-0000-0000-0000C3970000}"/>
    <cellStyle name="Normal 344 2 2 3" xfId="26976" xr:uid="{00000000-0005-0000-0000-0000C4970000}"/>
    <cellStyle name="Normal 344 2 3" xfId="12844" xr:uid="{00000000-0005-0000-0000-0000C5970000}"/>
    <cellStyle name="Normal 344 2 3 2" xfId="30499" xr:uid="{00000000-0005-0000-0000-0000C6970000}"/>
    <cellStyle name="Normal 344 2 4" xfId="24111" xr:uid="{00000000-0005-0000-0000-0000C7970000}"/>
    <cellStyle name="Normal 344 3" xfId="5888" xr:uid="{00000000-0005-0000-0000-0000C8970000}"/>
    <cellStyle name="Normal 344 3 2" xfId="9188" xr:uid="{00000000-0005-0000-0000-0000C9970000}"/>
    <cellStyle name="Normal 344 3 2 2" xfId="16983" xr:uid="{00000000-0005-0000-0000-0000CA970000}"/>
    <cellStyle name="Normal 344 3 2 2 2" xfId="34619" xr:uid="{00000000-0005-0000-0000-0000CB970000}"/>
    <cellStyle name="Normal 344 3 2 3" xfId="27576" xr:uid="{00000000-0005-0000-0000-0000CC970000}"/>
    <cellStyle name="Normal 344 3 3" xfId="13744" xr:uid="{00000000-0005-0000-0000-0000CD970000}"/>
    <cellStyle name="Normal 344 3 3 2" xfId="31384" xr:uid="{00000000-0005-0000-0000-0000CE970000}"/>
    <cellStyle name="Normal 344 3 4" xfId="24711" xr:uid="{00000000-0005-0000-0000-0000CF970000}"/>
    <cellStyle name="Normal 344 4" xfId="6518" xr:uid="{00000000-0005-0000-0000-0000D0970000}"/>
    <cellStyle name="Normal 344 4 2" xfId="9728" xr:uid="{00000000-0005-0000-0000-0000D1970000}"/>
    <cellStyle name="Normal 344 4 2 2" xfId="17522" xr:uid="{00000000-0005-0000-0000-0000D2970000}"/>
    <cellStyle name="Normal 344 4 2 2 2" xfId="35159" xr:uid="{00000000-0005-0000-0000-0000D3970000}"/>
    <cellStyle name="Normal 344 4 2 3" xfId="28112" xr:uid="{00000000-0005-0000-0000-0000D4970000}"/>
    <cellStyle name="Normal 344 4 3" xfId="14307" xr:uid="{00000000-0005-0000-0000-0000D5970000}"/>
    <cellStyle name="Normal 344 4 3 2" xfId="31942" xr:uid="{00000000-0005-0000-0000-0000D6970000}"/>
    <cellStyle name="Normal 344 4 4" xfId="25248" xr:uid="{00000000-0005-0000-0000-0000D7970000}"/>
    <cellStyle name="Normal 344 5" xfId="7294" xr:uid="{00000000-0005-0000-0000-0000D8970000}"/>
    <cellStyle name="Normal 344 5 2" xfId="10282" xr:uid="{00000000-0005-0000-0000-0000D9970000}"/>
    <cellStyle name="Normal 344 5 2 2" xfId="18075" xr:uid="{00000000-0005-0000-0000-0000DA970000}"/>
    <cellStyle name="Normal 344 5 2 2 2" xfId="35712" xr:uid="{00000000-0005-0000-0000-0000DB970000}"/>
    <cellStyle name="Normal 344 5 2 3" xfId="28649" xr:uid="{00000000-0005-0000-0000-0000DC970000}"/>
    <cellStyle name="Normal 344 5 3" xfId="15082" xr:uid="{00000000-0005-0000-0000-0000DD970000}"/>
    <cellStyle name="Normal 344 5 3 2" xfId="32717" xr:uid="{00000000-0005-0000-0000-0000DE970000}"/>
    <cellStyle name="Normal 344 5 4" xfId="25786" xr:uid="{00000000-0005-0000-0000-0000DF970000}"/>
    <cellStyle name="Normal 344 6" xfId="7893" xr:uid="{00000000-0005-0000-0000-0000E0970000}"/>
    <cellStyle name="Normal 344 6 2" xfId="15690" xr:uid="{00000000-0005-0000-0000-0000E1970000}"/>
    <cellStyle name="Normal 344 6 2 2" xfId="33325" xr:uid="{00000000-0005-0000-0000-0000E2970000}"/>
    <cellStyle name="Normal 344 6 3" xfId="26309" xr:uid="{00000000-0005-0000-0000-0000E3970000}"/>
    <cellStyle name="Normal 344 7" xfId="11840" xr:uid="{00000000-0005-0000-0000-0000E4970000}"/>
    <cellStyle name="Normal 344 7 2" xfId="29525" xr:uid="{00000000-0005-0000-0000-0000E5970000}"/>
    <cellStyle name="Normal 344 8" xfId="23444" xr:uid="{00000000-0005-0000-0000-0000E6970000}"/>
    <cellStyle name="Normal 344 9" xfId="52271" xr:uid="{00000000-0005-0000-0000-0000E7970000}"/>
    <cellStyle name="Normal 345" xfId="2618" xr:uid="{00000000-0005-0000-0000-0000E8970000}"/>
    <cellStyle name="Normal 345 2" xfId="4645" xr:uid="{00000000-0005-0000-0000-0000E9970000}"/>
    <cellStyle name="Normal 345 2 2" xfId="8576" xr:uid="{00000000-0005-0000-0000-0000EA970000}"/>
    <cellStyle name="Normal 345 2 2 2" xfId="16372" xr:uid="{00000000-0005-0000-0000-0000EB970000}"/>
    <cellStyle name="Normal 345 2 2 2 2" xfId="34007" xr:uid="{00000000-0005-0000-0000-0000EC970000}"/>
    <cellStyle name="Normal 345 2 2 3" xfId="26977" xr:uid="{00000000-0005-0000-0000-0000ED970000}"/>
    <cellStyle name="Normal 345 2 3" xfId="12845" xr:uid="{00000000-0005-0000-0000-0000EE970000}"/>
    <cellStyle name="Normal 345 2 3 2" xfId="30500" xr:uid="{00000000-0005-0000-0000-0000EF970000}"/>
    <cellStyle name="Normal 345 2 4" xfId="24112" xr:uid="{00000000-0005-0000-0000-0000F0970000}"/>
    <cellStyle name="Normal 345 3" xfId="5889" xr:uid="{00000000-0005-0000-0000-0000F1970000}"/>
    <cellStyle name="Normal 345 3 2" xfId="9189" xr:uid="{00000000-0005-0000-0000-0000F2970000}"/>
    <cellStyle name="Normal 345 3 2 2" xfId="16984" xr:uid="{00000000-0005-0000-0000-0000F3970000}"/>
    <cellStyle name="Normal 345 3 2 2 2" xfId="34620" xr:uid="{00000000-0005-0000-0000-0000F4970000}"/>
    <cellStyle name="Normal 345 3 2 3" xfId="27577" xr:uid="{00000000-0005-0000-0000-0000F5970000}"/>
    <cellStyle name="Normal 345 3 3" xfId="13745" xr:uid="{00000000-0005-0000-0000-0000F6970000}"/>
    <cellStyle name="Normal 345 3 3 2" xfId="31385" xr:uid="{00000000-0005-0000-0000-0000F7970000}"/>
    <cellStyle name="Normal 345 3 4" xfId="24712" xr:uid="{00000000-0005-0000-0000-0000F8970000}"/>
    <cellStyle name="Normal 345 4" xfId="6519" xr:uid="{00000000-0005-0000-0000-0000F9970000}"/>
    <cellStyle name="Normal 345 4 2" xfId="9729" xr:uid="{00000000-0005-0000-0000-0000FA970000}"/>
    <cellStyle name="Normal 345 4 2 2" xfId="17523" xr:uid="{00000000-0005-0000-0000-0000FB970000}"/>
    <cellStyle name="Normal 345 4 2 2 2" xfId="35160" xr:uid="{00000000-0005-0000-0000-0000FC970000}"/>
    <cellStyle name="Normal 345 4 2 3" xfId="28113" xr:uid="{00000000-0005-0000-0000-0000FD970000}"/>
    <cellStyle name="Normal 345 4 3" xfId="14308" xr:uid="{00000000-0005-0000-0000-0000FE970000}"/>
    <cellStyle name="Normal 345 4 3 2" xfId="31943" xr:uid="{00000000-0005-0000-0000-0000FF970000}"/>
    <cellStyle name="Normal 345 4 4" xfId="25249" xr:uid="{00000000-0005-0000-0000-000000980000}"/>
    <cellStyle name="Normal 345 5" xfId="7295" xr:uid="{00000000-0005-0000-0000-000001980000}"/>
    <cellStyle name="Normal 345 5 2" xfId="10283" xr:uid="{00000000-0005-0000-0000-000002980000}"/>
    <cellStyle name="Normal 345 5 2 2" xfId="18076" xr:uid="{00000000-0005-0000-0000-000003980000}"/>
    <cellStyle name="Normal 345 5 2 2 2" xfId="35713" xr:uid="{00000000-0005-0000-0000-000004980000}"/>
    <cellStyle name="Normal 345 5 2 3" xfId="28650" xr:uid="{00000000-0005-0000-0000-000005980000}"/>
    <cellStyle name="Normal 345 5 3" xfId="15083" xr:uid="{00000000-0005-0000-0000-000006980000}"/>
    <cellStyle name="Normal 345 5 3 2" xfId="32718" xr:uid="{00000000-0005-0000-0000-000007980000}"/>
    <cellStyle name="Normal 345 5 4" xfId="25787" xr:uid="{00000000-0005-0000-0000-000008980000}"/>
    <cellStyle name="Normal 345 6" xfId="7894" xr:uid="{00000000-0005-0000-0000-000009980000}"/>
    <cellStyle name="Normal 345 6 2" xfId="15691" xr:uid="{00000000-0005-0000-0000-00000A980000}"/>
    <cellStyle name="Normal 345 6 2 2" xfId="33326" xr:uid="{00000000-0005-0000-0000-00000B980000}"/>
    <cellStyle name="Normal 345 6 3" xfId="26310" xr:uid="{00000000-0005-0000-0000-00000C980000}"/>
    <cellStyle name="Normal 345 7" xfId="11841" xr:uid="{00000000-0005-0000-0000-00000D980000}"/>
    <cellStyle name="Normal 345 7 2" xfId="29526" xr:uid="{00000000-0005-0000-0000-00000E980000}"/>
    <cellStyle name="Normal 345 8" xfId="23445" xr:uid="{00000000-0005-0000-0000-00000F980000}"/>
    <cellStyle name="Normal 345 9" xfId="52272" xr:uid="{00000000-0005-0000-0000-000010980000}"/>
    <cellStyle name="Normal 346" xfId="2619" xr:uid="{00000000-0005-0000-0000-000011980000}"/>
    <cellStyle name="Normal 346 2" xfId="4646" xr:uid="{00000000-0005-0000-0000-000012980000}"/>
    <cellStyle name="Normal 346 2 2" xfId="8577" xr:uid="{00000000-0005-0000-0000-000013980000}"/>
    <cellStyle name="Normal 346 2 2 2" xfId="16373" xr:uid="{00000000-0005-0000-0000-000014980000}"/>
    <cellStyle name="Normal 346 2 2 2 2" xfId="34008" xr:uid="{00000000-0005-0000-0000-000015980000}"/>
    <cellStyle name="Normal 346 2 2 3" xfId="26978" xr:uid="{00000000-0005-0000-0000-000016980000}"/>
    <cellStyle name="Normal 346 2 3" xfId="12846" xr:uid="{00000000-0005-0000-0000-000017980000}"/>
    <cellStyle name="Normal 346 2 3 2" xfId="30501" xr:uid="{00000000-0005-0000-0000-000018980000}"/>
    <cellStyle name="Normal 346 2 4" xfId="24113" xr:uid="{00000000-0005-0000-0000-000019980000}"/>
    <cellStyle name="Normal 346 3" xfId="5890" xr:uid="{00000000-0005-0000-0000-00001A980000}"/>
    <cellStyle name="Normal 346 3 2" xfId="9190" xr:uid="{00000000-0005-0000-0000-00001B980000}"/>
    <cellStyle name="Normal 346 3 2 2" xfId="16985" xr:uid="{00000000-0005-0000-0000-00001C980000}"/>
    <cellStyle name="Normal 346 3 2 2 2" xfId="34621" xr:uid="{00000000-0005-0000-0000-00001D980000}"/>
    <cellStyle name="Normal 346 3 2 3" xfId="27578" xr:uid="{00000000-0005-0000-0000-00001E980000}"/>
    <cellStyle name="Normal 346 3 3" xfId="13746" xr:uid="{00000000-0005-0000-0000-00001F980000}"/>
    <cellStyle name="Normal 346 3 3 2" xfId="31386" xr:uid="{00000000-0005-0000-0000-000020980000}"/>
    <cellStyle name="Normal 346 3 4" xfId="24713" xr:uid="{00000000-0005-0000-0000-000021980000}"/>
    <cellStyle name="Normal 346 4" xfId="6520" xr:uid="{00000000-0005-0000-0000-000022980000}"/>
    <cellStyle name="Normal 346 4 2" xfId="9730" xr:uid="{00000000-0005-0000-0000-000023980000}"/>
    <cellStyle name="Normal 346 4 2 2" xfId="17524" xr:uid="{00000000-0005-0000-0000-000024980000}"/>
    <cellStyle name="Normal 346 4 2 2 2" xfId="35161" xr:uid="{00000000-0005-0000-0000-000025980000}"/>
    <cellStyle name="Normal 346 4 2 3" xfId="28114" xr:uid="{00000000-0005-0000-0000-000026980000}"/>
    <cellStyle name="Normal 346 4 3" xfId="14309" xr:uid="{00000000-0005-0000-0000-000027980000}"/>
    <cellStyle name="Normal 346 4 3 2" xfId="31944" xr:uid="{00000000-0005-0000-0000-000028980000}"/>
    <cellStyle name="Normal 346 4 4" xfId="25250" xr:uid="{00000000-0005-0000-0000-000029980000}"/>
    <cellStyle name="Normal 346 5" xfId="7296" xr:uid="{00000000-0005-0000-0000-00002A980000}"/>
    <cellStyle name="Normal 346 5 2" xfId="10284" xr:uid="{00000000-0005-0000-0000-00002B980000}"/>
    <cellStyle name="Normal 346 5 2 2" xfId="18077" xr:uid="{00000000-0005-0000-0000-00002C980000}"/>
    <cellStyle name="Normal 346 5 2 2 2" xfId="35714" xr:uid="{00000000-0005-0000-0000-00002D980000}"/>
    <cellStyle name="Normal 346 5 2 3" xfId="28651" xr:uid="{00000000-0005-0000-0000-00002E980000}"/>
    <cellStyle name="Normal 346 5 3" xfId="15084" xr:uid="{00000000-0005-0000-0000-00002F980000}"/>
    <cellStyle name="Normal 346 5 3 2" xfId="32719" xr:uid="{00000000-0005-0000-0000-000030980000}"/>
    <cellStyle name="Normal 346 5 4" xfId="25788" xr:uid="{00000000-0005-0000-0000-000031980000}"/>
    <cellStyle name="Normal 346 6" xfId="7895" xr:uid="{00000000-0005-0000-0000-000032980000}"/>
    <cellStyle name="Normal 346 6 2" xfId="15692" xr:uid="{00000000-0005-0000-0000-000033980000}"/>
    <cellStyle name="Normal 346 6 2 2" xfId="33327" xr:uid="{00000000-0005-0000-0000-000034980000}"/>
    <cellStyle name="Normal 346 6 3" xfId="26311" xr:uid="{00000000-0005-0000-0000-000035980000}"/>
    <cellStyle name="Normal 346 7" xfId="11842" xr:uid="{00000000-0005-0000-0000-000036980000}"/>
    <cellStyle name="Normal 346 7 2" xfId="29527" xr:uid="{00000000-0005-0000-0000-000037980000}"/>
    <cellStyle name="Normal 346 8" xfId="23446" xr:uid="{00000000-0005-0000-0000-000038980000}"/>
    <cellStyle name="Normal 346 9" xfId="52273" xr:uid="{00000000-0005-0000-0000-000039980000}"/>
    <cellStyle name="Normal 347" xfId="2620" xr:uid="{00000000-0005-0000-0000-00003A980000}"/>
    <cellStyle name="Normal 347 2" xfId="4647" xr:uid="{00000000-0005-0000-0000-00003B980000}"/>
    <cellStyle name="Normal 347 2 2" xfId="8578" xr:uid="{00000000-0005-0000-0000-00003C980000}"/>
    <cellStyle name="Normal 347 2 2 2" xfId="16374" xr:uid="{00000000-0005-0000-0000-00003D980000}"/>
    <cellStyle name="Normal 347 2 2 2 2" xfId="34009" xr:uid="{00000000-0005-0000-0000-00003E980000}"/>
    <cellStyle name="Normal 347 2 2 3" xfId="26979" xr:uid="{00000000-0005-0000-0000-00003F980000}"/>
    <cellStyle name="Normal 347 2 3" xfId="12847" xr:uid="{00000000-0005-0000-0000-000040980000}"/>
    <cellStyle name="Normal 347 2 3 2" xfId="30502" xr:uid="{00000000-0005-0000-0000-000041980000}"/>
    <cellStyle name="Normal 347 2 4" xfId="24114" xr:uid="{00000000-0005-0000-0000-000042980000}"/>
    <cellStyle name="Normal 347 3" xfId="5891" xr:uid="{00000000-0005-0000-0000-000043980000}"/>
    <cellStyle name="Normal 347 3 2" xfId="9191" xr:uid="{00000000-0005-0000-0000-000044980000}"/>
    <cellStyle name="Normal 347 3 2 2" xfId="16986" xr:uid="{00000000-0005-0000-0000-000045980000}"/>
    <cellStyle name="Normal 347 3 2 2 2" xfId="34622" xr:uid="{00000000-0005-0000-0000-000046980000}"/>
    <cellStyle name="Normal 347 3 2 3" xfId="27579" xr:uid="{00000000-0005-0000-0000-000047980000}"/>
    <cellStyle name="Normal 347 3 3" xfId="13747" xr:uid="{00000000-0005-0000-0000-000048980000}"/>
    <cellStyle name="Normal 347 3 3 2" xfId="31387" xr:uid="{00000000-0005-0000-0000-000049980000}"/>
    <cellStyle name="Normal 347 3 4" xfId="24714" xr:uid="{00000000-0005-0000-0000-00004A980000}"/>
    <cellStyle name="Normal 347 4" xfId="6521" xr:uid="{00000000-0005-0000-0000-00004B980000}"/>
    <cellStyle name="Normal 347 4 2" xfId="9731" xr:uid="{00000000-0005-0000-0000-00004C980000}"/>
    <cellStyle name="Normal 347 4 2 2" xfId="17525" xr:uid="{00000000-0005-0000-0000-00004D980000}"/>
    <cellStyle name="Normal 347 4 2 2 2" xfId="35162" xr:uid="{00000000-0005-0000-0000-00004E980000}"/>
    <cellStyle name="Normal 347 4 2 3" xfId="28115" xr:uid="{00000000-0005-0000-0000-00004F980000}"/>
    <cellStyle name="Normal 347 4 3" xfId="14310" xr:uid="{00000000-0005-0000-0000-000050980000}"/>
    <cellStyle name="Normal 347 4 3 2" xfId="31945" xr:uid="{00000000-0005-0000-0000-000051980000}"/>
    <cellStyle name="Normal 347 4 4" xfId="25251" xr:uid="{00000000-0005-0000-0000-000052980000}"/>
    <cellStyle name="Normal 347 5" xfId="7297" xr:uid="{00000000-0005-0000-0000-000053980000}"/>
    <cellStyle name="Normal 347 5 2" xfId="10285" xr:uid="{00000000-0005-0000-0000-000054980000}"/>
    <cellStyle name="Normal 347 5 2 2" xfId="18078" xr:uid="{00000000-0005-0000-0000-000055980000}"/>
    <cellStyle name="Normal 347 5 2 2 2" xfId="35715" xr:uid="{00000000-0005-0000-0000-000056980000}"/>
    <cellStyle name="Normal 347 5 2 3" xfId="28652" xr:uid="{00000000-0005-0000-0000-000057980000}"/>
    <cellStyle name="Normal 347 5 3" xfId="15085" xr:uid="{00000000-0005-0000-0000-000058980000}"/>
    <cellStyle name="Normal 347 5 3 2" xfId="32720" xr:uid="{00000000-0005-0000-0000-000059980000}"/>
    <cellStyle name="Normal 347 5 4" xfId="25789" xr:uid="{00000000-0005-0000-0000-00005A980000}"/>
    <cellStyle name="Normal 347 6" xfId="7896" xr:uid="{00000000-0005-0000-0000-00005B980000}"/>
    <cellStyle name="Normal 347 6 2" xfId="15693" xr:uid="{00000000-0005-0000-0000-00005C980000}"/>
    <cellStyle name="Normal 347 6 2 2" xfId="33328" xr:uid="{00000000-0005-0000-0000-00005D980000}"/>
    <cellStyle name="Normal 347 6 3" xfId="26312" xr:uid="{00000000-0005-0000-0000-00005E980000}"/>
    <cellStyle name="Normal 347 7" xfId="11843" xr:uid="{00000000-0005-0000-0000-00005F980000}"/>
    <cellStyle name="Normal 347 7 2" xfId="29528" xr:uid="{00000000-0005-0000-0000-000060980000}"/>
    <cellStyle name="Normal 347 8" xfId="23447" xr:uid="{00000000-0005-0000-0000-000061980000}"/>
    <cellStyle name="Normal 347 9" xfId="52274" xr:uid="{00000000-0005-0000-0000-000062980000}"/>
    <cellStyle name="Normal 348" xfId="2621" xr:uid="{00000000-0005-0000-0000-000063980000}"/>
    <cellStyle name="Normal 348 2" xfId="4648" xr:uid="{00000000-0005-0000-0000-000064980000}"/>
    <cellStyle name="Normal 348 2 2" xfId="8579" xr:uid="{00000000-0005-0000-0000-000065980000}"/>
    <cellStyle name="Normal 348 2 2 2" xfId="16375" xr:uid="{00000000-0005-0000-0000-000066980000}"/>
    <cellStyle name="Normal 348 2 2 2 2" xfId="34010" xr:uid="{00000000-0005-0000-0000-000067980000}"/>
    <cellStyle name="Normal 348 2 2 3" xfId="26980" xr:uid="{00000000-0005-0000-0000-000068980000}"/>
    <cellStyle name="Normal 348 2 3" xfId="12848" xr:uid="{00000000-0005-0000-0000-000069980000}"/>
    <cellStyle name="Normal 348 2 3 2" xfId="30503" xr:uid="{00000000-0005-0000-0000-00006A980000}"/>
    <cellStyle name="Normal 348 2 4" xfId="24115" xr:uid="{00000000-0005-0000-0000-00006B980000}"/>
    <cellStyle name="Normal 348 3" xfId="5892" xr:uid="{00000000-0005-0000-0000-00006C980000}"/>
    <cellStyle name="Normal 348 3 2" xfId="9192" xr:uid="{00000000-0005-0000-0000-00006D980000}"/>
    <cellStyle name="Normal 348 3 2 2" xfId="16987" xr:uid="{00000000-0005-0000-0000-00006E980000}"/>
    <cellStyle name="Normal 348 3 2 2 2" xfId="34623" xr:uid="{00000000-0005-0000-0000-00006F980000}"/>
    <cellStyle name="Normal 348 3 2 3" xfId="27580" xr:uid="{00000000-0005-0000-0000-000070980000}"/>
    <cellStyle name="Normal 348 3 3" xfId="13748" xr:uid="{00000000-0005-0000-0000-000071980000}"/>
    <cellStyle name="Normal 348 3 3 2" xfId="31388" xr:uid="{00000000-0005-0000-0000-000072980000}"/>
    <cellStyle name="Normal 348 3 4" xfId="24715" xr:uid="{00000000-0005-0000-0000-000073980000}"/>
    <cellStyle name="Normal 348 4" xfId="6522" xr:uid="{00000000-0005-0000-0000-000074980000}"/>
    <cellStyle name="Normal 348 4 2" xfId="9732" xr:uid="{00000000-0005-0000-0000-000075980000}"/>
    <cellStyle name="Normal 348 4 2 2" xfId="17526" xr:uid="{00000000-0005-0000-0000-000076980000}"/>
    <cellStyle name="Normal 348 4 2 2 2" xfId="35163" xr:uid="{00000000-0005-0000-0000-000077980000}"/>
    <cellStyle name="Normal 348 4 2 3" xfId="28116" xr:uid="{00000000-0005-0000-0000-000078980000}"/>
    <cellStyle name="Normal 348 4 3" xfId="14311" xr:uid="{00000000-0005-0000-0000-000079980000}"/>
    <cellStyle name="Normal 348 4 3 2" xfId="31946" xr:uid="{00000000-0005-0000-0000-00007A980000}"/>
    <cellStyle name="Normal 348 4 4" xfId="25252" xr:uid="{00000000-0005-0000-0000-00007B980000}"/>
    <cellStyle name="Normal 348 5" xfId="7298" xr:uid="{00000000-0005-0000-0000-00007C980000}"/>
    <cellStyle name="Normal 348 5 2" xfId="10286" xr:uid="{00000000-0005-0000-0000-00007D980000}"/>
    <cellStyle name="Normal 348 5 2 2" xfId="18079" xr:uid="{00000000-0005-0000-0000-00007E980000}"/>
    <cellStyle name="Normal 348 5 2 2 2" xfId="35716" xr:uid="{00000000-0005-0000-0000-00007F980000}"/>
    <cellStyle name="Normal 348 5 2 3" xfId="28653" xr:uid="{00000000-0005-0000-0000-000080980000}"/>
    <cellStyle name="Normal 348 5 3" xfId="15086" xr:uid="{00000000-0005-0000-0000-000081980000}"/>
    <cellStyle name="Normal 348 5 3 2" xfId="32721" xr:uid="{00000000-0005-0000-0000-000082980000}"/>
    <cellStyle name="Normal 348 5 4" xfId="25790" xr:uid="{00000000-0005-0000-0000-000083980000}"/>
    <cellStyle name="Normal 348 6" xfId="7897" xr:uid="{00000000-0005-0000-0000-000084980000}"/>
    <cellStyle name="Normal 348 6 2" xfId="15694" xr:uid="{00000000-0005-0000-0000-000085980000}"/>
    <cellStyle name="Normal 348 6 2 2" xfId="33329" xr:uid="{00000000-0005-0000-0000-000086980000}"/>
    <cellStyle name="Normal 348 6 3" xfId="26313" xr:uid="{00000000-0005-0000-0000-000087980000}"/>
    <cellStyle name="Normal 348 7" xfId="11844" xr:uid="{00000000-0005-0000-0000-000088980000}"/>
    <cellStyle name="Normal 348 7 2" xfId="29529" xr:uid="{00000000-0005-0000-0000-000089980000}"/>
    <cellStyle name="Normal 348 8" xfId="23448" xr:uid="{00000000-0005-0000-0000-00008A980000}"/>
    <cellStyle name="Normal 348 9" xfId="52275" xr:uid="{00000000-0005-0000-0000-00008B980000}"/>
    <cellStyle name="Normal 349" xfId="2622" xr:uid="{00000000-0005-0000-0000-00008C980000}"/>
    <cellStyle name="Normal 349 2" xfId="4649" xr:uid="{00000000-0005-0000-0000-00008D980000}"/>
    <cellStyle name="Normal 349 2 2" xfId="8580" xr:uid="{00000000-0005-0000-0000-00008E980000}"/>
    <cellStyle name="Normal 349 2 2 2" xfId="16376" xr:uid="{00000000-0005-0000-0000-00008F980000}"/>
    <cellStyle name="Normal 349 2 2 2 2" xfId="34011" xr:uid="{00000000-0005-0000-0000-000090980000}"/>
    <cellStyle name="Normal 349 2 2 3" xfId="26981" xr:uid="{00000000-0005-0000-0000-000091980000}"/>
    <cellStyle name="Normal 349 2 3" xfId="12849" xr:uid="{00000000-0005-0000-0000-000092980000}"/>
    <cellStyle name="Normal 349 2 3 2" xfId="30504" xr:uid="{00000000-0005-0000-0000-000093980000}"/>
    <cellStyle name="Normal 349 2 4" xfId="24116" xr:uid="{00000000-0005-0000-0000-000094980000}"/>
    <cellStyle name="Normal 349 3" xfId="5893" xr:uid="{00000000-0005-0000-0000-000095980000}"/>
    <cellStyle name="Normal 349 3 2" xfId="9193" xr:uid="{00000000-0005-0000-0000-000096980000}"/>
    <cellStyle name="Normal 349 3 2 2" xfId="16988" xr:uid="{00000000-0005-0000-0000-000097980000}"/>
    <cellStyle name="Normal 349 3 2 2 2" xfId="34624" xr:uid="{00000000-0005-0000-0000-000098980000}"/>
    <cellStyle name="Normal 349 3 2 3" xfId="27581" xr:uid="{00000000-0005-0000-0000-000099980000}"/>
    <cellStyle name="Normal 349 3 3" xfId="13749" xr:uid="{00000000-0005-0000-0000-00009A980000}"/>
    <cellStyle name="Normal 349 3 3 2" xfId="31389" xr:uid="{00000000-0005-0000-0000-00009B980000}"/>
    <cellStyle name="Normal 349 3 4" xfId="24716" xr:uid="{00000000-0005-0000-0000-00009C980000}"/>
    <cellStyle name="Normal 349 4" xfId="6523" xr:uid="{00000000-0005-0000-0000-00009D980000}"/>
    <cellStyle name="Normal 349 4 2" xfId="9733" xr:uid="{00000000-0005-0000-0000-00009E980000}"/>
    <cellStyle name="Normal 349 4 2 2" xfId="17527" xr:uid="{00000000-0005-0000-0000-00009F980000}"/>
    <cellStyle name="Normal 349 4 2 2 2" xfId="35164" xr:uid="{00000000-0005-0000-0000-0000A0980000}"/>
    <cellStyle name="Normal 349 4 2 3" xfId="28117" xr:uid="{00000000-0005-0000-0000-0000A1980000}"/>
    <cellStyle name="Normal 349 4 3" xfId="14312" xr:uid="{00000000-0005-0000-0000-0000A2980000}"/>
    <cellStyle name="Normal 349 4 3 2" xfId="31947" xr:uid="{00000000-0005-0000-0000-0000A3980000}"/>
    <cellStyle name="Normal 349 4 4" xfId="25253" xr:uid="{00000000-0005-0000-0000-0000A4980000}"/>
    <cellStyle name="Normal 349 5" xfId="7299" xr:uid="{00000000-0005-0000-0000-0000A5980000}"/>
    <cellStyle name="Normal 349 5 2" xfId="10287" xr:uid="{00000000-0005-0000-0000-0000A6980000}"/>
    <cellStyle name="Normal 349 5 2 2" xfId="18080" xr:uid="{00000000-0005-0000-0000-0000A7980000}"/>
    <cellStyle name="Normal 349 5 2 2 2" xfId="35717" xr:uid="{00000000-0005-0000-0000-0000A8980000}"/>
    <cellStyle name="Normal 349 5 2 3" xfId="28654" xr:uid="{00000000-0005-0000-0000-0000A9980000}"/>
    <cellStyle name="Normal 349 5 3" xfId="15087" xr:uid="{00000000-0005-0000-0000-0000AA980000}"/>
    <cellStyle name="Normal 349 5 3 2" xfId="32722" xr:uid="{00000000-0005-0000-0000-0000AB980000}"/>
    <cellStyle name="Normal 349 5 4" xfId="25791" xr:uid="{00000000-0005-0000-0000-0000AC980000}"/>
    <cellStyle name="Normal 349 6" xfId="7898" xr:uid="{00000000-0005-0000-0000-0000AD980000}"/>
    <cellStyle name="Normal 349 6 2" xfId="15695" xr:uid="{00000000-0005-0000-0000-0000AE980000}"/>
    <cellStyle name="Normal 349 6 2 2" xfId="33330" xr:uid="{00000000-0005-0000-0000-0000AF980000}"/>
    <cellStyle name="Normal 349 6 3" xfId="26314" xr:uid="{00000000-0005-0000-0000-0000B0980000}"/>
    <cellStyle name="Normal 349 7" xfId="11845" xr:uid="{00000000-0005-0000-0000-0000B1980000}"/>
    <cellStyle name="Normal 349 7 2" xfId="29530" xr:uid="{00000000-0005-0000-0000-0000B2980000}"/>
    <cellStyle name="Normal 349 8" xfId="23449" xr:uid="{00000000-0005-0000-0000-0000B3980000}"/>
    <cellStyle name="Normal 349 9" xfId="52276" xr:uid="{00000000-0005-0000-0000-0000B4980000}"/>
    <cellStyle name="Normal 35" xfId="2623" xr:uid="{00000000-0005-0000-0000-0000B5980000}"/>
    <cellStyle name="Normal 35 10" xfId="2624" xr:uid="{00000000-0005-0000-0000-0000B6980000}"/>
    <cellStyle name="Normal 35 10 2" xfId="2625" xr:uid="{00000000-0005-0000-0000-0000B7980000}"/>
    <cellStyle name="Normal 35 10 2 2" xfId="4651" xr:uid="{00000000-0005-0000-0000-0000B8980000}"/>
    <cellStyle name="Normal 35 10 2 3" xfId="52278" xr:uid="{00000000-0005-0000-0000-0000B9980000}"/>
    <cellStyle name="Normal 35 10 3" xfId="4650" xr:uid="{00000000-0005-0000-0000-0000BA980000}"/>
    <cellStyle name="Normal 35 10 4" xfId="52277" xr:uid="{00000000-0005-0000-0000-0000BB980000}"/>
    <cellStyle name="Normal 35 10 5" xfId="53258" xr:uid="{00000000-0005-0000-0000-0000BC980000}"/>
    <cellStyle name="Normal 35 11" xfId="2626" xr:uid="{00000000-0005-0000-0000-0000BD980000}"/>
    <cellStyle name="Normal 35 11 2" xfId="2627" xr:uid="{00000000-0005-0000-0000-0000BE980000}"/>
    <cellStyle name="Normal 35 11 2 2" xfId="4653" xr:uid="{00000000-0005-0000-0000-0000BF980000}"/>
    <cellStyle name="Normal 35 11 2 3" xfId="52280" xr:uid="{00000000-0005-0000-0000-0000C0980000}"/>
    <cellStyle name="Normal 35 11 3" xfId="4652" xr:uid="{00000000-0005-0000-0000-0000C1980000}"/>
    <cellStyle name="Normal 35 11 4" xfId="52279" xr:uid="{00000000-0005-0000-0000-0000C2980000}"/>
    <cellStyle name="Normal 35 12" xfId="2628" xr:uid="{00000000-0005-0000-0000-0000C3980000}"/>
    <cellStyle name="Normal 35 12 2" xfId="2629" xr:uid="{00000000-0005-0000-0000-0000C4980000}"/>
    <cellStyle name="Normal 35 12 2 2" xfId="4655" xr:uid="{00000000-0005-0000-0000-0000C5980000}"/>
    <cellStyle name="Normal 35 12 2 3" xfId="52282" xr:uid="{00000000-0005-0000-0000-0000C6980000}"/>
    <cellStyle name="Normal 35 12 3" xfId="2630" xr:uid="{00000000-0005-0000-0000-0000C7980000}"/>
    <cellStyle name="Normal 35 12 3 2" xfId="2631" xr:uid="{00000000-0005-0000-0000-0000C8980000}"/>
    <cellStyle name="Normal 35 12 3 2 2" xfId="4657" xr:uid="{00000000-0005-0000-0000-0000C9980000}"/>
    <cellStyle name="Normal 35 12 3 2 3" xfId="52284" xr:uid="{00000000-0005-0000-0000-0000CA980000}"/>
    <cellStyle name="Normal 35 12 3 3" xfId="2632" xr:uid="{00000000-0005-0000-0000-0000CB980000}"/>
    <cellStyle name="Normal 35 12 3 3 2" xfId="2633" xr:uid="{00000000-0005-0000-0000-0000CC980000}"/>
    <cellStyle name="Normal 35 12 3 3 2 2" xfId="4659" xr:uid="{00000000-0005-0000-0000-0000CD980000}"/>
    <cellStyle name="Normal 35 12 3 3 2 3" xfId="52286" xr:uid="{00000000-0005-0000-0000-0000CE980000}"/>
    <cellStyle name="Normal 35 12 3 3 3" xfId="4658" xr:uid="{00000000-0005-0000-0000-0000CF980000}"/>
    <cellStyle name="Normal 35 12 3 3 4" xfId="52285" xr:uid="{00000000-0005-0000-0000-0000D0980000}"/>
    <cellStyle name="Normal 35 12 3 4" xfId="4660" xr:uid="{00000000-0005-0000-0000-0000D1980000}"/>
    <cellStyle name="Normal 35 12 3 5" xfId="4656" xr:uid="{00000000-0005-0000-0000-0000D2980000}"/>
    <cellStyle name="Normal 35 12 3 6" xfId="52283" xr:uid="{00000000-0005-0000-0000-0000D3980000}"/>
    <cellStyle name="Normal 35 12 4" xfId="4654" xr:uid="{00000000-0005-0000-0000-0000D4980000}"/>
    <cellStyle name="Normal 35 12 5" xfId="52281" xr:uid="{00000000-0005-0000-0000-0000D5980000}"/>
    <cellStyle name="Normal 35 13" xfId="2634" xr:uid="{00000000-0005-0000-0000-0000D6980000}"/>
    <cellStyle name="Normal 35 13 2" xfId="2635" xr:uid="{00000000-0005-0000-0000-0000D7980000}"/>
    <cellStyle name="Normal 35 13 2 2" xfId="4662" xr:uid="{00000000-0005-0000-0000-0000D8980000}"/>
    <cellStyle name="Normal 35 13 2 3" xfId="52288" xr:uid="{00000000-0005-0000-0000-0000D9980000}"/>
    <cellStyle name="Normal 35 13 3" xfId="2636" xr:uid="{00000000-0005-0000-0000-0000DA980000}"/>
    <cellStyle name="Normal 35 13 3 2" xfId="4663" xr:uid="{00000000-0005-0000-0000-0000DB980000}"/>
    <cellStyle name="Normal 35 13 3 3" xfId="52289" xr:uid="{00000000-0005-0000-0000-0000DC980000}"/>
    <cellStyle name="Normal 35 13 4" xfId="2637" xr:uid="{00000000-0005-0000-0000-0000DD980000}"/>
    <cellStyle name="Normal 35 13 5" xfId="4664" xr:uid="{00000000-0005-0000-0000-0000DE980000}"/>
    <cellStyle name="Normal 35 13 6" xfId="4665" xr:uid="{00000000-0005-0000-0000-0000DF980000}"/>
    <cellStyle name="Normal 35 13 7" xfId="4661" xr:uid="{00000000-0005-0000-0000-0000E0980000}"/>
    <cellStyle name="Normal 35 13 8" xfId="52287" xr:uid="{00000000-0005-0000-0000-0000E1980000}"/>
    <cellStyle name="Normal 35 14" xfId="2638" xr:uid="{00000000-0005-0000-0000-0000E2980000}"/>
    <cellStyle name="Normal 35 14 2" xfId="2639" xr:uid="{00000000-0005-0000-0000-0000E3980000}"/>
    <cellStyle name="Normal 35 14 2 2" xfId="4666" xr:uid="{00000000-0005-0000-0000-0000E4980000}"/>
    <cellStyle name="Normal 35 14 2 3" xfId="52291" xr:uid="{00000000-0005-0000-0000-0000E5980000}"/>
    <cellStyle name="Normal 35 14 3" xfId="2640" xr:uid="{00000000-0005-0000-0000-0000E6980000}"/>
    <cellStyle name="Normal 35 14 3 2" xfId="4668" xr:uid="{00000000-0005-0000-0000-0000E7980000}"/>
    <cellStyle name="Normal 35 14 3 3" xfId="4667" xr:uid="{00000000-0005-0000-0000-0000E8980000}"/>
    <cellStyle name="Normal 35 14 3 4" xfId="52292" xr:uid="{00000000-0005-0000-0000-0000E9980000}"/>
    <cellStyle name="Normal 35 14 4" xfId="2641" xr:uid="{00000000-0005-0000-0000-0000EA980000}"/>
    <cellStyle name="Normal 35 14 5" xfId="52290" xr:uid="{00000000-0005-0000-0000-0000EB980000}"/>
    <cellStyle name="Normal 35 15" xfId="2642" xr:uid="{00000000-0005-0000-0000-0000EC980000}"/>
    <cellStyle name="Normal 35 15 2" xfId="2643" xr:uid="{00000000-0005-0000-0000-0000ED980000}"/>
    <cellStyle name="Normal 35 15 3" xfId="52293" xr:uid="{00000000-0005-0000-0000-0000EE980000}"/>
    <cellStyle name="Normal 35 16" xfId="2644" xr:uid="{00000000-0005-0000-0000-0000EF980000}"/>
    <cellStyle name="Normal 35 16 2" xfId="2645" xr:uid="{00000000-0005-0000-0000-0000F0980000}"/>
    <cellStyle name="Normal 35 16 2 2" xfId="52295" xr:uid="{00000000-0005-0000-0000-0000F1980000}"/>
    <cellStyle name="Normal 35 16 3" xfId="2646" xr:uid="{00000000-0005-0000-0000-0000F2980000}"/>
    <cellStyle name="Normal 35 16 3 2" xfId="2647" xr:uid="{00000000-0005-0000-0000-0000F3980000}"/>
    <cellStyle name="Normal 35 16 3 3" xfId="2648" xr:uid="{00000000-0005-0000-0000-0000F4980000}"/>
    <cellStyle name="Normal 35 16 3 4" xfId="2649" xr:uid="{00000000-0005-0000-0000-0000F5980000}"/>
    <cellStyle name="Normal 35 16 4" xfId="52294" xr:uid="{00000000-0005-0000-0000-0000F6980000}"/>
    <cellStyle name="Normal 35 17" xfId="2650" xr:uid="{00000000-0005-0000-0000-0000F7980000}"/>
    <cellStyle name="Normal 35 17 2" xfId="2651" xr:uid="{00000000-0005-0000-0000-0000F8980000}"/>
    <cellStyle name="Normal 35 17 3" xfId="2652" xr:uid="{00000000-0005-0000-0000-0000F9980000}"/>
    <cellStyle name="Normal 35 18" xfId="2653" xr:uid="{00000000-0005-0000-0000-0000FA980000}"/>
    <cellStyle name="Normal 35 19" xfId="2654" xr:uid="{00000000-0005-0000-0000-0000FB980000}"/>
    <cellStyle name="Normal 35 2" xfId="2655" xr:uid="{00000000-0005-0000-0000-0000FC980000}"/>
    <cellStyle name="Normal 35 2 2" xfId="2656" xr:uid="{00000000-0005-0000-0000-0000FD980000}"/>
    <cellStyle name="Normal 35 2 2 2" xfId="2657" xr:uid="{00000000-0005-0000-0000-0000FE980000}"/>
    <cellStyle name="Normal 35 2 2 2 2" xfId="4671" xr:uid="{00000000-0005-0000-0000-0000FF980000}"/>
    <cellStyle name="Normal 35 2 2 2 3" xfId="52298" xr:uid="{00000000-0005-0000-0000-000000990000}"/>
    <cellStyle name="Normal 35 2 2 3" xfId="4670" xr:uid="{00000000-0005-0000-0000-000001990000}"/>
    <cellStyle name="Normal 35 2 2 4" xfId="52297" xr:uid="{00000000-0005-0000-0000-000002990000}"/>
    <cellStyle name="Normal 35 2 2_BallGrid" xfId="2658" xr:uid="{00000000-0005-0000-0000-000003990000}"/>
    <cellStyle name="Normal 35 2 3" xfId="2659" xr:uid="{00000000-0005-0000-0000-000004990000}"/>
    <cellStyle name="Normal 35 2 3 2" xfId="4672" xr:uid="{00000000-0005-0000-0000-000005990000}"/>
    <cellStyle name="Normal 35 2 3 3" xfId="52299" xr:uid="{00000000-0005-0000-0000-000006990000}"/>
    <cellStyle name="Normal 35 2 4" xfId="4669" xr:uid="{00000000-0005-0000-0000-000007990000}"/>
    <cellStyle name="Normal 35 2 5" xfId="22775" xr:uid="{00000000-0005-0000-0000-000008990000}"/>
    <cellStyle name="Normal 35 2 5 2" xfId="38982" xr:uid="{00000000-0005-0000-0000-000009990000}"/>
    <cellStyle name="Normal 35 2 6" xfId="22854" xr:uid="{00000000-0005-0000-0000-00000A990000}"/>
    <cellStyle name="Normal 35 2 6 2" xfId="39027" xr:uid="{00000000-0005-0000-0000-00000B990000}"/>
    <cellStyle name="Normal 35 2 7" xfId="52296" xr:uid="{00000000-0005-0000-0000-00000C990000}"/>
    <cellStyle name="Normal 35 20" xfId="2660" xr:uid="{00000000-0005-0000-0000-00000D990000}"/>
    <cellStyle name="Normal 35 21" xfId="53257" xr:uid="{00000000-0005-0000-0000-00000E990000}"/>
    <cellStyle name="Normal 35 3" xfId="2661" xr:uid="{00000000-0005-0000-0000-00000F990000}"/>
    <cellStyle name="Normal 35 3 2" xfId="4673" xr:uid="{00000000-0005-0000-0000-000010990000}"/>
    <cellStyle name="Normal 35 3 3" xfId="52300" xr:uid="{00000000-0005-0000-0000-000011990000}"/>
    <cellStyle name="Normal 35 4" xfId="2662" xr:uid="{00000000-0005-0000-0000-000012990000}"/>
    <cellStyle name="Normal 35 4 2" xfId="4674" xr:uid="{00000000-0005-0000-0000-000013990000}"/>
    <cellStyle name="Normal 35 4 3" xfId="52301" xr:uid="{00000000-0005-0000-0000-000014990000}"/>
    <cellStyle name="Normal 35 5" xfId="2663" xr:uid="{00000000-0005-0000-0000-000015990000}"/>
    <cellStyle name="Normal 35 5 2" xfId="2664" xr:uid="{00000000-0005-0000-0000-000016990000}"/>
    <cellStyle name="Normal 35 5 2 2" xfId="4676" xr:uid="{00000000-0005-0000-0000-000017990000}"/>
    <cellStyle name="Normal 35 5 2 3" xfId="52303" xr:uid="{00000000-0005-0000-0000-000018990000}"/>
    <cellStyle name="Normal 35 5 3" xfId="4675" xr:uid="{00000000-0005-0000-0000-000019990000}"/>
    <cellStyle name="Normal 35 5 4" xfId="52302" xr:uid="{00000000-0005-0000-0000-00001A990000}"/>
    <cellStyle name="Normal 35 5_BallGrid" xfId="2665" xr:uid="{00000000-0005-0000-0000-00001B990000}"/>
    <cellStyle name="Normal 35 6" xfId="2666" xr:uid="{00000000-0005-0000-0000-00001C990000}"/>
    <cellStyle name="Normal 35 6 2" xfId="2667" xr:uid="{00000000-0005-0000-0000-00001D990000}"/>
    <cellStyle name="Normal 35 6 2 2" xfId="4678" xr:uid="{00000000-0005-0000-0000-00001E990000}"/>
    <cellStyle name="Normal 35 6 2 3" xfId="52305" xr:uid="{00000000-0005-0000-0000-00001F990000}"/>
    <cellStyle name="Normal 35 6 3" xfId="4677" xr:uid="{00000000-0005-0000-0000-000020990000}"/>
    <cellStyle name="Normal 35 6 4" xfId="52304" xr:uid="{00000000-0005-0000-0000-000021990000}"/>
    <cellStyle name="Normal 35 7" xfId="2668" xr:uid="{00000000-0005-0000-0000-000022990000}"/>
    <cellStyle name="Normal 35 7 2" xfId="2669" xr:uid="{00000000-0005-0000-0000-000023990000}"/>
    <cellStyle name="Normal 35 7 2 2" xfId="4680" xr:uid="{00000000-0005-0000-0000-000024990000}"/>
    <cellStyle name="Normal 35 7 2 3" xfId="52307" xr:uid="{00000000-0005-0000-0000-000025990000}"/>
    <cellStyle name="Normal 35 7 3" xfId="2670" xr:uid="{00000000-0005-0000-0000-000026990000}"/>
    <cellStyle name="Normal 35 7 3 2" xfId="4681" xr:uid="{00000000-0005-0000-0000-000027990000}"/>
    <cellStyle name="Normal 35 7 3 3" xfId="52308" xr:uid="{00000000-0005-0000-0000-000028990000}"/>
    <cellStyle name="Normal 35 7 4" xfId="2671" xr:uid="{00000000-0005-0000-0000-000029990000}"/>
    <cellStyle name="Normal 35 7 4 2" xfId="2672" xr:uid="{00000000-0005-0000-0000-00002A990000}"/>
    <cellStyle name="Normal 35 7 4 2 2" xfId="4683" xr:uid="{00000000-0005-0000-0000-00002B990000}"/>
    <cellStyle name="Normal 35 7 4 2 3" xfId="52310" xr:uid="{00000000-0005-0000-0000-00002C990000}"/>
    <cellStyle name="Normal 35 7 4 3" xfId="4682" xr:uid="{00000000-0005-0000-0000-00002D990000}"/>
    <cellStyle name="Normal 35 7 4 4" xfId="52309" xr:uid="{00000000-0005-0000-0000-00002E990000}"/>
    <cellStyle name="Normal 35 7 5" xfId="2673" xr:uid="{00000000-0005-0000-0000-00002F990000}"/>
    <cellStyle name="Normal 35 7 5 2" xfId="2674" xr:uid="{00000000-0005-0000-0000-000030990000}"/>
    <cellStyle name="Normal 35 7 5 2 2" xfId="4685" xr:uid="{00000000-0005-0000-0000-000031990000}"/>
    <cellStyle name="Normal 35 7 5 2 3" xfId="52312" xr:uid="{00000000-0005-0000-0000-000032990000}"/>
    <cellStyle name="Normal 35 7 5 3" xfId="2675" xr:uid="{00000000-0005-0000-0000-000033990000}"/>
    <cellStyle name="Normal 35 7 5 3 2" xfId="2676" xr:uid="{00000000-0005-0000-0000-000034990000}"/>
    <cellStyle name="Normal 35 7 5 3 2 2" xfId="4687" xr:uid="{00000000-0005-0000-0000-000035990000}"/>
    <cellStyle name="Normal 35 7 5 3 2 3" xfId="52314" xr:uid="{00000000-0005-0000-0000-000036990000}"/>
    <cellStyle name="Normal 35 7 5 3 3" xfId="2677" xr:uid="{00000000-0005-0000-0000-000037990000}"/>
    <cellStyle name="Normal 35 7 5 3 3 2" xfId="2678" xr:uid="{00000000-0005-0000-0000-000038990000}"/>
    <cellStyle name="Normal 35 7 5 3 3 2 2" xfId="4689" xr:uid="{00000000-0005-0000-0000-000039990000}"/>
    <cellStyle name="Normal 35 7 5 3 3 2 3" xfId="52316" xr:uid="{00000000-0005-0000-0000-00003A990000}"/>
    <cellStyle name="Normal 35 7 5 3 3 3" xfId="4688" xr:uid="{00000000-0005-0000-0000-00003B990000}"/>
    <cellStyle name="Normal 35 7 5 3 3 4" xfId="52315" xr:uid="{00000000-0005-0000-0000-00003C990000}"/>
    <cellStyle name="Normal 35 7 5 3 4" xfId="4690" xr:uid="{00000000-0005-0000-0000-00003D990000}"/>
    <cellStyle name="Normal 35 7 5 3 5" xfId="4686" xr:uid="{00000000-0005-0000-0000-00003E990000}"/>
    <cellStyle name="Normal 35 7 5 3 6" xfId="52313" xr:uid="{00000000-0005-0000-0000-00003F990000}"/>
    <cellStyle name="Normal 35 7 5 4" xfId="4684" xr:uid="{00000000-0005-0000-0000-000040990000}"/>
    <cellStyle name="Normal 35 7 5 5" xfId="52311" xr:uid="{00000000-0005-0000-0000-000041990000}"/>
    <cellStyle name="Normal 35 7 6" xfId="4679" xr:uid="{00000000-0005-0000-0000-000042990000}"/>
    <cellStyle name="Normal 35 7 7" xfId="22566" xr:uid="{00000000-0005-0000-0000-000043990000}"/>
    <cellStyle name="Normal 35 7 7 2" xfId="38877" xr:uid="{00000000-0005-0000-0000-000044990000}"/>
    <cellStyle name="Normal 35 7 8" xfId="52306" xr:uid="{00000000-0005-0000-0000-000045990000}"/>
    <cellStyle name="Normal 35 8" xfId="2679" xr:uid="{00000000-0005-0000-0000-000046990000}"/>
    <cellStyle name="Normal 35 8 2" xfId="2680" xr:uid="{00000000-0005-0000-0000-000047990000}"/>
    <cellStyle name="Normal 35 8 2 2" xfId="4692" xr:uid="{00000000-0005-0000-0000-000048990000}"/>
    <cellStyle name="Normal 35 8 2 3" xfId="52318" xr:uid="{00000000-0005-0000-0000-000049990000}"/>
    <cellStyle name="Normal 35 8 3" xfId="2681" xr:uid="{00000000-0005-0000-0000-00004A990000}"/>
    <cellStyle name="Normal 35 8 3 2" xfId="2682" xr:uid="{00000000-0005-0000-0000-00004B990000}"/>
    <cellStyle name="Normal 35 8 3 2 2" xfId="4694" xr:uid="{00000000-0005-0000-0000-00004C990000}"/>
    <cellStyle name="Normal 35 8 3 2 3" xfId="52320" xr:uid="{00000000-0005-0000-0000-00004D990000}"/>
    <cellStyle name="Normal 35 8 3 3" xfId="4693" xr:uid="{00000000-0005-0000-0000-00004E990000}"/>
    <cellStyle name="Normal 35 8 3 4" xfId="52319" xr:uid="{00000000-0005-0000-0000-00004F990000}"/>
    <cellStyle name="Normal 35 8 4" xfId="2683" xr:uid="{00000000-0005-0000-0000-000050990000}"/>
    <cellStyle name="Normal 35 8 4 2" xfId="2684" xr:uid="{00000000-0005-0000-0000-000051990000}"/>
    <cellStyle name="Normal 35 8 4 2 2" xfId="4696" xr:uid="{00000000-0005-0000-0000-000052990000}"/>
    <cellStyle name="Normal 35 8 4 2 3" xfId="52322" xr:uid="{00000000-0005-0000-0000-000053990000}"/>
    <cellStyle name="Normal 35 8 4 3" xfId="2685" xr:uid="{00000000-0005-0000-0000-000054990000}"/>
    <cellStyle name="Normal 35 8 4 3 2" xfId="2686" xr:uid="{00000000-0005-0000-0000-000055990000}"/>
    <cellStyle name="Normal 35 8 4 3 2 2" xfId="4698" xr:uid="{00000000-0005-0000-0000-000056990000}"/>
    <cellStyle name="Normal 35 8 4 3 2 3" xfId="52324" xr:uid="{00000000-0005-0000-0000-000057990000}"/>
    <cellStyle name="Normal 35 8 4 3 3" xfId="2687" xr:uid="{00000000-0005-0000-0000-000058990000}"/>
    <cellStyle name="Normal 35 8 4 3 3 2" xfId="2688" xr:uid="{00000000-0005-0000-0000-000059990000}"/>
    <cellStyle name="Normal 35 8 4 3 3 2 2" xfId="4700" xr:uid="{00000000-0005-0000-0000-00005A990000}"/>
    <cellStyle name="Normal 35 8 4 3 3 2 3" xfId="52326" xr:uid="{00000000-0005-0000-0000-00005B990000}"/>
    <cellStyle name="Normal 35 8 4 3 3 3" xfId="4699" xr:uid="{00000000-0005-0000-0000-00005C990000}"/>
    <cellStyle name="Normal 35 8 4 3 3 4" xfId="52325" xr:uid="{00000000-0005-0000-0000-00005D990000}"/>
    <cellStyle name="Normal 35 8 4 3 4" xfId="4701" xr:uid="{00000000-0005-0000-0000-00005E990000}"/>
    <cellStyle name="Normal 35 8 4 3 5" xfId="4697" xr:uid="{00000000-0005-0000-0000-00005F990000}"/>
    <cellStyle name="Normal 35 8 4 3 6" xfId="52323" xr:uid="{00000000-0005-0000-0000-000060990000}"/>
    <cellStyle name="Normal 35 8 4 4" xfId="4695" xr:uid="{00000000-0005-0000-0000-000061990000}"/>
    <cellStyle name="Normal 35 8 4 5" xfId="52321" xr:uid="{00000000-0005-0000-0000-000062990000}"/>
    <cellStyle name="Normal 35 8 5" xfId="4691" xr:uid="{00000000-0005-0000-0000-000063990000}"/>
    <cellStyle name="Normal 35 8 6" xfId="22320" xr:uid="{00000000-0005-0000-0000-000064990000}"/>
    <cellStyle name="Normal 35 8 6 2" xfId="38833" xr:uid="{00000000-0005-0000-0000-000065990000}"/>
    <cellStyle name="Normal 35 8 7" xfId="52317" xr:uid="{00000000-0005-0000-0000-000066990000}"/>
    <cellStyle name="Normal 35 9" xfId="2689" xr:uid="{00000000-0005-0000-0000-000067990000}"/>
    <cellStyle name="Normal 35 9 2" xfId="2690" xr:uid="{00000000-0005-0000-0000-000068990000}"/>
    <cellStyle name="Normal 35 9 2 2" xfId="4703" xr:uid="{00000000-0005-0000-0000-000069990000}"/>
    <cellStyle name="Normal 35 9 2 3" xfId="52328" xr:uid="{00000000-0005-0000-0000-00006A990000}"/>
    <cellStyle name="Normal 35 9 3" xfId="2691" xr:uid="{00000000-0005-0000-0000-00006B990000}"/>
    <cellStyle name="Normal 35 9 3 2" xfId="2692" xr:uid="{00000000-0005-0000-0000-00006C990000}"/>
    <cellStyle name="Normal 35 9 3 2 2" xfId="4705" xr:uid="{00000000-0005-0000-0000-00006D990000}"/>
    <cellStyle name="Normal 35 9 3 2 3" xfId="52330" xr:uid="{00000000-0005-0000-0000-00006E990000}"/>
    <cellStyle name="Normal 35 9 3 3" xfId="4704" xr:uid="{00000000-0005-0000-0000-00006F990000}"/>
    <cellStyle name="Normal 35 9 3 4" xfId="52329" xr:uid="{00000000-0005-0000-0000-000070990000}"/>
    <cellStyle name="Normal 35 9 4" xfId="2693" xr:uid="{00000000-0005-0000-0000-000071990000}"/>
    <cellStyle name="Normal 35 9 4 2" xfId="4706" xr:uid="{00000000-0005-0000-0000-000072990000}"/>
    <cellStyle name="Normal 35 9 4 3" xfId="52331" xr:uid="{00000000-0005-0000-0000-000073990000}"/>
    <cellStyle name="Normal 35 9 5" xfId="4702" xr:uid="{00000000-0005-0000-0000-000074990000}"/>
    <cellStyle name="Normal 35 9 6" xfId="52327" xr:uid="{00000000-0005-0000-0000-000075990000}"/>
    <cellStyle name="Normal 35_BallGrid" xfId="2694" xr:uid="{00000000-0005-0000-0000-000076990000}"/>
    <cellStyle name="Normal 350" xfId="2695" xr:uid="{00000000-0005-0000-0000-000077990000}"/>
    <cellStyle name="Normal 350 2" xfId="4707" xr:uid="{00000000-0005-0000-0000-000078990000}"/>
    <cellStyle name="Normal 350 2 2" xfId="8581" xr:uid="{00000000-0005-0000-0000-000079990000}"/>
    <cellStyle name="Normal 350 2 2 2" xfId="16377" xr:uid="{00000000-0005-0000-0000-00007A990000}"/>
    <cellStyle name="Normal 350 2 2 2 2" xfId="34012" xr:uid="{00000000-0005-0000-0000-00007B990000}"/>
    <cellStyle name="Normal 350 2 2 3" xfId="26982" xr:uid="{00000000-0005-0000-0000-00007C990000}"/>
    <cellStyle name="Normal 350 2 3" xfId="12869" xr:uid="{00000000-0005-0000-0000-00007D990000}"/>
    <cellStyle name="Normal 350 2 3 2" xfId="30519" xr:uid="{00000000-0005-0000-0000-00007E990000}"/>
    <cellStyle name="Normal 350 2 4" xfId="24117" xr:uid="{00000000-0005-0000-0000-00007F990000}"/>
    <cellStyle name="Normal 350 3" xfId="5894" xr:uid="{00000000-0005-0000-0000-000080990000}"/>
    <cellStyle name="Normal 350 3 2" xfId="9194" xr:uid="{00000000-0005-0000-0000-000081990000}"/>
    <cellStyle name="Normal 350 3 2 2" xfId="16989" xr:uid="{00000000-0005-0000-0000-000082990000}"/>
    <cellStyle name="Normal 350 3 2 2 2" xfId="34625" xr:uid="{00000000-0005-0000-0000-000083990000}"/>
    <cellStyle name="Normal 350 3 2 3" xfId="27582" xr:uid="{00000000-0005-0000-0000-000084990000}"/>
    <cellStyle name="Normal 350 3 3" xfId="13750" xr:uid="{00000000-0005-0000-0000-000085990000}"/>
    <cellStyle name="Normal 350 3 3 2" xfId="31390" xr:uid="{00000000-0005-0000-0000-000086990000}"/>
    <cellStyle name="Normal 350 3 4" xfId="24717" xr:uid="{00000000-0005-0000-0000-000087990000}"/>
    <cellStyle name="Normal 350 4" xfId="6524" xr:uid="{00000000-0005-0000-0000-000088990000}"/>
    <cellStyle name="Normal 350 4 2" xfId="9734" xr:uid="{00000000-0005-0000-0000-000089990000}"/>
    <cellStyle name="Normal 350 4 2 2" xfId="17528" xr:uid="{00000000-0005-0000-0000-00008A990000}"/>
    <cellStyle name="Normal 350 4 2 2 2" xfId="35165" xr:uid="{00000000-0005-0000-0000-00008B990000}"/>
    <cellStyle name="Normal 350 4 2 3" xfId="28118" xr:uid="{00000000-0005-0000-0000-00008C990000}"/>
    <cellStyle name="Normal 350 4 3" xfId="14313" xr:uid="{00000000-0005-0000-0000-00008D990000}"/>
    <cellStyle name="Normal 350 4 3 2" xfId="31948" xr:uid="{00000000-0005-0000-0000-00008E990000}"/>
    <cellStyle name="Normal 350 4 4" xfId="25254" xr:uid="{00000000-0005-0000-0000-00008F990000}"/>
    <cellStyle name="Normal 350 5" xfId="7300" xr:uid="{00000000-0005-0000-0000-000090990000}"/>
    <cellStyle name="Normal 350 5 2" xfId="10288" xr:uid="{00000000-0005-0000-0000-000091990000}"/>
    <cellStyle name="Normal 350 5 2 2" xfId="18081" xr:uid="{00000000-0005-0000-0000-000092990000}"/>
    <cellStyle name="Normal 350 5 2 2 2" xfId="35718" xr:uid="{00000000-0005-0000-0000-000093990000}"/>
    <cellStyle name="Normal 350 5 2 3" xfId="28655" xr:uid="{00000000-0005-0000-0000-000094990000}"/>
    <cellStyle name="Normal 350 5 3" xfId="15088" xr:uid="{00000000-0005-0000-0000-000095990000}"/>
    <cellStyle name="Normal 350 5 3 2" xfId="32723" xr:uid="{00000000-0005-0000-0000-000096990000}"/>
    <cellStyle name="Normal 350 5 4" xfId="25792" xr:uid="{00000000-0005-0000-0000-000097990000}"/>
    <cellStyle name="Normal 350 6" xfId="7899" xr:uid="{00000000-0005-0000-0000-000098990000}"/>
    <cellStyle name="Normal 350 6 2" xfId="15696" xr:uid="{00000000-0005-0000-0000-000099990000}"/>
    <cellStyle name="Normal 350 6 2 2" xfId="33331" xr:uid="{00000000-0005-0000-0000-00009A990000}"/>
    <cellStyle name="Normal 350 6 3" xfId="26315" xr:uid="{00000000-0005-0000-0000-00009B990000}"/>
    <cellStyle name="Normal 350 7" xfId="11856" xr:uid="{00000000-0005-0000-0000-00009C990000}"/>
    <cellStyle name="Normal 350 7 2" xfId="29539" xr:uid="{00000000-0005-0000-0000-00009D990000}"/>
    <cellStyle name="Normal 350 8" xfId="23450" xr:uid="{00000000-0005-0000-0000-00009E990000}"/>
    <cellStyle name="Normal 350 9" xfId="52332" xr:uid="{00000000-0005-0000-0000-00009F990000}"/>
    <cellStyle name="Normal 351" xfId="2696" xr:uid="{00000000-0005-0000-0000-0000A0990000}"/>
    <cellStyle name="Normal 351 2" xfId="4708" xr:uid="{00000000-0005-0000-0000-0000A1990000}"/>
    <cellStyle name="Normal 351 2 2" xfId="8582" xr:uid="{00000000-0005-0000-0000-0000A2990000}"/>
    <cellStyle name="Normal 351 2 2 2" xfId="16378" xr:uid="{00000000-0005-0000-0000-0000A3990000}"/>
    <cellStyle name="Normal 351 2 2 2 2" xfId="34013" xr:uid="{00000000-0005-0000-0000-0000A4990000}"/>
    <cellStyle name="Normal 351 2 2 3" xfId="26983" xr:uid="{00000000-0005-0000-0000-0000A5990000}"/>
    <cellStyle name="Normal 351 2 3" xfId="12870" xr:uid="{00000000-0005-0000-0000-0000A6990000}"/>
    <cellStyle name="Normal 351 2 3 2" xfId="30520" xr:uid="{00000000-0005-0000-0000-0000A7990000}"/>
    <cellStyle name="Normal 351 2 4" xfId="24118" xr:uid="{00000000-0005-0000-0000-0000A8990000}"/>
    <cellStyle name="Normal 351 3" xfId="5895" xr:uid="{00000000-0005-0000-0000-0000A9990000}"/>
    <cellStyle name="Normal 351 3 2" xfId="9195" xr:uid="{00000000-0005-0000-0000-0000AA990000}"/>
    <cellStyle name="Normal 351 3 2 2" xfId="16990" xr:uid="{00000000-0005-0000-0000-0000AB990000}"/>
    <cellStyle name="Normal 351 3 2 2 2" xfId="34626" xr:uid="{00000000-0005-0000-0000-0000AC990000}"/>
    <cellStyle name="Normal 351 3 2 3" xfId="27583" xr:uid="{00000000-0005-0000-0000-0000AD990000}"/>
    <cellStyle name="Normal 351 3 3" xfId="13751" xr:uid="{00000000-0005-0000-0000-0000AE990000}"/>
    <cellStyle name="Normal 351 3 3 2" xfId="31391" xr:uid="{00000000-0005-0000-0000-0000AF990000}"/>
    <cellStyle name="Normal 351 3 4" xfId="24718" xr:uid="{00000000-0005-0000-0000-0000B0990000}"/>
    <cellStyle name="Normal 351 4" xfId="6525" xr:uid="{00000000-0005-0000-0000-0000B1990000}"/>
    <cellStyle name="Normal 351 4 2" xfId="9735" xr:uid="{00000000-0005-0000-0000-0000B2990000}"/>
    <cellStyle name="Normal 351 4 2 2" xfId="17529" xr:uid="{00000000-0005-0000-0000-0000B3990000}"/>
    <cellStyle name="Normal 351 4 2 2 2" xfId="35166" xr:uid="{00000000-0005-0000-0000-0000B4990000}"/>
    <cellStyle name="Normal 351 4 2 3" xfId="28119" xr:uid="{00000000-0005-0000-0000-0000B5990000}"/>
    <cellStyle name="Normal 351 4 3" xfId="14314" xr:uid="{00000000-0005-0000-0000-0000B6990000}"/>
    <cellStyle name="Normal 351 4 3 2" xfId="31949" xr:uid="{00000000-0005-0000-0000-0000B7990000}"/>
    <cellStyle name="Normal 351 4 4" xfId="25255" xr:uid="{00000000-0005-0000-0000-0000B8990000}"/>
    <cellStyle name="Normal 351 5" xfId="7301" xr:uid="{00000000-0005-0000-0000-0000B9990000}"/>
    <cellStyle name="Normal 351 5 2" xfId="10289" xr:uid="{00000000-0005-0000-0000-0000BA990000}"/>
    <cellStyle name="Normal 351 5 2 2" xfId="18082" xr:uid="{00000000-0005-0000-0000-0000BB990000}"/>
    <cellStyle name="Normal 351 5 2 2 2" xfId="35719" xr:uid="{00000000-0005-0000-0000-0000BC990000}"/>
    <cellStyle name="Normal 351 5 2 3" xfId="28656" xr:uid="{00000000-0005-0000-0000-0000BD990000}"/>
    <cellStyle name="Normal 351 5 3" xfId="15089" xr:uid="{00000000-0005-0000-0000-0000BE990000}"/>
    <cellStyle name="Normal 351 5 3 2" xfId="32724" xr:uid="{00000000-0005-0000-0000-0000BF990000}"/>
    <cellStyle name="Normal 351 5 4" xfId="25793" xr:uid="{00000000-0005-0000-0000-0000C0990000}"/>
    <cellStyle name="Normal 351 6" xfId="7900" xr:uid="{00000000-0005-0000-0000-0000C1990000}"/>
    <cellStyle name="Normal 351 6 2" xfId="15697" xr:uid="{00000000-0005-0000-0000-0000C2990000}"/>
    <cellStyle name="Normal 351 6 2 2" xfId="33332" xr:uid="{00000000-0005-0000-0000-0000C3990000}"/>
    <cellStyle name="Normal 351 6 3" xfId="26316" xr:uid="{00000000-0005-0000-0000-0000C4990000}"/>
    <cellStyle name="Normal 351 7" xfId="11857" xr:uid="{00000000-0005-0000-0000-0000C5990000}"/>
    <cellStyle name="Normal 351 7 2" xfId="29540" xr:uid="{00000000-0005-0000-0000-0000C6990000}"/>
    <cellStyle name="Normal 351 8" xfId="23451" xr:uid="{00000000-0005-0000-0000-0000C7990000}"/>
    <cellStyle name="Normal 351 9" xfId="52333" xr:uid="{00000000-0005-0000-0000-0000C8990000}"/>
    <cellStyle name="Normal 352" xfId="2697" xr:uid="{00000000-0005-0000-0000-0000C9990000}"/>
    <cellStyle name="Normal 352 2" xfId="4709" xr:uid="{00000000-0005-0000-0000-0000CA990000}"/>
    <cellStyle name="Normal 352 2 2" xfId="8583" xr:uid="{00000000-0005-0000-0000-0000CB990000}"/>
    <cellStyle name="Normal 352 2 2 2" xfId="16379" xr:uid="{00000000-0005-0000-0000-0000CC990000}"/>
    <cellStyle name="Normal 352 2 2 2 2" xfId="34014" xr:uid="{00000000-0005-0000-0000-0000CD990000}"/>
    <cellStyle name="Normal 352 2 2 3" xfId="26984" xr:uid="{00000000-0005-0000-0000-0000CE990000}"/>
    <cellStyle name="Normal 352 2 3" xfId="12871" xr:uid="{00000000-0005-0000-0000-0000CF990000}"/>
    <cellStyle name="Normal 352 2 3 2" xfId="30521" xr:uid="{00000000-0005-0000-0000-0000D0990000}"/>
    <cellStyle name="Normal 352 2 4" xfId="24119" xr:uid="{00000000-0005-0000-0000-0000D1990000}"/>
    <cellStyle name="Normal 352 3" xfId="5896" xr:uid="{00000000-0005-0000-0000-0000D2990000}"/>
    <cellStyle name="Normal 352 3 2" xfId="9196" xr:uid="{00000000-0005-0000-0000-0000D3990000}"/>
    <cellStyle name="Normal 352 3 2 2" xfId="16991" xr:uid="{00000000-0005-0000-0000-0000D4990000}"/>
    <cellStyle name="Normal 352 3 2 2 2" xfId="34627" xr:uid="{00000000-0005-0000-0000-0000D5990000}"/>
    <cellStyle name="Normal 352 3 2 3" xfId="27584" xr:uid="{00000000-0005-0000-0000-0000D6990000}"/>
    <cellStyle name="Normal 352 3 3" xfId="13752" xr:uid="{00000000-0005-0000-0000-0000D7990000}"/>
    <cellStyle name="Normal 352 3 3 2" xfId="31392" xr:uid="{00000000-0005-0000-0000-0000D8990000}"/>
    <cellStyle name="Normal 352 3 4" xfId="24719" xr:uid="{00000000-0005-0000-0000-0000D9990000}"/>
    <cellStyle name="Normal 352 4" xfId="6526" xr:uid="{00000000-0005-0000-0000-0000DA990000}"/>
    <cellStyle name="Normal 352 4 2" xfId="9736" xr:uid="{00000000-0005-0000-0000-0000DB990000}"/>
    <cellStyle name="Normal 352 4 2 2" xfId="17530" xr:uid="{00000000-0005-0000-0000-0000DC990000}"/>
    <cellStyle name="Normal 352 4 2 2 2" xfId="35167" xr:uid="{00000000-0005-0000-0000-0000DD990000}"/>
    <cellStyle name="Normal 352 4 2 3" xfId="28120" xr:uid="{00000000-0005-0000-0000-0000DE990000}"/>
    <cellStyle name="Normal 352 4 3" xfId="14315" xr:uid="{00000000-0005-0000-0000-0000DF990000}"/>
    <cellStyle name="Normal 352 4 3 2" xfId="31950" xr:uid="{00000000-0005-0000-0000-0000E0990000}"/>
    <cellStyle name="Normal 352 4 4" xfId="25256" xr:uid="{00000000-0005-0000-0000-0000E1990000}"/>
    <cellStyle name="Normal 352 5" xfId="7302" xr:uid="{00000000-0005-0000-0000-0000E2990000}"/>
    <cellStyle name="Normal 352 5 2" xfId="10290" xr:uid="{00000000-0005-0000-0000-0000E3990000}"/>
    <cellStyle name="Normal 352 5 2 2" xfId="18083" xr:uid="{00000000-0005-0000-0000-0000E4990000}"/>
    <cellStyle name="Normal 352 5 2 2 2" xfId="35720" xr:uid="{00000000-0005-0000-0000-0000E5990000}"/>
    <cellStyle name="Normal 352 5 2 3" xfId="28657" xr:uid="{00000000-0005-0000-0000-0000E6990000}"/>
    <cellStyle name="Normal 352 5 3" xfId="15090" xr:uid="{00000000-0005-0000-0000-0000E7990000}"/>
    <cellStyle name="Normal 352 5 3 2" xfId="32725" xr:uid="{00000000-0005-0000-0000-0000E8990000}"/>
    <cellStyle name="Normal 352 5 4" xfId="25794" xr:uid="{00000000-0005-0000-0000-0000E9990000}"/>
    <cellStyle name="Normal 352 6" xfId="7901" xr:uid="{00000000-0005-0000-0000-0000EA990000}"/>
    <cellStyle name="Normal 352 6 2" xfId="15698" xr:uid="{00000000-0005-0000-0000-0000EB990000}"/>
    <cellStyle name="Normal 352 6 2 2" xfId="33333" xr:uid="{00000000-0005-0000-0000-0000EC990000}"/>
    <cellStyle name="Normal 352 6 3" xfId="26317" xr:uid="{00000000-0005-0000-0000-0000ED990000}"/>
    <cellStyle name="Normal 352 7" xfId="11858" xr:uid="{00000000-0005-0000-0000-0000EE990000}"/>
    <cellStyle name="Normal 352 7 2" xfId="29541" xr:uid="{00000000-0005-0000-0000-0000EF990000}"/>
    <cellStyle name="Normal 352 8" xfId="23452" xr:uid="{00000000-0005-0000-0000-0000F0990000}"/>
    <cellStyle name="Normal 352 9" xfId="52334" xr:uid="{00000000-0005-0000-0000-0000F1990000}"/>
    <cellStyle name="Normal 353" xfId="2698" xr:uid="{00000000-0005-0000-0000-0000F2990000}"/>
    <cellStyle name="Normal 353 2" xfId="4710" xr:uid="{00000000-0005-0000-0000-0000F3990000}"/>
    <cellStyle name="Normal 353 2 2" xfId="8584" xr:uid="{00000000-0005-0000-0000-0000F4990000}"/>
    <cellStyle name="Normal 353 2 2 2" xfId="16380" xr:uid="{00000000-0005-0000-0000-0000F5990000}"/>
    <cellStyle name="Normal 353 2 2 2 2" xfId="34015" xr:uid="{00000000-0005-0000-0000-0000F6990000}"/>
    <cellStyle name="Normal 353 2 2 3" xfId="26985" xr:uid="{00000000-0005-0000-0000-0000F7990000}"/>
    <cellStyle name="Normal 353 2 3" xfId="12872" xr:uid="{00000000-0005-0000-0000-0000F8990000}"/>
    <cellStyle name="Normal 353 2 3 2" xfId="30522" xr:uid="{00000000-0005-0000-0000-0000F9990000}"/>
    <cellStyle name="Normal 353 2 4" xfId="24120" xr:uid="{00000000-0005-0000-0000-0000FA990000}"/>
    <cellStyle name="Normal 353 3" xfId="5897" xr:uid="{00000000-0005-0000-0000-0000FB990000}"/>
    <cellStyle name="Normal 353 3 2" xfId="9197" xr:uid="{00000000-0005-0000-0000-0000FC990000}"/>
    <cellStyle name="Normal 353 3 2 2" xfId="16992" xr:uid="{00000000-0005-0000-0000-0000FD990000}"/>
    <cellStyle name="Normal 353 3 2 2 2" xfId="34628" xr:uid="{00000000-0005-0000-0000-0000FE990000}"/>
    <cellStyle name="Normal 353 3 2 3" xfId="27585" xr:uid="{00000000-0005-0000-0000-0000FF990000}"/>
    <cellStyle name="Normal 353 3 3" xfId="13753" xr:uid="{00000000-0005-0000-0000-0000009A0000}"/>
    <cellStyle name="Normal 353 3 3 2" xfId="31393" xr:uid="{00000000-0005-0000-0000-0000019A0000}"/>
    <cellStyle name="Normal 353 3 4" xfId="24720" xr:uid="{00000000-0005-0000-0000-0000029A0000}"/>
    <cellStyle name="Normal 353 4" xfId="6527" xr:uid="{00000000-0005-0000-0000-0000039A0000}"/>
    <cellStyle name="Normal 353 4 2" xfId="9737" xr:uid="{00000000-0005-0000-0000-0000049A0000}"/>
    <cellStyle name="Normal 353 4 2 2" xfId="17531" xr:uid="{00000000-0005-0000-0000-0000059A0000}"/>
    <cellStyle name="Normal 353 4 2 2 2" xfId="35168" xr:uid="{00000000-0005-0000-0000-0000069A0000}"/>
    <cellStyle name="Normal 353 4 2 3" xfId="28121" xr:uid="{00000000-0005-0000-0000-0000079A0000}"/>
    <cellStyle name="Normal 353 4 3" xfId="14316" xr:uid="{00000000-0005-0000-0000-0000089A0000}"/>
    <cellStyle name="Normal 353 4 3 2" xfId="31951" xr:uid="{00000000-0005-0000-0000-0000099A0000}"/>
    <cellStyle name="Normal 353 4 4" xfId="25257" xr:uid="{00000000-0005-0000-0000-00000A9A0000}"/>
    <cellStyle name="Normal 353 5" xfId="7303" xr:uid="{00000000-0005-0000-0000-00000B9A0000}"/>
    <cellStyle name="Normal 353 5 2" xfId="10291" xr:uid="{00000000-0005-0000-0000-00000C9A0000}"/>
    <cellStyle name="Normal 353 5 2 2" xfId="18084" xr:uid="{00000000-0005-0000-0000-00000D9A0000}"/>
    <cellStyle name="Normal 353 5 2 2 2" xfId="35721" xr:uid="{00000000-0005-0000-0000-00000E9A0000}"/>
    <cellStyle name="Normal 353 5 2 3" xfId="28658" xr:uid="{00000000-0005-0000-0000-00000F9A0000}"/>
    <cellStyle name="Normal 353 5 3" xfId="15091" xr:uid="{00000000-0005-0000-0000-0000109A0000}"/>
    <cellStyle name="Normal 353 5 3 2" xfId="32726" xr:uid="{00000000-0005-0000-0000-0000119A0000}"/>
    <cellStyle name="Normal 353 5 4" xfId="25795" xr:uid="{00000000-0005-0000-0000-0000129A0000}"/>
    <cellStyle name="Normal 353 6" xfId="7902" xr:uid="{00000000-0005-0000-0000-0000139A0000}"/>
    <cellStyle name="Normal 353 6 2" xfId="15699" xr:uid="{00000000-0005-0000-0000-0000149A0000}"/>
    <cellStyle name="Normal 353 6 2 2" xfId="33334" xr:uid="{00000000-0005-0000-0000-0000159A0000}"/>
    <cellStyle name="Normal 353 6 3" xfId="26318" xr:uid="{00000000-0005-0000-0000-0000169A0000}"/>
    <cellStyle name="Normal 353 7" xfId="11859" xr:uid="{00000000-0005-0000-0000-0000179A0000}"/>
    <cellStyle name="Normal 353 7 2" xfId="29542" xr:uid="{00000000-0005-0000-0000-0000189A0000}"/>
    <cellStyle name="Normal 353 8" xfId="23453" xr:uid="{00000000-0005-0000-0000-0000199A0000}"/>
    <cellStyle name="Normal 353 9" xfId="52335" xr:uid="{00000000-0005-0000-0000-00001A9A0000}"/>
    <cellStyle name="Normal 354" xfId="2699" xr:uid="{00000000-0005-0000-0000-00001B9A0000}"/>
    <cellStyle name="Normal 354 2" xfId="4711" xr:uid="{00000000-0005-0000-0000-00001C9A0000}"/>
    <cellStyle name="Normal 354 2 2" xfId="8585" xr:uid="{00000000-0005-0000-0000-00001D9A0000}"/>
    <cellStyle name="Normal 354 2 2 2" xfId="16381" xr:uid="{00000000-0005-0000-0000-00001E9A0000}"/>
    <cellStyle name="Normal 354 2 2 2 2" xfId="34016" xr:uid="{00000000-0005-0000-0000-00001F9A0000}"/>
    <cellStyle name="Normal 354 2 2 3" xfId="26986" xr:uid="{00000000-0005-0000-0000-0000209A0000}"/>
    <cellStyle name="Normal 354 2 3" xfId="12873" xr:uid="{00000000-0005-0000-0000-0000219A0000}"/>
    <cellStyle name="Normal 354 2 3 2" xfId="30523" xr:uid="{00000000-0005-0000-0000-0000229A0000}"/>
    <cellStyle name="Normal 354 2 4" xfId="24121" xr:uid="{00000000-0005-0000-0000-0000239A0000}"/>
    <cellStyle name="Normal 354 3" xfId="5898" xr:uid="{00000000-0005-0000-0000-0000249A0000}"/>
    <cellStyle name="Normal 354 3 2" xfId="9198" xr:uid="{00000000-0005-0000-0000-0000259A0000}"/>
    <cellStyle name="Normal 354 3 2 2" xfId="16993" xr:uid="{00000000-0005-0000-0000-0000269A0000}"/>
    <cellStyle name="Normal 354 3 2 2 2" xfId="34629" xr:uid="{00000000-0005-0000-0000-0000279A0000}"/>
    <cellStyle name="Normal 354 3 2 3" xfId="27586" xr:uid="{00000000-0005-0000-0000-0000289A0000}"/>
    <cellStyle name="Normal 354 3 3" xfId="13754" xr:uid="{00000000-0005-0000-0000-0000299A0000}"/>
    <cellStyle name="Normal 354 3 3 2" xfId="31394" xr:uid="{00000000-0005-0000-0000-00002A9A0000}"/>
    <cellStyle name="Normal 354 3 4" xfId="24721" xr:uid="{00000000-0005-0000-0000-00002B9A0000}"/>
    <cellStyle name="Normal 354 4" xfId="6528" xr:uid="{00000000-0005-0000-0000-00002C9A0000}"/>
    <cellStyle name="Normal 354 4 2" xfId="9738" xr:uid="{00000000-0005-0000-0000-00002D9A0000}"/>
    <cellStyle name="Normal 354 4 2 2" xfId="17532" xr:uid="{00000000-0005-0000-0000-00002E9A0000}"/>
    <cellStyle name="Normal 354 4 2 2 2" xfId="35169" xr:uid="{00000000-0005-0000-0000-00002F9A0000}"/>
    <cellStyle name="Normal 354 4 2 3" xfId="28122" xr:uid="{00000000-0005-0000-0000-0000309A0000}"/>
    <cellStyle name="Normal 354 4 3" xfId="14317" xr:uid="{00000000-0005-0000-0000-0000319A0000}"/>
    <cellStyle name="Normal 354 4 3 2" xfId="31952" xr:uid="{00000000-0005-0000-0000-0000329A0000}"/>
    <cellStyle name="Normal 354 4 4" xfId="25258" xr:uid="{00000000-0005-0000-0000-0000339A0000}"/>
    <cellStyle name="Normal 354 5" xfId="7304" xr:uid="{00000000-0005-0000-0000-0000349A0000}"/>
    <cellStyle name="Normal 354 5 2" xfId="10292" xr:uid="{00000000-0005-0000-0000-0000359A0000}"/>
    <cellStyle name="Normal 354 5 2 2" xfId="18085" xr:uid="{00000000-0005-0000-0000-0000369A0000}"/>
    <cellStyle name="Normal 354 5 2 2 2" xfId="35722" xr:uid="{00000000-0005-0000-0000-0000379A0000}"/>
    <cellStyle name="Normal 354 5 2 3" xfId="28659" xr:uid="{00000000-0005-0000-0000-0000389A0000}"/>
    <cellStyle name="Normal 354 5 3" xfId="15092" xr:uid="{00000000-0005-0000-0000-0000399A0000}"/>
    <cellStyle name="Normal 354 5 3 2" xfId="32727" xr:uid="{00000000-0005-0000-0000-00003A9A0000}"/>
    <cellStyle name="Normal 354 5 4" xfId="25796" xr:uid="{00000000-0005-0000-0000-00003B9A0000}"/>
    <cellStyle name="Normal 354 6" xfId="7903" xr:uid="{00000000-0005-0000-0000-00003C9A0000}"/>
    <cellStyle name="Normal 354 6 2" xfId="15700" xr:uid="{00000000-0005-0000-0000-00003D9A0000}"/>
    <cellStyle name="Normal 354 6 2 2" xfId="33335" xr:uid="{00000000-0005-0000-0000-00003E9A0000}"/>
    <cellStyle name="Normal 354 6 3" xfId="26319" xr:uid="{00000000-0005-0000-0000-00003F9A0000}"/>
    <cellStyle name="Normal 354 7" xfId="11860" xr:uid="{00000000-0005-0000-0000-0000409A0000}"/>
    <cellStyle name="Normal 354 7 2" xfId="29543" xr:uid="{00000000-0005-0000-0000-0000419A0000}"/>
    <cellStyle name="Normal 354 8" xfId="23454" xr:uid="{00000000-0005-0000-0000-0000429A0000}"/>
    <cellStyle name="Normal 354 9" xfId="52336" xr:uid="{00000000-0005-0000-0000-0000439A0000}"/>
    <cellStyle name="Normal 355" xfId="2700" xr:uid="{00000000-0005-0000-0000-0000449A0000}"/>
    <cellStyle name="Normal 355 2" xfId="4712" xr:uid="{00000000-0005-0000-0000-0000459A0000}"/>
    <cellStyle name="Normal 355 2 2" xfId="8586" xr:uid="{00000000-0005-0000-0000-0000469A0000}"/>
    <cellStyle name="Normal 355 2 2 2" xfId="16382" xr:uid="{00000000-0005-0000-0000-0000479A0000}"/>
    <cellStyle name="Normal 355 2 2 2 2" xfId="34017" xr:uid="{00000000-0005-0000-0000-0000489A0000}"/>
    <cellStyle name="Normal 355 2 2 3" xfId="26987" xr:uid="{00000000-0005-0000-0000-0000499A0000}"/>
    <cellStyle name="Normal 355 2 3" xfId="12874" xr:uid="{00000000-0005-0000-0000-00004A9A0000}"/>
    <cellStyle name="Normal 355 2 3 2" xfId="30524" xr:uid="{00000000-0005-0000-0000-00004B9A0000}"/>
    <cellStyle name="Normal 355 2 4" xfId="24122" xr:uid="{00000000-0005-0000-0000-00004C9A0000}"/>
    <cellStyle name="Normal 355 3" xfId="5899" xr:uid="{00000000-0005-0000-0000-00004D9A0000}"/>
    <cellStyle name="Normal 355 3 2" xfId="9199" xr:uid="{00000000-0005-0000-0000-00004E9A0000}"/>
    <cellStyle name="Normal 355 3 2 2" xfId="16994" xr:uid="{00000000-0005-0000-0000-00004F9A0000}"/>
    <cellStyle name="Normal 355 3 2 2 2" xfId="34630" xr:uid="{00000000-0005-0000-0000-0000509A0000}"/>
    <cellStyle name="Normal 355 3 2 3" xfId="27587" xr:uid="{00000000-0005-0000-0000-0000519A0000}"/>
    <cellStyle name="Normal 355 3 3" xfId="13755" xr:uid="{00000000-0005-0000-0000-0000529A0000}"/>
    <cellStyle name="Normal 355 3 3 2" xfId="31395" xr:uid="{00000000-0005-0000-0000-0000539A0000}"/>
    <cellStyle name="Normal 355 3 4" xfId="24722" xr:uid="{00000000-0005-0000-0000-0000549A0000}"/>
    <cellStyle name="Normal 355 4" xfId="6529" xr:uid="{00000000-0005-0000-0000-0000559A0000}"/>
    <cellStyle name="Normal 355 4 2" xfId="9739" xr:uid="{00000000-0005-0000-0000-0000569A0000}"/>
    <cellStyle name="Normal 355 4 2 2" xfId="17533" xr:uid="{00000000-0005-0000-0000-0000579A0000}"/>
    <cellStyle name="Normal 355 4 2 2 2" xfId="35170" xr:uid="{00000000-0005-0000-0000-0000589A0000}"/>
    <cellStyle name="Normal 355 4 2 3" xfId="28123" xr:uid="{00000000-0005-0000-0000-0000599A0000}"/>
    <cellStyle name="Normal 355 4 3" xfId="14318" xr:uid="{00000000-0005-0000-0000-00005A9A0000}"/>
    <cellStyle name="Normal 355 4 3 2" xfId="31953" xr:uid="{00000000-0005-0000-0000-00005B9A0000}"/>
    <cellStyle name="Normal 355 4 4" xfId="25259" xr:uid="{00000000-0005-0000-0000-00005C9A0000}"/>
    <cellStyle name="Normal 355 5" xfId="7305" xr:uid="{00000000-0005-0000-0000-00005D9A0000}"/>
    <cellStyle name="Normal 355 5 2" xfId="10293" xr:uid="{00000000-0005-0000-0000-00005E9A0000}"/>
    <cellStyle name="Normal 355 5 2 2" xfId="18086" xr:uid="{00000000-0005-0000-0000-00005F9A0000}"/>
    <cellStyle name="Normal 355 5 2 2 2" xfId="35723" xr:uid="{00000000-0005-0000-0000-0000609A0000}"/>
    <cellStyle name="Normal 355 5 2 3" xfId="28660" xr:uid="{00000000-0005-0000-0000-0000619A0000}"/>
    <cellStyle name="Normal 355 5 3" xfId="15093" xr:uid="{00000000-0005-0000-0000-0000629A0000}"/>
    <cellStyle name="Normal 355 5 3 2" xfId="32728" xr:uid="{00000000-0005-0000-0000-0000639A0000}"/>
    <cellStyle name="Normal 355 5 4" xfId="25797" xr:uid="{00000000-0005-0000-0000-0000649A0000}"/>
    <cellStyle name="Normal 355 6" xfId="7904" xr:uid="{00000000-0005-0000-0000-0000659A0000}"/>
    <cellStyle name="Normal 355 6 2" xfId="15701" xr:uid="{00000000-0005-0000-0000-0000669A0000}"/>
    <cellStyle name="Normal 355 6 2 2" xfId="33336" xr:uid="{00000000-0005-0000-0000-0000679A0000}"/>
    <cellStyle name="Normal 355 6 3" xfId="26320" xr:uid="{00000000-0005-0000-0000-0000689A0000}"/>
    <cellStyle name="Normal 355 7" xfId="11861" xr:uid="{00000000-0005-0000-0000-0000699A0000}"/>
    <cellStyle name="Normal 355 7 2" xfId="29544" xr:uid="{00000000-0005-0000-0000-00006A9A0000}"/>
    <cellStyle name="Normal 355 8" xfId="23455" xr:uid="{00000000-0005-0000-0000-00006B9A0000}"/>
    <cellStyle name="Normal 355 9" xfId="52337" xr:uid="{00000000-0005-0000-0000-00006C9A0000}"/>
    <cellStyle name="Normal 356" xfId="2701" xr:uid="{00000000-0005-0000-0000-00006D9A0000}"/>
    <cellStyle name="Normal 356 2" xfId="4713" xr:uid="{00000000-0005-0000-0000-00006E9A0000}"/>
    <cellStyle name="Normal 356 2 2" xfId="8587" xr:uid="{00000000-0005-0000-0000-00006F9A0000}"/>
    <cellStyle name="Normal 356 2 2 2" xfId="16383" xr:uid="{00000000-0005-0000-0000-0000709A0000}"/>
    <cellStyle name="Normal 356 2 2 2 2" xfId="34018" xr:uid="{00000000-0005-0000-0000-0000719A0000}"/>
    <cellStyle name="Normal 356 2 2 3" xfId="26988" xr:uid="{00000000-0005-0000-0000-0000729A0000}"/>
    <cellStyle name="Normal 356 2 3" xfId="12875" xr:uid="{00000000-0005-0000-0000-0000739A0000}"/>
    <cellStyle name="Normal 356 2 3 2" xfId="30525" xr:uid="{00000000-0005-0000-0000-0000749A0000}"/>
    <cellStyle name="Normal 356 2 4" xfId="24123" xr:uid="{00000000-0005-0000-0000-0000759A0000}"/>
    <cellStyle name="Normal 356 3" xfId="5900" xr:uid="{00000000-0005-0000-0000-0000769A0000}"/>
    <cellStyle name="Normal 356 3 2" xfId="9200" xr:uid="{00000000-0005-0000-0000-0000779A0000}"/>
    <cellStyle name="Normal 356 3 2 2" xfId="16995" xr:uid="{00000000-0005-0000-0000-0000789A0000}"/>
    <cellStyle name="Normal 356 3 2 2 2" xfId="34631" xr:uid="{00000000-0005-0000-0000-0000799A0000}"/>
    <cellStyle name="Normal 356 3 2 3" xfId="27588" xr:uid="{00000000-0005-0000-0000-00007A9A0000}"/>
    <cellStyle name="Normal 356 3 3" xfId="13756" xr:uid="{00000000-0005-0000-0000-00007B9A0000}"/>
    <cellStyle name="Normal 356 3 3 2" xfId="31396" xr:uid="{00000000-0005-0000-0000-00007C9A0000}"/>
    <cellStyle name="Normal 356 3 4" xfId="24723" xr:uid="{00000000-0005-0000-0000-00007D9A0000}"/>
    <cellStyle name="Normal 356 4" xfId="6530" xr:uid="{00000000-0005-0000-0000-00007E9A0000}"/>
    <cellStyle name="Normal 356 4 2" xfId="9740" xr:uid="{00000000-0005-0000-0000-00007F9A0000}"/>
    <cellStyle name="Normal 356 4 2 2" xfId="17534" xr:uid="{00000000-0005-0000-0000-0000809A0000}"/>
    <cellStyle name="Normal 356 4 2 2 2" xfId="35171" xr:uid="{00000000-0005-0000-0000-0000819A0000}"/>
    <cellStyle name="Normal 356 4 2 3" xfId="28124" xr:uid="{00000000-0005-0000-0000-0000829A0000}"/>
    <cellStyle name="Normal 356 4 3" xfId="14319" xr:uid="{00000000-0005-0000-0000-0000839A0000}"/>
    <cellStyle name="Normal 356 4 3 2" xfId="31954" xr:uid="{00000000-0005-0000-0000-0000849A0000}"/>
    <cellStyle name="Normal 356 4 4" xfId="25260" xr:uid="{00000000-0005-0000-0000-0000859A0000}"/>
    <cellStyle name="Normal 356 5" xfId="7306" xr:uid="{00000000-0005-0000-0000-0000869A0000}"/>
    <cellStyle name="Normal 356 5 2" xfId="10294" xr:uid="{00000000-0005-0000-0000-0000879A0000}"/>
    <cellStyle name="Normal 356 5 2 2" xfId="18087" xr:uid="{00000000-0005-0000-0000-0000889A0000}"/>
    <cellStyle name="Normal 356 5 2 2 2" xfId="35724" xr:uid="{00000000-0005-0000-0000-0000899A0000}"/>
    <cellStyle name="Normal 356 5 2 3" xfId="28661" xr:uid="{00000000-0005-0000-0000-00008A9A0000}"/>
    <cellStyle name="Normal 356 5 3" xfId="15094" xr:uid="{00000000-0005-0000-0000-00008B9A0000}"/>
    <cellStyle name="Normal 356 5 3 2" xfId="32729" xr:uid="{00000000-0005-0000-0000-00008C9A0000}"/>
    <cellStyle name="Normal 356 5 4" xfId="25798" xr:uid="{00000000-0005-0000-0000-00008D9A0000}"/>
    <cellStyle name="Normal 356 6" xfId="7905" xr:uid="{00000000-0005-0000-0000-00008E9A0000}"/>
    <cellStyle name="Normal 356 6 2" xfId="15702" xr:uid="{00000000-0005-0000-0000-00008F9A0000}"/>
    <cellStyle name="Normal 356 6 2 2" xfId="33337" xr:uid="{00000000-0005-0000-0000-0000909A0000}"/>
    <cellStyle name="Normal 356 6 3" xfId="26321" xr:uid="{00000000-0005-0000-0000-0000919A0000}"/>
    <cellStyle name="Normal 356 7" xfId="11862" xr:uid="{00000000-0005-0000-0000-0000929A0000}"/>
    <cellStyle name="Normal 356 7 2" xfId="29545" xr:uid="{00000000-0005-0000-0000-0000939A0000}"/>
    <cellStyle name="Normal 356 8" xfId="23456" xr:uid="{00000000-0005-0000-0000-0000949A0000}"/>
    <cellStyle name="Normal 356 9" xfId="52338" xr:uid="{00000000-0005-0000-0000-0000959A0000}"/>
    <cellStyle name="Normal 357" xfId="2702" xr:uid="{00000000-0005-0000-0000-0000969A0000}"/>
    <cellStyle name="Normal 357 2" xfId="4714" xr:uid="{00000000-0005-0000-0000-0000979A0000}"/>
    <cellStyle name="Normal 357 2 2" xfId="8588" xr:uid="{00000000-0005-0000-0000-0000989A0000}"/>
    <cellStyle name="Normal 357 2 2 2" xfId="16384" xr:uid="{00000000-0005-0000-0000-0000999A0000}"/>
    <cellStyle name="Normal 357 2 2 2 2" xfId="34019" xr:uid="{00000000-0005-0000-0000-00009A9A0000}"/>
    <cellStyle name="Normal 357 2 2 3" xfId="26989" xr:uid="{00000000-0005-0000-0000-00009B9A0000}"/>
    <cellStyle name="Normal 357 2 3" xfId="12876" xr:uid="{00000000-0005-0000-0000-00009C9A0000}"/>
    <cellStyle name="Normal 357 2 3 2" xfId="30526" xr:uid="{00000000-0005-0000-0000-00009D9A0000}"/>
    <cellStyle name="Normal 357 2 4" xfId="24124" xr:uid="{00000000-0005-0000-0000-00009E9A0000}"/>
    <cellStyle name="Normal 357 3" xfId="5901" xr:uid="{00000000-0005-0000-0000-00009F9A0000}"/>
    <cellStyle name="Normal 357 3 2" xfId="9201" xr:uid="{00000000-0005-0000-0000-0000A09A0000}"/>
    <cellStyle name="Normal 357 3 2 2" xfId="16996" xr:uid="{00000000-0005-0000-0000-0000A19A0000}"/>
    <cellStyle name="Normal 357 3 2 2 2" xfId="34632" xr:uid="{00000000-0005-0000-0000-0000A29A0000}"/>
    <cellStyle name="Normal 357 3 2 3" xfId="27589" xr:uid="{00000000-0005-0000-0000-0000A39A0000}"/>
    <cellStyle name="Normal 357 3 3" xfId="13757" xr:uid="{00000000-0005-0000-0000-0000A49A0000}"/>
    <cellStyle name="Normal 357 3 3 2" xfId="31397" xr:uid="{00000000-0005-0000-0000-0000A59A0000}"/>
    <cellStyle name="Normal 357 3 4" xfId="24724" xr:uid="{00000000-0005-0000-0000-0000A69A0000}"/>
    <cellStyle name="Normal 357 4" xfId="6531" xr:uid="{00000000-0005-0000-0000-0000A79A0000}"/>
    <cellStyle name="Normal 357 4 2" xfId="9741" xr:uid="{00000000-0005-0000-0000-0000A89A0000}"/>
    <cellStyle name="Normal 357 4 2 2" xfId="17535" xr:uid="{00000000-0005-0000-0000-0000A99A0000}"/>
    <cellStyle name="Normal 357 4 2 2 2" xfId="35172" xr:uid="{00000000-0005-0000-0000-0000AA9A0000}"/>
    <cellStyle name="Normal 357 4 2 3" xfId="28125" xr:uid="{00000000-0005-0000-0000-0000AB9A0000}"/>
    <cellStyle name="Normal 357 4 3" xfId="14320" xr:uid="{00000000-0005-0000-0000-0000AC9A0000}"/>
    <cellStyle name="Normal 357 4 3 2" xfId="31955" xr:uid="{00000000-0005-0000-0000-0000AD9A0000}"/>
    <cellStyle name="Normal 357 4 4" xfId="25261" xr:uid="{00000000-0005-0000-0000-0000AE9A0000}"/>
    <cellStyle name="Normal 357 5" xfId="7307" xr:uid="{00000000-0005-0000-0000-0000AF9A0000}"/>
    <cellStyle name="Normal 357 5 2" xfId="10295" xr:uid="{00000000-0005-0000-0000-0000B09A0000}"/>
    <cellStyle name="Normal 357 5 2 2" xfId="18088" xr:uid="{00000000-0005-0000-0000-0000B19A0000}"/>
    <cellStyle name="Normal 357 5 2 2 2" xfId="35725" xr:uid="{00000000-0005-0000-0000-0000B29A0000}"/>
    <cellStyle name="Normal 357 5 2 3" xfId="28662" xr:uid="{00000000-0005-0000-0000-0000B39A0000}"/>
    <cellStyle name="Normal 357 5 3" xfId="15095" xr:uid="{00000000-0005-0000-0000-0000B49A0000}"/>
    <cellStyle name="Normal 357 5 3 2" xfId="32730" xr:uid="{00000000-0005-0000-0000-0000B59A0000}"/>
    <cellStyle name="Normal 357 5 4" xfId="25799" xr:uid="{00000000-0005-0000-0000-0000B69A0000}"/>
    <cellStyle name="Normal 357 6" xfId="7906" xr:uid="{00000000-0005-0000-0000-0000B79A0000}"/>
    <cellStyle name="Normal 357 6 2" xfId="15703" xr:uid="{00000000-0005-0000-0000-0000B89A0000}"/>
    <cellStyle name="Normal 357 6 2 2" xfId="33338" xr:uid="{00000000-0005-0000-0000-0000B99A0000}"/>
    <cellStyle name="Normal 357 6 3" xfId="26322" xr:uid="{00000000-0005-0000-0000-0000BA9A0000}"/>
    <cellStyle name="Normal 357 7" xfId="11863" xr:uid="{00000000-0005-0000-0000-0000BB9A0000}"/>
    <cellStyle name="Normal 357 7 2" xfId="29546" xr:uid="{00000000-0005-0000-0000-0000BC9A0000}"/>
    <cellStyle name="Normal 357 8" xfId="23457" xr:uid="{00000000-0005-0000-0000-0000BD9A0000}"/>
    <cellStyle name="Normal 357 9" xfId="52339" xr:uid="{00000000-0005-0000-0000-0000BE9A0000}"/>
    <cellStyle name="Normal 358" xfId="2703" xr:uid="{00000000-0005-0000-0000-0000BF9A0000}"/>
    <cellStyle name="Normal 358 2" xfId="4715" xr:uid="{00000000-0005-0000-0000-0000C09A0000}"/>
    <cellStyle name="Normal 358 2 2" xfId="8589" xr:uid="{00000000-0005-0000-0000-0000C19A0000}"/>
    <cellStyle name="Normal 358 2 2 2" xfId="16385" xr:uid="{00000000-0005-0000-0000-0000C29A0000}"/>
    <cellStyle name="Normal 358 2 2 2 2" xfId="34020" xr:uid="{00000000-0005-0000-0000-0000C39A0000}"/>
    <cellStyle name="Normal 358 2 2 3" xfId="26990" xr:uid="{00000000-0005-0000-0000-0000C49A0000}"/>
    <cellStyle name="Normal 358 2 3" xfId="12877" xr:uid="{00000000-0005-0000-0000-0000C59A0000}"/>
    <cellStyle name="Normal 358 2 3 2" xfId="30527" xr:uid="{00000000-0005-0000-0000-0000C69A0000}"/>
    <cellStyle name="Normal 358 2 4" xfId="24125" xr:uid="{00000000-0005-0000-0000-0000C79A0000}"/>
    <cellStyle name="Normal 358 3" xfId="5902" xr:uid="{00000000-0005-0000-0000-0000C89A0000}"/>
    <cellStyle name="Normal 358 3 2" xfId="9202" xr:uid="{00000000-0005-0000-0000-0000C99A0000}"/>
    <cellStyle name="Normal 358 3 2 2" xfId="16997" xr:uid="{00000000-0005-0000-0000-0000CA9A0000}"/>
    <cellStyle name="Normal 358 3 2 2 2" xfId="34633" xr:uid="{00000000-0005-0000-0000-0000CB9A0000}"/>
    <cellStyle name="Normal 358 3 2 3" xfId="27590" xr:uid="{00000000-0005-0000-0000-0000CC9A0000}"/>
    <cellStyle name="Normal 358 3 3" xfId="13758" xr:uid="{00000000-0005-0000-0000-0000CD9A0000}"/>
    <cellStyle name="Normal 358 3 3 2" xfId="31398" xr:uid="{00000000-0005-0000-0000-0000CE9A0000}"/>
    <cellStyle name="Normal 358 3 4" xfId="24725" xr:uid="{00000000-0005-0000-0000-0000CF9A0000}"/>
    <cellStyle name="Normal 358 4" xfId="6532" xr:uid="{00000000-0005-0000-0000-0000D09A0000}"/>
    <cellStyle name="Normal 358 4 2" xfId="9742" xr:uid="{00000000-0005-0000-0000-0000D19A0000}"/>
    <cellStyle name="Normal 358 4 2 2" xfId="17536" xr:uid="{00000000-0005-0000-0000-0000D29A0000}"/>
    <cellStyle name="Normal 358 4 2 2 2" xfId="35173" xr:uid="{00000000-0005-0000-0000-0000D39A0000}"/>
    <cellStyle name="Normal 358 4 2 3" xfId="28126" xr:uid="{00000000-0005-0000-0000-0000D49A0000}"/>
    <cellStyle name="Normal 358 4 3" xfId="14321" xr:uid="{00000000-0005-0000-0000-0000D59A0000}"/>
    <cellStyle name="Normal 358 4 3 2" xfId="31956" xr:uid="{00000000-0005-0000-0000-0000D69A0000}"/>
    <cellStyle name="Normal 358 4 4" xfId="25262" xr:uid="{00000000-0005-0000-0000-0000D79A0000}"/>
    <cellStyle name="Normal 358 5" xfId="7308" xr:uid="{00000000-0005-0000-0000-0000D89A0000}"/>
    <cellStyle name="Normal 358 5 2" xfId="10296" xr:uid="{00000000-0005-0000-0000-0000D99A0000}"/>
    <cellStyle name="Normal 358 5 2 2" xfId="18089" xr:uid="{00000000-0005-0000-0000-0000DA9A0000}"/>
    <cellStyle name="Normal 358 5 2 2 2" xfId="35726" xr:uid="{00000000-0005-0000-0000-0000DB9A0000}"/>
    <cellStyle name="Normal 358 5 2 3" xfId="28663" xr:uid="{00000000-0005-0000-0000-0000DC9A0000}"/>
    <cellStyle name="Normal 358 5 3" xfId="15096" xr:uid="{00000000-0005-0000-0000-0000DD9A0000}"/>
    <cellStyle name="Normal 358 5 3 2" xfId="32731" xr:uid="{00000000-0005-0000-0000-0000DE9A0000}"/>
    <cellStyle name="Normal 358 5 4" xfId="25800" xr:uid="{00000000-0005-0000-0000-0000DF9A0000}"/>
    <cellStyle name="Normal 358 6" xfId="7907" xr:uid="{00000000-0005-0000-0000-0000E09A0000}"/>
    <cellStyle name="Normal 358 6 2" xfId="15704" xr:uid="{00000000-0005-0000-0000-0000E19A0000}"/>
    <cellStyle name="Normal 358 6 2 2" xfId="33339" xr:uid="{00000000-0005-0000-0000-0000E29A0000}"/>
    <cellStyle name="Normal 358 6 3" xfId="26323" xr:uid="{00000000-0005-0000-0000-0000E39A0000}"/>
    <cellStyle name="Normal 358 7" xfId="11864" xr:uid="{00000000-0005-0000-0000-0000E49A0000}"/>
    <cellStyle name="Normal 358 7 2" xfId="29547" xr:uid="{00000000-0005-0000-0000-0000E59A0000}"/>
    <cellStyle name="Normal 358 8" xfId="23458" xr:uid="{00000000-0005-0000-0000-0000E69A0000}"/>
    <cellStyle name="Normal 358 9" xfId="52340" xr:uid="{00000000-0005-0000-0000-0000E79A0000}"/>
    <cellStyle name="Normal 359" xfId="2704" xr:uid="{00000000-0005-0000-0000-0000E89A0000}"/>
    <cellStyle name="Normal 359 2" xfId="4716" xr:uid="{00000000-0005-0000-0000-0000E99A0000}"/>
    <cellStyle name="Normal 359 2 2" xfId="8590" xr:uid="{00000000-0005-0000-0000-0000EA9A0000}"/>
    <cellStyle name="Normal 359 2 2 2" xfId="16386" xr:uid="{00000000-0005-0000-0000-0000EB9A0000}"/>
    <cellStyle name="Normal 359 2 2 2 2" xfId="34021" xr:uid="{00000000-0005-0000-0000-0000EC9A0000}"/>
    <cellStyle name="Normal 359 2 2 3" xfId="26991" xr:uid="{00000000-0005-0000-0000-0000ED9A0000}"/>
    <cellStyle name="Normal 359 2 3" xfId="12878" xr:uid="{00000000-0005-0000-0000-0000EE9A0000}"/>
    <cellStyle name="Normal 359 2 3 2" xfId="30528" xr:uid="{00000000-0005-0000-0000-0000EF9A0000}"/>
    <cellStyle name="Normal 359 2 4" xfId="24126" xr:uid="{00000000-0005-0000-0000-0000F09A0000}"/>
    <cellStyle name="Normal 359 3" xfId="5903" xr:uid="{00000000-0005-0000-0000-0000F19A0000}"/>
    <cellStyle name="Normal 359 3 2" xfId="9203" xr:uid="{00000000-0005-0000-0000-0000F29A0000}"/>
    <cellStyle name="Normal 359 3 2 2" xfId="16998" xr:uid="{00000000-0005-0000-0000-0000F39A0000}"/>
    <cellStyle name="Normal 359 3 2 2 2" xfId="34634" xr:uid="{00000000-0005-0000-0000-0000F49A0000}"/>
    <cellStyle name="Normal 359 3 2 3" xfId="27591" xr:uid="{00000000-0005-0000-0000-0000F59A0000}"/>
    <cellStyle name="Normal 359 3 3" xfId="13759" xr:uid="{00000000-0005-0000-0000-0000F69A0000}"/>
    <cellStyle name="Normal 359 3 3 2" xfId="31399" xr:uid="{00000000-0005-0000-0000-0000F79A0000}"/>
    <cellStyle name="Normal 359 3 4" xfId="24726" xr:uid="{00000000-0005-0000-0000-0000F89A0000}"/>
    <cellStyle name="Normal 359 4" xfId="6533" xr:uid="{00000000-0005-0000-0000-0000F99A0000}"/>
    <cellStyle name="Normal 359 4 2" xfId="9743" xr:uid="{00000000-0005-0000-0000-0000FA9A0000}"/>
    <cellStyle name="Normal 359 4 2 2" xfId="17537" xr:uid="{00000000-0005-0000-0000-0000FB9A0000}"/>
    <cellStyle name="Normal 359 4 2 2 2" xfId="35174" xr:uid="{00000000-0005-0000-0000-0000FC9A0000}"/>
    <cellStyle name="Normal 359 4 2 3" xfId="28127" xr:uid="{00000000-0005-0000-0000-0000FD9A0000}"/>
    <cellStyle name="Normal 359 4 3" xfId="14322" xr:uid="{00000000-0005-0000-0000-0000FE9A0000}"/>
    <cellStyle name="Normal 359 4 3 2" xfId="31957" xr:uid="{00000000-0005-0000-0000-0000FF9A0000}"/>
    <cellStyle name="Normal 359 4 4" xfId="25263" xr:uid="{00000000-0005-0000-0000-0000009B0000}"/>
    <cellStyle name="Normal 359 5" xfId="7309" xr:uid="{00000000-0005-0000-0000-0000019B0000}"/>
    <cellStyle name="Normal 359 5 2" xfId="10297" xr:uid="{00000000-0005-0000-0000-0000029B0000}"/>
    <cellStyle name="Normal 359 5 2 2" xfId="18090" xr:uid="{00000000-0005-0000-0000-0000039B0000}"/>
    <cellStyle name="Normal 359 5 2 2 2" xfId="35727" xr:uid="{00000000-0005-0000-0000-0000049B0000}"/>
    <cellStyle name="Normal 359 5 2 3" xfId="28664" xr:uid="{00000000-0005-0000-0000-0000059B0000}"/>
    <cellStyle name="Normal 359 5 3" xfId="15097" xr:uid="{00000000-0005-0000-0000-0000069B0000}"/>
    <cellStyle name="Normal 359 5 3 2" xfId="32732" xr:uid="{00000000-0005-0000-0000-0000079B0000}"/>
    <cellStyle name="Normal 359 5 4" xfId="25801" xr:uid="{00000000-0005-0000-0000-0000089B0000}"/>
    <cellStyle name="Normal 359 6" xfId="7908" xr:uid="{00000000-0005-0000-0000-0000099B0000}"/>
    <cellStyle name="Normal 359 6 2" xfId="15705" xr:uid="{00000000-0005-0000-0000-00000A9B0000}"/>
    <cellStyle name="Normal 359 6 2 2" xfId="33340" xr:uid="{00000000-0005-0000-0000-00000B9B0000}"/>
    <cellStyle name="Normal 359 6 3" xfId="26324" xr:uid="{00000000-0005-0000-0000-00000C9B0000}"/>
    <cellStyle name="Normal 359 7" xfId="11865" xr:uid="{00000000-0005-0000-0000-00000D9B0000}"/>
    <cellStyle name="Normal 359 7 2" xfId="29548" xr:uid="{00000000-0005-0000-0000-00000E9B0000}"/>
    <cellStyle name="Normal 359 8" xfId="23459" xr:uid="{00000000-0005-0000-0000-00000F9B0000}"/>
    <cellStyle name="Normal 359 9" xfId="52341" xr:uid="{00000000-0005-0000-0000-0000109B0000}"/>
    <cellStyle name="Normal 36" xfId="2705" xr:uid="{00000000-0005-0000-0000-0000119B0000}"/>
    <cellStyle name="Normal 36 2" xfId="4717" xr:uid="{00000000-0005-0000-0000-0000129B0000}"/>
    <cellStyle name="Normal 36 2 2" xfId="22776" xr:uid="{00000000-0005-0000-0000-0000139B0000}"/>
    <cellStyle name="Normal 36 2 2 2" xfId="38983" xr:uid="{00000000-0005-0000-0000-0000149B0000}"/>
    <cellStyle name="Normal 36 3" xfId="22992" xr:uid="{00000000-0005-0000-0000-0000159B0000}"/>
    <cellStyle name="Normal 36 4" xfId="22567" xr:uid="{00000000-0005-0000-0000-0000169B0000}"/>
    <cellStyle name="Normal 36 4 2" xfId="38878" xr:uid="{00000000-0005-0000-0000-0000179B0000}"/>
    <cellStyle name="Normal 36 5" xfId="52342" xr:uid="{00000000-0005-0000-0000-0000189B0000}"/>
    <cellStyle name="Normal 360" xfId="2706" xr:uid="{00000000-0005-0000-0000-0000199B0000}"/>
    <cellStyle name="Normal 360 2" xfId="4718" xr:uid="{00000000-0005-0000-0000-00001A9B0000}"/>
    <cellStyle name="Normal 360 2 2" xfId="8591" xr:uid="{00000000-0005-0000-0000-00001B9B0000}"/>
    <cellStyle name="Normal 360 2 2 2" xfId="16387" xr:uid="{00000000-0005-0000-0000-00001C9B0000}"/>
    <cellStyle name="Normal 360 2 2 2 2" xfId="34022" xr:uid="{00000000-0005-0000-0000-00001D9B0000}"/>
    <cellStyle name="Normal 360 2 2 3" xfId="26992" xr:uid="{00000000-0005-0000-0000-00001E9B0000}"/>
    <cellStyle name="Normal 360 2 3" xfId="12879" xr:uid="{00000000-0005-0000-0000-00001F9B0000}"/>
    <cellStyle name="Normal 360 2 3 2" xfId="30529" xr:uid="{00000000-0005-0000-0000-0000209B0000}"/>
    <cellStyle name="Normal 360 2 4" xfId="24127" xr:uid="{00000000-0005-0000-0000-0000219B0000}"/>
    <cellStyle name="Normal 360 3" xfId="5904" xr:uid="{00000000-0005-0000-0000-0000229B0000}"/>
    <cellStyle name="Normal 360 3 2" xfId="9204" xr:uid="{00000000-0005-0000-0000-0000239B0000}"/>
    <cellStyle name="Normal 360 3 2 2" xfId="16999" xr:uid="{00000000-0005-0000-0000-0000249B0000}"/>
    <cellStyle name="Normal 360 3 2 2 2" xfId="34635" xr:uid="{00000000-0005-0000-0000-0000259B0000}"/>
    <cellStyle name="Normal 360 3 2 3" xfId="27592" xr:uid="{00000000-0005-0000-0000-0000269B0000}"/>
    <cellStyle name="Normal 360 3 3" xfId="13760" xr:uid="{00000000-0005-0000-0000-0000279B0000}"/>
    <cellStyle name="Normal 360 3 3 2" xfId="31400" xr:uid="{00000000-0005-0000-0000-0000289B0000}"/>
    <cellStyle name="Normal 360 3 4" xfId="24727" xr:uid="{00000000-0005-0000-0000-0000299B0000}"/>
    <cellStyle name="Normal 360 4" xfId="6534" xr:uid="{00000000-0005-0000-0000-00002A9B0000}"/>
    <cellStyle name="Normal 360 4 2" xfId="9744" xr:uid="{00000000-0005-0000-0000-00002B9B0000}"/>
    <cellStyle name="Normal 360 4 2 2" xfId="17538" xr:uid="{00000000-0005-0000-0000-00002C9B0000}"/>
    <cellStyle name="Normal 360 4 2 2 2" xfId="35175" xr:uid="{00000000-0005-0000-0000-00002D9B0000}"/>
    <cellStyle name="Normal 360 4 2 3" xfId="28128" xr:uid="{00000000-0005-0000-0000-00002E9B0000}"/>
    <cellStyle name="Normal 360 4 3" xfId="14323" xr:uid="{00000000-0005-0000-0000-00002F9B0000}"/>
    <cellStyle name="Normal 360 4 3 2" xfId="31958" xr:uid="{00000000-0005-0000-0000-0000309B0000}"/>
    <cellStyle name="Normal 360 4 4" xfId="25264" xr:uid="{00000000-0005-0000-0000-0000319B0000}"/>
    <cellStyle name="Normal 360 5" xfId="7310" xr:uid="{00000000-0005-0000-0000-0000329B0000}"/>
    <cellStyle name="Normal 360 5 2" xfId="10298" xr:uid="{00000000-0005-0000-0000-0000339B0000}"/>
    <cellStyle name="Normal 360 5 2 2" xfId="18091" xr:uid="{00000000-0005-0000-0000-0000349B0000}"/>
    <cellStyle name="Normal 360 5 2 2 2" xfId="35728" xr:uid="{00000000-0005-0000-0000-0000359B0000}"/>
    <cellStyle name="Normal 360 5 2 3" xfId="28665" xr:uid="{00000000-0005-0000-0000-0000369B0000}"/>
    <cellStyle name="Normal 360 5 3" xfId="15098" xr:uid="{00000000-0005-0000-0000-0000379B0000}"/>
    <cellStyle name="Normal 360 5 3 2" xfId="32733" xr:uid="{00000000-0005-0000-0000-0000389B0000}"/>
    <cellStyle name="Normal 360 5 4" xfId="25802" xr:uid="{00000000-0005-0000-0000-0000399B0000}"/>
    <cellStyle name="Normal 360 6" xfId="7909" xr:uid="{00000000-0005-0000-0000-00003A9B0000}"/>
    <cellStyle name="Normal 360 6 2" xfId="15706" xr:uid="{00000000-0005-0000-0000-00003B9B0000}"/>
    <cellStyle name="Normal 360 6 2 2" xfId="33341" xr:uid="{00000000-0005-0000-0000-00003C9B0000}"/>
    <cellStyle name="Normal 360 6 3" xfId="26325" xr:uid="{00000000-0005-0000-0000-00003D9B0000}"/>
    <cellStyle name="Normal 360 7" xfId="11866" xr:uid="{00000000-0005-0000-0000-00003E9B0000}"/>
    <cellStyle name="Normal 360 7 2" xfId="29549" xr:uid="{00000000-0005-0000-0000-00003F9B0000}"/>
    <cellStyle name="Normal 360 8" xfId="23460" xr:uid="{00000000-0005-0000-0000-0000409B0000}"/>
    <cellStyle name="Normal 360 9" xfId="52343" xr:uid="{00000000-0005-0000-0000-0000419B0000}"/>
    <cellStyle name="Normal 361" xfId="2707" xr:uid="{00000000-0005-0000-0000-0000429B0000}"/>
    <cellStyle name="Normal 361 2" xfId="4719" xr:uid="{00000000-0005-0000-0000-0000439B0000}"/>
    <cellStyle name="Normal 361 2 2" xfId="8592" xr:uid="{00000000-0005-0000-0000-0000449B0000}"/>
    <cellStyle name="Normal 361 2 2 2" xfId="16388" xr:uid="{00000000-0005-0000-0000-0000459B0000}"/>
    <cellStyle name="Normal 361 2 2 2 2" xfId="34023" xr:uid="{00000000-0005-0000-0000-0000469B0000}"/>
    <cellStyle name="Normal 361 2 2 3" xfId="26993" xr:uid="{00000000-0005-0000-0000-0000479B0000}"/>
    <cellStyle name="Normal 361 2 3" xfId="12880" xr:uid="{00000000-0005-0000-0000-0000489B0000}"/>
    <cellStyle name="Normal 361 2 3 2" xfId="30530" xr:uid="{00000000-0005-0000-0000-0000499B0000}"/>
    <cellStyle name="Normal 361 2 4" xfId="24128" xr:uid="{00000000-0005-0000-0000-00004A9B0000}"/>
    <cellStyle name="Normal 361 3" xfId="5905" xr:uid="{00000000-0005-0000-0000-00004B9B0000}"/>
    <cellStyle name="Normal 361 3 2" xfId="9205" xr:uid="{00000000-0005-0000-0000-00004C9B0000}"/>
    <cellStyle name="Normal 361 3 2 2" xfId="17000" xr:uid="{00000000-0005-0000-0000-00004D9B0000}"/>
    <cellStyle name="Normal 361 3 2 2 2" xfId="34636" xr:uid="{00000000-0005-0000-0000-00004E9B0000}"/>
    <cellStyle name="Normal 361 3 2 3" xfId="27593" xr:uid="{00000000-0005-0000-0000-00004F9B0000}"/>
    <cellStyle name="Normal 361 3 3" xfId="13761" xr:uid="{00000000-0005-0000-0000-0000509B0000}"/>
    <cellStyle name="Normal 361 3 3 2" xfId="31401" xr:uid="{00000000-0005-0000-0000-0000519B0000}"/>
    <cellStyle name="Normal 361 3 4" xfId="24728" xr:uid="{00000000-0005-0000-0000-0000529B0000}"/>
    <cellStyle name="Normal 361 4" xfId="6535" xr:uid="{00000000-0005-0000-0000-0000539B0000}"/>
    <cellStyle name="Normal 361 4 2" xfId="9745" xr:uid="{00000000-0005-0000-0000-0000549B0000}"/>
    <cellStyle name="Normal 361 4 2 2" xfId="17539" xr:uid="{00000000-0005-0000-0000-0000559B0000}"/>
    <cellStyle name="Normal 361 4 2 2 2" xfId="35176" xr:uid="{00000000-0005-0000-0000-0000569B0000}"/>
    <cellStyle name="Normal 361 4 2 3" xfId="28129" xr:uid="{00000000-0005-0000-0000-0000579B0000}"/>
    <cellStyle name="Normal 361 4 3" xfId="14324" xr:uid="{00000000-0005-0000-0000-0000589B0000}"/>
    <cellStyle name="Normal 361 4 3 2" xfId="31959" xr:uid="{00000000-0005-0000-0000-0000599B0000}"/>
    <cellStyle name="Normal 361 4 4" xfId="25265" xr:uid="{00000000-0005-0000-0000-00005A9B0000}"/>
    <cellStyle name="Normal 361 5" xfId="7311" xr:uid="{00000000-0005-0000-0000-00005B9B0000}"/>
    <cellStyle name="Normal 361 5 2" xfId="10299" xr:uid="{00000000-0005-0000-0000-00005C9B0000}"/>
    <cellStyle name="Normal 361 5 2 2" xfId="18092" xr:uid="{00000000-0005-0000-0000-00005D9B0000}"/>
    <cellStyle name="Normal 361 5 2 2 2" xfId="35729" xr:uid="{00000000-0005-0000-0000-00005E9B0000}"/>
    <cellStyle name="Normal 361 5 2 3" xfId="28666" xr:uid="{00000000-0005-0000-0000-00005F9B0000}"/>
    <cellStyle name="Normal 361 5 3" xfId="15099" xr:uid="{00000000-0005-0000-0000-0000609B0000}"/>
    <cellStyle name="Normal 361 5 3 2" xfId="32734" xr:uid="{00000000-0005-0000-0000-0000619B0000}"/>
    <cellStyle name="Normal 361 5 4" xfId="25803" xr:uid="{00000000-0005-0000-0000-0000629B0000}"/>
    <cellStyle name="Normal 361 6" xfId="7910" xr:uid="{00000000-0005-0000-0000-0000639B0000}"/>
    <cellStyle name="Normal 361 6 2" xfId="15707" xr:uid="{00000000-0005-0000-0000-0000649B0000}"/>
    <cellStyle name="Normal 361 6 2 2" xfId="33342" xr:uid="{00000000-0005-0000-0000-0000659B0000}"/>
    <cellStyle name="Normal 361 6 3" xfId="26326" xr:uid="{00000000-0005-0000-0000-0000669B0000}"/>
    <cellStyle name="Normal 361 7" xfId="11867" xr:uid="{00000000-0005-0000-0000-0000679B0000}"/>
    <cellStyle name="Normal 361 7 2" xfId="29550" xr:uid="{00000000-0005-0000-0000-0000689B0000}"/>
    <cellStyle name="Normal 361 8" xfId="23461" xr:uid="{00000000-0005-0000-0000-0000699B0000}"/>
    <cellStyle name="Normal 361 9" xfId="52344" xr:uid="{00000000-0005-0000-0000-00006A9B0000}"/>
    <cellStyle name="Normal 362" xfId="2708" xr:uid="{00000000-0005-0000-0000-00006B9B0000}"/>
    <cellStyle name="Normal 362 2" xfId="4720" xr:uid="{00000000-0005-0000-0000-00006C9B0000}"/>
    <cellStyle name="Normal 362 2 2" xfId="8593" xr:uid="{00000000-0005-0000-0000-00006D9B0000}"/>
    <cellStyle name="Normal 362 2 2 2" xfId="16389" xr:uid="{00000000-0005-0000-0000-00006E9B0000}"/>
    <cellStyle name="Normal 362 2 2 2 2" xfId="34024" xr:uid="{00000000-0005-0000-0000-00006F9B0000}"/>
    <cellStyle name="Normal 362 2 2 3" xfId="26994" xr:uid="{00000000-0005-0000-0000-0000709B0000}"/>
    <cellStyle name="Normal 362 2 3" xfId="12881" xr:uid="{00000000-0005-0000-0000-0000719B0000}"/>
    <cellStyle name="Normal 362 2 3 2" xfId="30531" xr:uid="{00000000-0005-0000-0000-0000729B0000}"/>
    <cellStyle name="Normal 362 2 4" xfId="24129" xr:uid="{00000000-0005-0000-0000-0000739B0000}"/>
    <cellStyle name="Normal 362 3" xfId="5906" xr:uid="{00000000-0005-0000-0000-0000749B0000}"/>
    <cellStyle name="Normal 362 3 2" xfId="9206" xr:uid="{00000000-0005-0000-0000-0000759B0000}"/>
    <cellStyle name="Normal 362 3 2 2" xfId="17001" xr:uid="{00000000-0005-0000-0000-0000769B0000}"/>
    <cellStyle name="Normal 362 3 2 2 2" xfId="34637" xr:uid="{00000000-0005-0000-0000-0000779B0000}"/>
    <cellStyle name="Normal 362 3 2 3" xfId="27594" xr:uid="{00000000-0005-0000-0000-0000789B0000}"/>
    <cellStyle name="Normal 362 3 3" xfId="13762" xr:uid="{00000000-0005-0000-0000-0000799B0000}"/>
    <cellStyle name="Normal 362 3 3 2" xfId="31402" xr:uid="{00000000-0005-0000-0000-00007A9B0000}"/>
    <cellStyle name="Normal 362 3 4" xfId="24729" xr:uid="{00000000-0005-0000-0000-00007B9B0000}"/>
    <cellStyle name="Normal 362 4" xfId="6536" xr:uid="{00000000-0005-0000-0000-00007C9B0000}"/>
    <cellStyle name="Normal 362 4 2" xfId="9746" xr:uid="{00000000-0005-0000-0000-00007D9B0000}"/>
    <cellStyle name="Normal 362 4 2 2" xfId="17540" xr:uid="{00000000-0005-0000-0000-00007E9B0000}"/>
    <cellStyle name="Normal 362 4 2 2 2" xfId="35177" xr:uid="{00000000-0005-0000-0000-00007F9B0000}"/>
    <cellStyle name="Normal 362 4 2 3" xfId="28130" xr:uid="{00000000-0005-0000-0000-0000809B0000}"/>
    <cellStyle name="Normal 362 4 3" xfId="14325" xr:uid="{00000000-0005-0000-0000-0000819B0000}"/>
    <cellStyle name="Normal 362 4 3 2" xfId="31960" xr:uid="{00000000-0005-0000-0000-0000829B0000}"/>
    <cellStyle name="Normal 362 4 4" xfId="25266" xr:uid="{00000000-0005-0000-0000-0000839B0000}"/>
    <cellStyle name="Normal 362 5" xfId="7312" xr:uid="{00000000-0005-0000-0000-0000849B0000}"/>
    <cellStyle name="Normal 362 5 2" xfId="10300" xr:uid="{00000000-0005-0000-0000-0000859B0000}"/>
    <cellStyle name="Normal 362 5 2 2" xfId="18093" xr:uid="{00000000-0005-0000-0000-0000869B0000}"/>
    <cellStyle name="Normal 362 5 2 2 2" xfId="35730" xr:uid="{00000000-0005-0000-0000-0000879B0000}"/>
    <cellStyle name="Normal 362 5 2 3" xfId="28667" xr:uid="{00000000-0005-0000-0000-0000889B0000}"/>
    <cellStyle name="Normal 362 5 3" xfId="15100" xr:uid="{00000000-0005-0000-0000-0000899B0000}"/>
    <cellStyle name="Normal 362 5 3 2" xfId="32735" xr:uid="{00000000-0005-0000-0000-00008A9B0000}"/>
    <cellStyle name="Normal 362 5 4" xfId="25804" xr:uid="{00000000-0005-0000-0000-00008B9B0000}"/>
    <cellStyle name="Normal 362 6" xfId="7911" xr:uid="{00000000-0005-0000-0000-00008C9B0000}"/>
    <cellStyle name="Normal 362 6 2" xfId="15708" xr:uid="{00000000-0005-0000-0000-00008D9B0000}"/>
    <cellStyle name="Normal 362 6 2 2" xfId="33343" xr:uid="{00000000-0005-0000-0000-00008E9B0000}"/>
    <cellStyle name="Normal 362 6 3" xfId="26327" xr:uid="{00000000-0005-0000-0000-00008F9B0000}"/>
    <cellStyle name="Normal 362 7" xfId="11868" xr:uid="{00000000-0005-0000-0000-0000909B0000}"/>
    <cellStyle name="Normal 362 7 2" xfId="29551" xr:uid="{00000000-0005-0000-0000-0000919B0000}"/>
    <cellStyle name="Normal 362 8" xfId="23462" xr:uid="{00000000-0005-0000-0000-0000929B0000}"/>
    <cellStyle name="Normal 362 9" xfId="52345" xr:uid="{00000000-0005-0000-0000-0000939B0000}"/>
    <cellStyle name="Normal 363" xfId="2709" xr:uid="{00000000-0005-0000-0000-0000949B0000}"/>
    <cellStyle name="Normal 363 2" xfId="4721" xr:uid="{00000000-0005-0000-0000-0000959B0000}"/>
    <cellStyle name="Normal 363 2 2" xfId="8594" xr:uid="{00000000-0005-0000-0000-0000969B0000}"/>
    <cellStyle name="Normal 363 2 2 2" xfId="16390" xr:uid="{00000000-0005-0000-0000-0000979B0000}"/>
    <cellStyle name="Normal 363 2 2 2 2" xfId="34025" xr:uid="{00000000-0005-0000-0000-0000989B0000}"/>
    <cellStyle name="Normal 363 2 2 3" xfId="26995" xr:uid="{00000000-0005-0000-0000-0000999B0000}"/>
    <cellStyle name="Normal 363 2 3" xfId="12882" xr:uid="{00000000-0005-0000-0000-00009A9B0000}"/>
    <cellStyle name="Normal 363 2 3 2" xfId="30532" xr:uid="{00000000-0005-0000-0000-00009B9B0000}"/>
    <cellStyle name="Normal 363 2 4" xfId="24130" xr:uid="{00000000-0005-0000-0000-00009C9B0000}"/>
    <cellStyle name="Normal 363 3" xfId="5907" xr:uid="{00000000-0005-0000-0000-00009D9B0000}"/>
    <cellStyle name="Normal 363 3 2" xfId="9207" xr:uid="{00000000-0005-0000-0000-00009E9B0000}"/>
    <cellStyle name="Normal 363 3 2 2" xfId="17002" xr:uid="{00000000-0005-0000-0000-00009F9B0000}"/>
    <cellStyle name="Normal 363 3 2 2 2" xfId="34638" xr:uid="{00000000-0005-0000-0000-0000A09B0000}"/>
    <cellStyle name="Normal 363 3 2 3" xfId="27595" xr:uid="{00000000-0005-0000-0000-0000A19B0000}"/>
    <cellStyle name="Normal 363 3 3" xfId="13763" xr:uid="{00000000-0005-0000-0000-0000A29B0000}"/>
    <cellStyle name="Normal 363 3 3 2" xfId="31403" xr:uid="{00000000-0005-0000-0000-0000A39B0000}"/>
    <cellStyle name="Normal 363 3 4" xfId="24730" xr:uid="{00000000-0005-0000-0000-0000A49B0000}"/>
    <cellStyle name="Normal 363 4" xfId="6537" xr:uid="{00000000-0005-0000-0000-0000A59B0000}"/>
    <cellStyle name="Normal 363 4 2" xfId="9747" xr:uid="{00000000-0005-0000-0000-0000A69B0000}"/>
    <cellStyle name="Normal 363 4 2 2" xfId="17541" xr:uid="{00000000-0005-0000-0000-0000A79B0000}"/>
    <cellStyle name="Normal 363 4 2 2 2" xfId="35178" xr:uid="{00000000-0005-0000-0000-0000A89B0000}"/>
    <cellStyle name="Normal 363 4 2 3" xfId="28131" xr:uid="{00000000-0005-0000-0000-0000A99B0000}"/>
    <cellStyle name="Normal 363 4 3" xfId="14326" xr:uid="{00000000-0005-0000-0000-0000AA9B0000}"/>
    <cellStyle name="Normal 363 4 3 2" xfId="31961" xr:uid="{00000000-0005-0000-0000-0000AB9B0000}"/>
    <cellStyle name="Normal 363 4 4" xfId="25267" xr:uid="{00000000-0005-0000-0000-0000AC9B0000}"/>
    <cellStyle name="Normal 363 5" xfId="7313" xr:uid="{00000000-0005-0000-0000-0000AD9B0000}"/>
    <cellStyle name="Normal 363 5 2" xfId="10301" xr:uid="{00000000-0005-0000-0000-0000AE9B0000}"/>
    <cellStyle name="Normal 363 5 2 2" xfId="18094" xr:uid="{00000000-0005-0000-0000-0000AF9B0000}"/>
    <cellStyle name="Normal 363 5 2 2 2" xfId="35731" xr:uid="{00000000-0005-0000-0000-0000B09B0000}"/>
    <cellStyle name="Normal 363 5 2 3" xfId="28668" xr:uid="{00000000-0005-0000-0000-0000B19B0000}"/>
    <cellStyle name="Normal 363 5 3" xfId="15101" xr:uid="{00000000-0005-0000-0000-0000B29B0000}"/>
    <cellStyle name="Normal 363 5 3 2" xfId="32736" xr:uid="{00000000-0005-0000-0000-0000B39B0000}"/>
    <cellStyle name="Normal 363 5 4" xfId="25805" xr:uid="{00000000-0005-0000-0000-0000B49B0000}"/>
    <cellStyle name="Normal 363 6" xfId="7912" xr:uid="{00000000-0005-0000-0000-0000B59B0000}"/>
    <cellStyle name="Normal 363 6 2" xfId="15709" xr:uid="{00000000-0005-0000-0000-0000B69B0000}"/>
    <cellStyle name="Normal 363 6 2 2" xfId="33344" xr:uid="{00000000-0005-0000-0000-0000B79B0000}"/>
    <cellStyle name="Normal 363 6 3" xfId="26328" xr:uid="{00000000-0005-0000-0000-0000B89B0000}"/>
    <cellStyle name="Normal 363 7" xfId="11869" xr:uid="{00000000-0005-0000-0000-0000B99B0000}"/>
    <cellStyle name="Normal 363 7 2" xfId="29552" xr:uid="{00000000-0005-0000-0000-0000BA9B0000}"/>
    <cellStyle name="Normal 363 8" xfId="23463" xr:uid="{00000000-0005-0000-0000-0000BB9B0000}"/>
    <cellStyle name="Normal 363 9" xfId="52346" xr:uid="{00000000-0005-0000-0000-0000BC9B0000}"/>
    <cellStyle name="Normal 364" xfId="2710" xr:uid="{00000000-0005-0000-0000-0000BD9B0000}"/>
    <cellStyle name="Normal 364 2" xfId="4722" xr:uid="{00000000-0005-0000-0000-0000BE9B0000}"/>
    <cellStyle name="Normal 364 2 2" xfId="8595" xr:uid="{00000000-0005-0000-0000-0000BF9B0000}"/>
    <cellStyle name="Normal 364 2 2 2" xfId="16391" xr:uid="{00000000-0005-0000-0000-0000C09B0000}"/>
    <cellStyle name="Normal 364 2 2 2 2" xfId="34026" xr:uid="{00000000-0005-0000-0000-0000C19B0000}"/>
    <cellStyle name="Normal 364 2 2 3" xfId="26996" xr:uid="{00000000-0005-0000-0000-0000C29B0000}"/>
    <cellStyle name="Normal 364 2 3" xfId="12883" xr:uid="{00000000-0005-0000-0000-0000C39B0000}"/>
    <cellStyle name="Normal 364 2 3 2" xfId="30533" xr:uid="{00000000-0005-0000-0000-0000C49B0000}"/>
    <cellStyle name="Normal 364 2 4" xfId="24131" xr:uid="{00000000-0005-0000-0000-0000C59B0000}"/>
    <cellStyle name="Normal 364 3" xfId="5908" xr:uid="{00000000-0005-0000-0000-0000C69B0000}"/>
    <cellStyle name="Normal 364 3 2" xfId="9208" xr:uid="{00000000-0005-0000-0000-0000C79B0000}"/>
    <cellStyle name="Normal 364 3 2 2" xfId="17003" xr:uid="{00000000-0005-0000-0000-0000C89B0000}"/>
    <cellStyle name="Normal 364 3 2 2 2" xfId="34639" xr:uid="{00000000-0005-0000-0000-0000C99B0000}"/>
    <cellStyle name="Normal 364 3 2 3" xfId="27596" xr:uid="{00000000-0005-0000-0000-0000CA9B0000}"/>
    <cellStyle name="Normal 364 3 3" xfId="13764" xr:uid="{00000000-0005-0000-0000-0000CB9B0000}"/>
    <cellStyle name="Normal 364 3 3 2" xfId="31404" xr:uid="{00000000-0005-0000-0000-0000CC9B0000}"/>
    <cellStyle name="Normal 364 3 4" xfId="24731" xr:uid="{00000000-0005-0000-0000-0000CD9B0000}"/>
    <cellStyle name="Normal 364 4" xfId="6538" xr:uid="{00000000-0005-0000-0000-0000CE9B0000}"/>
    <cellStyle name="Normal 364 4 2" xfId="9748" xr:uid="{00000000-0005-0000-0000-0000CF9B0000}"/>
    <cellStyle name="Normal 364 4 2 2" xfId="17542" xr:uid="{00000000-0005-0000-0000-0000D09B0000}"/>
    <cellStyle name="Normal 364 4 2 2 2" xfId="35179" xr:uid="{00000000-0005-0000-0000-0000D19B0000}"/>
    <cellStyle name="Normal 364 4 2 3" xfId="28132" xr:uid="{00000000-0005-0000-0000-0000D29B0000}"/>
    <cellStyle name="Normal 364 4 3" xfId="14327" xr:uid="{00000000-0005-0000-0000-0000D39B0000}"/>
    <cellStyle name="Normal 364 4 3 2" xfId="31962" xr:uid="{00000000-0005-0000-0000-0000D49B0000}"/>
    <cellStyle name="Normal 364 4 4" xfId="25268" xr:uid="{00000000-0005-0000-0000-0000D59B0000}"/>
    <cellStyle name="Normal 364 5" xfId="7314" xr:uid="{00000000-0005-0000-0000-0000D69B0000}"/>
    <cellStyle name="Normal 364 5 2" xfId="10302" xr:uid="{00000000-0005-0000-0000-0000D79B0000}"/>
    <cellStyle name="Normal 364 5 2 2" xfId="18095" xr:uid="{00000000-0005-0000-0000-0000D89B0000}"/>
    <cellStyle name="Normal 364 5 2 2 2" xfId="35732" xr:uid="{00000000-0005-0000-0000-0000D99B0000}"/>
    <cellStyle name="Normal 364 5 2 3" xfId="28669" xr:uid="{00000000-0005-0000-0000-0000DA9B0000}"/>
    <cellStyle name="Normal 364 5 3" xfId="15102" xr:uid="{00000000-0005-0000-0000-0000DB9B0000}"/>
    <cellStyle name="Normal 364 5 3 2" xfId="32737" xr:uid="{00000000-0005-0000-0000-0000DC9B0000}"/>
    <cellStyle name="Normal 364 5 4" xfId="25806" xr:uid="{00000000-0005-0000-0000-0000DD9B0000}"/>
    <cellStyle name="Normal 364 6" xfId="7913" xr:uid="{00000000-0005-0000-0000-0000DE9B0000}"/>
    <cellStyle name="Normal 364 6 2" xfId="15710" xr:uid="{00000000-0005-0000-0000-0000DF9B0000}"/>
    <cellStyle name="Normal 364 6 2 2" xfId="33345" xr:uid="{00000000-0005-0000-0000-0000E09B0000}"/>
    <cellStyle name="Normal 364 6 3" xfId="26329" xr:uid="{00000000-0005-0000-0000-0000E19B0000}"/>
    <cellStyle name="Normal 364 7" xfId="11870" xr:uid="{00000000-0005-0000-0000-0000E29B0000}"/>
    <cellStyle name="Normal 364 7 2" xfId="29553" xr:uid="{00000000-0005-0000-0000-0000E39B0000}"/>
    <cellStyle name="Normal 364 8" xfId="23464" xr:uid="{00000000-0005-0000-0000-0000E49B0000}"/>
    <cellStyle name="Normal 364 9" xfId="52347" xr:uid="{00000000-0005-0000-0000-0000E59B0000}"/>
    <cellStyle name="Normal 365" xfId="2711" xr:uid="{00000000-0005-0000-0000-0000E69B0000}"/>
    <cellStyle name="Normal 365 2" xfId="4723" xr:uid="{00000000-0005-0000-0000-0000E79B0000}"/>
    <cellStyle name="Normal 365 2 2" xfId="8596" xr:uid="{00000000-0005-0000-0000-0000E89B0000}"/>
    <cellStyle name="Normal 365 2 2 2" xfId="16392" xr:uid="{00000000-0005-0000-0000-0000E99B0000}"/>
    <cellStyle name="Normal 365 2 2 2 2" xfId="34027" xr:uid="{00000000-0005-0000-0000-0000EA9B0000}"/>
    <cellStyle name="Normal 365 2 2 3" xfId="26997" xr:uid="{00000000-0005-0000-0000-0000EB9B0000}"/>
    <cellStyle name="Normal 365 2 3" xfId="12884" xr:uid="{00000000-0005-0000-0000-0000EC9B0000}"/>
    <cellStyle name="Normal 365 2 3 2" xfId="30534" xr:uid="{00000000-0005-0000-0000-0000ED9B0000}"/>
    <cellStyle name="Normal 365 2 4" xfId="24132" xr:uid="{00000000-0005-0000-0000-0000EE9B0000}"/>
    <cellStyle name="Normal 365 3" xfId="5909" xr:uid="{00000000-0005-0000-0000-0000EF9B0000}"/>
    <cellStyle name="Normal 365 3 2" xfId="9209" xr:uid="{00000000-0005-0000-0000-0000F09B0000}"/>
    <cellStyle name="Normal 365 3 2 2" xfId="17004" xr:uid="{00000000-0005-0000-0000-0000F19B0000}"/>
    <cellStyle name="Normal 365 3 2 2 2" xfId="34640" xr:uid="{00000000-0005-0000-0000-0000F29B0000}"/>
    <cellStyle name="Normal 365 3 2 3" xfId="27597" xr:uid="{00000000-0005-0000-0000-0000F39B0000}"/>
    <cellStyle name="Normal 365 3 3" xfId="13765" xr:uid="{00000000-0005-0000-0000-0000F49B0000}"/>
    <cellStyle name="Normal 365 3 3 2" xfId="31405" xr:uid="{00000000-0005-0000-0000-0000F59B0000}"/>
    <cellStyle name="Normal 365 3 4" xfId="24732" xr:uid="{00000000-0005-0000-0000-0000F69B0000}"/>
    <cellStyle name="Normal 365 4" xfId="6539" xr:uid="{00000000-0005-0000-0000-0000F79B0000}"/>
    <cellStyle name="Normal 365 4 2" xfId="9749" xr:uid="{00000000-0005-0000-0000-0000F89B0000}"/>
    <cellStyle name="Normal 365 4 2 2" xfId="17543" xr:uid="{00000000-0005-0000-0000-0000F99B0000}"/>
    <cellStyle name="Normal 365 4 2 2 2" xfId="35180" xr:uid="{00000000-0005-0000-0000-0000FA9B0000}"/>
    <cellStyle name="Normal 365 4 2 3" xfId="28133" xr:uid="{00000000-0005-0000-0000-0000FB9B0000}"/>
    <cellStyle name="Normal 365 4 3" xfId="14328" xr:uid="{00000000-0005-0000-0000-0000FC9B0000}"/>
    <cellStyle name="Normal 365 4 3 2" xfId="31963" xr:uid="{00000000-0005-0000-0000-0000FD9B0000}"/>
    <cellStyle name="Normal 365 4 4" xfId="25269" xr:uid="{00000000-0005-0000-0000-0000FE9B0000}"/>
    <cellStyle name="Normal 365 5" xfId="7315" xr:uid="{00000000-0005-0000-0000-0000FF9B0000}"/>
    <cellStyle name="Normal 365 5 2" xfId="10303" xr:uid="{00000000-0005-0000-0000-0000009C0000}"/>
    <cellStyle name="Normal 365 5 2 2" xfId="18096" xr:uid="{00000000-0005-0000-0000-0000019C0000}"/>
    <cellStyle name="Normal 365 5 2 2 2" xfId="35733" xr:uid="{00000000-0005-0000-0000-0000029C0000}"/>
    <cellStyle name="Normal 365 5 2 3" xfId="28670" xr:uid="{00000000-0005-0000-0000-0000039C0000}"/>
    <cellStyle name="Normal 365 5 3" xfId="15103" xr:uid="{00000000-0005-0000-0000-0000049C0000}"/>
    <cellStyle name="Normal 365 5 3 2" xfId="32738" xr:uid="{00000000-0005-0000-0000-0000059C0000}"/>
    <cellStyle name="Normal 365 5 4" xfId="25807" xr:uid="{00000000-0005-0000-0000-0000069C0000}"/>
    <cellStyle name="Normal 365 6" xfId="7914" xr:uid="{00000000-0005-0000-0000-0000079C0000}"/>
    <cellStyle name="Normal 365 6 2" xfId="15711" xr:uid="{00000000-0005-0000-0000-0000089C0000}"/>
    <cellStyle name="Normal 365 6 2 2" xfId="33346" xr:uid="{00000000-0005-0000-0000-0000099C0000}"/>
    <cellStyle name="Normal 365 6 3" xfId="26330" xr:uid="{00000000-0005-0000-0000-00000A9C0000}"/>
    <cellStyle name="Normal 365 7" xfId="11871" xr:uid="{00000000-0005-0000-0000-00000B9C0000}"/>
    <cellStyle name="Normal 365 7 2" xfId="29554" xr:uid="{00000000-0005-0000-0000-00000C9C0000}"/>
    <cellStyle name="Normal 365 8" xfId="23465" xr:uid="{00000000-0005-0000-0000-00000D9C0000}"/>
    <cellStyle name="Normal 365 9" xfId="52348" xr:uid="{00000000-0005-0000-0000-00000E9C0000}"/>
    <cellStyle name="Normal 366" xfId="2712" xr:uid="{00000000-0005-0000-0000-00000F9C0000}"/>
    <cellStyle name="Normal 366 2" xfId="4724" xr:uid="{00000000-0005-0000-0000-0000109C0000}"/>
    <cellStyle name="Normal 366 2 2" xfId="8597" xr:uid="{00000000-0005-0000-0000-0000119C0000}"/>
    <cellStyle name="Normal 366 2 2 2" xfId="16393" xr:uid="{00000000-0005-0000-0000-0000129C0000}"/>
    <cellStyle name="Normal 366 2 2 2 2" xfId="34028" xr:uid="{00000000-0005-0000-0000-0000139C0000}"/>
    <cellStyle name="Normal 366 2 2 3" xfId="26998" xr:uid="{00000000-0005-0000-0000-0000149C0000}"/>
    <cellStyle name="Normal 366 2 3" xfId="12885" xr:uid="{00000000-0005-0000-0000-0000159C0000}"/>
    <cellStyle name="Normal 366 2 3 2" xfId="30535" xr:uid="{00000000-0005-0000-0000-0000169C0000}"/>
    <cellStyle name="Normal 366 2 4" xfId="24133" xr:uid="{00000000-0005-0000-0000-0000179C0000}"/>
    <cellStyle name="Normal 366 3" xfId="5910" xr:uid="{00000000-0005-0000-0000-0000189C0000}"/>
    <cellStyle name="Normal 366 3 2" xfId="9210" xr:uid="{00000000-0005-0000-0000-0000199C0000}"/>
    <cellStyle name="Normal 366 3 2 2" xfId="17005" xr:uid="{00000000-0005-0000-0000-00001A9C0000}"/>
    <cellStyle name="Normal 366 3 2 2 2" xfId="34641" xr:uid="{00000000-0005-0000-0000-00001B9C0000}"/>
    <cellStyle name="Normal 366 3 2 3" xfId="27598" xr:uid="{00000000-0005-0000-0000-00001C9C0000}"/>
    <cellStyle name="Normal 366 3 3" xfId="13766" xr:uid="{00000000-0005-0000-0000-00001D9C0000}"/>
    <cellStyle name="Normal 366 3 3 2" xfId="31406" xr:uid="{00000000-0005-0000-0000-00001E9C0000}"/>
    <cellStyle name="Normal 366 3 4" xfId="24733" xr:uid="{00000000-0005-0000-0000-00001F9C0000}"/>
    <cellStyle name="Normal 366 4" xfId="6540" xr:uid="{00000000-0005-0000-0000-0000209C0000}"/>
    <cellStyle name="Normal 366 4 2" xfId="9750" xr:uid="{00000000-0005-0000-0000-0000219C0000}"/>
    <cellStyle name="Normal 366 4 2 2" xfId="17544" xr:uid="{00000000-0005-0000-0000-0000229C0000}"/>
    <cellStyle name="Normal 366 4 2 2 2" xfId="35181" xr:uid="{00000000-0005-0000-0000-0000239C0000}"/>
    <cellStyle name="Normal 366 4 2 3" xfId="28134" xr:uid="{00000000-0005-0000-0000-0000249C0000}"/>
    <cellStyle name="Normal 366 4 3" xfId="14329" xr:uid="{00000000-0005-0000-0000-0000259C0000}"/>
    <cellStyle name="Normal 366 4 3 2" xfId="31964" xr:uid="{00000000-0005-0000-0000-0000269C0000}"/>
    <cellStyle name="Normal 366 4 4" xfId="25270" xr:uid="{00000000-0005-0000-0000-0000279C0000}"/>
    <cellStyle name="Normal 366 5" xfId="7316" xr:uid="{00000000-0005-0000-0000-0000289C0000}"/>
    <cellStyle name="Normal 366 5 2" xfId="10304" xr:uid="{00000000-0005-0000-0000-0000299C0000}"/>
    <cellStyle name="Normal 366 5 2 2" xfId="18097" xr:uid="{00000000-0005-0000-0000-00002A9C0000}"/>
    <cellStyle name="Normal 366 5 2 2 2" xfId="35734" xr:uid="{00000000-0005-0000-0000-00002B9C0000}"/>
    <cellStyle name="Normal 366 5 2 3" xfId="28671" xr:uid="{00000000-0005-0000-0000-00002C9C0000}"/>
    <cellStyle name="Normal 366 5 3" xfId="15104" xr:uid="{00000000-0005-0000-0000-00002D9C0000}"/>
    <cellStyle name="Normal 366 5 3 2" xfId="32739" xr:uid="{00000000-0005-0000-0000-00002E9C0000}"/>
    <cellStyle name="Normal 366 5 4" xfId="25808" xr:uid="{00000000-0005-0000-0000-00002F9C0000}"/>
    <cellStyle name="Normal 366 6" xfId="7915" xr:uid="{00000000-0005-0000-0000-0000309C0000}"/>
    <cellStyle name="Normal 366 6 2" xfId="15712" xr:uid="{00000000-0005-0000-0000-0000319C0000}"/>
    <cellStyle name="Normal 366 6 2 2" xfId="33347" xr:uid="{00000000-0005-0000-0000-0000329C0000}"/>
    <cellStyle name="Normal 366 6 3" xfId="26331" xr:uid="{00000000-0005-0000-0000-0000339C0000}"/>
    <cellStyle name="Normal 366 7" xfId="11872" xr:uid="{00000000-0005-0000-0000-0000349C0000}"/>
    <cellStyle name="Normal 366 7 2" xfId="29555" xr:uid="{00000000-0005-0000-0000-0000359C0000}"/>
    <cellStyle name="Normal 366 8" xfId="23466" xr:uid="{00000000-0005-0000-0000-0000369C0000}"/>
    <cellStyle name="Normal 366 9" xfId="52349" xr:uid="{00000000-0005-0000-0000-0000379C0000}"/>
    <cellStyle name="Normal 367" xfId="2713" xr:uid="{00000000-0005-0000-0000-0000389C0000}"/>
    <cellStyle name="Normal 367 2" xfId="4725" xr:uid="{00000000-0005-0000-0000-0000399C0000}"/>
    <cellStyle name="Normal 367 2 2" xfId="8598" xr:uid="{00000000-0005-0000-0000-00003A9C0000}"/>
    <cellStyle name="Normal 367 2 2 2" xfId="16394" xr:uid="{00000000-0005-0000-0000-00003B9C0000}"/>
    <cellStyle name="Normal 367 2 2 2 2" xfId="34029" xr:uid="{00000000-0005-0000-0000-00003C9C0000}"/>
    <cellStyle name="Normal 367 2 2 3" xfId="26999" xr:uid="{00000000-0005-0000-0000-00003D9C0000}"/>
    <cellStyle name="Normal 367 2 3" xfId="12886" xr:uid="{00000000-0005-0000-0000-00003E9C0000}"/>
    <cellStyle name="Normal 367 2 3 2" xfId="30536" xr:uid="{00000000-0005-0000-0000-00003F9C0000}"/>
    <cellStyle name="Normal 367 2 4" xfId="24134" xr:uid="{00000000-0005-0000-0000-0000409C0000}"/>
    <cellStyle name="Normal 367 3" xfId="5911" xr:uid="{00000000-0005-0000-0000-0000419C0000}"/>
    <cellStyle name="Normal 367 3 2" xfId="9211" xr:uid="{00000000-0005-0000-0000-0000429C0000}"/>
    <cellStyle name="Normal 367 3 2 2" xfId="17006" xr:uid="{00000000-0005-0000-0000-0000439C0000}"/>
    <cellStyle name="Normal 367 3 2 2 2" xfId="34642" xr:uid="{00000000-0005-0000-0000-0000449C0000}"/>
    <cellStyle name="Normal 367 3 2 3" xfId="27599" xr:uid="{00000000-0005-0000-0000-0000459C0000}"/>
    <cellStyle name="Normal 367 3 3" xfId="13767" xr:uid="{00000000-0005-0000-0000-0000469C0000}"/>
    <cellStyle name="Normal 367 3 3 2" xfId="31407" xr:uid="{00000000-0005-0000-0000-0000479C0000}"/>
    <cellStyle name="Normal 367 3 4" xfId="24734" xr:uid="{00000000-0005-0000-0000-0000489C0000}"/>
    <cellStyle name="Normal 367 4" xfId="6541" xr:uid="{00000000-0005-0000-0000-0000499C0000}"/>
    <cellStyle name="Normal 367 4 2" xfId="9751" xr:uid="{00000000-0005-0000-0000-00004A9C0000}"/>
    <cellStyle name="Normal 367 4 2 2" xfId="17545" xr:uid="{00000000-0005-0000-0000-00004B9C0000}"/>
    <cellStyle name="Normal 367 4 2 2 2" xfId="35182" xr:uid="{00000000-0005-0000-0000-00004C9C0000}"/>
    <cellStyle name="Normal 367 4 2 3" xfId="28135" xr:uid="{00000000-0005-0000-0000-00004D9C0000}"/>
    <cellStyle name="Normal 367 4 3" xfId="14330" xr:uid="{00000000-0005-0000-0000-00004E9C0000}"/>
    <cellStyle name="Normal 367 4 3 2" xfId="31965" xr:uid="{00000000-0005-0000-0000-00004F9C0000}"/>
    <cellStyle name="Normal 367 4 4" xfId="25271" xr:uid="{00000000-0005-0000-0000-0000509C0000}"/>
    <cellStyle name="Normal 367 5" xfId="7317" xr:uid="{00000000-0005-0000-0000-0000519C0000}"/>
    <cellStyle name="Normal 367 5 2" xfId="10305" xr:uid="{00000000-0005-0000-0000-0000529C0000}"/>
    <cellStyle name="Normal 367 5 2 2" xfId="18098" xr:uid="{00000000-0005-0000-0000-0000539C0000}"/>
    <cellStyle name="Normal 367 5 2 2 2" xfId="35735" xr:uid="{00000000-0005-0000-0000-0000549C0000}"/>
    <cellStyle name="Normal 367 5 2 3" xfId="28672" xr:uid="{00000000-0005-0000-0000-0000559C0000}"/>
    <cellStyle name="Normal 367 5 3" xfId="15105" xr:uid="{00000000-0005-0000-0000-0000569C0000}"/>
    <cellStyle name="Normal 367 5 3 2" xfId="32740" xr:uid="{00000000-0005-0000-0000-0000579C0000}"/>
    <cellStyle name="Normal 367 5 4" xfId="25809" xr:uid="{00000000-0005-0000-0000-0000589C0000}"/>
    <cellStyle name="Normal 367 6" xfId="7916" xr:uid="{00000000-0005-0000-0000-0000599C0000}"/>
    <cellStyle name="Normal 367 6 2" xfId="15713" xr:uid="{00000000-0005-0000-0000-00005A9C0000}"/>
    <cellStyle name="Normal 367 6 2 2" xfId="33348" xr:uid="{00000000-0005-0000-0000-00005B9C0000}"/>
    <cellStyle name="Normal 367 6 3" xfId="26332" xr:uid="{00000000-0005-0000-0000-00005C9C0000}"/>
    <cellStyle name="Normal 367 7" xfId="11873" xr:uid="{00000000-0005-0000-0000-00005D9C0000}"/>
    <cellStyle name="Normal 367 7 2" xfId="29556" xr:uid="{00000000-0005-0000-0000-00005E9C0000}"/>
    <cellStyle name="Normal 367 8" xfId="23467" xr:uid="{00000000-0005-0000-0000-00005F9C0000}"/>
    <cellStyle name="Normal 367 9" xfId="52350" xr:uid="{00000000-0005-0000-0000-0000609C0000}"/>
    <cellStyle name="Normal 368" xfId="2714" xr:uid="{00000000-0005-0000-0000-0000619C0000}"/>
    <cellStyle name="Normal 368 2" xfId="4726" xr:uid="{00000000-0005-0000-0000-0000629C0000}"/>
    <cellStyle name="Normal 368 2 2" xfId="8599" xr:uid="{00000000-0005-0000-0000-0000639C0000}"/>
    <cellStyle name="Normal 368 2 2 2" xfId="16395" xr:uid="{00000000-0005-0000-0000-0000649C0000}"/>
    <cellStyle name="Normal 368 2 2 2 2" xfId="34030" xr:uid="{00000000-0005-0000-0000-0000659C0000}"/>
    <cellStyle name="Normal 368 2 2 3" xfId="27000" xr:uid="{00000000-0005-0000-0000-0000669C0000}"/>
    <cellStyle name="Normal 368 2 3" xfId="12887" xr:uid="{00000000-0005-0000-0000-0000679C0000}"/>
    <cellStyle name="Normal 368 2 3 2" xfId="30537" xr:uid="{00000000-0005-0000-0000-0000689C0000}"/>
    <cellStyle name="Normal 368 2 4" xfId="24135" xr:uid="{00000000-0005-0000-0000-0000699C0000}"/>
    <cellStyle name="Normal 368 3" xfId="5912" xr:uid="{00000000-0005-0000-0000-00006A9C0000}"/>
    <cellStyle name="Normal 368 3 2" xfId="9212" xr:uid="{00000000-0005-0000-0000-00006B9C0000}"/>
    <cellStyle name="Normal 368 3 2 2" xfId="17007" xr:uid="{00000000-0005-0000-0000-00006C9C0000}"/>
    <cellStyle name="Normal 368 3 2 2 2" xfId="34643" xr:uid="{00000000-0005-0000-0000-00006D9C0000}"/>
    <cellStyle name="Normal 368 3 2 3" xfId="27600" xr:uid="{00000000-0005-0000-0000-00006E9C0000}"/>
    <cellStyle name="Normal 368 3 3" xfId="13768" xr:uid="{00000000-0005-0000-0000-00006F9C0000}"/>
    <cellStyle name="Normal 368 3 3 2" xfId="31408" xr:uid="{00000000-0005-0000-0000-0000709C0000}"/>
    <cellStyle name="Normal 368 3 4" xfId="24735" xr:uid="{00000000-0005-0000-0000-0000719C0000}"/>
    <cellStyle name="Normal 368 4" xfId="6542" xr:uid="{00000000-0005-0000-0000-0000729C0000}"/>
    <cellStyle name="Normal 368 4 2" xfId="9752" xr:uid="{00000000-0005-0000-0000-0000739C0000}"/>
    <cellStyle name="Normal 368 4 2 2" xfId="17546" xr:uid="{00000000-0005-0000-0000-0000749C0000}"/>
    <cellStyle name="Normal 368 4 2 2 2" xfId="35183" xr:uid="{00000000-0005-0000-0000-0000759C0000}"/>
    <cellStyle name="Normal 368 4 2 3" xfId="28136" xr:uid="{00000000-0005-0000-0000-0000769C0000}"/>
    <cellStyle name="Normal 368 4 3" xfId="14331" xr:uid="{00000000-0005-0000-0000-0000779C0000}"/>
    <cellStyle name="Normal 368 4 3 2" xfId="31966" xr:uid="{00000000-0005-0000-0000-0000789C0000}"/>
    <cellStyle name="Normal 368 4 4" xfId="25272" xr:uid="{00000000-0005-0000-0000-0000799C0000}"/>
    <cellStyle name="Normal 368 5" xfId="7318" xr:uid="{00000000-0005-0000-0000-00007A9C0000}"/>
    <cellStyle name="Normal 368 5 2" xfId="10306" xr:uid="{00000000-0005-0000-0000-00007B9C0000}"/>
    <cellStyle name="Normal 368 5 2 2" xfId="18099" xr:uid="{00000000-0005-0000-0000-00007C9C0000}"/>
    <cellStyle name="Normal 368 5 2 2 2" xfId="35736" xr:uid="{00000000-0005-0000-0000-00007D9C0000}"/>
    <cellStyle name="Normal 368 5 2 3" xfId="28673" xr:uid="{00000000-0005-0000-0000-00007E9C0000}"/>
    <cellStyle name="Normal 368 5 3" xfId="15106" xr:uid="{00000000-0005-0000-0000-00007F9C0000}"/>
    <cellStyle name="Normal 368 5 3 2" xfId="32741" xr:uid="{00000000-0005-0000-0000-0000809C0000}"/>
    <cellStyle name="Normal 368 5 4" xfId="25810" xr:uid="{00000000-0005-0000-0000-0000819C0000}"/>
    <cellStyle name="Normal 368 6" xfId="7917" xr:uid="{00000000-0005-0000-0000-0000829C0000}"/>
    <cellStyle name="Normal 368 6 2" xfId="15714" xr:uid="{00000000-0005-0000-0000-0000839C0000}"/>
    <cellStyle name="Normal 368 6 2 2" xfId="33349" xr:uid="{00000000-0005-0000-0000-0000849C0000}"/>
    <cellStyle name="Normal 368 6 3" xfId="26333" xr:uid="{00000000-0005-0000-0000-0000859C0000}"/>
    <cellStyle name="Normal 368 7" xfId="11874" xr:uid="{00000000-0005-0000-0000-0000869C0000}"/>
    <cellStyle name="Normal 368 7 2" xfId="29557" xr:uid="{00000000-0005-0000-0000-0000879C0000}"/>
    <cellStyle name="Normal 368 8" xfId="23468" xr:uid="{00000000-0005-0000-0000-0000889C0000}"/>
    <cellStyle name="Normal 368 9" xfId="52351" xr:uid="{00000000-0005-0000-0000-0000899C0000}"/>
    <cellStyle name="Normal 369" xfId="2715" xr:uid="{00000000-0005-0000-0000-00008A9C0000}"/>
    <cellStyle name="Normal 369 2" xfId="4727" xr:uid="{00000000-0005-0000-0000-00008B9C0000}"/>
    <cellStyle name="Normal 369 2 2" xfId="8600" xr:uid="{00000000-0005-0000-0000-00008C9C0000}"/>
    <cellStyle name="Normal 369 2 2 2" xfId="16396" xr:uid="{00000000-0005-0000-0000-00008D9C0000}"/>
    <cellStyle name="Normal 369 2 2 2 2" xfId="34031" xr:uid="{00000000-0005-0000-0000-00008E9C0000}"/>
    <cellStyle name="Normal 369 2 2 3" xfId="27001" xr:uid="{00000000-0005-0000-0000-00008F9C0000}"/>
    <cellStyle name="Normal 369 2 3" xfId="12888" xr:uid="{00000000-0005-0000-0000-0000909C0000}"/>
    <cellStyle name="Normal 369 2 3 2" xfId="30538" xr:uid="{00000000-0005-0000-0000-0000919C0000}"/>
    <cellStyle name="Normal 369 2 4" xfId="24136" xr:uid="{00000000-0005-0000-0000-0000929C0000}"/>
    <cellStyle name="Normal 369 3" xfId="5913" xr:uid="{00000000-0005-0000-0000-0000939C0000}"/>
    <cellStyle name="Normal 369 3 2" xfId="9213" xr:uid="{00000000-0005-0000-0000-0000949C0000}"/>
    <cellStyle name="Normal 369 3 2 2" xfId="17008" xr:uid="{00000000-0005-0000-0000-0000959C0000}"/>
    <cellStyle name="Normal 369 3 2 2 2" xfId="34644" xr:uid="{00000000-0005-0000-0000-0000969C0000}"/>
    <cellStyle name="Normal 369 3 2 3" xfId="27601" xr:uid="{00000000-0005-0000-0000-0000979C0000}"/>
    <cellStyle name="Normal 369 3 3" xfId="13769" xr:uid="{00000000-0005-0000-0000-0000989C0000}"/>
    <cellStyle name="Normal 369 3 3 2" xfId="31409" xr:uid="{00000000-0005-0000-0000-0000999C0000}"/>
    <cellStyle name="Normal 369 3 4" xfId="24736" xr:uid="{00000000-0005-0000-0000-00009A9C0000}"/>
    <cellStyle name="Normal 369 4" xfId="6543" xr:uid="{00000000-0005-0000-0000-00009B9C0000}"/>
    <cellStyle name="Normal 369 4 2" xfId="9753" xr:uid="{00000000-0005-0000-0000-00009C9C0000}"/>
    <cellStyle name="Normal 369 4 2 2" xfId="17547" xr:uid="{00000000-0005-0000-0000-00009D9C0000}"/>
    <cellStyle name="Normal 369 4 2 2 2" xfId="35184" xr:uid="{00000000-0005-0000-0000-00009E9C0000}"/>
    <cellStyle name="Normal 369 4 2 3" xfId="28137" xr:uid="{00000000-0005-0000-0000-00009F9C0000}"/>
    <cellStyle name="Normal 369 4 3" xfId="14332" xr:uid="{00000000-0005-0000-0000-0000A09C0000}"/>
    <cellStyle name="Normal 369 4 3 2" xfId="31967" xr:uid="{00000000-0005-0000-0000-0000A19C0000}"/>
    <cellStyle name="Normal 369 4 4" xfId="25273" xr:uid="{00000000-0005-0000-0000-0000A29C0000}"/>
    <cellStyle name="Normal 369 5" xfId="7319" xr:uid="{00000000-0005-0000-0000-0000A39C0000}"/>
    <cellStyle name="Normal 369 5 2" xfId="10307" xr:uid="{00000000-0005-0000-0000-0000A49C0000}"/>
    <cellStyle name="Normal 369 5 2 2" xfId="18100" xr:uid="{00000000-0005-0000-0000-0000A59C0000}"/>
    <cellStyle name="Normal 369 5 2 2 2" xfId="35737" xr:uid="{00000000-0005-0000-0000-0000A69C0000}"/>
    <cellStyle name="Normal 369 5 2 3" xfId="28674" xr:uid="{00000000-0005-0000-0000-0000A79C0000}"/>
    <cellStyle name="Normal 369 5 3" xfId="15107" xr:uid="{00000000-0005-0000-0000-0000A89C0000}"/>
    <cellStyle name="Normal 369 5 3 2" xfId="32742" xr:uid="{00000000-0005-0000-0000-0000A99C0000}"/>
    <cellStyle name="Normal 369 5 4" xfId="25811" xr:uid="{00000000-0005-0000-0000-0000AA9C0000}"/>
    <cellStyle name="Normal 369 6" xfId="7918" xr:uid="{00000000-0005-0000-0000-0000AB9C0000}"/>
    <cellStyle name="Normal 369 6 2" xfId="15715" xr:uid="{00000000-0005-0000-0000-0000AC9C0000}"/>
    <cellStyle name="Normal 369 6 2 2" xfId="33350" xr:uid="{00000000-0005-0000-0000-0000AD9C0000}"/>
    <cellStyle name="Normal 369 6 3" xfId="26334" xr:uid="{00000000-0005-0000-0000-0000AE9C0000}"/>
    <cellStyle name="Normal 369 7" xfId="11875" xr:uid="{00000000-0005-0000-0000-0000AF9C0000}"/>
    <cellStyle name="Normal 369 7 2" xfId="29558" xr:uid="{00000000-0005-0000-0000-0000B09C0000}"/>
    <cellStyle name="Normal 369 8" xfId="23469" xr:uid="{00000000-0005-0000-0000-0000B19C0000}"/>
    <cellStyle name="Normal 369 9" xfId="52352" xr:uid="{00000000-0005-0000-0000-0000B29C0000}"/>
    <cellStyle name="Normal 37" xfId="2716" xr:uid="{00000000-0005-0000-0000-0000B39C0000}"/>
    <cellStyle name="Normal 37 2" xfId="4728" xr:uid="{00000000-0005-0000-0000-0000B49C0000}"/>
    <cellStyle name="Normal 37 2 2" xfId="22777" xr:uid="{00000000-0005-0000-0000-0000B59C0000}"/>
    <cellStyle name="Normal 37 2 2 2" xfId="38984" xr:uid="{00000000-0005-0000-0000-0000B69C0000}"/>
    <cellStyle name="Normal 37 3" xfId="22993" xr:uid="{00000000-0005-0000-0000-0000B79C0000}"/>
    <cellStyle name="Normal 37 4" xfId="22568" xr:uid="{00000000-0005-0000-0000-0000B89C0000}"/>
    <cellStyle name="Normal 37 4 2" xfId="38879" xr:uid="{00000000-0005-0000-0000-0000B99C0000}"/>
    <cellStyle name="Normal 37 5" xfId="52353" xr:uid="{00000000-0005-0000-0000-0000BA9C0000}"/>
    <cellStyle name="Normal 370" xfId="2717" xr:uid="{00000000-0005-0000-0000-0000BB9C0000}"/>
    <cellStyle name="Normal 370 2" xfId="4729" xr:uid="{00000000-0005-0000-0000-0000BC9C0000}"/>
    <cellStyle name="Normal 370 2 2" xfId="8601" xr:uid="{00000000-0005-0000-0000-0000BD9C0000}"/>
    <cellStyle name="Normal 370 2 2 2" xfId="16397" xr:uid="{00000000-0005-0000-0000-0000BE9C0000}"/>
    <cellStyle name="Normal 370 2 2 2 2" xfId="34032" xr:uid="{00000000-0005-0000-0000-0000BF9C0000}"/>
    <cellStyle name="Normal 370 2 2 3" xfId="27002" xr:uid="{00000000-0005-0000-0000-0000C09C0000}"/>
    <cellStyle name="Normal 370 2 3" xfId="12889" xr:uid="{00000000-0005-0000-0000-0000C19C0000}"/>
    <cellStyle name="Normal 370 2 3 2" xfId="30539" xr:uid="{00000000-0005-0000-0000-0000C29C0000}"/>
    <cellStyle name="Normal 370 2 4" xfId="24137" xr:uid="{00000000-0005-0000-0000-0000C39C0000}"/>
    <cellStyle name="Normal 370 3" xfId="5914" xr:uid="{00000000-0005-0000-0000-0000C49C0000}"/>
    <cellStyle name="Normal 370 3 2" xfId="9214" xr:uid="{00000000-0005-0000-0000-0000C59C0000}"/>
    <cellStyle name="Normal 370 3 2 2" xfId="17009" xr:uid="{00000000-0005-0000-0000-0000C69C0000}"/>
    <cellStyle name="Normal 370 3 2 2 2" xfId="34645" xr:uid="{00000000-0005-0000-0000-0000C79C0000}"/>
    <cellStyle name="Normal 370 3 2 3" xfId="27602" xr:uid="{00000000-0005-0000-0000-0000C89C0000}"/>
    <cellStyle name="Normal 370 3 3" xfId="13770" xr:uid="{00000000-0005-0000-0000-0000C99C0000}"/>
    <cellStyle name="Normal 370 3 3 2" xfId="31410" xr:uid="{00000000-0005-0000-0000-0000CA9C0000}"/>
    <cellStyle name="Normal 370 3 4" xfId="24737" xr:uid="{00000000-0005-0000-0000-0000CB9C0000}"/>
    <cellStyle name="Normal 370 4" xfId="6544" xr:uid="{00000000-0005-0000-0000-0000CC9C0000}"/>
    <cellStyle name="Normal 370 4 2" xfId="9754" xr:uid="{00000000-0005-0000-0000-0000CD9C0000}"/>
    <cellStyle name="Normal 370 4 2 2" xfId="17548" xr:uid="{00000000-0005-0000-0000-0000CE9C0000}"/>
    <cellStyle name="Normal 370 4 2 2 2" xfId="35185" xr:uid="{00000000-0005-0000-0000-0000CF9C0000}"/>
    <cellStyle name="Normal 370 4 2 3" xfId="28138" xr:uid="{00000000-0005-0000-0000-0000D09C0000}"/>
    <cellStyle name="Normal 370 4 3" xfId="14333" xr:uid="{00000000-0005-0000-0000-0000D19C0000}"/>
    <cellStyle name="Normal 370 4 3 2" xfId="31968" xr:uid="{00000000-0005-0000-0000-0000D29C0000}"/>
    <cellStyle name="Normal 370 4 4" xfId="25274" xr:uid="{00000000-0005-0000-0000-0000D39C0000}"/>
    <cellStyle name="Normal 370 5" xfId="7320" xr:uid="{00000000-0005-0000-0000-0000D49C0000}"/>
    <cellStyle name="Normal 370 5 2" xfId="10308" xr:uid="{00000000-0005-0000-0000-0000D59C0000}"/>
    <cellStyle name="Normal 370 5 2 2" xfId="18101" xr:uid="{00000000-0005-0000-0000-0000D69C0000}"/>
    <cellStyle name="Normal 370 5 2 2 2" xfId="35738" xr:uid="{00000000-0005-0000-0000-0000D79C0000}"/>
    <cellStyle name="Normal 370 5 2 3" xfId="28675" xr:uid="{00000000-0005-0000-0000-0000D89C0000}"/>
    <cellStyle name="Normal 370 5 3" xfId="15108" xr:uid="{00000000-0005-0000-0000-0000D99C0000}"/>
    <cellStyle name="Normal 370 5 3 2" xfId="32743" xr:uid="{00000000-0005-0000-0000-0000DA9C0000}"/>
    <cellStyle name="Normal 370 5 4" xfId="25812" xr:uid="{00000000-0005-0000-0000-0000DB9C0000}"/>
    <cellStyle name="Normal 370 6" xfId="7919" xr:uid="{00000000-0005-0000-0000-0000DC9C0000}"/>
    <cellStyle name="Normal 370 6 2" xfId="15716" xr:uid="{00000000-0005-0000-0000-0000DD9C0000}"/>
    <cellStyle name="Normal 370 6 2 2" xfId="33351" xr:uid="{00000000-0005-0000-0000-0000DE9C0000}"/>
    <cellStyle name="Normal 370 6 3" xfId="26335" xr:uid="{00000000-0005-0000-0000-0000DF9C0000}"/>
    <cellStyle name="Normal 370 7" xfId="11876" xr:uid="{00000000-0005-0000-0000-0000E09C0000}"/>
    <cellStyle name="Normal 370 7 2" xfId="29559" xr:uid="{00000000-0005-0000-0000-0000E19C0000}"/>
    <cellStyle name="Normal 370 8" xfId="23470" xr:uid="{00000000-0005-0000-0000-0000E29C0000}"/>
    <cellStyle name="Normal 370 9" xfId="52354" xr:uid="{00000000-0005-0000-0000-0000E39C0000}"/>
    <cellStyle name="Normal 371" xfId="2718" xr:uid="{00000000-0005-0000-0000-0000E49C0000}"/>
    <cellStyle name="Normal 371 2" xfId="4730" xr:uid="{00000000-0005-0000-0000-0000E59C0000}"/>
    <cellStyle name="Normal 371 2 2" xfId="8602" xr:uid="{00000000-0005-0000-0000-0000E69C0000}"/>
    <cellStyle name="Normal 371 2 2 2" xfId="16398" xr:uid="{00000000-0005-0000-0000-0000E79C0000}"/>
    <cellStyle name="Normal 371 2 2 2 2" xfId="34033" xr:uid="{00000000-0005-0000-0000-0000E89C0000}"/>
    <cellStyle name="Normal 371 2 2 3" xfId="27003" xr:uid="{00000000-0005-0000-0000-0000E99C0000}"/>
    <cellStyle name="Normal 371 2 3" xfId="12890" xr:uid="{00000000-0005-0000-0000-0000EA9C0000}"/>
    <cellStyle name="Normal 371 2 3 2" xfId="30540" xr:uid="{00000000-0005-0000-0000-0000EB9C0000}"/>
    <cellStyle name="Normal 371 2 4" xfId="24138" xr:uid="{00000000-0005-0000-0000-0000EC9C0000}"/>
    <cellStyle name="Normal 371 3" xfId="5915" xr:uid="{00000000-0005-0000-0000-0000ED9C0000}"/>
    <cellStyle name="Normal 371 3 2" xfId="9215" xr:uid="{00000000-0005-0000-0000-0000EE9C0000}"/>
    <cellStyle name="Normal 371 3 2 2" xfId="17010" xr:uid="{00000000-0005-0000-0000-0000EF9C0000}"/>
    <cellStyle name="Normal 371 3 2 2 2" xfId="34646" xr:uid="{00000000-0005-0000-0000-0000F09C0000}"/>
    <cellStyle name="Normal 371 3 2 3" xfId="27603" xr:uid="{00000000-0005-0000-0000-0000F19C0000}"/>
    <cellStyle name="Normal 371 3 3" xfId="13771" xr:uid="{00000000-0005-0000-0000-0000F29C0000}"/>
    <cellStyle name="Normal 371 3 3 2" xfId="31411" xr:uid="{00000000-0005-0000-0000-0000F39C0000}"/>
    <cellStyle name="Normal 371 3 4" xfId="24738" xr:uid="{00000000-0005-0000-0000-0000F49C0000}"/>
    <cellStyle name="Normal 371 4" xfId="6545" xr:uid="{00000000-0005-0000-0000-0000F59C0000}"/>
    <cellStyle name="Normal 371 4 2" xfId="9755" xr:uid="{00000000-0005-0000-0000-0000F69C0000}"/>
    <cellStyle name="Normal 371 4 2 2" xfId="17549" xr:uid="{00000000-0005-0000-0000-0000F79C0000}"/>
    <cellStyle name="Normal 371 4 2 2 2" xfId="35186" xr:uid="{00000000-0005-0000-0000-0000F89C0000}"/>
    <cellStyle name="Normal 371 4 2 3" xfId="28139" xr:uid="{00000000-0005-0000-0000-0000F99C0000}"/>
    <cellStyle name="Normal 371 4 3" xfId="14334" xr:uid="{00000000-0005-0000-0000-0000FA9C0000}"/>
    <cellStyle name="Normal 371 4 3 2" xfId="31969" xr:uid="{00000000-0005-0000-0000-0000FB9C0000}"/>
    <cellStyle name="Normal 371 4 4" xfId="25275" xr:uid="{00000000-0005-0000-0000-0000FC9C0000}"/>
    <cellStyle name="Normal 371 5" xfId="7321" xr:uid="{00000000-0005-0000-0000-0000FD9C0000}"/>
    <cellStyle name="Normal 371 5 2" xfId="10309" xr:uid="{00000000-0005-0000-0000-0000FE9C0000}"/>
    <cellStyle name="Normal 371 5 2 2" xfId="18102" xr:uid="{00000000-0005-0000-0000-0000FF9C0000}"/>
    <cellStyle name="Normal 371 5 2 2 2" xfId="35739" xr:uid="{00000000-0005-0000-0000-0000009D0000}"/>
    <cellStyle name="Normal 371 5 2 3" xfId="28676" xr:uid="{00000000-0005-0000-0000-0000019D0000}"/>
    <cellStyle name="Normal 371 5 3" xfId="15109" xr:uid="{00000000-0005-0000-0000-0000029D0000}"/>
    <cellStyle name="Normal 371 5 3 2" xfId="32744" xr:uid="{00000000-0005-0000-0000-0000039D0000}"/>
    <cellStyle name="Normal 371 5 4" xfId="25813" xr:uid="{00000000-0005-0000-0000-0000049D0000}"/>
    <cellStyle name="Normal 371 6" xfId="7920" xr:uid="{00000000-0005-0000-0000-0000059D0000}"/>
    <cellStyle name="Normal 371 6 2" xfId="15717" xr:uid="{00000000-0005-0000-0000-0000069D0000}"/>
    <cellStyle name="Normal 371 6 2 2" xfId="33352" xr:uid="{00000000-0005-0000-0000-0000079D0000}"/>
    <cellStyle name="Normal 371 6 3" xfId="26336" xr:uid="{00000000-0005-0000-0000-0000089D0000}"/>
    <cellStyle name="Normal 371 7" xfId="11877" xr:uid="{00000000-0005-0000-0000-0000099D0000}"/>
    <cellStyle name="Normal 371 7 2" xfId="29560" xr:uid="{00000000-0005-0000-0000-00000A9D0000}"/>
    <cellStyle name="Normal 371 8" xfId="23471" xr:uid="{00000000-0005-0000-0000-00000B9D0000}"/>
    <cellStyle name="Normal 371 9" xfId="52355" xr:uid="{00000000-0005-0000-0000-00000C9D0000}"/>
    <cellStyle name="Normal 372" xfId="2719" xr:uid="{00000000-0005-0000-0000-00000D9D0000}"/>
    <cellStyle name="Normal 372 2" xfId="4731" xr:uid="{00000000-0005-0000-0000-00000E9D0000}"/>
    <cellStyle name="Normal 372 2 2" xfId="8603" xr:uid="{00000000-0005-0000-0000-00000F9D0000}"/>
    <cellStyle name="Normal 372 2 2 2" xfId="16399" xr:uid="{00000000-0005-0000-0000-0000109D0000}"/>
    <cellStyle name="Normal 372 2 2 2 2" xfId="34034" xr:uid="{00000000-0005-0000-0000-0000119D0000}"/>
    <cellStyle name="Normal 372 2 2 3" xfId="27004" xr:uid="{00000000-0005-0000-0000-0000129D0000}"/>
    <cellStyle name="Normal 372 2 3" xfId="12891" xr:uid="{00000000-0005-0000-0000-0000139D0000}"/>
    <cellStyle name="Normal 372 2 3 2" xfId="30541" xr:uid="{00000000-0005-0000-0000-0000149D0000}"/>
    <cellStyle name="Normal 372 2 4" xfId="24139" xr:uid="{00000000-0005-0000-0000-0000159D0000}"/>
    <cellStyle name="Normal 372 3" xfId="5916" xr:uid="{00000000-0005-0000-0000-0000169D0000}"/>
    <cellStyle name="Normal 372 3 2" xfId="9216" xr:uid="{00000000-0005-0000-0000-0000179D0000}"/>
    <cellStyle name="Normal 372 3 2 2" xfId="17011" xr:uid="{00000000-0005-0000-0000-0000189D0000}"/>
    <cellStyle name="Normal 372 3 2 2 2" xfId="34647" xr:uid="{00000000-0005-0000-0000-0000199D0000}"/>
    <cellStyle name="Normal 372 3 2 3" xfId="27604" xr:uid="{00000000-0005-0000-0000-00001A9D0000}"/>
    <cellStyle name="Normal 372 3 3" xfId="13772" xr:uid="{00000000-0005-0000-0000-00001B9D0000}"/>
    <cellStyle name="Normal 372 3 3 2" xfId="31412" xr:uid="{00000000-0005-0000-0000-00001C9D0000}"/>
    <cellStyle name="Normal 372 3 4" xfId="24739" xr:uid="{00000000-0005-0000-0000-00001D9D0000}"/>
    <cellStyle name="Normal 372 4" xfId="6546" xr:uid="{00000000-0005-0000-0000-00001E9D0000}"/>
    <cellStyle name="Normal 372 4 2" xfId="9756" xr:uid="{00000000-0005-0000-0000-00001F9D0000}"/>
    <cellStyle name="Normal 372 4 2 2" xfId="17550" xr:uid="{00000000-0005-0000-0000-0000209D0000}"/>
    <cellStyle name="Normal 372 4 2 2 2" xfId="35187" xr:uid="{00000000-0005-0000-0000-0000219D0000}"/>
    <cellStyle name="Normal 372 4 2 3" xfId="28140" xr:uid="{00000000-0005-0000-0000-0000229D0000}"/>
    <cellStyle name="Normal 372 4 3" xfId="14335" xr:uid="{00000000-0005-0000-0000-0000239D0000}"/>
    <cellStyle name="Normal 372 4 3 2" xfId="31970" xr:uid="{00000000-0005-0000-0000-0000249D0000}"/>
    <cellStyle name="Normal 372 4 4" xfId="25276" xr:uid="{00000000-0005-0000-0000-0000259D0000}"/>
    <cellStyle name="Normal 372 5" xfId="7322" xr:uid="{00000000-0005-0000-0000-0000269D0000}"/>
    <cellStyle name="Normal 372 5 2" xfId="10310" xr:uid="{00000000-0005-0000-0000-0000279D0000}"/>
    <cellStyle name="Normal 372 5 2 2" xfId="18103" xr:uid="{00000000-0005-0000-0000-0000289D0000}"/>
    <cellStyle name="Normal 372 5 2 2 2" xfId="35740" xr:uid="{00000000-0005-0000-0000-0000299D0000}"/>
    <cellStyle name="Normal 372 5 2 3" xfId="28677" xr:uid="{00000000-0005-0000-0000-00002A9D0000}"/>
    <cellStyle name="Normal 372 5 3" xfId="15110" xr:uid="{00000000-0005-0000-0000-00002B9D0000}"/>
    <cellStyle name="Normal 372 5 3 2" xfId="32745" xr:uid="{00000000-0005-0000-0000-00002C9D0000}"/>
    <cellStyle name="Normal 372 5 4" xfId="25814" xr:uid="{00000000-0005-0000-0000-00002D9D0000}"/>
    <cellStyle name="Normal 372 6" xfId="7921" xr:uid="{00000000-0005-0000-0000-00002E9D0000}"/>
    <cellStyle name="Normal 372 6 2" xfId="15718" xr:uid="{00000000-0005-0000-0000-00002F9D0000}"/>
    <cellStyle name="Normal 372 6 2 2" xfId="33353" xr:uid="{00000000-0005-0000-0000-0000309D0000}"/>
    <cellStyle name="Normal 372 6 3" xfId="26337" xr:uid="{00000000-0005-0000-0000-0000319D0000}"/>
    <cellStyle name="Normal 372 7" xfId="11878" xr:uid="{00000000-0005-0000-0000-0000329D0000}"/>
    <cellStyle name="Normal 372 7 2" xfId="29561" xr:uid="{00000000-0005-0000-0000-0000339D0000}"/>
    <cellStyle name="Normal 372 8" xfId="23472" xr:uid="{00000000-0005-0000-0000-0000349D0000}"/>
    <cellStyle name="Normal 372 9" xfId="52356" xr:uid="{00000000-0005-0000-0000-0000359D0000}"/>
    <cellStyle name="Normal 373" xfId="2720" xr:uid="{00000000-0005-0000-0000-0000369D0000}"/>
    <cellStyle name="Normal 373 2" xfId="4732" xr:uid="{00000000-0005-0000-0000-0000379D0000}"/>
    <cellStyle name="Normal 373 2 2" xfId="8604" xr:uid="{00000000-0005-0000-0000-0000389D0000}"/>
    <cellStyle name="Normal 373 2 2 2" xfId="16400" xr:uid="{00000000-0005-0000-0000-0000399D0000}"/>
    <cellStyle name="Normal 373 2 2 2 2" xfId="34035" xr:uid="{00000000-0005-0000-0000-00003A9D0000}"/>
    <cellStyle name="Normal 373 2 2 3" xfId="27005" xr:uid="{00000000-0005-0000-0000-00003B9D0000}"/>
    <cellStyle name="Normal 373 2 3" xfId="12892" xr:uid="{00000000-0005-0000-0000-00003C9D0000}"/>
    <cellStyle name="Normal 373 2 3 2" xfId="30542" xr:uid="{00000000-0005-0000-0000-00003D9D0000}"/>
    <cellStyle name="Normal 373 2 4" xfId="24140" xr:uid="{00000000-0005-0000-0000-00003E9D0000}"/>
    <cellStyle name="Normal 373 3" xfId="5917" xr:uid="{00000000-0005-0000-0000-00003F9D0000}"/>
    <cellStyle name="Normal 373 3 2" xfId="9217" xr:uid="{00000000-0005-0000-0000-0000409D0000}"/>
    <cellStyle name="Normal 373 3 2 2" xfId="17012" xr:uid="{00000000-0005-0000-0000-0000419D0000}"/>
    <cellStyle name="Normal 373 3 2 2 2" xfId="34648" xr:uid="{00000000-0005-0000-0000-0000429D0000}"/>
    <cellStyle name="Normal 373 3 2 3" xfId="27605" xr:uid="{00000000-0005-0000-0000-0000439D0000}"/>
    <cellStyle name="Normal 373 3 3" xfId="13773" xr:uid="{00000000-0005-0000-0000-0000449D0000}"/>
    <cellStyle name="Normal 373 3 3 2" xfId="31413" xr:uid="{00000000-0005-0000-0000-0000459D0000}"/>
    <cellStyle name="Normal 373 3 4" xfId="24740" xr:uid="{00000000-0005-0000-0000-0000469D0000}"/>
    <cellStyle name="Normal 373 4" xfId="6547" xr:uid="{00000000-0005-0000-0000-0000479D0000}"/>
    <cellStyle name="Normal 373 4 2" xfId="9757" xr:uid="{00000000-0005-0000-0000-0000489D0000}"/>
    <cellStyle name="Normal 373 4 2 2" xfId="17551" xr:uid="{00000000-0005-0000-0000-0000499D0000}"/>
    <cellStyle name="Normal 373 4 2 2 2" xfId="35188" xr:uid="{00000000-0005-0000-0000-00004A9D0000}"/>
    <cellStyle name="Normal 373 4 2 3" xfId="28141" xr:uid="{00000000-0005-0000-0000-00004B9D0000}"/>
    <cellStyle name="Normal 373 4 3" xfId="14336" xr:uid="{00000000-0005-0000-0000-00004C9D0000}"/>
    <cellStyle name="Normal 373 4 3 2" xfId="31971" xr:uid="{00000000-0005-0000-0000-00004D9D0000}"/>
    <cellStyle name="Normal 373 4 4" xfId="25277" xr:uid="{00000000-0005-0000-0000-00004E9D0000}"/>
    <cellStyle name="Normal 373 5" xfId="7323" xr:uid="{00000000-0005-0000-0000-00004F9D0000}"/>
    <cellStyle name="Normal 373 5 2" xfId="10311" xr:uid="{00000000-0005-0000-0000-0000509D0000}"/>
    <cellStyle name="Normal 373 5 2 2" xfId="18104" xr:uid="{00000000-0005-0000-0000-0000519D0000}"/>
    <cellStyle name="Normal 373 5 2 2 2" xfId="35741" xr:uid="{00000000-0005-0000-0000-0000529D0000}"/>
    <cellStyle name="Normal 373 5 2 3" xfId="28678" xr:uid="{00000000-0005-0000-0000-0000539D0000}"/>
    <cellStyle name="Normal 373 5 3" xfId="15111" xr:uid="{00000000-0005-0000-0000-0000549D0000}"/>
    <cellStyle name="Normal 373 5 3 2" xfId="32746" xr:uid="{00000000-0005-0000-0000-0000559D0000}"/>
    <cellStyle name="Normal 373 5 4" xfId="25815" xr:uid="{00000000-0005-0000-0000-0000569D0000}"/>
    <cellStyle name="Normal 373 6" xfId="7922" xr:uid="{00000000-0005-0000-0000-0000579D0000}"/>
    <cellStyle name="Normal 373 6 2" xfId="15719" xr:uid="{00000000-0005-0000-0000-0000589D0000}"/>
    <cellStyle name="Normal 373 6 2 2" xfId="33354" xr:uid="{00000000-0005-0000-0000-0000599D0000}"/>
    <cellStyle name="Normal 373 6 3" xfId="26338" xr:uid="{00000000-0005-0000-0000-00005A9D0000}"/>
    <cellStyle name="Normal 373 7" xfId="11879" xr:uid="{00000000-0005-0000-0000-00005B9D0000}"/>
    <cellStyle name="Normal 373 7 2" xfId="29562" xr:uid="{00000000-0005-0000-0000-00005C9D0000}"/>
    <cellStyle name="Normal 373 8" xfId="23473" xr:uid="{00000000-0005-0000-0000-00005D9D0000}"/>
    <cellStyle name="Normal 373 9" xfId="52357" xr:uid="{00000000-0005-0000-0000-00005E9D0000}"/>
    <cellStyle name="Normal 374" xfId="2721" xr:uid="{00000000-0005-0000-0000-00005F9D0000}"/>
    <cellStyle name="Normal 374 2" xfId="4733" xr:uid="{00000000-0005-0000-0000-0000609D0000}"/>
    <cellStyle name="Normal 374 2 2" xfId="8605" xr:uid="{00000000-0005-0000-0000-0000619D0000}"/>
    <cellStyle name="Normal 374 2 2 2" xfId="16401" xr:uid="{00000000-0005-0000-0000-0000629D0000}"/>
    <cellStyle name="Normal 374 2 2 2 2" xfId="34036" xr:uid="{00000000-0005-0000-0000-0000639D0000}"/>
    <cellStyle name="Normal 374 2 2 3" xfId="27006" xr:uid="{00000000-0005-0000-0000-0000649D0000}"/>
    <cellStyle name="Normal 374 2 3" xfId="12893" xr:uid="{00000000-0005-0000-0000-0000659D0000}"/>
    <cellStyle name="Normal 374 2 3 2" xfId="30543" xr:uid="{00000000-0005-0000-0000-0000669D0000}"/>
    <cellStyle name="Normal 374 2 4" xfId="24141" xr:uid="{00000000-0005-0000-0000-0000679D0000}"/>
    <cellStyle name="Normal 374 3" xfId="5918" xr:uid="{00000000-0005-0000-0000-0000689D0000}"/>
    <cellStyle name="Normal 374 3 2" xfId="9218" xr:uid="{00000000-0005-0000-0000-0000699D0000}"/>
    <cellStyle name="Normal 374 3 2 2" xfId="17013" xr:uid="{00000000-0005-0000-0000-00006A9D0000}"/>
    <cellStyle name="Normal 374 3 2 2 2" xfId="34649" xr:uid="{00000000-0005-0000-0000-00006B9D0000}"/>
    <cellStyle name="Normal 374 3 2 3" xfId="27606" xr:uid="{00000000-0005-0000-0000-00006C9D0000}"/>
    <cellStyle name="Normal 374 3 3" xfId="13774" xr:uid="{00000000-0005-0000-0000-00006D9D0000}"/>
    <cellStyle name="Normal 374 3 3 2" xfId="31414" xr:uid="{00000000-0005-0000-0000-00006E9D0000}"/>
    <cellStyle name="Normal 374 3 4" xfId="24741" xr:uid="{00000000-0005-0000-0000-00006F9D0000}"/>
    <cellStyle name="Normal 374 4" xfId="6548" xr:uid="{00000000-0005-0000-0000-0000709D0000}"/>
    <cellStyle name="Normal 374 4 2" xfId="9758" xr:uid="{00000000-0005-0000-0000-0000719D0000}"/>
    <cellStyle name="Normal 374 4 2 2" xfId="17552" xr:uid="{00000000-0005-0000-0000-0000729D0000}"/>
    <cellStyle name="Normal 374 4 2 2 2" xfId="35189" xr:uid="{00000000-0005-0000-0000-0000739D0000}"/>
    <cellStyle name="Normal 374 4 2 3" xfId="28142" xr:uid="{00000000-0005-0000-0000-0000749D0000}"/>
    <cellStyle name="Normal 374 4 3" xfId="14337" xr:uid="{00000000-0005-0000-0000-0000759D0000}"/>
    <cellStyle name="Normal 374 4 3 2" xfId="31972" xr:uid="{00000000-0005-0000-0000-0000769D0000}"/>
    <cellStyle name="Normal 374 4 4" xfId="25278" xr:uid="{00000000-0005-0000-0000-0000779D0000}"/>
    <cellStyle name="Normal 374 5" xfId="7324" xr:uid="{00000000-0005-0000-0000-0000789D0000}"/>
    <cellStyle name="Normal 374 5 2" xfId="10312" xr:uid="{00000000-0005-0000-0000-0000799D0000}"/>
    <cellStyle name="Normal 374 5 2 2" xfId="18105" xr:uid="{00000000-0005-0000-0000-00007A9D0000}"/>
    <cellStyle name="Normal 374 5 2 2 2" xfId="35742" xr:uid="{00000000-0005-0000-0000-00007B9D0000}"/>
    <cellStyle name="Normal 374 5 2 3" xfId="28679" xr:uid="{00000000-0005-0000-0000-00007C9D0000}"/>
    <cellStyle name="Normal 374 5 3" xfId="15112" xr:uid="{00000000-0005-0000-0000-00007D9D0000}"/>
    <cellStyle name="Normal 374 5 3 2" xfId="32747" xr:uid="{00000000-0005-0000-0000-00007E9D0000}"/>
    <cellStyle name="Normal 374 5 4" xfId="25816" xr:uid="{00000000-0005-0000-0000-00007F9D0000}"/>
    <cellStyle name="Normal 374 6" xfId="7923" xr:uid="{00000000-0005-0000-0000-0000809D0000}"/>
    <cellStyle name="Normal 374 6 2" xfId="15720" xr:uid="{00000000-0005-0000-0000-0000819D0000}"/>
    <cellStyle name="Normal 374 6 2 2" xfId="33355" xr:uid="{00000000-0005-0000-0000-0000829D0000}"/>
    <cellStyle name="Normal 374 6 3" xfId="26339" xr:uid="{00000000-0005-0000-0000-0000839D0000}"/>
    <cellStyle name="Normal 374 7" xfId="11880" xr:uid="{00000000-0005-0000-0000-0000849D0000}"/>
    <cellStyle name="Normal 374 7 2" xfId="29563" xr:uid="{00000000-0005-0000-0000-0000859D0000}"/>
    <cellStyle name="Normal 374 8" xfId="23474" xr:uid="{00000000-0005-0000-0000-0000869D0000}"/>
    <cellStyle name="Normal 374 9" xfId="52358" xr:uid="{00000000-0005-0000-0000-0000879D0000}"/>
    <cellStyle name="Normal 375" xfId="2722" xr:uid="{00000000-0005-0000-0000-0000889D0000}"/>
    <cellStyle name="Normal 375 2" xfId="4734" xr:uid="{00000000-0005-0000-0000-0000899D0000}"/>
    <cellStyle name="Normal 375 2 2" xfId="8606" xr:uid="{00000000-0005-0000-0000-00008A9D0000}"/>
    <cellStyle name="Normal 375 2 2 2" xfId="16402" xr:uid="{00000000-0005-0000-0000-00008B9D0000}"/>
    <cellStyle name="Normal 375 2 2 2 2" xfId="34037" xr:uid="{00000000-0005-0000-0000-00008C9D0000}"/>
    <cellStyle name="Normal 375 2 2 3" xfId="27007" xr:uid="{00000000-0005-0000-0000-00008D9D0000}"/>
    <cellStyle name="Normal 375 2 3" xfId="12894" xr:uid="{00000000-0005-0000-0000-00008E9D0000}"/>
    <cellStyle name="Normal 375 2 3 2" xfId="30544" xr:uid="{00000000-0005-0000-0000-00008F9D0000}"/>
    <cellStyle name="Normal 375 2 4" xfId="24142" xr:uid="{00000000-0005-0000-0000-0000909D0000}"/>
    <cellStyle name="Normal 375 3" xfId="5919" xr:uid="{00000000-0005-0000-0000-0000919D0000}"/>
    <cellStyle name="Normal 375 3 2" xfId="9219" xr:uid="{00000000-0005-0000-0000-0000929D0000}"/>
    <cellStyle name="Normal 375 3 2 2" xfId="17014" xr:uid="{00000000-0005-0000-0000-0000939D0000}"/>
    <cellStyle name="Normal 375 3 2 2 2" xfId="34650" xr:uid="{00000000-0005-0000-0000-0000949D0000}"/>
    <cellStyle name="Normal 375 3 2 3" xfId="27607" xr:uid="{00000000-0005-0000-0000-0000959D0000}"/>
    <cellStyle name="Normal 375 3 3" xfId="13775" xr:uid="{00000000-0005-0000-0000-0000969D0000}"/>
    <cellStyle name="Normal 375 3 3 2" xfId="31415" xr:uid="{00000000-0005-0000-0000-0000979D0000}"/>
    <cellStyle name="Normal 375 3 4" xfId="24742" xr:uid="{00000000-0005-0000-0000-0000989D0000}"/>
    <cellStyle name="Normal 375 4" xfId="6549" xr:uid="{00000000-0005-0000-0000-0000999D0000}"/>
    <cellStyle name="Normal 375 4 2" xfId="9759" xr:uid="{00000000-0005-0000-0000-00009A9D0000}"/>
    <cellStyle name="Normal 375 4 2 2" xfId="17553" xr:uid="{00000000-0005-0000-0000-00009B9D0000}"/>
    <cellStyle name="Normal 375 4 2 2 2" xfId="35190" xr:uid="{00000000-0005-0000-0000-00009C9D0000}"/>
    <cellStyle name="Normal 375 4 2 3" xfId="28143" xr:uid="{00000000-0005-0000-0000-00009D9D0000}"/>
    <cellStyle name="Normal 375 4 3" xfId="14338" xr:uid="{00000000-0005-0000-0000-00009E9D0000}"/>
    <cellStyle name="Normal 375 4 3 2" xfId="31973" xr:uid="{00000000-0005-0000-0000-00009F9D0000}"/>
    <cellStyle name="Normal 375 4 4" xfId="25279" xr:uid="{00000000-0005-0000-0000-0000A09D0000}"/>
    <cellStyle name="Normal 375 5" xfId="7325" xr:uid="{00000000-0005-0000-0000-0000A19D0000}"/>
    <cellStyle name="Normal 375 5 2" xfId="10313" xr:uid="{00000000-0005-0000-0000-0000A29D0000}"/>
    <cellStyle name="Normal 375 5 2 2" xfId="18106" xr:uid="{00000000-0005-0000-0000-0000A39D0000}"/>
    <cellStyle name="Normal 375 5 2 2 2" xfId="35743" xr:uid="{00000000-0005-0000-0000-0000A49D0000}"/>
    <cellStyle name="Normal 375 5 2 3" xfId="28680" xr:uid="{00000000-0005-0000-0000-0000A59D0000}"/>
    <cellStyle name="Normal 375 5 3" xfId="15113" xr:uid="{00000000-0005-0000-0000-0000A69D0000}"/>
    <cellStyle name="Normal 375 5 3 2" xfId="32748" xr:uid="{00000000-0005-0000-0000-0000A79D0000}"/>
    <cellStyle name="Normal 375 5 4" xfId="25817" xr:uid="{00000000-0005-0000-0000-0000A89D0000}"/>
    <cellStyle name="Normal 375 6" xfId="7924" xr:uid="{00000000-0005-0000-0000-0000A99D0000}"/>
    <cellStyle name="Normal 375 6 2" xfId="15721" xr:uid="{00000000-0005-0000-0000-0000AA9D0000}"/>
    <cellStyle name="Normal 375 6 2 2" xfId="33356" xr:uid="{00000000-0005-0000-0000-0000AB9D0000}"/>
    <cellStyle name="Normal 375 6 3" xfId="26340" xr:uid="{00000000-0005-0000-0000-0000AC9D0000}"/>
    <cellStyle name="Normal 375 7" xfId="11881" xr:uid="{00000000-0005-0000-0000-0000AD9D0000}"/>
    <cellStyle name="Normal 375 7 2" xfId="29564" xr:uid="{00000000-0005-0000-0000-0000AE9D0000}"/>
    <cellStyle name="Normal 375 8" xfId="23475" xr:uid="{00000000-0005-0000-0000-0000AF9D0000}"/>
    <cellStyle name="Normal 375 9" xfId="52359" xr:uid="{00000000-0005-0000-0000-0000B09D0000}"/>
    <cellStyle name="Normal 376" xfId="2723" xr:uid="{00000000-0005-0000-0000-0000B19D0000}"/>
    <cellStyle name="Normal 376 2" xfId="4735" xr:uid="{00000000-0005-0000-0000-0000B29D0000}"/>
    <cellStyle name="Normal 376 2 2" xfId="8607" xr:uid="{00000000-0005-0000-0000-0000B39D0000}"/>
    <cellStyle name="Normal 376 2 2 2" xfId="16403" xr:uid="{00000000-0005-0000-0000-0000B49D0000}"/>
    <cellStyle name="Normal 376 2 2 2 2" xfId="34038" xr:uid="{00000000-0005-0000-0000-0000B59D0000}"/>
    <cellStyle name="Normal 376 2 2 3" xfId="27008" xr:uid="{00000000-0005-0000-0000-0000B69D0000}"/>
    <cellStyle name="Normal 376 2 3" xfId="12895" xr:uid="{00000000-0005-0000-0000-0000B79D0000}"/>
    <cellStyle name="Normal 376 2 3 2" xfId="30545" xr:uid="{00000000-0005-0000-0000-0000B89D0000}"/>
    <cellStyle name="Normal 376 2 4" xfId="24143" xr:uid="{00000000-0005-0000-0000-0000B99D0000}"/>
    <cellStyle name="Normal 376 3" xfId="5920" xr:uid="{00000000-0005-0000-0000-0000BA9D0000}"/>
    <cellStyle name="Normal 376 3 2" xfId="9220" xr:uid="{00000000-0005-0000-0000-0000BB9D0000}"/>
    <cellStyle name="Normal 376 3 2 2" xfId="17015" xr:uid="{00000000-0005-0000-0000-0000BC9D0000}"/>
    <cellStyle name="Normal 376 3 2 2 2" xfId="34651" xr:uid="{00000000-0005-0000-0000-0000BD9D0000}"/>
    <cellStyle name="Normal 376 3 2 3" xfId="27608" xr:uid="{00000000-0005-0000-0000-0000BE9D0000}"/>
    <cellStyle name="Normal 376 3 3" xfId="13776" xr:uid="{00000000-0005-0000-0000-0000BF9D0000}"/>
    <cellStyle name="Normal 376 3 3 2" xfId="31416" xr:uid="{00000000-0005-0000-0000-0000C09D0000}"/>
    <cellStyle name="Normal 376 3 4" xfId="24743" xr:uid="{00000000-0005-0000-0000-0000C19D0000}"/>
    <cellStyle name="Normal 376 4" xfId="6550" xr:uid="{00000000-0005-0000-0000-0000C29D0000}"/>
    <cellStyle name="Normal 376 4 2" xfId="9760" xr:uid="{00000000-0005-0000-0000-0000C39D0000}"/>
    <cellStyle name="Normal 376 4 2 2" xfId="17554" xr:uid="{00000000-0005-0000-0000-0000C49D0000}"/>
    <cellStyle name="Normal 376 4 2 2 2" xfId="35191" xr:uid="{00000000-0005-0000-0000-0000C59D0000}"/>
    <cellStyle name="Normal 376 4 2 3" xfId="28144" xr:uid="{00000000-0005-0000-0000-0000C69D0000}"/>
    <cellStyle name="Normal 376 4 3" xfId="14339" xr:uid="{00000000-0005-0000-0000-0000C79D0000}"/>
    <cellStyle name="Normal 376 4 3 2" xfId="31974" xr:uid="{00000000-0005-0000-0000-0000C89D0000}"/>
    <cellStyle name="Normal 376 4 4" xfId="25280" xr:uid="{00000000-0005-0000-0000-0000C99D0000}"/>
    <cellStyle name="Normal 376 5" xfId="7326" xr:uid="{00000000-0005-0000-0000-0000CA9D0000}"/>
    <cellStyle name="Normal 376 5 2" xfId="10314" xr:uid="{00000000-0005-0000-0000-0000CB9D0000}"/>
    <cellStyle name="Normal 376 5 2 2" xfId="18107" xr:uid="{00000000-0005-0000-0000-0000CC9D0000}"/>
    <cellStyle name="Normal 376 5 2 2 2" xfId="35744" xr:uid="{00000000-0005-0000-0000-0000CD9D0000}"/>
    <cellStyle name="Normal 376 5 2 3" xfId="28681" xr:uid="{00000000-0005-0000-0000-0000CE9D0000}"/>
    <cellStyle name="Normal 376 5 3" xfId="15114" xr:uid="{00000000-0005-0000-0000-0000CF9D0000}"/>
    <cellStyle name="Normal 376 5 3 2" xfId="32749" xr:uid="{00000000-0005-0000-0000-0000D09D0000}"/>
    <cellStyle name="Normal 376 5 4" xfId="25818" xr:uid="{00000000-0005-0000-0000-0000D19D0000}"/>
    <cellStyle name="Normal 376 6" xfId="7925" xr:uid="{00000000-0005-0000-0000-0000D29D0000}"/>
    <cellStyle name="Normal 376 6 2" xfId="15722" xr:uid="{00000000-0005-0000-0000-0000D39D0000}"/>
    <cellStyle name="Normal 376 6 2 2" xfId="33357" xr:uid="{00000000-0005-0000-0000-0000D49D0000}"/>
    <cellStyle name="Normal 376 6 3" xfId="26341" xr:uid="{00000000-0005-0000-0000-0000D59D0000}"/>
    <cellStyle name="Normal 376 7" xfId="11882" xr:uid="{00000000-0005-0000-0000-0000D69D0000}"/>
    <cellStyle name="Normal 376 7 2" xfId="29565" xr:uid="{00000000-0005-0000-0000-0000D79D0000}"/>
    <cellStyle name="Normal 376 8" xfId="23476" xr:uid="{00000000-0005-0000-0000-0000D89D0000}"/>
    <cellStyle name="Normal 376 9" xfId="52360" xr:uid="{00000000-0005-0000-0000-0000D99D0000}"/>
    <cellStyle name="Normal 377" xfId="2724" xr:uid="{00000000-0005-0000-0000-0000DA9D0000}"/>
    <cellStyle name="Normal 377 2" xfId="4736" xr:uid="{00000000-0005-0000-0000-0000DB9D0000}"/>
    <cellStyle name="Normal 377 3" xfId="52361" xr:uid="{00000000-0005-0000-0000-0000DC9D0000}"/>
    <cellStyle name="Normal 378" xfId="2725" xr:uid="{00000000-0005-0000-0000-0000DD9D0000}"/>
    <cellStyle name="Normal 378 2" xfId="4737" xr:uid="{00000000-0005-0000-0000-0000DE9D0000}"/>
    <cellStyle name="Normal 378 3" xfId="52362" xr:uid="{00000000-0005-0000-0000-0000DF9D0000}"/>
    <cellStyle name="Normal 379" xfId="2726" xr:uid="{00000000-0005-0000-0000-0000E09D0000}"/>
    <cellStyle name="Normal 379 2" xfId="4738" xr:uid="{00000000-0005-0000-0000-0000E19D0000}"/>
    <cellStyle name="Normal 379 3" xfId="52363" xr:uid="{00000000-0005-0000-0000-0000E29D0000}"/>
    <cellStyle name="Normal 38" xfId="2727" xr:uid="{00000000-0005-0000-0000-0000E39D0000}"/>
    <cellStyle name="Normal 38 2" xfId="4739" xr:uid="{00000000-0005-0000-0000-0000E49D0000}"/>
    <cellStyle name="Normal 38 2 2" xfId="22778" xr:uid="{00000000-0005-0000-0000-0000E59D0000}"/>
    <cellStyle name="Normal 38 2 2 2" xfId="38985" xr:uid="{00000000-0005-0000-0000-0000E69D0000}"/>
    <cellStyle name="Normal 38 3" xfId="22994" xr:uid="{00000000-0005-0000-0000-0000E79D0000}"/>
    <cellStyle name="Normal 38 4" xfId="22569" xr:uid="{00000000-0005-0000-0000-0000E89D0000}"/>
    <cellStyle name="Normal 38 4 2" xfId="38880" xr:uid="{00000000-0005-0000-0000-0000E99D0000}"/>
    <cellStyle name="Normal 38 5" xfId="52364" xr:uid="{00000000-0005-0000-0000-0000EA9D0000}"/>
    <cellStyle name="Normal 380" xfId="2728" xr:uid="{00000000-0005-0000-0000-0000EB9D0000}"/>
    <cellStyle name="Normal 380 2" xfId="4740" xr:uid="{00000000-0005-0000-0000-0000EC9D0000}"/>
    <cellStyle name="Normal 380 3" xfId="52365" xr:uid="{00000000-0005-0000-0000-0000ED9D0000}"/>
    <cellStyle name="Normal 381" xfId="2729" xr:uid="{00000000-0005-0000-0000-0000EE9D0000}"/>
    <cellStyle name="Normal 381 2" xfId="4741" xr:uid="{00000000-0005-0000-0000-0000EF9D0000}"/>
    <cellStyle name="Normal 381 3" xfId="52366" xr:uid="{00000000-0005-0000-0000-0000F09D0000}"/>
    <cellStyle name="Normal 382" xfId="2730" xr:uid="{00000000-0005-0000-0000-0000F19D0000}"/>
    <cellStyle name="Normal 382 2" xfId="4742" xr:uid="{00000000-0005-0000-0000-0000F29D0000}"/>
    <cellStyle name="Normal 382 3" xfId="52367" xr:uid="{00000000-0005-0000-0000-0000F39D0000}"/>
    <cellStyle name="Normal 383" xfId="2731" xr:uid="{00000000-0005-0000-0000-0000F49D0000}"/>
    <cellStyle name="Normal 383 2" xfId="4743" xr:uid="{00000000-0005-0000-0000-0000F59D0000}"/>
    <cellStyle name="Normal 383 3" xfId="52368" xr:uid="{00000000-0005-0000-0000-0000F69D0000}"/>
    <cellStyle name="Normal 384" xfId="2732" xr:uid="{00000000-0005-0000-0000-0000F79D0000}"/>
    <cellStyle name="Normal 384 2" xfId="4744" xr:uid="{00000000-0005-0000-0000-0000F89D0000}"/>
    <cellStyle name="Normal 384 2 2" xfId="8608" xr:uid="{00000000-0005-0000-0000-0000F99D0000}"/>
    <cellStyle name="Normal 384 2 2 2" xfId="16404" xr:uid="{00000000-0005-0000-0000-0000FA9D0000}"/>
    <cellStyle name="Normal 384 2 2 2 2" xfId="34039" xr:uid="{00000000-0005-0000-0000-0000FB9D0000}"/>
    <cellStyle name="Normal 384 2 2 3" xfId="27009" xr:uid="{00000000-0005-0000-0000-0000FC9D0000}"/>
    <cellStyle name="Normal 384 2 3" xfId="12897" xr:uid="{00000000-0005-0000-0000-0000FD9D0000}"/>
    <cellStyle name="Normal 384 2 3 2" xfId="30547" xr:uid="{00000000-0005-0000-0000-0000FE9D0000}"/>
    <cellStyle name="Normal 384 2 4" xfId="24144" xr:uid="{00000000-0005-0000-0000-0000FF9D0000}"/>
    <cellStyle name="Normal 384 3" xfId="5921" xr:uid="{00000000-0005-0000-0000-0000009E0000}"/>
    <cellStyle name="Normal 384 3 2" xfId="9221" xr:uid="{00000000-0005-0000-0000-0000019E0000}"/>
    <cellStyle name="Normal 384 3 2 2" xfId="17016" xr:uid="{00000000-0005-0000-0000-0000029E0000}"/>
    <cellStyle name="Normal 384 3 2 2 2" xfId="34652" xr:uid="{00000000-0005-0000-0000-0000039E0000}"/>
    <cellStyle name="Normal 384 3 2 3" xfId="27609" xr:uid="{00000000-0005-0000-0000-0000049E0000}"/>
    <cellStyle name="Normal 384 3 3" xfId="13777" xr:uid="{00000000-0005-0000-0000-0000059E0000}"/>
    <cellStyle name="Normal 384 3 3 2" xfId="31417" xr:uid="{00000000-0005-0000-0000-0000069E0000}"/>
    <cellStyle name="Normal 384 3 4" xfId="24744" xr:uid="{00000000-0005-0000-0000-0000079E0000}"/>
    <cellStyle name="Normal 384 4" xfId="6551" xr:uid="{00000000-0005-0000-0000-0000089E0000}"/>
    <cellStyle name="Normal 384 4 2" xfId="9761" xr:uid="{00000000-0005-0000-0000-0000099E0000}"/>
    <cellStyle name="Normal 384 4 2 2" xfId="17555" xr:uid="{00000000-0005-0000-0000-00000A9E0000}"/>
    <cellStyle name="Normal 384 4 2 2 2" xfId="35192" xr:uid="{00000000-0005-0000-0000-00000B9E0000}"/>
    <cellStyle name="Normal 384 4 2 3" xfId="28145" xr:uid="{00000000-0005-0000-0000-00000C9E0000}"/>
    <cellStyle name="Normal 384 4 3" xfId="14340" xr:uid="{00000000-0005-0000-0000-00000D9E0000}"/>
    <cellStyle name="Normal 384 4 3 2" xfId="31975" xr:uid="{00000000-0005-0000-0000-00000E9E0000}"/>
    <cellStyle name="Normal 384 4 4" xfId="25281" xr:uid="{00000000-0005-0000-0000-00000F9E0000}"/>
    <cellStyle name="Normal 384 5" xfId="7327" xr:uid="{00000000-0005-0000-0000-0000109E0000}"/>
    <cellStyle name="Normal 384 5 2" xfId="10315" xr:uid="{00000000-0005-0000-0000-0000119E0000}"/>
    <cellStyle name="Normal 384 5 2 2" xfId="18108" xr:uid="{00000000-0005-0000-0000-0000129E0000}"/>
    <cellStyle name="Normal 384 5 2 2 2" xfId="35745" xr:uid="{00000000-0005-0000-0000-0000139E0000}"/>
    <cellStyle name="Normal 384 5 2 3" xfId="28682" xr:uid="{00000000-0005-0000-0000-0000149E0000}"/>
    <cellStyle name="Normal 384 5 3" xfId="15115" xr:uid="{00000000-0005-0000-0000-0000159E0000}"/>
    <cellStyle name="Normal 384 5 3 2" xfId="32750" xr:uid="{00000000-0005-0000-0000-0000169E0000}"/>
    <cellStyle name="Normal 384 5 4" xfId="25819" xr:uid="{00000000-0005-0000-0000-0000179E0000}"/>
    <cellStyle name="Normal 384 6" xfId="7926" xr:uid="{00000000-0005-0000-0000-0000189E0000}"/>
    <cellStyle name="Normal 384 6 2" xfId="15723" xr:uid="{00000000-0005-0000-0000-0000199E0000}"/>
    <cellStyle name="Normal 384 6 2 2" xfId="33358" xr:uid="{00000000-0005-0000-0000-00001A9E0000}"/>
    <cellStyle name="Normal 384 6 3" xfId="26342" xr:uid="{00000000-0005-0000-0000-00001B9E0000}"/>
    <cellStyle name="Normal 384 7" xfId="11883" xr:uid="{00000000-0005-0000-0000-00001C9E0000}"/>
    <cellStyle name="Normal 384 7 2" xfId="29566" xr:uid="{00000000-0005-0000-0000-00001D9E0000}"/>
    <cellStyle name="Normal 384 8" xfId="23477" xr:uid="{00000000-0005-0000-0000-00001E9E0000}"/>
    <cellStyle name="Normal 384 9" xfId="52369" xr:uid="{00000000-0005-0000-0000-00001F9E0000}"/>
    <cellStyle name="Normal 385" xfId="2733" xr:uid="{00000000-0005-0000-0000-0000209E0000}"/>
    <cellStyle name="Normal 385 2" xfId="4745" xr:uid="{00000000-0005-0000-0000-0000219E0000}"/>
    <cellStyle name="Normal 385 3" xfId="52370" xr:uid="{00000000-0005-0000-0000-0000229E0000}"/>
    <cellStyle name="Normal 386" xfId="2734" xr:uid="{00000000-0005-0000-0000-0000239E0000}"/>
    <cellStyle name="Normal 386 2" xfId="4746" xr:uid="{00000000-0005-0000-0000-0000249E0000}"/>
    <cellStyle name="Normal 386 3" xfId="52371" xr:uid="{00000000-0005-0000-0000-0000259E0000}"/>
    <cellStyle name="Normal 387" xfId="2735" xr:uid="{00000000-0005-0000-0000-0000269E0000}"/>
    <cellStyle name="Normal 387 2" xfId="4747" xr:uid="{00000000-0005-0000-0000-0000279E0000}"/>
    <cellStyle name="Normal 387 3" xfId="52372" xr:uid="{00000000-0005-0000-0000-0000289E0000}"/>
    <cellStyle name="Normal 388" xfId="2736" xr:uid="{00000000-0005-0000-0000-0000299E0000}"/>
    <cellStyle name="Normal 388 2" xfId="4748" xr:uid="{00000000-0005-0000-0000-00002A9E0000}"/>
    <cellStyle name="Normal 388 3" xfId="52373" xr:uid="{00000000-0005-0000-0000-00002B9E0000}"/>
    <cellStyle name="Normal 389" xfId="2737" xr:uid="{00000000-0005-0000-0000-00002C9E0000}"/>
    <cellStyle name="Normal 389 2" xfId="4749" xr:uid="{00000000-0005-0000-0000-00002D9E0000}"/>
    <cellStyle name="Normal 389 3" xfId="52374" xr:uid="{00000000-0005-0000-0000-00002E9E0000}"/>
    <cellStyle name="Normal 39" xfId="2738" xr:uid="{00000000-0005-0000-0000-00002F9E0000}"/>
    <cellStyle name="Normal 39 2" xfId="4750" xr:uid="{00000000-0005-0000-0000-0000309E0000}"/>
    <cellStyle name="Normal 39 2 2" xfId="22779" xr:uid="{00000000-0005-0000-0000-0000319E0000}"/>
    <cellStyle name="Normal 39 2 2 2" xfId="38986" xr:uid="{00000000-0005-0000-0000-0000329E0000}"/>
    <cellStyle name="Normal 39 3" xfId="22995" xr:uid="{00000000-0005-0000-0000-0000339E0000}"/>
    <cellStyle name="Normal 39 4" xfId="22570" xr:uid="{00000000-0005-0000-0000-0000349E0000}"/>
    <cellStyle name="Normal 39 4 2" xfId="38881" xr:uid="{00000000-0005-0000-0000-0000359E0000}"/>
    <cellStyle name="Normal 39 5" xfId="52375" xr:uid="{00000000-0005-0000-0000-0000369E0000}"/>
    <cellStyle name="Normal 390" xfId="2739" xr:uid="{00000000-0005-0000-0000-0000379E0000}"/>
    <cellStyle name="Normal 390 2" xfId="4751" xr:uid="{00000000-0005-0000-0000-0000389E0000}"/>
    <cellStyle name="Normal 390 2 2" xfId="8609" xr:uid="{00000000-0005-0000-0000-0000399E0000}"/>
    <cellStyle name="Normal 390 2 2 2" xfId="16405" xr:uid="{00000000-0005-0000-0000-00003A9E0000}"/>
    <cellStyle name="Normal 390 2 2 2 2" xfId="34040" xr:uid="{00000000-0005-0000-0000-00003B9E0000}"/>
    <cellStyle name="Normal 390 2 2 3" xfId="27010" xr:uid="{00000000-0005-0000-0000-00003C9E0000}"/>
    <cellStyle name="Normal 390 2 3" xfId="12900" xr:uid="{00000000-0005-0000-0000-00003D9E0000}"/>
    <cellStyle name="Normal 390 2 3 2" xfId="30550" xr:uid="{00000000-0005-0000-0000-00003E9E0000}"/>
    <cellStyle name="Normal 390 2 4" xfId="24145" xr:uid="{00000000-0005-0000-0000-00003F9E0000}"/>
    <cellStyle name="Normal 390 3" xfId="5922" xr:uid="{00000000-0005-0000-0000-0000409E0000}"/>
    <cellStyle name="Normal 390 3 2" xfId="9222" xr:uid="{00000000-0005-0000-0000-0000419E0000}"/>
    <cellStyle name="Normal 390 3 2 2" xfId="17017" xr:uid="{00000000-0005-0000-0000-0000429E0000}"/>
    <cellStyle name="Normal 390 3 2 2 2" xfId="34653" xr:uid="{00000000-0005-0000-0000-0000439E0000}"/>
    <cellStyle name="Normal 390 3 2 3" xfId="27610" xr:uid="{00000000-0005-0000-0000-0000449E0000}"/>
    <cellStyle name="Normal 390 3 3" xfId="13778" xr:uid="{00000000-0005-0000-0000-0000459E0000}"/>
    <cellStyle name="Normal 390 3 3 2" xfId="31418" xr:uid="{00000000-0005-0000-0000-0000469E0000}"/>
    <cellStyle name="Normal 390 3 4" xfId="24745" xr:uid="{00000000-0005-0000-0000-0000479E0000}"/>
    <cellStyle name="Normal 390 4" xfId="6552" xr:uid="{00000000-0005-0000-0000-0000489E0000}"/>
    <cellStyle name="Normal 390 4 2" xfId="9762" xr:uid="{00000000-0005-0000-0000-0000499E0000}"/>
    <cellStyle name="Normal 390 4 2 2" xfId="17556" xr:uid="{00000000-0005-0000-0000-00004A9E0000}"/>
    <cellStyle name="Normal 390 4 2 2 2" xfId="35193" xr:uid="{00000000-0005-0000-0000-00004B9E0000}"/>
    <cellStyle name="Normal 390 4 2 3" xfId="28146" xr:uid="{00000000-0005-0000-0000-00004C9E0000}"/>
    <cellStyle name="Normal 390 4 3" xfId="14341" xr:uid="{00000000-0005-0000-0000-00004D9E0000}"/>
    <cellStyle name="Normal 390 4 3 2" xfId="31976" xr:uid="{00000000-0005-0000-0000-00004E9E0000}"/>
    <cellStyle name="Normal 390 4 4" xfId="25282" xr:uid="{00000000-0005-0000-0000-00004F9E0000}"/>
    <cellStyle name="Normal 390 5" xfId="7328" xr:uid="{00000000-0005-0000-0000-0000509E0000}"/>
    <cellStyle name="Normal 390 5 2" xfId="10316" xr:uid="{00000000-0005-0000-0000-0000519E0000}"/>
    <cellStyle name="Normal 390 5 2 2" xfId="18109" xr:uid="{00000000-0005-0000-0000-0000529E0000}"/>
    <cellStyle name="Normal 390 5 2 2 2" xfId="35746" xr:uid="{00000000-0005-0000-0000-0000539E0000}"/>
    <cellStyle name="Normal 390 5 2 3" xfId="28683" xr:uid="{00000000-0005-0000-0000-0000549E0000}"/>
    <cellStyle name="Normal 390 5 3" xfId="15116" xr:uid="{00000000-0005-0000-0000-0000559E0000}"/>
    <cellStyle name="Normal 390 5 3 2" xfId="32751" xr:uid="{00000000-0005-0000-0000-0000569E0000}"/>
    <cellStyle name="Normal 390 5 4" xfId="25820" xr:uid="{00000000-0005-0000-0000-0000579E0000}"/>
    <cellStyle name="Normal 390 6" xfId="7927" xr:uid="{00000000-0005-0000-0000-0000589E0000}"/>
    <cellStyle name="Normal 390 6 2" xfId="15724" xr:uid="{00000000-0005-0000-0000-0000599E0000}"/>
    <cellStyle name="Normal 390 6 2 2" xfId="33359" xr:uid="{00000000-0005-0000-0000-00005A9E0000}"/>
    <cellStyle name="Normal 390 6 3" xfId="26343" xr:uid="{00000000-0005-0000-0000-00005B9E0000}"/>
    <cellStyle name="Normal 390 7" xfId="11886" xr:uid="{00000000-0005-0000-0000-00005C9E0000}"/>
    <cellStyle name="Normal 390 7 2" xfId="29569" xr:uid="{00000000-0005-0000-0000-00005D9E0000}"/>
    <cellStyle name="Normal 390 8" xfId="23478" xr:uid="{00000000-0005-0000-0000-00005E9E0000}"/>
    <cellStyle name="Normal 390 9" xfId="52376" xr:uid="{00000000-0005-0000-0000-00005F9E0000}"/>
    <cellStyle name="Normal 391" xfId="2740" xr:uid="{00000000-0005-0000-0000-0000609E0000}"/>
    <cellStyle name="Normal 391 2" xfId="4752" xr:uid="{00000000-0005-0000-0000-0000619E0000}"/>
    <cellStyle name="Normal 391 3" xfId="52377" xr:uid="{00000000-0005-0000-0000-0000629E0000}"/>
    <cellStyle name="Normal 392" xfId="2741" xr:uid="{00000000-0005-0000-0000-0000639E0000}"/>
    <cellStyle name="Normal 392 2" xfId="4753" xr:uid="{00000000-0005-0000-0000-0000649E0000}"/>
    <cellStyle name="Normal 392 3" xfId="52378" xr:uid="{00000000-0005-0000-0000-0000659E0000}"/>
    <cellStyle name="Normal 393" xfId="2742" xr:uid="{00000000-0005-0000-0000-0000669E0000}"/>
    <cellStyle name="Normal 393 2" xfId="4754" xr:uid="{00000000-0005-0000-0000-0000679E0000}"/>
    <cellStyle name="Normal 393 3" xfId="52379" xr:uid="{00000000-0005-0000-0000-0000689E0000}"/>
    <cellStyle name="Normal 394" xfId="2743" xr:uid="{00000000-0005-0000-0000-0000699E0000}"/>
    <cellStyle name="Normal 394 2" xfId="4755" xr:uid="{00000000-0005-0000-0000-00006A9E0000}"/>
    <cellStyle name="Normal 394 3" xfId="52380" xr:uid="{00000000-0005-0000-0000-00006B9E0000}"/>
    <cellStyle name="Normal 395" xfId="2744" xr:uid="{00000000-0005-0000-0000-00006C9E0000}"/>
    <cellStyle name="Normal 395 2" xfId="4756" xr:uid="{00000000-0005-0000-0000-00006D9E0000}"/>
    <cellStyle name="Normal 395 3" xfId="52381" xr:uid="{00000000-0005-0000-0000-00006E9E0000}"/>
    <cellStyle name="Normal 396" xfId="2745" xr:uid="{00000000-0005-0000-0000-00006F9E0000}"/>
    <cellStyle name="Normal 396 2" xfId="4757" xr:uid="{00000000-0005-0000-0000-0000709E0000}"/>
    <cellStyle name="Normal 396 2 2" xfId="8610" xr:uid="{00000000-0005-0000-0000-0000719E0000}"/>
    <cellStyle name="Normal 396 2 2 2" xfId="16406" xr:uid="{00000000-0005-0000-0000-0000729E0000}"/>
    <cellStyle name="Normal 396 2 2 2 2" xfId="34041" xr:uid="{00000000-0005-0000-0000-0000739E0000}"/>
    <cellStyle name="Normal 396 2 2 3" xfId="27011" xr:uid="{00000000-0005-0000-0000-0000749E0000}"/>
    <cellStyle name="Normal 396 2 3" xfId="12901" xr:uid="{00000000-0005-0000-0000-0000759E0000}"/>
    <cellStyle name="Normal 396 2 3 2" xfId="30551" xr:uid="{00000000-0005-0000-0000-0000769E0000}"/>
    <cellStyle name="Normal 396 2 4" xfId="24146" xr:uid="{00000000-0005-0000-0000-0000779E0000}"/>
    <cellStyle name="Normal 396 3" xfId="5923" xr:uid="{00000000-0005-0000-0000-0000789E0000}"/>
    <cellStyle name="Normal 396 3 2" xfId="9223" xr:uid="{00000000-0005-0000-0000-0000799E0000}"/>
    <cellStyle name="Normal 396 3 2 2" xfId="17018" xr:uid="{00000000-0005-0000-0000-00007A9E0000}"/>
    <cellStyle name="Normal 396 3 2 2 2" xfId="34654" xr:uid="{00000000-0005-0000-0000-00007B9E0000}"/>
    <cellStyle name="Normal 396 3 2 3" xfId="27611" xr:uid="{00000000-0005-0000-0000-00007C9E0000}"/>
    <cellStyle name="Normal 396 3 3" xfId="13779" xr:uid="{00000000-0005-0000-0000-00007D9E0000}"/>
    <cellStyle name="Normal 396 3 3 2" xfId="31419" xr:uid="{00000000-0005-0000-0000-00007E9E0000}"/>
    <cellStyle name="Normal 396 3 4" xfId="24746" xr:uid="{00000000-0005-0000-0000-00007F9E0000}"/>
    <cellStyle name="Normal 396 4" xfId="6553" xr:uid="{00000000-0005-0000-0000-0000809E0000}"/>
    <cellStyle name="Normal 396 4 2" xfId="9763" xr:uid="{00000000-0005-0000-0000-0000819E0000}"/>
    <cellStyle name="Normal 396 4 2 2" xfId="17557" xr:uid="{00000000-0005-0000-0000-0000829E0000}"/>
    <cellStyle name="Normal 396 4 2 2 2" xfId="35194" xr:uid="{00000000-0005-0000-0000-0000839E0000}"/>
    <cellStyle name="Normal 396 4 2 3" xfId="28147" xr:uid="{00000000-0005-0000-0000-0000849E0000}"/>
    <cellStyle name="Normal 396 4 3" xfId="14342" xr:uid="{00000000-0005-0000-0000-0000859E0000}"/>
    <cellStyle name="Normal 396 4 3 2" xfId="31977" xr:uid="{00000000-0005-0000-0000-0000869E0000}"/>
    <cellStyle name="Normal 396 4 4" xfId="25283" xr:uid="{00000000-0005-0000-0000-0000879E0000}"/>
    <cellStyle name="Normal 396 5" xfId="7329" xr:uid="{00000000-0005-0000-0000-0000889E0000}"/>
    <cellStyle name="Normal 396 5 2" xfId="10317" xr:uid="{00000000-0005-0000-0000-0000899E0000}"/>
    <cellStyle name="Normal 396 5 2 2" xfId="18110" xr:uid="{00000000-0005-0000-0000-00008A9E0000}"/>
    <cellStyle name="Normal 396 5 2 2 2" xfId="35747" xr:uid="{00000000-0005-0000-0000-00008B9E0000}"/>
    <cellStyle name="Normal 396 5 2 3" xfId="28684" xr:uid="{00000000-0005-0000-0000-00008C9E0000}"/>
    <cellStyle name="Normal 396 5 3" xfId="15117" xr:uid="{00000000-0005-0000-0000-00008D9E0000}"/>
    <cellStyle name="Normal 396 5 3 2" xfId="32752" xr:uid="{00000000-0005-0000-0000-00008E9E0000}"/>
    <cellStyle name="Normal 396 5 4" xfId="25821" xr:uid="{00000000-0005-0000-0000-00008F9E0000}"/>
    <cellStyle name="Normal 396 6" xfId="7928" xr:uid="{00000000-0005-0000-0000-0000909E0000}"/>
    <cellStyle name="Normal 396 6 2" xfId="15725" xr:uid="{00000000-0005-0000-0000-0000919E0000}"/>
    <cellStyle name="Normal 396 6 2 2" xfId="33360" xr:uid="{00000000-0005-0000-0000-0000929E0000}"/>
    <cellStyle name="Normal 396 6 3" xfId="26344" xr:uid="{00000000-0005-0000-0000-0000939E0000}"/>
    <cellStyle name="Normal 396 7" xfId="11887" xr:uid="{00000000-0005-0000-0000-0000949E0000}"/>
    <cellStyle name="Normal 396 7 2" xfId="29570" xr:uid="{00000000-0005-0000-0000-0000959E0000}"/>
    <cellStyle name="Normal 396 8" xfId="23479" xr:uid="{00000000-0005-0000-0000-0000969E0000}"/>
    <cellStyle name="Normal 396 9" xfId="52382" xr:uid="{00000000-0005-0000-0000-0000979E0000}"/>
    <cellStyle name="Normal 397" xfId="2746" xr:uid="{00000000-0005-0000-0000-0000989E0000}"/>
    <cellStyle name="Normal 397 2" xfId="4758" xr:uid="{00000000-0005-0000-0000-0000999E0000}"/>
    <cellStyle name="Normal 397 3" xfId="52383" xr:uid="{00000000-0005-0000-0000-00009A9E0000}"/>
    <cellStyle name="Normal 398" xfId="2747" xr:uid="{00000000-0005-0000-0000-00009B9E0000}"/>
    <cellStyle name="Normal 398 2" xfId="4759" xr:uid="{00000000-0005-0000-0000-00009C9E0000}"/>
    <cellStyle name="Normal 398 3" xfId="52384" xr:uid="{00000000-0005-0000-0000-00009D9E0000}"/>
    <cellStyle name="Normal 399" xfId="2748" xr:uid="{00000000-0005-0000-0000-00009E9E0000}"/>
    <cellStyle name="Normal 399 2" xfId="4760" xr:uid="{00000000-0005-0000-0000-00009F9E0000}"/>
    <cellStyle name="Normal 399 2 2" xfId="8611" xr:uid="{00000000-0005-0000-0000-0000A09E0000}"/>
    <cellStyle name="Normal 399 2 2 2" xfId="16407" xr:uid="{00000000-0005-0000-0000-0000A19E0000}"/>
    <cellStyle name="Normal 399 2 2 2 2" xfId="34042" xr:uid="{00000000-0005-0000-0000-0000A29E0000}"/>
    <cellStyle name="Normal 399 2 2 3" xfId="27012" xr:uid="{00000000-0005-0000-0000-0000A39E0000}"/>
    <cellStyle name="Normal 399 2 3" xfId="12902" xr:uid="{00000000-0005-0000-0000-0000A49E0000}"/>
    <cellStyle name="Normal 399 2 3 2" xfId="30552" xr:uid="{00000000-0005-0000-0000-0000A59E0000}"/>
    <cellStyle name="Normal 399 2 4" xfId="24147" xr:uid="{00000000-0005-0000-0000-0000A69E0000}"/>
    <cellStyle name="Normal 399 3" xfId="5924" xr:uid="{00000000-0005-0000-0000-0000A79E0000}"/>
    <cellStyle name="Normal 399 3 2" xfId="9224" xr:uid="{00000000-0005-0000-0000-0000A89E0000}"/>
    <cellStyle name="Normal 399 3 2 2" xfId="17019" xr:uid="{00000000-0005-0000-0000-0000A99E0000}"/>
    <cellStyle name="Normal 399 3 2 2 2" xfId="34655" xr:uid="{00000000-0005-0000-0000-0000AA9E0000}"/>
    <cellStyle name="Normal 399 3 2 3" xfId="27612" xr:uid="{00000000-0005-0000-0000-0000AB9E0000}"/>
    <cellStyle name="Normal 399 3 3" xfId="13780" xr:uid="{00000000-0005-0000-0000-0000AC9E0000}"/>
    <cellStyle name="Normal 399 3 3 2" xfId="31420" xr:uid="{00000000-0005-0000-0000-0000AD9E0000}"/>
    <cellStyle name="Normal 399 3 4" xfId="24747" xr:uid="{00000000-0005-0000-0000-0000AE9E0000}"/>
    <cellStyle name="Normal 399 4" xfId="6554" xr:uid="{00000000-0005-0000-0000-0000AF9E0000}"/>
    <cellStyle name="Normal 399 4 2" xfId="9764" xr:uid="{00000000-0005-0000-0000-0000B09E0000}"/>
    <cellStyle name="Normal 399 4 2 2" xfId="17558" xr:uid="{00000000-0005-0000-0000-0000B19E0000}"/>
    <cellStyle name="Normal 399 4 2 2 2" xfId="35195" xr:uid="{00000000-0005-0000-0000-0000B29E0000}"/>
    <cellStyle name="Normal 399 4 2 3" xfId="28148" xr:uid="{00000000-0005-0000-0000-0000B39E0000}"/>
    <cellStyle name="Normal 399 4 3" xfId="14343" xr:uid="{00000000-0005-0000-0000-0000B49E0000}"/>
    <cellStyle name="Normal 399 4 3 2" xfId="31978" xr:uid="{00000000-0005-0000-0000-0000B59E0000}"/>
    <cellStyle name="Normal 399 4 4" xfId="25284" xr:uid="{00000000-0005-0000-0000-0000B69E0000}"/>
    <cellStyle name="Normal 399 5" xfId="7330" xr:uid="{00000000-0005-0000-0000-0000B79E0000}"/>
    <cellStyle name="Normal 399 5 2" xfId="10318" xr:uid="{00000000-0005-0000-0000-0000B89E0000}"/>
    <cellStyle name="Normal 399 5 2 2" xfId="18111" xr:uid="{00000000-0005-0000-0000-0000B99E0000}"/>
    <cellStyle name="Normal 399 5 2 2 2" xfId="35748" xr:uid="{00000000-0005-0000-0000-0000BA9E0000}"/>
    <cellStyle name="Normal 399 5 2 3" xfId="28685" xr:uid="{00000000-0005-0000-0000-0000BB9E0000}"/>
    <cellStyle name="Normal 399 5 3" xfId="15118" xr:uid="{00000000-0005-0000-0000-0000BC9E0000}"/>
    <cellStyle name="Normal 399 5 3 2" xfId="32753" xr:uid="{00000000-0005-0000-0000-0000BD9E0000}"/>
    <cellStyle name="Normal 399 5 4" xfId="25822" xr:uid="{00000000-0005-0000-0000-0000BE9E0000}"/>
    <cellStyle name="Normal 399 6" xfId="7929" xr:uid="{00000000-0005-0000-0000-0000BF9E0000}"/>
    <cellStyle name="Normal 399 6 2" xfId="15726" xr:uid="{00000000-0005-0000-0000-0000C09E0000}"/>
    <cellStyle name="Normal 399 6 2 2" xfId="33361" xr:uid="{00000000-0005-0000-0000-0000C19E0000}"/>
    <cellStyle name="Normal 399 6 3" xfId="26345" xr:uid="{00000000-0005-0000-0000-0000C29E0000}"/>
    <cellStyle name="Normal 399 7" xfId="11888" xr:uid="{00000000-0005-0000-0000-0000C39E0000}"/>
    <cellStyle name="Normal 399 7 2" xfId="29571" xr:uid="{00000000-0005-0000-0000-0000C49E0000}"/>
    <cellStyle name="Normal 399 8" xfId="23480" xr:uid="{00000000-0005-0000-0000-0000C59E0000}"/>
    <cellStyle name="Normal 399 9" xfId="52385" xr:uid="{00000000-0005-0000-0000-0000C69E0000}"/>
    <cellStyle name="Normal 4" xfId="121" xr:uid="{00000000-0005-0000-0000-0000C79E0000}"/>
    <cellStyle name="Normal 4 2" xfId="122" xr:uid="{00000000-0005-0000-0000-0000C89E0000}"/>
    <cellStyle name="Normal 4 2 2" xfId="123" xr:uid="{00000000-0005-0000-0000-0000C99E0000}"/>
    <cellStyle name="Normal 4 2 3" xfId="52387" xr:uid="{00000000-0005-0000-0000-0000CA9E0000}"/>
    <cellStyle name="Normal 4 3" xfId="124" xr:uid="{00000000-0005-0000-0000-0000CB9E0000}"/>
    <cellStyle name="Normal 4 3 2" xfId="125" xr:uid="{00000000-0005-0000-0000-0000CC9E0000}"/>
    <cellStyle name="Normal 4 4" xfId="126" xr:uid="{00000000-0005-0000-0000-0000CD9E0000}"/>
    <cellStyle name="Normal 4 5" xfId="52386" xr:uid="{00000000-0005-0000-0000-0000CE9E0000}"/>
    <cellStyle name="Normal 40" xfId="2749" xr:uid="{00000000-0005-0000-0000-0000CF9E0000}"/>
    <cellStyle name="Normal 40 2" xfId="4761" xr:uid="{00000000-0005-0000-0000-0000D09E0000}"/>
    <cellStyle name="Normal 40 2 2" xfId="22780" xr:uid="{00000000-0005-0000-0000-0000D19E0000}"/>
    <cellStyle name="Normal 40 2 2 2" xfId="38987" xr:uid="{00000000-0005-0000-0000-0000D29E0000}"/>
    <cellStyle name="Normal 40 3" xfId="22996" xr:uid="{00000000-0005-0000-0000-0000D39E0000}"/>
    <cellStyle name="Normal 40 4" xfId="22571" xr:uid="{00000000-0005-0000-0000-0000D49E0000}"/>
    <cellStyle name="Normal 40 4 2" xfId="38882" xr:uid="{00000000-0005-0000-0000-0000D59E0000}"/>
    <cellStyle name="Normal 40 5" xfId="52388" xr:uid="{00000000-0005-0000-0000-0000D69E0000}"/>
    <cellStyle name="Normal 400" xfId="2750" xr:uid="{00000000-0005-0000-0000-0000D79E0000}"/>
    <cellStyle name="Normal 400 2" xfId="4762" xr:uid="{00000000-0005-0000-0000-0000D89E0000}"/>
    <cellStyle name="Normal 400 2 2" xfId="8612" xr:uid="{00000000-0005-0000-0000-0000D99E0000}"/>
    <cellStyle name="Normal 400 2 2 2" xfId="16408" xr:uid="{00000000-0005-0000-0000-0000DA9E0000}"/>
    <cellStyle name="Normal 400 2 2 2 2" xfId="34043" xr:uid="{00000000-0005-0000-0000-0000DB9E0000}"/>
    <cellStyle name="Normal 400 2 2 3" xfId="27013" xr:uid="{00000000-0005-0000-0000-0000DC9E0000}"/>
    <cellStyle name="Normal 400 2 3" xfId="12903" xr:uid="{00000000-0005-0000-0000-0000DD9E0000}"/>
    <cellStyle name="Normal 400 2 3 2" xfId="30553" xr:uid="{00000000-0005-0000-0000-0000DE9E0000}"/>
    <cellStyle name="Normal 400 2 4" xfId="24148" xr:uid="{00000000-0005-0000-0000-0000DF9E0000}"/>
    <cellStyle name="Normal 400 3" xfId="5925" xr:uid="{00000000-0005-0000-0000-0000E09E0000}"/>
    <cellStyle name="Normal 400 3 2" xfId="9225" xr:uid="{00000000-0005-0000-0000-0000E19E0000}"/>
    <cellStyle name="Normal 400 3 2 2" xfId="17020" xr:uid="{00000000-0005-0000-0000-0000E29E0000}"/>
    <cellStyle name="Normal 400 3 2 2 2" xfId="34656" xr:uid="{00000000-0005-0000-0000-0000E39E0000}"/>
    <cellStyle name="Normal 400 3 2 3" xfId="27613" xr:uid="{00000000-0005-0000-0000-0000E49E0000}"/>
    <cellStyle name="Normal 400 3 3" xfId="13781" xr:uid="{00000000-0005-0000-0000-0000E59E0000}"/>
    <cellStyle name="Normal 400 3 3 2" xfId="31421" xr:uid="{00000000-0005-0000-0000-0000E69E0000}"/>
    <cellStyle name="Normal 400 3 4" xfId="24748" xr:uid="{00000000-0005-0000-0000-0000E79E0000}"/>
    <cellStyle name="Normal 400 4" xfId="6555" xr:uid="{00000000-0005-0000-0000-0000E89E0000}"/>
    <cellStyle name="Normal 400 4 2" xfId="9765" xr:uid="{00000000-0005-0000-0000-0000E99E0000}"/>
    <cellStyle name="Normal 400 4 2 2" xfId="17559" xr:uid="{00000000-0005-0000-0000-0000EA9E0000}"/>
    <cellStyle name="Normal 400 4 2 2 2" xfId="35196" xr:uid="{00000000-0005-0000-0000-0000EB9E0000}"/>
    <cellStyle name="Normal 400 4 2 3" xfId="28149" xr:uid="{00000000-0005-0000-0000-0000EC9E0000}"/>
    <cellStyle name="Normal 400 4 3" xfId="14344" xr:uid="{00000000-0005-0000-0000-0000ED9E0000}"/>
    <cellStyle name="Normal 400 4 3 2" xfId="31979" xr:uid="{00000000-0005-0000-0000-0000EE9E0000}"/>
    <cellStyle name="Normal 400 4 4" xfId="25285" xr:uid="{00000000-0005-0000-0000-0000EF9E0000}"/>
    <cellStyle name="Normal 400 5" xfId="7331" xr:uid="{00000000-0005-0000-0000-0000F09E0000}"/>
    <cellStyle name="Normal 400 5 2" xfId="10319" xr:uid="{00000000-0005-0000-0000-0000F19E0000}"/>
    <cellStyle name="Normal 400 5 2 2" xfId="18112" xr:uid="{00000000-0005-0000-0000-0000F29E0000}"/>
    <cellStyle name="Normal 400 5 2 2 2" xfId="35749" xr:uid="{00000000-0005-0000-0000-0000F39E0000}"/>
    <cellStyle name="Normal 400 5 2 3" xfId="28686" xr:uid="{00000000-0005-0000-0000-0000F49E0000}"/>
    <cellStyle name="Normal 400 5 3" xfId="15119" xr:uid="{00000000-0005-0000-0000-0000F59E0000}"/>
    <cellStyle name="Normal 400 5 3 2" xfId="32754" xr:uid="{00000000-0005-0000-0000-0000F69E0000}"/>
    <cellStyle name="Normal 400 5 4" xfId="25823" xr:uid="{00000000-0005-0000-0000-0000F79E0000}"/>
    <cellStyle name="Normal 400 6" xfId="7930" xr:uid="{00000000-0005-0000-0000-0000F89E0000}"/>
    <cellStyle name="Normal 400 6 2" xfId="15727" xr:uid="{00000000-0005-0000-0000-0000F99E0000}"/>
    <cellStyle name="Normal 400 6 2 2" xfId="33362" xr:uid="{00000000-0005-0000-0000-0000FA9E0000}"/>
    <cellStyle name="Normal 400 6 3" xfId="26346" xr:uid="{00000000-0005-0000-0000-0000FB9E0000}"/>
    <cellStyle name="Normal 400 7" xfId="11889" xr:uid="{00000000-0005-0000-0000-0000FC9E0000}"/>
    <cellStyle name="Normal 400 7 2" xfId="29572" xr:uid="{00000000-0005-0000-0000-0000FD9E0000}"/>
    <cellStyle name="Normal 400 8" xfId="23481" xr:uid="{00000000-0005-0000-0000-0000FE9E0000}"/>
    <cellStyle name="Normal 400 9" xfId="52389" xr:uid="{00000000-0005-0000-0000-0000FF9E0000}"/>
    <cellStyle name="Normal 401" xfId="2751" xr:uid="{00000000-0005-0000-0000-0000009F0000}"/>
    <cellStyle name="Normal 401 2" xfId="4763" xr:uid="{00000000-0005-0000-0000-0000019F0000}"/>
    <cellStyle name="Normal 401 3" xfId="52390" xr:uid="{00000000-0005-0000-0000-0000029F0000}"/>
    <cellStyle name="Normal 402" xfId="2752" xr:uid="{00000000-0005-0000-0000-0000039F0000}"/>
    <cellStyle name="Normal 402 2" xfId="4764" xr:uid="{00000000-0005-0000-0000-0000049F0000}"/>
    <cellStyle name="Normal 402 2 2" xfId="8613" xr:uid="{00000000-0005-0000-0000-0000059F0000}"/>
    <cellStyle name="Normal 402 2 2 2" xfId="16409" xr:uid="{00000000-0005-0000-0000-0000069F0000}"/>
    <cellStyle name="Normal 402 2 2 2 2" xfId="34044" xr:uid="{00000000-0005-0000-0000-0000079F0000}"/>
    <cellStyle name="Normal 402 2 2 3" xfId="27014" xr:uid="{00000000-0005-0000-0000-0000089F0000}"/>
    <cellStyle name="Normal 402 2 3" xfId="12904" xr:uid="{00000000-0005-0000-0000-0000099F0000}"/>
    <cellStyle name="Normal 402 2 3 2" xfId="30554" xr:uid="{00000000-0005-0000-0000-00000A9F0000}"/>
    <cellStyle name="Normal 402 2 4" xfId="24149" xr:uid="{00000000-0005-0000-0000-00000B9F0000}"/>
    <cellStyle name="Normal 402 3" xfId="5926" xr:uid="{00000000-0005-0000-0000-00000C9F0000}"/>
    <cellStyle name="Normal 402 3 2" xfId="9226" xr:uid="{00000000-0005-0000-0000-00000D9F0000}"/>
    <cellStyle name="Normal 402 3 2 2" xfId="17021" xr:uid="{00000000-0005-0000-0000-00000E9F0000}"/>
    <cellStyle name="Normal 402 3 2 2 2" xfId="34657" xr:uid="{00000000-0005-0000-0000-00000F9F0000}"/>
    <cellStyle name="Normal 402 3 2 3" xfId="27614" xr:uid="{00000000-0005-0000-0000-0000109F0000}"/>
    <cellStyle name="Normal 402 3 3" xfId="13782" xr:uid="{00000000-0005-0000-0000-0000119F0000}"/>
    <cellStyle name="Normal 402 3 3 2" xfId="31422" xr:uid="{00000000-0005-0000-0000-0000129F0000}"/>
    <cellStyle name="Normal 402 3 4" xfId="24749" xr:uid="{00000000-0005-0000-0000-0000139F0000}"/>
    <cellStyle name="Normal 402 4" xfId="6556" xr:uid="{00000000-0005-0000-0000-0000149F0000}"/>
    <cellStyle name="Normal 402 4 2" xfId="9766" xr:uid="{00000000-0005-0000-0000-0000159F0000}"/>
    <cellStyle name="Normal 402 4 2 2" xfId="17560" xr:uid="{00000000-0005-0000-0000-0000169F0000}"/>
    <cellStyle name="Normal 402 4 2 2 2" xfId="35197" xr:uid="{00000000-0005-0000-0000-0000179F0000}"/>
    <cellStyle name="Normal 402 4 2 3" xfId="28150" xr:uid="{00000000-0005-0000-0000-0000189F0000}"/>
    <cellStyle name="Normal 402 4 3" xfId="14345" xr:uid="{00000000-0005-0000-0000-0000199F0000}"/>
    <cellStyle name="Normal 402 4 3 2" xfId="31980" xr:uid="{00000000-0005-0000-0000-00001A9F0000}"/>
    <cellStyle name="Normal 402 4 4" xfId="25286" xr:uid="{00000000-0005-0000-0000-00001B9F0000}"/>
    <cellStyle name="Normal 402 5" xfId="7332" xr:uid="{00000000-0005-0000-0000-00001C9F0000}"/>
    <cellStyle name="Normal 402 5 2" xfId="10320" xr:uid="{00000000-0005-0000-0000-00001D9F0000}"/>
    <cellStyle name="Normal 402 5 2 2" xfId="18113" xr:uid="{00000000-0005-0000-0000-00001E9F0000}"/>
    <cellStyle name="Normal 402 5 2 2 2" xfId="35750" xr:uid="{00000000-0005-0000-0000-00001F9F0000}"/>
    <cellStyle name="Normal 402 5 2 3" xfId="28687" xr:uid="{00000000-0005-0000-0000-0000209F0000}"/>
    <cellStyle name="Normal 402 5 3" xfId="15120" xr:uid="{00000000-0005-0000-0000-0000219F0000}"/>
    <cellStyle name="Normal 402 5 3 2" xfId="32755" xr:uid="{00000000-0005-0000-0000-0000229F0000}"/>
    <cellStyle name="Normal 402 5 4" xfId="25824" xr:uid="{00000000-0005-0000-0000-0000239F0000}"/>
    <cellStyle name="Normal 402 6" xfId="7931" xr:uid="{00000000-0005-0000-0000-0000249F0000}"/>
    <cellStyle name="Normal 402 6 2" xfId="15728" xr:uid="{00000000-0005-0000-0000-0000259F0000}"/>
    <cellStyle name="Normal 402 6 2 2" xfId="33363" xr:uid="{00000000-0005-0000-0000-0000269F0000}"/>
    <cellStyle name="Normal 402 6 3" xfId="26347" xr:uid="{00000000-0005-0000-0000-0000279F0000}"/>
    <cellStyle name="Normal 402 7" xfId="11890" xr:uid="{00000000-0005-0000-0000-0000289F0000}"/>
    <cellStyle name="Normal 402 7 2" xfId="29573" xr:uid="{00000000-0005-0000-0000-0000299F0000}"/>
    <cellStyle name="Normal 402 8" xfId="23482" xr:uid="{00000000-0005-0000-0000-00002A9F0000}"/>
    <cellStyle name="Normal 402 9" xfId="52391" xr:uid="{00000000-0005-0000-0000-00002B9F0000}"/>
    <cellStyle name="Normal 403" xfId="2753" xr:uid="{00000000-0005-0000-0000-00002C9F0000}"/>
    <cellStyle name="Normal 403 2" xfId="4765" xr:uid="{00000000-0005-0000-0000-00002D9F0000}"/>
    <cellStyle name="Normal 403 2 2" xfId="8614" xr:uid="{00000000-0005-0000-0000-00002E9F0000}"/>
    <cellStyle name="Normal 403 2 2 2" xfId="16410" xr:uid="{00000000-0005-0000-0000-00002F9F0000}"/>
    <cellStyle name="Normal 403 2 2 2 2" xfId="34045" xr:uid="{00000000-0005-0000-0000-0000309F0000}"/>
    <cellStyle name="Normal 403 2 2 3" xfId="27015" xr:uid="{00000000-0005-0000-0000-0000319F0000}"/>
    <cellStyle name="Normal 403 2 3" xfId="12905" xr:uid="{00000000-0005-0000-0000-0000329F0000}"/>
    <cellStyle name="Normal 403 2 3 2" xfId="30555" xr:uid="{00000000-0005-0000-0000-0000339F0000}"/>
    <cellStyle name="Normal 403 2 4" xfId="24150" xr:uid="{00000000-0005-0000-0000-0000349F0000}"/>
    <cellStyle name="Normal 403 3" xfId="5927" xr:uid="{00000000-0005-0000-0000-0000359F0000}"/>
    <cellStyle name="Normal 403 3 2" xfId="9227" xr:uid="{00000000-0005-0000-0000-0000369F0000}"/>
    <cellStyle name="Normal 403 3 2 2" xfId="17022" xr:uid="{00000000-0005-0000-0000-0000379F0000}"/>
    <cellStyle name="Normal 403 3 2 2 2" xfId="34658" xr:uid="{00000000-0005-0000-0000-0000389F0000}"/>
    <cellStyle name="Normal 403 3 2 3" xfId="27615" xr:uid="{00000000-0005-0000-0000-0000399F0000}"/>
    <cellStyle name="Normal 403 3 3" xfId="13783" xr:uid="{00000000-0005-0000-0000-00003A9F0000}"/>
    <cellStyle name="Normal 403 3 3 2" xfId="31423" xr:uid="{00000000-0005-0000-0000-00003B9F0000}"/>
    <cellStyle name="Normal 403 3 4" xfId="24750" xr:uid="{00000000-0005-0000-0000-00003C9F0000}"/>
    <cellStyle name="Normal 403 4" xfId="6557" xr:uid="{00000000-0005-0000-0000-00003D9F0000}"/>
    <cellStyle name="Normal 403 4 2" xfId="9767" xr:uid="{00000000-0005-0000-0000-00003E9F0000}"/>
    <cellStyle name="Normal 403 4 2 2" xfId="17561" xr:uid="{00000000-0005-0000-0000-00003F9F0000}"/>
    <cellStyle name="Normal 403 4 2 2 2" xfId="35198" xr:uid="{00000000-0005-0000-0000-0000409F0000}"/>
    <cellStyle name="Normal 403 4 2 3" xfId="28151" xr:uid="{00000000-0005-0000-0000-0000419F0000}"/>
    <cellStyle name="Normal 403 4 3" xfId="14346" xr:uid="{00000000-0005-0000-0000-0000429F0000}"/>
    <cellStyle name="Normal 403 4 3 2" xfId="31981" xr:uid="{00000000-0005-0000-0000-0000439F0000}"/>
    <cellStyle name="Normal 403 4 4" xfId="25287" xr:uid="{00000000-0005-0000-0000-0000449F0000}"/>
    <cellStyle name="Normal 403 5" xfId="7333" xr:uid="{00000000-0005-0000-0000-0000459F0000}"/>
    <cellStyle name="Normal 403 5 2" xfId="10321" xr:uid="{00000000-0005-0000-0000-0000469F0000}"/>
    <cellStyle name="Normal 403 5 2 2" xfId="18114" xr:uid="{00000000-0005-0000-0000-0000479F0000}"/>
    <cellStyle name="Normal 403 5 2 2 2" xfId="35751" xr:uid="{00000000-0005-0000-0000-0000489F0000}"/>
    <cellStyle name="Normal 403 5 2 3" xfId="28688" xr:uid="{00000000-0005-0000-0000-0000499F0000}"/>
    <cellStyle name="Normal 403 5 3" xfId="15121" xr:uid="{00000000-0005-0000-0000-00004A9F0000}"/>
    <cellStyle name="Normal 403 5 3 2" xfId="32756" xr:uid="{00000000-0005-0000-0000-00004B9F0000}"/>
    <cellStyle name="Normal 403 5 4" xfId="25825" xr:uid="{00000000-0005-0000-0000-00004C9F0000}"/>
    <cellStyle name="Normal 403 6" xfId="7932" xr:uid="{00000000-0005-0000-0000-00004D9F0000}"/>
    <cellStyle name="Normal 403 6 2" xfId="15729" xr:uid="{00000000-0005-0000-0000-00004E9F0000}"/>
    <cellStyle name="Normal 403 6 2 2" xfId="33364" xr:uid="{00000000-0005-0000-0000-00004F9F0000}"/>
    <cellStyle name="Normal 403 6 3" xfId="26348" xr:uid="{00000000-0005-0000-0000-0000509F0000}"/>
    <cellStyle name="Normal 403 7" xfId="11891" xr:uid="{00000000-0005-0000-0000-0000519F0000}"/>
    <cellStyle name="Normal 403 7 2" xfId="29574" xr:uid="{00000000-0005-0000-0000-0000529F0000}"/>
    <cellStyle name="Normal 403 8" xfId="23483" xr:uid="{00000000-0005-0000-0000-0000539F0000}"/>
    <cellStyle name="Normal 403 9" xfId="52392" xr:uid="{00000000-0005-0000-0000-0000549F0000}"/>
    <cellStyle name="Normal 404" xfId="2754" xr:uid="{00000000-0005-0000-0000-0000559F0000}"/>
    <cellStyle name="Normal 404 2" xfId="4766" xr:uid="{00000000-0005-0000-0000-0000569F0000}"/>
    <cellStyle name="Normal 404 2 2" xfId="8615" xr:uid="{00000000-0005-0000-0000-0000579F0000}"/>
    <cellStyle name="Normal 404 2 2 2" xfId="16411" xr:uid="{00000000-0005-0000-0000-0000589F0000}"/>
    <cellStyle name="Normal 404 2 2 2 2" xfId="34046" xr:uid="{00000000-0005-0000-0000-0000599F0000}"/>
    <cellStyle name="Normal 404 2 2 3" xfId="27016" xr:uid="{00000000-0005-0000-0000-00005A9F0000}"/>
    <cellStyle name="Normal 404 2 3" xfId="12906" xr:uid="{00000000-0005-0000-0000-00005B9F0000}"/>
    <cellStyle name="Normal 404 2 3 2" xfId="30556" xr:uid="{00000000-0005-0000-0000-00005C9F0000}"/>
    <cellStyle name="Normal 404 2 4" xfId="24151" xr:uid="{00000000-0005-0000-0000-00005D9F0000}"/>
    <cellStyle name="Normal 404 3" xfId="5928" xr:uid="{00000000-0005-0000-0000-00005E9F0000}"/>
    <cellStyle name="Normal 404 3 2" xfId="9228" xr:uid="{00000000-0005-0000-0000-00005F9F0000}"/>
    <cellStyle name="Normal 404 3 2 2" xfId="17023" xr:uid="{00000000-0005-0000-0000-0000609F0000}"/>
    <cellStyle name="Normal 404 3 2 2 2" xfId="34659" xr:uid="{00000000-0005-0000-0000-0000619F0000}"/>
    <cellStyle name="Normal 404 3 2 3" xfId="27616" xr:uid="{00000000-0005-0000-0000-0000629F0000}"/>
    <cellStyle name="Normal 404 3 3" xfId="13784" xr:uid="{00000000-0005-0000-0000-0000639F0000}"/>
    <cellStyle name="Normal 404 3 3 2" xfId="31424" xr:uid="{00000000-0005-0000-0000-0000649F0000}"/>
    <cellStyle name="Normal 404 3 4" xfId="24751" xr:uid="{00000000-0005-0000-0000-0000659F0000}"/>
    <cellStyle name="Normal 404 4" xfId="6558" xr:uid="{00000000-0005-0000-0000-0000669F0000}"/>
    <cellStyle name="Normal 404 4 2" xfId="9768" xr:uid="{00000000-0005-0000-0000-0000679F0000}"/>
    <cellStyle name="Normal 404 4 2 2" xfId="17562" xr:uid="{00000000-0005-0000-0000-0000689F0000}"/>
    <cellStyle name="Normal 404 4 2 2 2" xfId="35199" xr:uid="{00000000-0005-0000-0000-0000699F0000}"/>
    <cellStyle name="Normal 404 4 2 3" xfId="28152" xr:uid="{00000000-0005-0000-0000-00006A9F0000}"/>
    <cellStyle name="Normal 404 4 3" xfId="14347" xr:uid="{00000000-0005-0000-0000-00006B9F0000}"/>
    <cellStyle name="Normal 404 4 3 2" xfId="31982" xr:uid="{00000000-0005-0000-0000-00006C9F0000}"/>
    <cellStyle name="Normal 404 4 4" xfId="25288" xr:uid="{00000000-0005-0000-0000-00006D9F0000}"/>
    <cellStyle name="Normal 404 5" xfId="7334" xr:uid="{00000000-0005-0000-0000-00006E9F0000}"/>
    <cellStyle name="Normal 404 5 2" xfId="10322" xr:uid="{00000000-0005-0000-0000-00006F9F0000}"/>
    <cellStyle name="Normal 404 5 2 2" xfId="18115" xr:uid="{00000000-0005-0000-0000-0000709F0000}"/>
    <cellStyle name="Normal 404 5 2 2 2" xfId="35752" xr:uid="{00000000-0005-0000-0000-0000719F0000}"/>
    <cellStyle name="Normal 404 5 2 3" xfId="28689" xr:uid="{00000000-0005-0000-0000-0000729F0000}"/>
    <cellStyle name="Normal 404 5 3" xfId="15122" xr:uid="{00000000-0005-0000-0000-0000739F0000}"/>
    <cellStyle name="Normal 404 5 3 2" xfId="32757" xr:uid="{00000000-0005-0000-0000-0000749F0000}"/>
    <cellStyle name="Normal 404 5 4" xfId="25826" xr:uid="{00000000-0005-0000-0000-0000759F0000}"/>
    <cellStyle name="Normal 404 6" xfId="7933" xr:uid="{00000000-0005-0000-0000-0000769F0000}"/>
    <cellStyle name="Normal 404 6 2" xfId="15730" xr:uid="{00000000-0005-0000-0000-0000779F0000}"/>
    <cellStyle name="Normal 404 6 2 2" xfId="33365" xr:uid="{00000000-0005-0000-0000-0000789F0000}"/>
    <cellStyle name="Normal 404 6 3" xfId="26349" xr:uid="{00000000-0005-0000-0000-0000799F0000}"/>
    <cellStyle name="Normal 404 7" xfId="11892" xr:uid="{00000000-0005-0000-0000-00007A9F0000}"/>
    <cellStyle name="Normal 404 7 2" xfId="29575" xr:uid="{00000000-0005-0000-0000-00007B9F0000}"/>
    <cellStyle name="Normal 404 8" xfId="23484" xr:uid="{00000000-0005-0000-0000-00007C9F0000}"/>
    <cellStyle name="Normal 404 9" xfId="52393" xr:uid="{00000000-0005-0000-0000-00007D9F0000}"/>
    <cellStyle name="Normal 405" xfId="2755" xr:uid="{00000000-0005-0000-0000-00007E9F0000}"/>
    <cellStyle name="Normal 405 2" xfId="4767" xr:uid="{00000000-0005-0000-0000-00007F9F0000}"/>
    <cellStyle name="Normal 405 2 2" xfId="8616" xr:uid="{00000000-0005-0000-0000-0000809F0000}"/>
    <cellStyle name="Normal 405 2 2 2" xfId="16412" xr:uid="{00000000-0005-0000-0000-0000819F0000}"/>
    <cellStyle name="Normal 405 2 2 2 2" xfId="34047" xr:uid="{00000000-0005-0000-0000-0000829F0000}"/>
    <cellStyle name="Normal 405 2 2 3" xfId="27017" xr:uid="{00000000-0005-0000-0000-0000839F0000}"/>
    <cellStyle name="Normal 405 2 3" xfId="12907" xr:uid="{00000000-0005-0000-0000-0000849F0000}"/>
    <cellStyle name="Normal 405 2 3 2" xfId="30557" xr:uid="{00000000-0005-0000-0000-0000859F0000}"/>
    <cellStyle name="Normal 405 2 4" xfId="24152" xr:uid="{00000000-0005-0000-0000-0000869F0000}"/>
    <cellStyle name="Normal 405 3" xfId="5929" xr:uid="{00000000-0005-0000-0000-0000879F0000}"/>
    <cellStyle name="Normal 405 3 2" xfId="9229" xr:uid="{00000000-0005-0000-0000-0000889F0000}"/>
    <cellStyle name="Normal 405 3 2 2" xfId="17024" xr:uid="{00000000-0005-0000-0000-0000899F0000}"/>
    <cellStyle name="Normal 405 3 2 2 2" xfId="34660" xr:uid="{00000000-0005-0000-0000-00008A9F0000}"/>
    <cellStyle name="Normal 405 3 2 3" xfId="27617" xr:uid="{00000000-0005-0000-0000-00008B9F0000}"/>
    <cellStyle name="Normal 405 3 3" xfId="13785" xr:uid="{00000000-0005-0000-0000-00008C9F0000}"/>
    <cellStyle name="Normal 405 3 3 2" xfId="31425" xr:uid="{00000000-0005-0000-0000-00008D9F0000}"/>
    <cellStyle name="Normal 405 3 4" xfId="24752" xr:uid="{00000000-0005-0000-0000-00008E9F0000}"/>
    <cellStyle name="Normal 405 4" xfId="6559" xr:uid="{00000000-0005-0000-0000-00008F9F0000}"/>
    <cellStyle name="Normal 405 4 2" xfId="9769" xr:uid="{00000000-0005-0000-0000-0000909F0000}"/>
    <cellStyle name="Normal 405 4 2 2" xfId="17563" xr:uid="{00000000-0005-0000-0000-0000919F0000}"/>
    <cellStyle name="Normal 405 4 2 2 2" xfId="35200" xr:uid="{00000000-0005-0000-0000-0000929F0000}"/>
    <cellStyle name="Normal 405 4 2 3" xfId="28153" xr:uid="{00000000-0005-0000-0000-0000939F0000}"/>
    <cellStyle name="Normal 405 4 3" xfId="14348" xr:uid="{00000000-0005-0000-0000-0000949F0000}"/>
    <cellStyle name="Normal 405 4 3 2" xfId="31983" xr:uid="{00000000-0005-0000-0000-0000959F0000}"/>
    <cellStyle name="Normal 405 4 4" xfId="25289" xr:uid="{00000000-0005-0000-0000-0000969F0000}"/>
    <cellStyle name="Normal 405 5" xfId="7335" xr:uid="{00000000-0005-0000-0000-0000979F0000}"/>
    <cellStyle name="Normal 405 5 2" xfId="10323" xr:uid="{00000000-0005-0000-0000-0000989F0000}"/>
    <cellStyle name="Normal 405 5 2 2" xfId="18116" xr:uid="{00000000-0005-0000-0000-0000999F0000}"/>
    <cellStyle name="Normal 405 5 2 2 2" xfId="35753" xr:uid="{00000000-0005-0000-0000-00009A9F0000}"/>
    <cellStyle name="Normal 405 5 2 3" xfId="28690" xr:uid="{00000000-0005-0000-0000-00009B9F0000}"/>
    <cellStyle name="Normal 405 5 3" xfId="15123" xr:uid="{00000000-0005-0000-0000-00009C9F0000}"/>
    <cellStyle name="Normal 405 5 3 2" xfId="32758" xr:uid="{00000000-0005-0000-0000-00009D9F0000}"/>
    <cellStyle name="Normal 405 5 4" xfId="25827" xr:uid="{00000000-0005-0000-0000-00009E9F0000}"/>
    <cellStyle name="Normal 405 6" xfId="7934" xr:uid="{00000000-0005-0000-0000-00009F9F0000}"/>
    <cellStyle name="Normal 405 6 2" xfId="15731" xr:uid="{00000000-0005-0000-0000-0000A09F0000}"/>
    <cellStyle name="Normal 405 6 2 2" xfId="33366" xr:uid="{00000000-0005-0000-0000-0000A19F0000}"/>
    <cellStyle name="Normal 405 6 3" xfId="26350" xr:uid="{00000000-0005-0000-0000-0000A29F0000}"/>
    <cellStyle name="Normal 405 7" xfId="11893" xr:uid="{00000000-0005-0000-0000-0000A39F0000}"/>
    <cellStyle name="Normal 405 7 2" xfId="29576" xr:uid="{00000000-0005-0000-0000-0000A49F0000}"/>
    <cellStyle name="Normal 405 8" xfId="23485" xr:uid="{00000000-0005-0000-0000-0000A59F0000}"/>
    <cellStyle name="Normal 405 9" xfId="52394" xr:uid="{00000000-0005-0000-0000-0000A69F0000}"/>
    <cellStyle name="Normal 406" xfId="2756" xr:uid="{00000000-0005-0000-0000-0000A79F0000}"/>
    <cellStyle name="Normal 406 2" xfId="4768" xr:uid="{00000000-0005-0000-0000-0000A89F0000}"/>
    <cellStyle name="Normal 406 2 2" xfId="8617" xr:uid="{00000000-0005-0000-0000-0000A99F0000}"/>
    <cellStyle name="Normal 406 2 2 2" xfId="16413" xr:uid="{00000000-0005-0000-0000-0000AA9F0000}"/>
    <cellStyle name="Normal 406 2 2 2 2" xfId="34048" xr:uid="{00000000-0005-0000-0000-0000AB9F0000}"/>
    <cellStyle name="Normal 406 2 2 3" xfId="27018" xr:uid="{00000000-0005-0000-0000-0000AC9F0000}"/>
    <cellStyle name="Normal 406 2 3" xfId="12908" xr:uid="{00000000-0005-0000-0000-0000AD9F0000}"/>
    <cellStyle name="Normal 406 2 3 2" xfId="30558" xr:uid="{00000000-0005-0000-0000-0000AE9F0000}"/>
    <cellStyle name="Normal 406 2 4" xfId="24153" xr:uid="{00000000-0005-0000-0000-0000AF9F0000}"/>
    <cellStyle name="Normal 406 3" xfId="5930" xr:uid="{00000000-0005-0000-0000-0000B09F0000}"/>
    <cellStyle name="Normal 406 3 2" xfId="9230" xr:uid="{00000000-0005-0000-0000-0000B19F0000}"/>
    <cellStyle name="Normal 406 3 2 2" xfId="17025" xr:uid="{00000000-0005-0000-0000-0000B29F0000}"/>
    <cellStyle name="Normal 406 3 2 2 2" xfId="34661" xr:uid="{00000000-0005-0000-0000-0000B39F0000}"/>
    <cellStyle name="Normal 406 3 2 3" xfId="27618" xr:uid="{00000000-0005-0000-0000-0000B49F0000}"/>
    <cellStyle name="Normal 406 3 3" xfId="13786" xr:uid="{00000000-0005-0000-0000-0000B59F0000}"/>
    <cellStyle name="Normal 406 3 3 2" xfId="31426" xr:uid="{00000000-0005-0000-0000-0000B69F0000}"/>
    <cellStyle name="Normal 406 3 4" xfId="24753" xr:uid="{00000000-0005-0000-0000-0000B79F0000}"/>
    <cellStyle name="Normal 406 4" xfId="6560" xr:uid="{00000000-0005-0000-0000-0000B89F0000}"/>
    <cellStyle name="Normal 406 4 2" xfId="9770" xr:uid="{00000000-0005-0000-0000-0000B99F0000}"/>
    <cellStyle name="Normal 406 4 2 2" xfId="17564" xr:uid="{00000000-0005-0000-0000-0000BA9F0000}"/>
    <cellStyle name="Normal 406 4 2 2 2" xfId="35201" xr:uid="{00000000-0005-0000-0000-0000BB9F0000}"/>
    <cellStyle name="Normal 406 4 2 3" xfId="28154" xr:uid="{00000000-0005-0000-0000-0000BC9F0000}"/>
    <cellStyle name="Normal 406 4 3" xfId="14349" xr:uid="{00000000-0005-0000-0000-0000BD9F0000}"/>
    <cellStyle name="Normal 406 4 3 2" xfId="31984" xr:uid="{00000000-0005-0000-0000-0000BE9F0000}"/>
    <cellStyle name="Normal 406 4 4" xfId="25290" xr:uid="{00000000-0005-0000-0000-0000BF9F0000}"/>
    <cellStyle name="Normal 406 5" xfId="7336" xr:uid="{00000000-0005-0000-0000-0000C09F0000}"/>
    <cellStyle name="Normal 406 5 2" xfId="10324" xr:uid="{00000000-0005-0000-0000-0000C19F0000}"/>
    <cellStyle name="Normal 406 5 2 2" xfId="18117" xr:uid="{00000000-0005-0000-0000-0000C29F0000}"/>
    <cellStyle name="Normal 406 5 2 2 2" xfId="35754" xr:uid="{00000000-0005-0000-0000-0000C39F0000}"/>
    <cellStyle name="Normal 406 5 2 3" xfId="28691" xr:uid="{00000000-0005-0000-0000-0000C49F0000}"/>
    <cellStyle name="Normal 406 5 3" xfId="15124" xr:uid="{00000000-0005-0000-0000-0000C59F0000}"/>
    <cellStyle name="Normal 406 5 3 2" xfId="32759" xr:uid="{00000000-0005-0000-0000-0000C69F0000}"/>
    <cellStyle name="Normal 406 5 4" xfId="25828" xr:uid="{00000000-0005-0000-0000-0000C79F0000}"/>
    <cellStyle name="Normal 406 6" xfId="7935" xr:uid="{00000000-0005-0000-0000-0000C89F0000}"/>
    <cellStyle name="Normal 406 6 2" xfId="15732" xr:uid="{00000000-0005-0000-0000-0000C99F0000}"/>
    <cellStyle name="Normal 406 6 2 2" xfId="33367" xr:uid="{00000000-0005-0000-0000-0000CA9F0000}"/>
    <cellStyle name="Normal 406 6 3" xfId="26351" xr:uid="{00000000-0005-0000-0000-0000CB9F0000}"/>
    <cellStyle name="Normal 406 7" xfId="11894" xr:uid="{00000000-0005-0000-0000-0000CC9F0000}"/>
    <cellStyle name="Normal 406 7 2" xfId="29577" xr:uid="{00000000-0005-0000-0000-0000CD9F0000}"/>
    <cellStyle name="Normal 406 8" xfId="23486" xr:uid="{00000000-0005-0000-0000-0000CE9F0000}"/>
    <cellStyle name="Normal 406 9" xfId="52395" xr:uid="{00000000-0005-0000-0000-0000CF9F0000}"/>
    <cellStyle name="Normal 407" xfId="2757" xr:uid="{00000000-0005-0000-0000-0000D09F0000}"/>
    <cellStyle name="Normal 407 2" xfId="4769" xr:uid="{00000000-0005-0000-0000-0000D19F0000}"/>
    <cellStyle name="Normal 407 2 2" xfId="8618" xr:uid="{00000000-0005-0000-0000-0000D29F0000}"/>
    <cellStyle name="Normal 407 2 2 2" xfId="16414" xr:uid="{00000000-0005-0000-0000-0000D39F0000}"/>
    <cellStyle name="Normal 407 2 2 2 2" xfId="34049" xr:uid="{00000000-0005-0000-0000-0000D49F0000}"/>
    <cellStyle name="Normal 407 2 2 3" xfId="27019" xr:uid="{00000000-0005-0000-0000-0000D59F0000}"/>
    <cellStyle name="Normal 407 2 3" xfId="12909" xr:uid="{00000000-0005-0000-0000-0000D69F0000}"/>
    <cellStyle name="Normal 407 2 3 2" xfId="30559" xr:uid="{00000000-0005-0000-0000-0000D79F0000}"/>
    <cellStyle name="Normal 407 2 4" xfId="24154" xr:uid="{00000000-0005-0000-0000-0000D89F0000}"/>
    <cellStyle name="Normal 407 3" xfId="5931" xr:uid="{00000000-0005-0000-0000-0000D99F0000}"/>
    <cellStyle name="Normal 407 3 2" xfId="9231" xr:uid="{00000000-0005-0000-0000-0000DA9F0000}"/>
    <cellStyle name="Normal 407 3 2 2" xfId="17026" xr:uid="{00000000-0005-0000-0000-0000DB9F0000}"/>
    <cellStyle name="Normal 407 3 2 2 2" xfId="34662" xr:uid="{00000000-0005-0000-0000-0000DC9F0000}"/>
    <cellStyle name="Normal 407 3 2 3" xfId="27619" xr:uid="{00000000-0005-0000-0000-0000DD9F0000}"/>
    <cellStyle name="Normal 407 3 3" xfId="13787" xr:uid="{00000000-0005-0000-0000-0000DE9F0000}"/>
    <cellStyle name="Normal 407 3 3 2" xfId="31427" xr:uid="{00000000-0005-0000-0000-0000DF9F0000}"/>
    <cellStyle name="Normal 407 3 4" xfId="24754" xr:uid="{00000000-0005-0000-0000-0000E09F0000}"/>
    <cellStyle name="Normal 407 4" xfId="6561" xr:uid="{00000000-0005-0000-0000-0000E19F0000}"/>
    <cellStyle name="Normal 407 4 2" xfId="9771" xr:uid="{00000000-0005-0000-0000-0000E29F0000}"/>
    <cellStyle name="Normal 407 4 2 2" xfId="17565" xr:uid="{00000000-0005-0000-0000-0000E39F0000}"/>
    <cellStyle name="Normal 407 4 2 2 2" xfId="35202" xr:uid="{00000000-0005-0000-0000-0000E49F0000}"/>
    <cellStyle name="Normal 407 4 2 3" xfId="28155" xr:uid="{00000000-0005-0000-0000-0000E59F0000}"/>
    <cellStyle name="Normal 407 4 3" xfId="14350" xr:uid="{00000000-0005-0000-0000-0000E69F0000}"/>
    <cellStyle name="Normal 407 4 3 2" xfId="31985" xr:uid="{00000000-0005-0000-0000-0000E79F0000}"/>
    <cellStyle name="Normal 407 4 4" xfId="25291" xr:uid="{00000000-0005-0000-0000-0000E89F0000}"/>
    <cellStyle name="Normal 407 5" xfId="7337" xr:uid="{00000000-0005-0000-0000-0000E99F0000}"/>
    <cellStyle name="Normal 407 5 2" xfId="10325" xr:uid="{00000000-0005-0000-0000-0000EA9F0000}"/>
    <cellStyle name="Normal 407 5 2 2" xfId="18118" xr:uid="{00000000-0005-0000-0000-0000EB9F0000}"/>
    <cellStyle name="Normal 407 5 2 2 2" xfId="35755" xr:uid="{00000000-0005-0000-0000-0000EC9F0000}"/>
    <cellStyle name="Normal 407 5 2 3" xfId="28692" xr:uid="{00000000-0005-0000-0000-0000ED9F0000}"/>
    <cellStyle name="Normal 407 5 3" xfId="15125" xr:uid="{00000000-0005-0000-0000-0000EE9F0000}"/>
    <cellStyle name="Normal 407 5 3 2" xfId="32760" xr:uid="{00000000-0005-0000-0000-0000EF9F0000}"/>
    <cellStyle name="Normal 407 5 4" xfId="25829" xr:uid="{00000000-0005-0000-0000-0000F09F0000}"/>
    <cellStyle name="Normal 407 6" xfId="7936" xr:uid="{00000000-0005-0000-0000-0000F19F0000}"/>
    <cellStyle name="Normal 407 6 2" xfId="15733" xr:uid="{00000000-0005-0000-0000-0000F29F0000}"/>
    <cellStyle name="Normal 407 6 2 2" xfId="33368" xr:uid="{00000000-0005-0000-0000-0000F39F0000}"/>
    <cellStyle name="Normal 407 6 3" xfId="26352" xr:uid="{00000000-0005-0000-0000-0000F49F0000}"/>
    <cellStyle name="Normal 407 7" xfId="11895" xr:uid="{00000000-0005-0000-0000-0000F59F0000}"/>
    <cellStyle name="Normal 407 7 2" xfId="29578" xr:uid="{00000000-0005-0000-0000-0000F69F0000}"/>
    <cellStyle name="Normal 407 8" xfId="23487" xr:uid="{00000000-0005-0000-0000-0000F79F0000}"/>
    <cellStyle name="Normal 407 9" xfId="52396" xr:uid="{00000000-0005-0000-0000-0000F89F0000}"/>
    <cellStyle name="Normal 408" xfId="2758" xr:uid="{00000000-0005-0000-0000-0000F99F0000}"/>
    <cellStyle name="Normal 408 2" xfId="4770" xr:uid="{00000000-0005-0000-0000-0000FA9F0000}"/>
    <cellStyle name="Normal 408 2 2" xfId="8619" xr:uid="{00000000-0005-0000-0000-0000FB9F0000}"/>
    <cellStyle name="Normal 408 2 2 2" xfId="16415" xr:uid="{00000000-0005-0000-0000-0000FC9F0000}"/>
    <cellStyle name="Normal 408 2 2 2 2" xfId="34050" xr:uid="{00000000-0005-0000-0000-0000FD9F0000}"/>
    <cellStyle name="Normal 408 2 2 3" xfId="27020" xr:uid="{00000000-0005-0000-0000-0000FE9F0000}"/>
    <cellStyle name="Normal 408 2 3" xfId="12910" xr:uid="{00000000-0005-0000-0000-0000FF9F0000}"/>
    <cellStyle name="Normal 408 2 3 2" xfId="30560" xr:uid="{00000000-0005-0000-0000-000000A00000}"/>
    <cellStyle name="Normal 408 2 4" xfId="24155" xr:uid="{00000000-0005-0000-0000-000001A00000}"/>
    <cellStyle name="Normal 408 3" xfId="5932" xr:uid="{00000000-0005-0000-0000-000002A00000}"/>
    <cellStyle name="Normal 408 3 2" xfId="9232" xr:uid="{00000000-0005-0000-0000-000003A00000}"/>
    <cellStyle name="Normal 408 3 2 2" xfId="17027" xr:uid="{00000000-0005-0000-0000-000004A00000}"/>
    <cellStyle name="Normal 408 3 2 2 2" xfId="34663" xr:uid="{00000000-0005-0000-0000-000005A00000}"/>
    <cellStyle name="Normal 408 3 2 3" xfId="27620" xr:uid="{00000000-0005-0000-0000-000006A00000}"/>
    <cellStyle name="Normal 408 3 3" xfId="13788" xr:uid="{00000000-0005-0000-0000-000007A00000}"/>
    <cellStyle name="Normal 408 3 3 2" xfId="31428" xr:uid="{00000000-0005-0000-0000-000008A00000}"/>
    <cellStyle name="Normal 408 3 4" xfId="24755" xr:uid="{00000000-0005-0000-0000-000009A00000}"/>
    <cellStyle name="Normal 408 4" xfId="6562" xr:uid="{00000000-0005-0000-0000-00000AA00000}"/>
    <cellStyle name="Normal 408 4 2" xfId="9772" xr:uid="{00000000-0005-0000-0000-00000BA00000}"/>
    <cellStyle name="Normal 408 4 2 2" xfId="17566" xr:uid="{00000000-0005-0000-0000-00000CA00000}"/>
    <cellStyle name="Normal 408 4 2 2 2" xfId="35203" xr:uid="{00000000-0005-0000-0000-00000DA00000}"/>
    <cellStyle name="Normal 408 4 2 3" xfId="28156" xr:uid="{00000000-0005-0000-0000-00000EA00000}"/>
    <cellStyle name="Normal 408 4 3" xfId="14351" xr:uid="{00000000-0005-0000-0000-00000FA00000}"/>
    <cellStyle name="Normal 408 4 3 2" xfId="31986" xr:uid="{00000000-0005-0000-0000-000010A00000}"/>
    <cellStyle name="Normal 408 4 4" xfId="25292" xr:uid="{00000000-0005-0000-0000-000011A00000}"/>
    <cellStyle name="Normal 408 5" xfId="7338" xr:uid="{00000000-0005-0000-0000-000012A00000}"/>
    <cellStyle name="Normal 408 5 2" xfId="10326" xr:uid="{00000000-0005-0000-0000-000013A00000}"/>
    <cellStyle name="Normal 408 5 2 2" xfId="18119" xr:uid="{00000000-0005-0000-0000-000014A00000}"/>
    <cellStyle name="Normal 408 5 2 2 2" xfId="35756" xr:uid="{00000000-0005-0000-0000-000015A00000}"/>
    <cellStyle name="Normal 408 5 2 3" xfId="28693" xr:uid="{00000000-0005-0000-0000-000016A00000}"/>
    <cellStyle name="Normal 408 5 3" xfId="15126" xr:uid="{00000000-0005-0000-0000-000017A00000}"/>
    <cellStyle name="Normal 408 5 3 2" xfId="32761" xr:uid="{00000000-0005-0000-0000-000018A00000}"/>
    <cellStyle name="Normal 408 5 4" xfId="25830" xr:uid="{00000000-0005-0000-0000-000019A00000}"/>
    <cellStyle name="Normal 408 6" xfId="7937" xr:uid="{00000000-0005-0000-0000-00001AA00000}"/>
    <cellStyle name="Normal 408 6 2" xfId="15734" xr:uid="{00000000-0005-0000-0000-00001BA00000}"/>
    <cellStyle name="Normal 408 6 2 2" xfId="33369" xr:uid="{00000000-0005-0000-0000-00001CA00000}"/>
    <cellStyle name="Normal 408 6 3" xfId="26353" xr:uid="{00000000-0005-0000-0000-00001DA00000}"/>
    <cellStyle name="Normal 408 7" xfId="11896" xr:uid="{00000000-0005-0000-0000-00001EA00000}"/>
    <cellStyle name="Normal 408 7 2" xfId="29579" xr:uid="{00000000-0005-0000-0000-00001FA00000}"/>
    <cellStyle name="Normal 408 8" xfId="23488" xr:uid="{00000000-0005-0000-0000-000020A00000}"/>
    <cellStyle name="Normal 408 9" xfId="52397" xr:uid="{00000000-0005-0000-0000-000021A00000}"/>
    <cellStyle name="Normal 409" xfId="2759" xr:uid="{00000000-0005-0000-0000-000022A00000}"/>
    <cellStyle name="Normal 409 2" xfId="4771" xr:uid="{00000000-0005-0000-0000-000023A00000}"/>
    <cellStyle name="Normal 409 2 2" xfId="8620" xr:uid="{00000000-0005-0000-0000-000024A00000}"/>
    <cellStyle name="Normal 409 2 2 2" xfId="16416" xr:uid="{00000000-0005-0000-0000-000025A00000}"/>
    <cellStyle name="Normal 409 2 2 2 2" xfId="34051" xr:uid="{00000000-0005-0000-0000-000026A00000}"/>
    <cellStyle name="Normal 409 2 2 3" xfId="27021" xr:uid="{00000000-0005-0000-0000-000027A00000}"/>
    <cellStyle name="Normal 409 2 3" xfId="12911" xr:uid="{00000000-0005-0000-0000-000028A00000}"/>
    <cellStyle name="Normal 409 2 3 2" xfId="30561" xr:uid="{00000000-0005-0000-0000-000029A00000}"/>
    <cellStyle name="Normal 409 2 4" xfId="24156" xr:uid="{00000000-0005-0000-0000-00002AA00000}"/>
    <cellStyle name="Normal 409 3" xfId="5933" xr:uid="{00000000-0005-0000-0000-00002BA00000}"/>
    <cellStyle name="Normal 409 3 2" xfId="9233" xr:uid="{00000000-0005-0000-0000-00002CA00000}"/>
    <cellStyle name="Normal 409 3 2 2" xfId="17028" xr:uid="{00000000-0005-0000-0000-00002DA00000}"/>
    <cellStyle name="Normal 409 3 2 2 2" xfId="34664" xr:uid="{00000000-0005-0000-0000-00002EA00000}"/>
    <cellStyle name="Normal 409 3 2 3" xfId="27621" xr:uid="{00000000-0005-0000-0000-00002FA00000}"/>
    <cellStyle name="Normal 409 3 3" xfId="13789" xr:uid="{00000000-0005-0000-0000-000030A00000}"/>
    <cellStyle name="Normal 409 3 3 2" xfId="31429" xr:uid="{00000000-0005-0000-0000-000031A00000}"/>
    <cellStyle name="Normal 409 3 4" xfId="24756" xr:uid="{00000000-0005-0000-0000-000032A00000}"/>
    <cellStyle name="Normal 409 4" xfId="6563" xr:uid="{00000000-0005-0000-0000-000033A00000}"/>
    <cellStyle name="Normal 409 4 2" xfId="9773" xr:uid="{00000000-0005-0000-0000-000034A00000}"/>
    <cellStyle name="Normal 409 4 2 2" xfId="17567" xr:uid="{00000000-0005-0000-0000-000035A00000}"/>
    <cellStyle name="Normal 409 4 2 2 2" xfId="35204" xr:uid="{00000000-0005-0000-0000-000036A00000}"/>
    <cellStyle name="Normal 409 4 2 3" xfId="28157" xr:uid="{00000000-0005-0000-0000-000037A00000}"/>
    <cellStyle name="Normal 409 4 3" xfId="14352" xr:uid="{00000000-0005-0000-0000-000038A00000}"/>
    <cellStyle name="Normal 409 4 3 2" xfId="31987" xr:uid="{00000000-0005-0000-0000-000039A00000}"/>
    <cellStyle name="Normal 409 4 4" xfId="25293" xr:uid="{00000000-0005-0000-0000-00003AA00000}"/>
    <cellStyle name="Normal 409 5" xfId="7339" xr:uid="{00000000-0005-0000-0000-00003BA00000}"/>
    <cellStyle name="Normal 409 5 2" xfId="10327" xr:uid="{00000000-0005-0000-0000-00003CA00000}"/>
    <cellStyle name="Normal 409 5 2 2" xfId="18120" xr:uid="{00000000-0005-0000-0000-00003DA00000}"/>
    <cellStyle name="Normal 409 5 2 2 2" xfId="35757" xr:uid="{00000000-0005-0000-0000-00003EA00000}"/>
    <cellStyle name="Normal 409 5 2 3" xfId="28694" xr:uid="{00000000-0005-0000-0000-00003FA00000}"/>
    <cellStyle name="Normal 409 5 3" xfId="15127" xr:uid="{00000000-0005-0000-0000-000040A00000}"/>
    <cellStyle name="Normal 409 5 3 2" xfId="32762" xr:uid="{00000000-0005-0000-0000-000041A00000}"/>
    <cellStyle name="Normal 409 5 4" xfId="25831" xr:uid="{00000000-0005-0000-0000-000042A00000}"/>
    <cellStyle name="Normal 409 6" xfId="7938" xr:uid="{00000000-0005-0000-0000-000043A00000}"/>
    <cellStyle name="Normal 409 6 2" xfId="15735" xr:uid="{00000000-0005-0000-0000-000044A00000}"/>
    <cellStyle name="Normal 409 6 2 2" xfId="33370" xr:uid="{00000000-0005-0000-0000-000045A00000}"/>
    <cellStyle name="Normal 409 6 3" xfId="26354" xr:uid="{00000000-0005-0000-0000-000046A00000}"/>
    <cellStyle name="Normal 409 7" xfId="11897" xr:uid="{00000000-0005-0000-0000-000047A00000}"/>
    <cellStyle name="Normal 409 7 2" xfId="29580" xr:uid="{00000000-0005-0000-0000-000048A00000}"/>
    <cellStyle name="Normal 409 8" xfId="23489" xr:uid="{00000000-0005-0000-0000-000049A00000}"/>
    <cellStyle name="Normal 409 9" xfId="52398" xr:uid="{00000000-0005-0000-0000-00004AA00000}"/>
    <cellStyle name="Normal 41" xfId="2760" xr:uid="{00000000-0005-0000-0000-00004BA00000}"/>
    <cellStyle name="Normal 41 2" xfId="4772" xr:uid="{00000000-0005-0000-0000-00004CA00000}"/>
    <cellStyle name="Normal 41 2 2" xfId="22781" xr:uid="{00000000-0005-0000-0000-00004DA00000}"/>
    <cellStyle name="Normal 41 2 2 2" xfId="38988" xr:uid="{00000000-0005-0000-0000-00004EA00000}"/>
    <cellStyle name="Normal 41 3" xfId="22997" xr:uid="{00000000-0005-0000-0000-00004FA00000}"/>
    <cellStyle name="Normal 41 4" xfId="22572" xr:uid="{00000000-0005-0000-0000-000050A00000}"/>
    <cellStyle name="Normal 41 4 2" xfId="38883" xr:uid="{00000000-0005-0000-0000-000051A00000}"/>
    <cellStyle name="Normal 41 5" xfId="52399" xr:uid="{00000000-0005-0000-0000-000052A00000}"/>
    <cellStyle name="Normal 410" xfId="2761" xr:uid="{00000000-0005-0000-0000-000053A00000}"/>
    <cellStyle name="Normal 410 2" xfId="4773" xr:uid="{00000000-0005-0000-0000-000054A00000}"/>
    <cellStyle name="Normal 410 2 2" xfId="8621" xr:uid="{00000000-0005-0000-0000-000055A00000}"/>
    <cellStyle name="Normal 410 2 2 2" xfId="16417" xr:uid="{00000000-0005-0000-0000-000056A00000}"/>
    <cellStyle name="Normal 410 2 2 2 2" xfId="34052" xr:uid="{00000000-0005-0000-0000-000057A00000}"/>
    <cellStyle name="Normal 410 2 2 3" xfId="27022" xr:uid="{00000000-0005-0000-0000-000058A00000}"/>
    <cellStyle name="Normal 410 2 3" xfId="12913" xr:uid="{00000000-0005-0000-0000-000059A00000}"/>
    <cellStyle name="Normal 410 2 3 2" xfId="30563" xr:uid="{00000000-0005-0000-0000-00005AA00000}"/>
    <cellStyle name="Normal 410 2 4" xfId="24157" xr:uid="{00000000-0005-0000-0000-00005BA00000}"/>
    <cellStyle name="Normal 410 3" xfId="5934" xr:uid="{00000000-0005-0000-0000-00005CA00000}"/>
    <cellStyle name="Normal 410 3 2" xfId="9234" xr:uid="{00000000-0005-0000-0000-00005DA00000}"/>
    <cellStyle name="Normal 410 3 2 2" xfId="17029" xr:uid="{00000000-0005-0000-0000-00005EA00000}"/>
    <cellStyle name="Normal 410 3 2 2 2" xfId="34665" xr:uid="{00000000-0005-0000-0000-00005FA00000}"/>
    <cellStyle name="Normal 410 3 2 3" xfId="27622" xr:uid="{00000000-0005-0000-0000-000060A00000}"/>
    <cellStyle name="Normal 410 3 3" xfId="13790" xr:uid="{00000000-0005-0000-0000-000061A00000}"/>
    <cellStyle name="Normal 410 3 3 2" xfId="31430" xr:uid="{00000000-0005-0000-0000-000062A00000}"/>
    <cellStyle name="Normal 410 3 4" xfId="24757" xr:uid="{00000000-0005-0000-0000-000063A00000}"/>
    <cellStyle name="Normal 410 4" xfId="6564" xr:uid="{00000000-0005-0000-0000-000064A00000}"/>
    <cellStyle name="Normal 410 4 2" xfId="9774" xr:uid="{00000000-0005-0000-0000-000065A00000}"/>
    <cellStyle name="Normal 410 4 2 2" xfId="17568" xr:uid="{00000000-0005-0000-0000-000066A00000}"/>
    <cellStyle name="Normal 410 4 2 2 2" xfId="35205" xr:uid="{00000000-0005-0000-0000-000067A00000}"/>
    <cellStyle name="Normal 410 4 2 3" xfId="28158" xr:uid="{00000000-0005-0000-0000-000068A00000}"/>
    <cellStyle name="Normal 410 4 3" xfId="14353" xr:uid="{00000000-0005-0000-0000-000069A00000}"/>
    <cellStyle name="Normal 410 4 3 2" xfId="31988" xr:uid="{00000000-0005-0000-0000-00006AA00000}"/>
    <cellStyle name="Normal 410 4 4" xfId="25294" xr:uid="{00000000-0005-0000-0000-00006BA00000}"/>
    <cellStyle name="Normal 410 5" xfId="7340" xr:uid="{00000000-0005-0000-0000-00006CA00000}"/>
    <cellStyle name="Normal 410 5 2" xfId="10328" xr:uid="{00000000-0005-0000-0000-00006DA00000}"/>
    <cellStyle name="Normal 410 5 2 2" xfId="18121" xr:uid="{00000000-0005-0000-0000-00006EA00000}"/>
    <cellStyle name="Normal 410 5 2 2 2" xfId="35758" xr:uid="{00000000-0005-0000-0000-00006FA00000}"/>
    <cellStyle name="Normal 410 5 2 3" xfId="28695" xr:uid="{00000000-0005-0000-0000-000070A00000}"/>
    <cellStyle name="Normal 410 5 3" xfId="15128" xr:uid="{00000000-0005-0000-0000-000071A00000}"/>
    <cellStyle name="Normal 410 5 3 2" xfId="32763" xr:uid="{00000000-0005-0000-0000-000072A00000}"/>
    <cellStyle name="Normal 410 5 4" xfId="25832" xr:uid="{00000000-0005-0000-0000-000073A00000}"/>
    <cellStyle name="Normal 410 6" xfId="7939" xr:uid="{00000000-0005-0000-0000-000074A00000}"/>
    <cellStyle name="Normal 410 6 2" xfId="15736" xr:uid="{00000000-0005-0000-0000-000075A00000}"/>
    <cellStyle name="Normal 410 6 2 2" xfId="33371" xr:uid="{00000000-0005-0000-0000-000076A00000}"/>
    <cellStyle name="Normal 410 6 3" xfId="26355" xr:uid="{00000000-0005-0000-0000-000077A00000}"/>
    <cellStyle name="Normal 410 7" xfId="11898" xr:uid="{00000000-0005-0000-0000-000078A00000}"/>
    <cellStyle name="Normal 410 7 2" xfId="29581" xr:uid="{00000000-0005-0000-0000-000079A00000}"/>
    <cellStyle name="Normal 410 8" xfId="23490" xr:uid="{00000000-0005-0000-0000-00007AA00000}"/>
    <cellStyle name="Normal 410 9" xfId="52400" xr:uid="{00000000-0005-0000-0000-00007BA00000}"/>
    <cellStyle name="Normal 411" xfId="2762" xr:uid="{00000000-0005-0000-0000-00007CA00000}"/>
    <cellStyle name="Normal 411 2" xfId="4774" xr:uid="{00000000-0005-0000-0000-00007DA00000}"/>
    <cellStyle name="Normal 411 2 2" xfId="8622" xr:uid="{00000000-0005-0000-0000-00007EA00000}"/>
    <cellStyle name="Normal 411 2 2 2" xfId="16418" xr:uid="{00000000-0005-0000-0000-00007FA00000}"/>
    <cellStyle name="Normal 411 2 2 2 2" xfId="34053" xr:uid="{00000000-0005-0000-0000-000080A00000}"/>
    <cellStyle name="Normal 411 2 2 3" xfId="27023" xr:uid="{00000000-0005-0000-0000-000081A00000}"/>
    <cellStyle name="Normal 411 2 3" xfId="12914" xr:uid="{00000000-0005-0000-0000-000082A00000}"/>
    <cellStyle name="Normal 411 2 3 2" xfId="30564" xr:uid="{00000000-0005-0000-0000-000083A00000}"/>
    <cellStyle name="Normal 411 2 4" xfId="24158" xr:uid="{00000000-0005-0000-0000-000084A00000}"/>
    <cellStyle name="Normal 411 3" xfId="5935" xr:uid="{00000000-0005-0000-0000-000085A00000}"/>
    <cellStyle name="Normal 411 3 2" xfId="9235" xr:uid="{00000000-0005-0000-0000-000086A00000}"/>
    <cellStyle name="Normal 411 3 2 2" xfId="17030" xr:uid="{00000000-0005-0000-0000-000087A00000}"/>
    <cellStyle name="Normal 411 3 2 2 2" xfId="34666" xr:uid="{00000000-0005-0000-0000-000088A00000}"/>
    <cellStyle name="Normal 411 3 2 3" xfId="27623" xr:uid="{00000000-0005-0000-0000-000089A00000}"/>
    <cellStyle name="Normal 411 3 3" xfId="13791" xr:uid="{00000000-0005-0000-0000-00008AA00000}"/>
    <cellStyle name="Normal 411 3 3 2" xfId="31431" xr:uid="{00000000-0005-0000-0000-00008BA00000}"/>
    <cellStyle name="Normal 411 3 4" xfId="24758" xr:uid="{00000000-0005-0000-0000-00008CA00000}"/>
    <cellStyle name="Normal 411 4" xfId="6565" xr:uid="{00000000-0005-0000-0000-00008DA00000}"/>
    <cellStyle name="Normal 411 4 2" xfId="9775" xr:uid="{00000000-0005-0000-0000-00008EA00000}"/>
    <cellStyle name="Normal 411 4 2 2" xfId="17569" xr:uid="{00000000-0005-0000-0000-00008FA00000}"/>
    <cellStyle name="Normal 411 4 2 2 2" xfId="35206" xr:uid="{00000000-0005-0000-0000-000090A00000}"/>
    <cellStyle name="Normal 411 4 2 3" xfId="28159" xr:uid="{00000000-0005-0000-0000-000091A00000}"/>
    <cellStyle name="Normal 411 4 3" xfId="14354" xr:uid="{00000000-0005-0000-0000-000092A00000}"/>
    <cellStyle name="Normal 411 4 3 2" xfId="31989" xr:uid="{00000000-0005-0000-0000-000093A00000}"/>
    <cellStyle name="Normal 411 4 4" xfId="25295" xr:uid="{00000000-0005-0000-0000-000094A00000}"/>
    <cellStyle name="Normal 411 5" xfId="7341" xr:uid="{00000000-0005-0000-0000-000095A00000}"/>
    <cellStyle name="Normal 411 5 2" xfId="10329" xr:uid="{00000000-0005-0000-0000-000096A00000}"/>
    <cellStyle name="Normal 411 5 2 2" xfId="18122" xr:uid="{00000000-0005-0000-0000-000097A00000}"/>
    <cellStyle name="Normal 411 5 2 2 2" xfId="35759" xr:uid="{00000000-0005-0000-0000-000098A00000}"/>
    <cellStyle name="Normal 411 5 2 3" xfId="28696" xr:uid="{00000000-0005-0000-0000-000099A00000}"/>
    <cellStyle name="Normal 411 5 3" xfId="15129" xr:uid="{00000000-0005-0000-0000-00009AA00000}"/>
    <cellStyle name="Normal 411 5 3 2" xfId="32764" xr:uid="{00000000-0005-0000-0000-00009BA00000}"/>
    <cellStyle name="Normal 411 5 4" xfId="25833" xr:uid="{00000000-0005-0000-0000-00009CA00000}"/>
    <cellStyle name="Normal 411 6" xfId="7940" xr:uid="{00000000-0005-0000-0000-00009DA00000}"/>
    <cellStyle name="Normal 411 6 2" xfId="15737" xr:uid="{00000000-0005-0000-0000-00009EA00000}"/>
    <cellStyle name="Normal 411 6 2 2" xfId="33372" xr:uid="{00000000-0005-0000-0000-00009FA00000}"/>
    <cellStyle name="Normal 411 6 3" xfId="26356" xr:uid="{00000000-0005-0000-0000-0000A0A00000}"/>
    <cellStyle name="Normal 411 7" xfId="11899" xr:uid="{00000000-0005-0000-0000-0000A1A00000}"/>
    <cellStyle name="Normal 411 7 2" xfId="29582" xr:uid="{00000000-0005-0000-0000-0000A2A00000}"/>
    <cellStyle name="Normal 411 8" xfId="23491" xr:uid="{00000000-0005-0000-0000-0000A3A00000}"/>
    <cellStyle name="Normal 411 9" xfId="52401" xr:uid="{00000000-0005-0000-0000-0000A4A00000}"/>
    <cellStyle name="Normal 412" xfId="2763" xr:uid="{00000000-0005-0000-0000-0000A5A00000}"/>
    <cellStyle name="Normal 412 2" xfId="4775" xr:uid="{00000000-0005-0000-0000-0000A6A00000}"/>
    <cellStyle name="Normal 412 2 2" xfId="8623" xr:uid="{00000000-0005-0000-0000-0000A7A00000}"/>
    <cellStyle name="Normal 412 2 2 2" xfId="16419" xr:uid="{00000000-0005-0000-0000-0000A8A00000}"/>
    <cellStyle name="Normal 412 2 2 2 2" xfId="34054" xr:uid="{00000000-0005-0000-0000-0000A9A00000}"/>
    <cellStyle name="Normal 412 2 2 3" xfId="27024" xr:uid="{00000000-0005-0000-0000-0000AAA00000}"/>
    <cellStyle name="Normal 412 2 3" xfId="12915" xr:uid="{00000000-0005-0000-0000-0000ABA00000}"/>
    <cellStyle name="Normal 412 2 3 2" xfId="30565" xr:uid="{00000000-0005-0000-0000-0000ACA00000}"/>
    <cellStyle name="Normal 412 2 4" xfId="24159" xr:uid="{00000000-0005-0000-0000-0000ADA00000}"/>
    <cellStyle name="Normal 412 3" xfId="5936" xr:uid="{00000000-0005-0000-0000-0000AEA00000}"/>
    <cellStyle name="Normal 412 3 2" xfId="9236" xr:uid="{00000000-0005-0000-0000-0000AFA00000}"/>
    <cellStyle name="Normal 412 3 2 2" xfId="17031" xr:uid="{00000000-0005-0000-0000-0000B0A00000}"/>
    <cellStyle name="Normal 412 3 2 2 2" xfId="34667" xr:uid="{00000000-0005-0000-0000-0000B1A00000}"/>
    <cellStyle name="Normal 412 3 2 3" xfId="27624" xr:uid="{00000000-0005-0000-0000-0000B2A00000}"/>
    <cellStyle name="Normal 412 3 3" xfId="13792" xr:uid="{00000000-0005-0000-0000-0000B3A00000}"/>
    <cellStyle name="Normal 412 3 3 2" xfId="31432" xr:uid="{00000000-0005-0000-0000-0000B4A00000}"/>
    <cellStyle name="Normal 412 3 4" xfId="24759" xr:uid="{00000000-0005-0000-0000-0000B5A00000}"/>
    <cellStyle name="Normal 412 4" xfId="6566" xr:uid="{00000000-0005-0000-0000-0000B6A00000}"/>
    <cellStyle name="Normal 412 4 2" xfId="9776" xr:uid="{00000000-0005-0000-0000-0000B7A00000}"/>
    <cellStyle name="Normal 412 4 2 2" xfId="17570" xr:uid="{00000000-0005-0000-0000-0000B8A00000}"/>
    <cellStyle name="Normal 412 4 2 2 2" xfId="35207" xr:uid="{00000000-0005-0000-0000-0000B9A00000}"/>
    <cellStyle name="Normal 412 4 2 3" xfId="28160" xr:uid="{00000000-0005-0000-0000-0000BAA00000}"/>
    <cellStyle name="Normal 412 4 3" xfId="14355" xr:uid="{00000000-0005-0000-0000-0000BBA00000}"/>
    <cellStyle name="Normal 412 4 3 2" xfId="31990" xr:uid="{00000000-0005-0000-0000-0000BCA00000}"/>
    <cellStyle name="Normal 412 4 4" xfId="25296" xr:uid="{00000000-0005-0000-0000-0000BDA00000}"/>
    <cellStyle name="Normal 412 5" xfId="7342" xr:uid="{00000000-0005-0000-0000-0000BEA00000}"/>
    <cellStyle name="Normal 412 5 2" xfId="10330" xr:uid="{00000000-0005-0000-0000-0000BFA00000}"/>
    <cellStyle name="Normal 412 5 2 2" xfId="18123" xr:uid="{00000000-0005-0000-0000-0000C0A00000}"/>
    <cellStyle name="Normal 412 5 2 2 2" xfId="35760" xr:uid="{00000000-0005-0000-0000-0000C1A00000}"/>
    <cellStyle name="Normal 412 5 2 3" xfId="28697" xr:uid="{00000000-0005-0000-0000-0000C2A00000}"/>
    <cellStyle name="Normal 412 5 3" xfId="15130" xr:uid="{00000000-0005-0000-0000-0000C3A00000}"/>
    <cellStyle name="Normal 412 5 3 2" xfId="32765" xr:uid="{00000000-0005-0000-0000-0000C4A00000}"/>
    <cellStyle name="Normal 412 5 4" xfId="25834" xr:uid="{00000000-0005-0000-0000-0000C5A00000}"/>
    <cellStyle name="Normal 412 6" xfId="7941" xr:uid="{00000000-0005-0000-0000-0000C6A00000}"/>
    <cellStyle name="Normal 412 6 2" xfId="15738" xr:uid="{00000000-0005-0000-0000-0000C7A00000}"/>
    <cellStyle name="Normal 412 6 2 2" xfId="33373" xr:uid="{00000000-0005-0000-0000-0000C8A00000}"/>
    <cellStyle name="Normal 412 6 3" xfId="26357" xr:uid="{00000000-0005-0000-0000-0000C9A00000}"/>
    <cellStyle name="Normal 412 7" xfId="11900" xr:uid="{00000000-0005-0000-0000-0000CAA00000}"/>
    <cellStyle name="Normal 412 7 2" xfId="29583" xr:uid="{00000000-0005-0000-0000-0000CBA00000}"/>
    <cellStyle name="Normal 412 8" xfId="23492" xr:uid="{00000000-0005-0000-0000-0000CCA00000}"/>
    <cellStyle name="Normal 412 9" xfId="52402" xr:uid="{00000000-0005-0000-0000-0000CDA00000}"/>
    <cellStyle name="Normal 413" xfId="2764" xr:uid="{00000000-0005-0000-0000-0000CEA00000}"/>
    <cellStyle name="Normal 413 2" xfId="4776" xr:uid="{00000000-0005-0000-0000-0000CFA00000}"/>
    <cellStyle name="Normal 413 2 2" xfId="8624" xr:uid="{00000000-0005-0000-0000-0000D0A00000}"/>
    <cellStyle name="Normal 413 2 2 2" xfId="16420" xr:uid="{00000000-0005-0000-0000-0000D1A00000}"/>
    <cellStyle name="Normal 413 2 2 2 2" xfId="34055" xr:uid="{00000000-0005-0000-0000-0000D2A00000}"/>
    <cellStyle name="Normal 413 2 2 3" xfId="27025" xr:uid="{00000000-0005-0000-0000-0000D3A00000}"/>
    <cellStyle name="Normal 413 2 3" xfId="12916" xr:uid="{00000000-0005-0000-0000-0000D4A00000}"/>
    <cellStyle name="Normal 413 2 3 2" xfId="30566" xr:uid="{00000000-0005-0000-0000-0000D5A00000}"/>
    <cellStyle name="Normal 413 2 4" xfId="24160" xr:uid="{00000000-0005-0000-0000-0000D6A00000}"/>
    <cellStyle name="Normal 413 3" xfId="5937" xr:uid="{00000000-0005-0000-0000-0000D7A00000}"/>
    <cellStyle name="Normal 413 3 2" xfId="9237" xr:uid="{00000000-0005-0000-0000-0000D8A00000}"/>
    <cellStyle name="Normal 413 3 2 2" xfId="17032" xr:uid="{00000000-0005-0000-0000-0000D9A00000}"/>
    <cellStyle name="Normal 413 3 2 2 2" xfId="34668" xr:uid="{00000000-0005-0000-0000-0000DAA00000}"/>
    <cellStyle name="Normal 413 3 2 3" xfId="27625" xr:uid="{00000000-0005-0000-0000-0000DBA00000}"/>
    <cellStyle name="Normal 413 3 3" xfId="13793" xr:uid="{00000000-0005-0000-0000-0000DCA00000}"/>
    <cellStyle name="Normal 413 3 3 2" xfId="31433" xr:uid="{00000000-0005-0000-0000-0000DDA00000}"/>
    <cellStyle name="Normal 413 3 4" xfId="24760" xr:uid="{00000000-0005-0000-0000-0000DEA00000}"/>
    <cellStyle name="Normal 413 4" xfId="6567" xr:uid="{00000000-0005-0000-0000-0000DFA00000}"/>
    <cellStyle name="Normal 413 4 2" xfId="9777" xr:uid="{00000000-0005-0000-0000-0000E0A00000}"/>
    <cellStyle name="Normal 413 4 2 2" xfId="17571" xr:uid="{00000000-0005-0000-0000-0000E1A00000}"/>
    <cellStyle name="Normal 413 4 2 2 2" xfId="35208" xr:uid="{00000000-0005-0000-0000-0000E2A00000}"/>
    <cellStyle name="Normal 413 4 2 3" xfId="28161" xr:uid="{00000000-0005-0000-0000-0000E3A00000}"/>
    <cellStyle name="Normal 413 4 3" xfId="14356" xr:uid="{00000000-0005-0000-0000-0000E4A00000}"/>
    <cellStyle name="Normal 413 4 3 2" xfId="31991" xr:uid="{00000000-0005-0000-0000-0000E5A00000}"/>
    <cellStyle name="Normal 413 4 4" xfId="25297" xr:uid="{00000000-0005-0000-0000-0000E6A00000}"/>
    <cellStyle name="Normal 413 5" xfId="7343" xr:uid="{00000000-0005-0000-0000-0000E7A00000}"/>
    <cellStyle name="Normal 413 5 2" xfId="10331" xr:uid="{00000000-0005-0000-0000-0000E8A00000}"/>
    <cellStyle name="Normal 413 5 2 2" xfId="18124" xr:uid="{00000000-0005-0000-0000-0000E9A00000}"/>
    <cellStyle name="Normal 413 5 2 2 2" xfId="35761" xr:uid="{00000000-0005-0000-0000-0000EAA00000}"/>
    <cellStyle name="Normal 413 5 2 3" xfId="28698" xr:uid="{00000000-0005-0000-0000-0000EBA00000}"/>
    <cellStyle name="Normal 413 5 3" xfId="15131" xr:uid="{00000000-0005-0000-0000-0000ECA00000}"/>
    <cellStyle name="Normal 413 5 3 2" xfId="32766" xr:uid="{00000000-0005-0000-0000-0000EDA00000}"/>
    <cellStyle name="Normal 413 5 4" xfId="25835" xr:uid="{00000000-0005-0000-0000-0000EEA00000}"/>
    <cellStyle name="Normal 413 6" xfId="7942" xr:uid="{00000000-0005-0000-0000-0000EFA00000}"/>
    <cellStyle name="Normal 413 6 2" xfId="15739" xr:uid="{00000000-0005-0000-0000-0000F0A00000}"/>
    <cellStyle name="Normal 413 6 2 2" xfId="33374" xr:uid="{00000000-0005-0000-0000-0000F1A00000}"/>
    <cellStyle name="Normal 413 6 3" xfId="26358" xr:uid="{00000000-0005-0000-0000-0000F2A00000}"/>
    <cellStyle name="Normal 413 7" xfId="11901" xr:uid="{00000000-0005-0000-0000-0000F3A00000}"/>
    <cellStyle name="Normal 413 7 2" xfId="29584" xr:uid="{00000000-0005-0000-0000-0000F4A00000}"/>
    <cellStyle name="Normal 413 8" xfId="23493" xr:uid="{00000000-0005-0000-0000-0000F5A00000}"/>
    <cellStyle name="Normal 413 9" xfId="52403" xr:uid="{00000000-0005-0000-0000-0000F6A00000}"/>
    <cellStyle name="Normal 414" xfId="2765" xr:uid="{00000000-0005-0000-0000-0000F7A00000}"/>
    <cellStyle name="Normal 414 2" xfId="4777" xr:uid="{00000000-0005-0000-0000-0000F8A00000}"/>
    <cellStyle name="Normal 414 2 2" xfId="8625" xr:uid="{00000000-0005-0000-0000-0000F9A00000}"/>
    <cellStyle name="Normal 414 2 2 2" xfId="16421" xr:uid="{00000000-0005-0000-0000-0000FAA00000}"/>
    <cellStyle name="Normal 414 2 2 2 2" xfId="34056" xr:uid="{00000000-0005-0000-0000-0000FBA00000}"/>
    <cellStyle name="Normal 414 2 2 3" xfId="27026" xr:uid="{00000000-0005-0000-0000-0000FCA00000}"/>
    <cellStyle name="Normal 414 2 3" xfId="12917" xr:uid="{00000000-0005-0000-0000-0000FDA00000}"/>
    <cellStyle name="Normal 414 2 3 2" xfId="30567" xr:uid="{00000000-0005-0000-0000-0000FEA00000}"/>
    <cellStyle name="Normal 414 2 4" xfId="24161" xr:uid="{00000000-0005-0000-0000-0000FFA00000}"/>
    <cellStyle name="Normal 414 3" xfId="5938" xr:uid="{00000000-0005-0000-0000-000000A10000}"/>
    <cellStyle name="Normal 414 3 2" xfId="9238" xr:uid="{00000000-0005-0000-0000-000001A10000}"/>
    <cellStyle name="Normal 414 3 2 2" xfId="17033" xr:uid="{00000000-0005-0000-0000-000002A10000}"/>
    <cellStyle name="Normal 414 3 2 2 2" xfId="34669" xr:uid="{00000000-0005-0000-0000-000003A10000}"/>
    <cellStyle name="Normal 414 3 2 3" xfId="27626" xr:uid="{00000000-0005-0000-0000-000004A10000}"/>
    <cellStyle name="Normal 414 3 3" xfId="13794" xr:uid="{00000000-0005-0000-0000-000005A10000}"/>
    <cellStyle name="Normal 414 3 3 2" xfId="31434" xr:uid="{00000000-0005-0000-0000-000006A10000}"/>
    <cellStyle name="Normal 414 3 4" xfId="24761" xr:uid="{00000000-0005-0000-0000-000007A10000}"/>
    <cellStyle name="Normal 414 4" xfId="6568" xr:uid="{00000000-0005-0000-0000-000008A10000}"/>
    <cellStyle name="Normal 414 4 2" xfId="9778" xr:uid="{00000000-0005-0000-0000-000009A10000}"/>
    <cellStyle name="Normal 414 4 2 2" xfId="17572" xr:uid="{00000000-0005-0000-0000-00000AA10000}"/>
    <cellStyle name="Normal 414 4 2 2 2" xfId="35209" xr:uid="{00000000-0005-0000-0000-00000BA10000}"/>
    <cellStyle name="Normal 414 4 2 3" xfId="28162" xr:uid="{00000000-0005-0000-0000-00000CA10000}"/>
    <cellStyle name="Normal 414 4 3" xfId="14357" xr:uid="{00000000-0005-0000-0000-00000DA10000}"/>
    <cellStyle name="Normal 414 4 3 2" xfId="31992" xr:uid="{00000000-0005-0000-0000-00000EA10000}"/>
    <cellStyle name="Normal 414 4 4" xfId="25298" xr:uid="{00000000-0005-0000-0000-00000FA10000}"/>
    <cellStyle name="Normal 414 5" xfId="7344" xr:uid="{00000000-0005-0000-0000-000010A10000}"/>
    <cellStyle name="Normal 414 5 2" xfId="10332" xr:uid="{00000000-0005-0000-0000-000011A10000}"/>
    <cellStyle name="Normal 414 5 2 2" xfId="18125" xr:uid="{00000000-0005-0000-0000-000012A10000}"/>
    <cellStyle name="Normal 414 5 2 2 2" xfId="35762" xr:uid="{00000000-0005-0000-0000-000013A10000}"/>
    <cellStyle name="Normal 414 5 2 3" xfId="28699" xr:uid="{00000000-0005-0000-0000-000014A10000}"/>
    <cellStyle name="Normal 414 5 3" xfId="15132" xr:uid="{00000000-0005-0000-0000-000015A10000}"/>
    <cellStyle name="Normal 414 5 3 2" xfId="32767" xr:uid="{00000000-0005-0000-0000-000016A10000}"/>
    <cellStyle name="Normal 414 5 4" xfId="25836" xr:uid="{00000000-0005-0000-0000-000017A10000}"/>
    <cellStyle name="Normal 414 6" xfId="7943" xr:uid="{00000000-0005-0000-0000-000018A10000}"/>
    <cellStyle name="Normal 414 6 2" xfId="15740" xr:uid="{00000000-0005-0000-0000-000019A10000}"/>
    <cellStyle name="Normal 414 6 2 2" xfId="33375" xr:uid="{00000000-0005-0000-0000-00001AA10000}"/>
    <cellStyle name="Normal 414 6 3" xfId="26359" xr:uid="{00000000-0005-0000-0000-00001BA10000}"/>
    <cellStyle name="Normal 414 7" xfId="11902" xr:uid="{00000000-0005-0000-0000-00001CA10000}"/>
    <cellStyle name="Normal 414 7 2" xfId="29585" xr:uid="{00000000-0005-0000-0000-00001DA10000}"/>
    <cellStyle name="Normal 414 8" xfId="23494" xr:uid="{00000000-0005-0000-0000-00001EA10000}"/>
    <cellStyle name="Normal 414 9" xfId="52404" xr:uid="{00000000-0005-0000-0000-00001FA10000}"/>
    <cellStyle name="Normal 415" xfId="2766" xr:uid="{00000000-0005-0000-0000-000020A10000}"/>
    <cellStyle name="Normal 415 2" xfId="4778" xr:uid="{00000000-0005-0000-0000-000021A10000}"/>
    <cellStyle name="Normal 415 2 2" xfId="8626" xr:uid="{00000000-0005-0000-0000-000022A10000}"/>
    <cellStyle name="Normal 415 2 2 2" xfId="16422" xr:uid="{00000000-0005-0000-0000-000023A10000}"/>
    <cellStyle name="Normal 415 2 2 2 2" xfId="34057" xr:uid="{00000000-0005-0000-0000-000024A10000}"/>
    <cellStyle name="Normal 415 2 2 3" xfId="27027" xr:uid="{00000000-0005-0000-0000-000025A10000}"/>
    <cellStyle name="Normal 415 2 3" xfId="12918" xr:uid="{00000000-0005-0000-0000-000026A10000}"/>
    <cellStyle name="Normal 415 2 3 2" xfId="30568" xr:uid="{00000000-0005-0000-0000-000027A10000}"/>
    <cellStyle name="Normal 415 2 4" xfId="24162" xr:uid="{00000000-0005-0000-0000-000028A10000}"/>
    <cellStyle name="Normal 415 3" xfId="5939" xr:uid="{00000000-0005-0000-0000-000029A10000}"/>
    <cellStyle name="Normal 415 3 2" xfId="9239" xr:uid="{00000000-0005-0000-0000-00002AA10000}"/>
    <cellStyle name="Normal 415 3 2 2" xfId="17034" xr:uid="{00000000-0005-0000-0000-00002BA10000}"/>
    <cellStyle name="Normal 415 3 2 2 2" xfId="34670" xr:uid="{00000000-0005-0000-0000-00002CA10000}"/>
    <cellStyle name="Normal 415 3 2 3" xfId="27627" xr:uid="{00000000-0005-0000-0000-00002DA10000}"/>
    <cellStyle name="Normal 415 3 3" xfId="13795" xr:uid="{00000000-0005-0000-0000-00002EA10000}"/>
    <cellStyle name="Normal 415 3 3 2" xfId="31435" xr:uid="{00000000-0005-0000-0000-00002FA10000}"/>
    <cellStyle name="Normal 415 3 4" xfId="24762" xr:uid="{00000000-0005-0000-0000-000030A10000}"/>
    <cellStyle name="Normal 415 4" xfId="6569" xr:uid="{00000000-0005-0000-0000-000031A10000}"/>
    <cellStyle name="Normal 415 4 2" xfId="9779" xr:uid="{00000000-0005-0000-0000-000032A10000}"/>
    <cellStyle name="Normal 415 4 2 2" xfId="17573" xr:uid="{00000000-0005-0000-0000-000033A10000}"/>
    <cellStyle name="Normal 415 4 2 2 2" xfId="35210" xr:uid="{00000000-0005-0000-0000-000034A10000}"/>
    <cellStyle name="Normal 415 4 2 3" xfId="28163" xr:uid="{00000000-0005-0000-0000-000035A10000}"/>
    <cellStyle name="Normal 415 4 3" xfId="14358" xr:uid="{00000000-0005-0000-0000-000036A10000}"/>
    <cellStyle name="Normal 415 4 3 2" xfId="31993" xr:uid="{00000000-0005-0000-0000-000037A10000}"/>
    <cellStyle name="Normal 415 4 4" xfId="25299" xr:uid="{00000000-0005-0000-0000-000038A10000}"/>
    <cellStyle name="Normal 415 5" xfId="7345" xr:uid="{00000000-0005-0000-0000-000039A10000}"/>
    <cellStyle name="Normal 415 5 2" xfId="10333" xr:uid="{00000000-0005-0000-0000-00003AA10000}"/>
    <cellStyle name="Normal 415 5 2 2" xfId="18126" xr:uid="{00000000-0005-0000-0000-00003BA10000}"/>
    <cellStyle name="Normal 415 5 2 2 2" xfId="35763" xr:uid="{00000000-0005-0000-0000-00003CA10000}"/>
    <cellStyle name="Normal 415 5 2 3" xfId="28700" xr:uid="{00000000-0005-0000-0000-00003DA10000}"/>
    <cellStyle name="Normal 415 5 3" xfId="15133" xr:uid="{00000000-0005-0000-0000-00003EA10000}"/>
    <cellStyle name="Normal 415 5 3 2" xfId="32768" xr:uid="{00000000-0005-0000-0000-00003FA10000}"/>
    <cellStyle name="Normal 415 5 4" xfId="25837" xr:uid="{00000000-0005-0000-0000-000040A10000}"/>
    <cellStyle name="Normal 415 6" xfId="7944" xr:uid="{00000000-0005-0000-0000-000041A10000}"/>
    <cellStyle name="Normal 415 6 2" xfId="15741" xr:uid="{00000000-0005-0000-0000-000042A10000}"/>
    <cellStyle name="Normal 415 6 2 2" xfId="33376" xr:uid="{00000000-0005-0000-0000-000043A10000}"/>
    <cellStyle name="Normal 415 6 3" xfId="26360" xr:uid="{00000000-0005-0000-0000-000044A10000}"/>
    <cellStyle name="Normal 415 7" xfId="11903" xr:uid="{00000000-0005-0000-0000-000045A10000}"/>
    <cellStyle name="Normal 415 7 2" xfId="29586" xr:uid="{00000000-0005-0000-0000-000046A10000}"/>
    <cellStyle name="Normal 415 8" xfId="23495" xr:uid="{00000000-0005-0000-0000-000047A10000}"/>
    <cellStyle name="Normal 415 9" xfId="52405" xr:uid="{00000000-0005-0000-0000-000048A10000}"/>
    <cellStyle name="Normal 416" xfId="2767" xr:uid="{00000000-0005-0000-0000-000049A10000}"/>
    <cellStyle name="Normal 416 2" xfId="4779" xr:uid="{00000000-0005-0000-0000-00004AA10000}"/>
    <cellStyle name="Normal 416 3" xfId="52406" xr:uid="{00000000-0005-0000-0000-00004BA10000}"/>
    <cellStyle name="Normal 417" xfId="2768" xr:uid="{00000000-0005-0000-0000-00004CA10000}"/>
    <cellStyle name="Normal 417 2" xfId="4780" xr:uid="{00000000-0005-0000-0000-00004DA10000}"/>
    <cellStyle name="Normal 417 3" xfId="52407" xr:uid="{00000000-0005-0000-0000-00004EA10000}"/>
    <cellStyle name="Normal 418" xfId="2769" xr:uid="{00000000-0005-0000-0000-00004FA10000}"/>
    <cellStyle name="Normal 418 2" xfId="4781" xr:uid="{00000000-0005-0000-0000-000050A10000}"/>
    <cellStyle name="Normal 418 2 2" xfId="8627" xr:uid="{00000000-0005-0000-0000-000051A10000}"/>
    <cellStyle name="Normal 418 2 2 2" xfId="16423" xr:uid="{00000000-0005-0000-0000-000052A10000}"/>
    <cellStyle name="Normal 418 2 2 2 2" xfId="34058" xr:uid="{00000000-0005-0000-0000-000053A10000}"/>
    <cellStyle name="Normal 418 2 2 3" xfId="27028" xr:uid="{00000000-0005-0000-0000-000054A10000}"/>
    <cellStyle name="Normal 418 2 3" xfId="12919" xr:uid="{00000000-0005-0000-0000-000055A10000}"/>
    <cellStyle name="Normal 418 2 3 2" xfId="30569" xr:uid="{00000000-0005-0000-0000-000056A10000}"/>
    <cellStyle name="Normal 418 2 4" xfId="24163" xr:uid="{00000000-0005-0000-0000-000057A10000}"/>
    <cellStyle name="Normal 418 3" xfId="5940" xr:uid="{00000000-0005-0000-0000-000058A10000}"/>
    <cellStyle name="Normal 418 3 2" xfId="9240" xr:uid="{00000000-0005-0000-0000-000059A10000}"/>
    <cellStyle name="Normal 418 3 2 2" xfId="17035" xr:uid="{00000000-0005-0000-0000-00005AA10000}"/>
    <cellStyle name="Normal 418 3 2 2 2" xfId="34671" xr:uid="{00000000-0005-0000-0000-00005BA10000}"/>
    <cellStyle name="Normal 418 3 2 3" xfId="27628" xr:uid="{00000000-0005-0000-0000-00005CA10000}"/>
    <cellStyle name="Normal 418 3 3" xfId="13796" xr:uid="{00000000-0005-0000-0000-00005DA10000}"/>
    <cellStyle name="Normal 418 3 3 2" xfId="31436" xr:uid="{00000000-0005-0000-0000-00005EA10000}"/>
    <cellStyle name="Normal 418 3 4" xfId="24763" xr:uid="{00000000-0005-0000-0000-00005FA10000}"/>
    <cellStyle name="Normal 418 4" xfId="6570" xr:uid="{00000000-0005-0000-0000-000060A10000}"/>
    <cellStyle name="Normal 418 4 2" xfId="9780" xr:uid="{00000000-0005-0000-0000-000061A10000}"/>
    <cellStyle name="Normal 418 4 2 2" xfId="17574" xr:uid="{00000000-0005-0000-0000-000062A10000}"/>
    <cellStyle name="Normal 418 4 2 2 2" xfId="35211" xr:uid="{00000000-0005-0000-0000-000063A10000}"/>
    <cellStyle name="Normal 418 4 2 3" xfId="28164" xr:uid="{00000000-0005-0000-0000-000064A10000}"/>
    <cellStyle name="Normal 418 4 3" xfId="14359" xr:uid="{00000000-0005-0000-0000-000065A10000}"/>
    <cellStyle name="Normal 418 4 3 2" xfId="31994" xr:uid="{00000000-0005-0000-0000-000066A10000}"/>
    <cellStyle name="Normal 418 4 4" xfId="25300" xr:uid="{00000000-0005-0000-0000-000067A10000}"/>
    <cellStyle name="Normal 418 5" xfId="7346" xr:uid="{00000000-0005-0000-0000-000068A10000}"/>
    <cellStyle name="Normal 418 5 2" xfId="10334" xr:uid="{00000000-0005-0000-0000-000069A10000}"/>
    <cellStyle name="Normal 418 5 2 2" xfId="18127" xr:uid="{00000000-0005-0000-0000-00006AA10000}"/>
    <cellStyle name="Normal 418 5 2 2 2" xfId="35764" xr:uid="{00000000-0005-0000-0000-00006BA10000}"/>
    <cellStyle name="Normal 418 5 2 3" xfId="28701" xr:uid="{00000000-0005-0000-0000-00006CA10000}"/>
    <cellStyle name="Normal 418 5 3" xfId="15134" xr:uid="{00000000-0005-0000-0000-00006DA10000}"/>
    <cellStyle name="Normal 418 5 3 2" xfId="32769" xr:uid="{00000000-0005-0000-0000-00006EA10000}"/>
    <cellStyle name="Normal 418 5 4" xfId="25838" xr:uid="{00000000-0005-0000-0000-00006FA10000}"/>
    <cellStyle name="Normal 418 6" xfId="7945" xr:uid="{00000000-0005-0000-0000-000070A10000}"/>
    <cellStyle name="Normal 418 6 2" xfId="15742" xr:uid="{00000000-0005-0000-0000-000071A10000}"/>
    <cellStyle name="Normal 418 6 2 2" xfId="33377" xr:uid="{00000000-0005-0000-0000-000072A10000}"/>
    <cellStyle name="Normal 418 6 3" xfId="26361" xr:uid="{00000000-0005-0000-0000-000073A10000}"/>
    <cellStyle name="Normal 418 7" xfId="11904" xr:uid="{00000000-0005-0000-0000-000074A10000}"/>
    <cellStyle name="Normal 418 7 2" xfId="29587" xr:uid="{00000000-0005-0000-0000-000075A10000}"/>
    <cellStyle name="Normal 418 8" xfId="23496" xr:uid="{00000000-0005-0000-0000-000076A10000}"/>
    <cellStyle name="Normal 418 9" xfId="52408" xr:uid="{00000000-0005-0000-0000-000077A10000}"/>
    <cellStyle name="Normal 419" xfId="2770" xr:uid="{00000000-0005-0000-0000-000078A10000}"/>
    <cellStyle name="Normal 419 2" xfId="4782" xr:uid="{00000000-0005-0000-0000-000079A10000}"/>
    <cellStyle name="Normal 419 2 2" xfId="8628" xr:uid="{00000000-0005-0000-0000-00007AA10000}"/>
    <cellStyle name="Normal 419 2 2 2" xfId="16424" xr:uid="{00000000-0005-0000-0000-00007BA10000}"/>
    <cellStyle name="Normal 419 2 2 2 2" xfId="34059" xr:uid="{00000000-0005-0000-0000-00007CA10000}"/>
    <cellStyle name="Normal 419 2 2 3" xfId="27029" xr:uid="{00000000-0005-0000-0000-00007DA10000}"/>
    <cellStyle name="Normal 419 2 3" xfId="12920" xr:uid="{00000000-0005-0000-0000-00007EA10000}"/>
    <cellStyle name="Normal 419 2 3 2" xfId="30570" xr:uid="{00000000-0005-0000-0000-00007FA10000}"/>
    <cellStyle name="Normal 419 2 4" xfId="24164" xr:uid="{00000000-0005-0000-0000-000080A10000}"/>
    <cellStyle name="Normal 419 3" xfId="5941" xr:uid="{00000000-0005-0000-0000-000081A10000}"/>
    <cellStyle name="Normal 419 3 2" xfId="9241" xr:uid="{00000000-0005-0000-0000-000082A10000}"/>
    <cellStyle name="Normal 419 3 2 2" xfId="17036" xr:uid="{00000000-0005-0000-0000-000083A10000}"/>
    <cellStyle name="Normal 419 3 2 2 2" xfId="34672" xr:uid="{00000000-0005-0000-0000-000084A10000}"/>
    <cellStyle name="Normal 419 3 2 3" xfId="27629" xr:uid="{00000000-0005-0000-0000-000085A10000}"/>
    <cellStyle name="Normal 419 3 3" xfId="13797" xr:uid="{00000000-0005-0000-0000-000086A10000}"/>
    <cellStyle name="Normal 419 3 3 2" xfId="31437" xr:uid="{00000000-0005-0000-0000-000087A10000}"/>
    <cellStyle name="Normal 419 3 4" xfId="24764" xr:uid="{00000000-0005-0000-0000-000088A10000}"/>
    <cellStyle name="Normal 419 4" xfId="6571" xr:uid="{00000000-0005-0000-0000-000089A10000}"/>
    <cellStyle name="Normal 419 4 2" xfId="9781" xr:uid="{00000000-0005-0000-0000-00008AA10000}"/>
    <cellStyle name="Normal 419 4 2 2" xfId="17575" xr:uid="{00000000-0005-0000-0000-00008BA10000}"/>
    <cellStyle name="Normal 419 4 2 2 2" xfId="35212" xr:uid="{00000000-0005-0000-0000-00008CA10000}"/>
    <cellStyle name="Normal 419 4 2 3" xfId="28165" xr:uid="{00000000-0005-0000-0000-00008DA10000}"/>
    <cellStyle name="Normal 419 4 3" xfId="14360" xr:uid="{00000000-0005-0000-0000-00008EA10000}"/>
    <cellStyle name="Normal 419 4 3 2" xfId="31995" xr:uid="{00000000-0005-0000-0000-00008FA10000}"/>
    <cellStyle name="Normal 419 4 4" xfId="25301" xr:uid="{00000000-0005-0000-0000-000090A10000}"/>
    <cellStyle name="Normal 419 5" xfId="7347" xr:uid="{00000000-0005-0000-0000-000091A10000}"/>
    <cellStyle name="Normal 419 5 2" xfId="10335" xr:uid="{00000000-0005-0000-0000-000092A10000}"/>
    <cellStyle name="Normal 419 5 2 2" xfId="18128" xr:uid="{00000000-0005-0000-0000-000093A10000}"/>
    <cellStyle name="Normal 419 5 2 2 2" xfId="35765" xr:uid="{00000000-0005-0000-0000-000094A10000}"/>
    <cellStyle name="Normal 419 5 2 3" xfId="28702" xr:uid="{00000000-0005-0000-0000-000095A10000}"/>
    <cellStyle name="Normal 419 5 3" xfId="15135" xr:uid="{00000000-0005-0000-0000-000096A10000}"/>
    <cellStyle name="Normal 419 5 3 2" xfId="32770" xr:uid="{00000000-0005-0000-0000-000097A10000}"/>
    <cellStyle name="Normal 419 5 4" xfId="25839" xr:uid="{00000000-0005-0000-0000-000098A10000}"/>
    <cellStyle name="Normal 419 6" xfId="7946" xr:uid="{00000000-0005-0000-0000-000099A10000}"/>
    <cellStyle name="Normal 419 6 2" xfId="15743" xr:uid="{00000000-0005-0000-0000-00009AA10000}"/>
    <cellStyle name="Normal 419 6 2 2" xfId="33378" xr:uid="{00000000-0005-0000-0000-00009BA10000}"/>
    <cellStyle name="Normal 419 6 3" xfId="26362" xr:uid="{00000000-0005-0000-0000-00009CA10000}"/>
    <cellStyle name="Normal 419 7" xfId="11905" xr:uid="{00000000-0005-0000-0000-00009DA10000}"/>
    <cellStyle name="Normal 419 7 2" xfId="29588" xr:uid="{00000000-0005-0000-0000-00009EA10000}"/>
    <cellStyle name="Normal 419 8" xfId="23497" xr:uid="{00000000-0005-0000-0000-00009FA10000}"/>
    <cellStyle name="Normal 419 9" xfId="52409" xr:uid="{00000000-0005-0000-0000-0000A0A10000}"/>
    <cellStyle name="Normal 42" xfId="2771" xr:uid="{00000000-0005-0000-0000-0000A1A10000}"/>
    <cellStyle name="Normal 42 2" xfId="4783" xr:uid="{00000000-0005-0000-0000-0000A2A10000}"/>
    <cellStyle name="Normal 42 2 2" xfId="22782" xr:uid="{00000000-0005-0000-0000-0000A3A10000}"/>
    <cellStyle name="Normal 42 2 2 2" xfId="38989" xr:uid="{00000000-0005-0000-0000-0000A4A10000}"/>
    <cellStyle name="Normal 42 3" xfId="22998" xr:uid="{00000000-0005-0000-0000-0000A5A10000}"/>
    <cellStyle name="Normal 42 4" xfId="22573" xr:uid="{00000000-0005-0000-0000-0000A6A10000}"/>
    <cellStyle name="Normal 42 4 2" xfId="38884" xr:uid="{00000000-0005-0000-0000-0000A7A10000}"/>
    <cellStyle name="Normal 42 5" xfId="52410" xr:uid="{00000000-0005-0000-0000-0000A8A10000}"/>
    <cellStyle name="Normal 420" xfId="2772" xr:uid="{00000000-0005-0000-0000-0000A9A10000}"/>
    <cellStyle name="Normal 420 2" xfId="4784" xr:uid="{00000000-0005-0000-0000-0000AAA10000}"/>
    <cellStyle name="Normal 420 2 2" xfId="8629" xr:uid="{00000000-0005-0000-0000-0000ABA10000}"/>
    <cellStyle name="Normal 420 2 2 2" xfId="16425" xr:uid="{00000000-0005-0000-0000-0000ACA10000}"/>
    <cellStyle name="Normal 420 2 2 2 2" xfId="34060" xr:uid="{00000000-0005-0000-0000-0000ADA10000}"/>
    <cellStyle name="Normal 420 2 2 3" xfId="27030" xr:uid="{00000000-0005-0000-0000-0000AEA10000}"/>
    <cellStyle name="Normal 420 2 3" xfId="12921" xr:uid="{00000000-0005-0000-0000-0000AFA10000}"/>
    <cellStyle name="Normal 420 2 3 2" xfId="30571" xr:uid="{00000000-0005-0000-0000-0000B0A10000}"/>
    <cellStyle name="Normal 420 2 4" xfId="24165" xr:uid="{00000000-0005-0000-0000-0000B1A10000}"/>
    <cellStyle name="Normal 420 3" xfId="5942" xr:uid="{00000000-0005-0000-0000-0000B2A10000}"/>
    <cellStyle name="Normal 420 3 2" xfId="9242" xr:uid="{00000000-0005-0000-0000-0000B3A10000}"/>
    <cellStyle name="Normal 420 3 2 2" xfId="17037" xr:uid="{00000000-0005-0000-0000-0000B4A10000}"/>
    <cellStyle name="Normal 420 3 2 2 2" xfId="34673" xr:uid="{00000000-0005-0000-0000-0000B5A10000}"/>
    <cellStyle name="Normal 420 3 2 3" xfId="27630" xr:uid="{00000000-0005-0000-0000-0000B6A10000}"/>
    <cellStyle name="Normal 420 3 3" xfId="13798" xr:uid="{00000000-0005-0000-0000-0000B7A10000}"/>
    <cellStyle name="Normal 420 3 3 2" xfId="31438" xr:uid="{00000000-0005-0000-0000-0000B8A10000}"/>
    <cellStyle name="Normal 420 3 4" xfId="24765" xr:uid="{00000000-0005-0000-0000-0000B9A10000}"/>
    <cellStyle name="Normal 420 4" xfId="6572" xr:uid="{00000000-0005-0000-0000-0000BAA10000}"/>
    <cellStyle name="Normal 420 4 2" xfId="9782" xr:uid="{00000000-0005-0000-0000-0000BBA10000}"/>
    <cellStyle name="Normal 420 4 2 2" xfId="17576" xr:uid="{00000000-0005-0000-0000-0000BCA10000}"/>
    <cellStyle name="Normal 420 4 2 2 2" xfId="35213" xr:uid="{00000000-0005-0000-0000-0000BDA10000}"/>
    <cellStyle name="Normal 420 4 2 3" xfId="28166" xr:uid="{00000000-0005-0000-0000-0000BEA10000}"/>
    <cellStyle name="Normal 420 4 3" xfId="14361" xr:uid="{00000000-0005-0000-0000-0000BFA10000}"/>
    <cellStyle name="Normal 420 4 3 2" xfId="31996" xr:uid="{00000000-0005-0000-0000-0000C0A10000}"/>
    <cellStyle name="Normal 420 4 4" xfId="25302" xr:uid="{00000000-0005-0000-0000-0000C1A10000}"/>
    <cellStyle name="Normal 420 5" xfId="7348" xr:uid="{00000000-0005-0000-0000-0000C2A10000}"/>
    <cellStyle name="Normal 420 5 2" xfId="10336" xr:uid="{00000000-0005-0000-0000-0000C3A10000}"/>
    <cellStyle name="Normal 420 5 2 2" xfId="18129" xr:uid="{00000000-0005-0000-0000-0000C4A10000}"/>
    <cellStyle name="Normal 420 5 2 2 2" xfId="35766" xr:uid="{00000000-0005-0000-0000-0000C5A10000}"/>
    <cellStyle name="Normal 420 5 2 3" xfId="28703" xr:uid="{00000000-0005-0000-0000-0000C6A10000}"/>
    <cellStyle name="Normal 420 5 3" xfId="15136" xr:uid="{00000000-0005-0000-0000-0000C7A10000}"/>
    <cellStyle name="Normal 420 5 3 2" xfId="32771" xr:uid="{00000000-0005-0000-0000-0000C8A10000}"/>
    <cellStyle name="Normal 420 5 4" xfId="25840" xr:uid="{00000000-0005-0000-0000-0000C9A10000}"/>
    <cellStyle name="Normal 420 6" xfId="7947" xr:uid="{00000000-0005-0000-0000-0000CAA10000}"/>
    <cellStyle name="Normal 420 6 2" xfId="15744" xr:uid="{00000000-0005-0000-0000-0000CBA10000}"/>
    <cellStyle name="Normal 420 6 2 2" xfId="33379" xr:uid="{00000000-0005-0000-0000-0000CCA10000}"/>
    <cellStyle name="Normal 420 6 3" xfId="26363" xr:uid="{00000000-0005-0000-0000-0000CDA10000}"/>
    <cellStyle name="Normal 420 7" xfId="11906" xr:uid="{00000000-0005-0000-0000-0000CEA10000}"/>
    <cellStyle name="Normal 420 7 2" xfId="29589" xr:uid="{00000000-0005-0000-0000-0000CFA10000}"/>
    <cellStyle name="Normal 420 8" xfId="23498" xr:uid="{00000000-0005-0000-0000-0000D0A10000}"/>
    <cellStyle name="Normal 420 9" xfId="52411" xr:uid="{00000000-0005-0000-0000-0000D1A10000}"/>
    <cellStyle name="Normal 421" xfId="2773" xr:uid="{00000000-0005-0000-0000-0000D2A10000}"/>
    <cellStyle name="Normal 421 2" xfId="4785" xr:uid="{00000000-0005-0000-0000-0000D3A10000}"/>
    <cellStyle name="Normal 421 2 2" xfId="8630" xr:uid="{00000000-0005-0000-0000-0000D4A10000}"/>
    <cellStyle name="Normal 421 2 2 2" xfId="16426" xr:uid="{00000000-0005-0000-0000-0000D5A10000}"/>
    <cellStyle name="Normal 421 2 2 2 2" xfId="34061" xr:uid="{00000000-0005-0000-0000-0000D6A10000}"/>
    <cellStyle name="Normal 421 2 2 3" xfId="27031" xr:uid="{00000000-0005-0000-0000-0000D7A10000}"/>
    <cellStyle name="Normal 421 2 3" xfId="12922" xr:uid="{00000000-0005-0000-0000-0000D8A10000}"/>
    <cellStyle name="Normal 421 2 3 2" xfId="30572" xr:uid="{00000000-0005-0000-0000-0000D9A10000}"/>
    <cellStyle name="Normal 421 2 4" xfId="24166" xr:uid="{00000000-0005-0000-0000-0000DAA10000}"/>
    <cellStyle name="Normal 421 3" xfId="5943" xr:uid="{00000000-0005-0000-0000-0000DBA10000}"/>
    <cellStyle name="Normal 421 3 2" xfId="9243" xr:uid="{00000000-0005-0000-0000-0000DCA10000}"/>
    <cellStyle name="Normal 421 3 2 2" xfId="17038" xr:uid="{00000000-0005-0000-0000-0000DDA10000}"/>
    <cellStyle name="Normal 421 3 2 2 2" xfId="34674" xr:uid="{00000000-0005-0000-0000-0000DEA10000}"/>
    <cellStyle name="Normal 421 3 2 3" xfId="27631" xr:uid="{00000000-0005-0000-0000-0000DFA10000}"/>
    <cellStyle name="Normal 421 3 3" xfId="13799" xr:uid="{00000000-0005-0000-0000-0000E0A10000}"/>
    <cellStyle name="Normal 421 3 3 2" xfId="31439" xr:uid="{00000000-0005-0000-0000-0000E1A10000}"/>
    <cellStyle name="Normal 421 3 4" xfId="24766" xr:uid="{00000000-0005-0000-0000-0000E2A10000}"/>
    <cellStyle name="Normal 421 4" xfId="6573" xr:uid="{00000000-0005-0000-0000-0000E3A10000}"/>
    <cellStyle name="Normal 421 4 2" xfId="9783" xr:uid="{00000000-0005-0000-0000-0000E4A10000}"/>
    <cellStyle name="Normal 421 4 2 2" xfId="17577" xr:uid="{00000000-0005-0000-0000-0000E5A10000}"/>
    <cellStyle name="Normal 421 4 2 2 2" xfId="35214" xr:uid="{00000000-0005-0000-0000-0000E6A10000}"/>
    <cellStyle name="Normal 421 4 2 3" xfId="28167" xr:uid="{00000000-0005-0000-0000-0000E7A10000}"/>
    <cellStyle name="Normal 421 4 3" xfId="14362" xr:uid="{00000000-0005-0000-0000-0000E8A10000}"/>
    <cellStyle name="Normal 421 4 3 2" xfId="31997" xr:uid="{00000000-0005-0000-0000-0000E9A10000}"/>
    <cellStyle name="Normal 421 4 4" xfId="25303" xr:uid="{00000000-0005-0000-0000-0000EAA10000}"/>
    <cellStyle name="Normal 421 5" xfId="7349" xr:uid="{00000000-0005-0000-0000-0000EBA10000}"/>
    <cellStyle name="Normal 421 5 2" xfId="10337" xr:uid="{00000000-0005-0000-0000-0000ECA10000}"/>
    <cellStyle name="Normal 421 5 2 2" xfId="18130" xr:uid="{00000000-0005-0000-0000-0000EDA10000}"/>
    <cellStyle name="Normal 421 5 2 2 2" xfId="35767" xr:uid="{00000000-0005-0000-0000-0000EEA10000}"/>
    <cellStyle name="Normal 421 5 2 3" xfId="28704" xr:uid="{00000000-0005-0000-0000-0000EFA10000}"/>
    <cellStyle name="Normal 421 5 3" xfId="15137" xr:uid="{00000000-0005-0000-0000-0000F0A10000}"/>
    <cellStyle name="Normal 421 5 3 2" xfId="32772" xr:uid="{00000000-0005-0000-0000-0000F1A10000}"/>
    <cellStyle name="Normal 421 5 4" xfId="25841" xr:uid="{00000000-0005-0000-0000-0000F2A10000}"/>
    <cellStyle name="Normal 421 6" xfId="7948" xr:uid="{00000000-0005-0000-0000-0000F3A10000}"/>
    <cellStyle name="Normal 421 6 2" xfId="15745" xr:uid="{00000000-0005-0000-0000-0000F4A10000}"/>
    <cellStyle name="Normal 421 6 2 2" xfId="33380" xr:uid="{00000000-0005-0000-0000-0000F5A10000}"/>
    <cellStyle name="Normal 421 6 3" xfId="26364" xr:uid="{00000000-0005-0000-0000-0000F6A10000}"/>
    <cellStyle name="Normal 421 7" xfId="11907" xr:uid="{00000000-0005-0000-0000-0000F7A10000}"/>
    <cellStyle name="Normal 421 7 2" xfId="29590" xr:uid="{00000000-0005-0000-0000-0000F8A10000}"/>
    <cellStyle name="Normal 421 8" xfId="23499" xr:uid="{00000000-0005-0000-0000-0000F9A10000}"/>
    <cellStyle name="Normal 421 9" xfId="52412" xr:uid="{00000000-0005-0000-0000-0000FAA10000}"/>
    <cellStyle name="Normal 422" xfId="2774" xr:uid="{00000000-0005-0000-0000-0000FBA10000}"/>
    <cellStyle name="Normal 422 2" xfId="4786" xr:uid="{00000000-0005-0000-0000-0000FCA10000}"/>
    <cellStyle name="Normal 422 2 2" xfId="8631" xr:uid="{00000000-0005-0000-0000-0000FDA10000}"/>
    <cellStyle name="Normal 422 2 2 2" xfId="16427" xr:uid="{00000000-0005-0000-0000-0000FEA10000}"/>
    <cellStyle name="Normal 422 2 2 2 2" xfId="34062" xr:uid="{00000000-0005-0000-0000-0000FFA10000}"/>
    <cellStyle name="Normal 422 2 2 3" xfId="27032" xr:uid="{00000000-0005-0000-0000-000000A20000}"/>
    <cellStyle name="Normal 422 2 3" xfId="12923" xr:uid="{00000000-0005-0000-0000-000001A20000}"/>
    <cellStyle name="Normal 422 2 3 2" xfId="30573" xr:uid="{00000000-0005-0000-0000-000002A20000}"/>
    <cellStyle name="Normal 422 2 4" xfId="24167" xr:uid="{00000000-0005-0000-0000-000003A20000}"/>
    <cellStyle name="Normal 422 3" xfId="5944" xr:uid="{00000000-0005-0000-0000-000004A20000}"/>
    <cellStyle name="Normal 422 3 2" xfId="9244" xr:uid="{00000000-0005-0000-0000-000005A20000}"/>
    <cellStyle name="Normal 422 3 2 2" xfId="17039" xr:uid="{00000000-0005-0000-0000-000006A20000}"/>
    <cellStyle name="Normal 422 3 2 2 2" xfId="34675" xr:uid="{00000000-0005-0000-0000-000007A20000}"/>
    <cellStyle name="Normal 422 3 2 3" xfId="27632" xr:uid="{00000000-0005-0000-0000-000008A20000}"/>
    <cellStyle name="Normal 422 3 3" xfId="13800" xr:uid="{00000000-0005-0000-0000-000009A20000}"/>
    <cellStyle name="Normal 422 3 3 2" xfId="31440" xr:uid="{00000000-0005-0000-0000-00000AA20000}"/>
    <cellStyle name="Normal 422 3 4" xfId="24767" xr:uid="{00000000-0005-0000-0000-00000BA20000}"/>
    <cellStyle name="Normal 422 4" xfId="6574" xr:uid="{00000000-0005-0000-0000-00000CA20000}"/>
    <cellStyle name="Normal 422 4 2" xfId="9784" xr:uid="{00000000-0005-0000-0000-00000DA20000}"/>
    <cellStyle name="Normal 422 4 2 2" xfId="17578" xr:uid="{00000000-0005-0000-0000-00000EA20000}"/>
    <cellStyle name="Normal 422 4 2 2 2" xfId="35215" xr:uid="{00000000-0005-0000-0000-00000FA20000}"/>
    <cellStyle name="Normal 422 4 2 3" xfId="28168" xr:uid="{00000000-0005-0000-0000-000010A20000}"/>
    <cellStyle name="Normal 422 4 3" xfId="14363" xr:uid="{00000000-0005-0000-0000-000011A20000}"/>
    <cellStyle name="Normal 422 4 3 2" xfId="31998" xr:uid="{00000000-0005-0000-0000-000012A20000}"/>
    <cellStyle name="Normal 422 4 4" xfId="25304" xr:uid="{00000000-0005-0000-0000-000013A20000}"/>
    <cellStyle name="Normal 422 5" xfId="7350" xr:uid="{00000000-0005-0000-0000-000014A20000}"/>
    <cellStyle name="Normal 422 5 2" xfId="10338" xr:uid="{00000000-0005-0000-0000-000015A20000}"/>
    <cellStyle name="Normal 422 5 2 2" xfId="18131" xr:uid="{00000000-0005-0000-0000-000016A20000}"/>
    <cellStyle name="Normal 422 5 2 2 2" xfId="35768" xr:uid="{00000000-0005-0000-0000-000017A20000}"/>
    <cellStyle name="Normal 422 5 2 3" xfId="28705" xr:uid="{00000000-0005-0000-0000-000018A20000}"/>
    <cellStyle name="Normal 422 5 3" xfId="15138" xr:uid="{00000000-0005-0000-0000-000019A20000}"/>
    <cellStyle name="Normal 422 5 3 2" xfId="32773" xr:uid="{00000000-0005-0000-0000-00001AA20000}"/>
    <cellStyle name="Normal 422 5 4" xfId="25842" xr:uid="{00000000-0005-0000-0000-00001BA20000}"/>
    <cellStyle name="Normal 422 6" xfId="7949" xr:uid="{00000000-0005-0000-0000-00001CA20000}"/>
    <cellStyle name="Normal 422 6 2" xfId="15746" xr:uid="{00000000-0005-0000-0000-00001DA20000}"/>
    <cellStyle name="Normal 422 6 2 2" xfId="33381" xr:uid="{00000000-0005-0000-0000-00001EA20000}"/>
    <cellStyle name="Normal 422 6 3" xfId="26365" xr:uid="{00000000-0005-0000-0000-00001FA20000}"/>
    <cellStyle name="Normal 422 7" xfId="11908" xr:uid="{00000000-0005-0000-0000-000020A20000}"/>
    <cellStyle name="Normal 422 7 2" xfId="29591" xr:uid="{00000000-0005-0000-0000-000021A20000}"/>
    <cellStyle name="Normal 422 8" xfId="23500" xr:uid="{00000000-0005-0000-0000-000022A20000}"/>
    <cellStyle name="Normal 422 9" xfId="52413" xr:uid="{00000000-0005-0000-0000-000023A20000}"/>
    <cellStyle name="Normal 423" xfId="2775" xr:uid="{00000000-0005-0000-0000-000024A20000}"/>
    <cellStyle name="Normal 423 2" xfId="4787" xr:uid="{00000000-0005-0000-0000-000025A20000}"/>
    <cellStyle name="Normal 423 2 2" xfId="8632" xr:uid="{00000000-0005-0000-0000-000026A20000}"/>
    <cellStyle name="Normal 423 2 2 2" xfId="16428" xr:uid="{00000000-0005-0000-0000-000027A20000}"/>
    <cellStyle name="Normal 423 2 2 2 2" xfId="34063" xr:uid="{00000000-0005-0000-0000-000028A20000}"/>
    <cellStyle name="Normal 423 2 2 3" xfId="27033" xr:uid="{00000000-0005-0000-0000-000029A20000}"/>
    <cellStyle name="Normal 423 2 3" xfId="12924" xr:uid="{00000000-0005-0000-0000-00002AA20000}"/>
    <cellStyle name="Normal 423 2 3 2" xfId="30574" xr:uid="{00000000-0005-0000-0000-00002BA20000}"/>
    <cellStyle name="Normal 423 2 4" xfId="24168" xr:uid="{00000000-0005-0000-0000-00002CA20000}"/>
    <cellStyle name="Normal 423 3" xfId="5945" xr:uid="{00000000-0005-0000-0000-00002DA20000}"/>
    <cellStyle name="Normal 423 3 2" xfId="9245" xr:uid="{00000000-0005-0000-0000-00002EA20000}"/>
    <cellStyle name="Normal 423 3 2 2" xfId="17040" xr:uid="{00000000-0005-0000-0000-00002FA20000}"/>
    <cellStyle name="Normal 423 3 2 2 2" xfId="34676" xr:uid="{00000000-0005-0000-0000-000030A20000}"/>
    <cellStyle name="Normal 423 3 2 3" xfId="27633" xr:uid="{00000000-0005-0000-0000-000031A20000}"/>
    <cellStyle name="Normal 423 3 3" xfId="13801" xr:uid="{00000000-0005-0000-0000-000032A20000}"/>
    <cellStyle name="Normal 423 3 3 2" xfId="31441" xr:uid="{00000000-0005-0000-0000-000033A20000}"/>
    <cellStyle name="Normal 423 3 4" xfId="24768" xr:uid="{00000000-0005-0000-0000-000034A20000}"/>
    <cellStyle name="Normal 423 4" xfId="6575" xr:uid="{00000000-0005-0000-0000-000035A20000}"/>
    <cellStyle name="Normal 423 4 2" xfId="9785" xr:uid="{00000000-0005-0000-0000-000036A20000}"/>
    <cellStyle name="Normal 423 4 2 2" xfId="17579" xr:uid="{00000000-0005-0000-0000-000037A20000}"/>
    <cellStyle name="Normal 423 4 2 2 2" xfId="35216" xr:uid="{00000000-0005-0000-0000-000038A20000}"/>
    <cellStyle name="Normal 423 4 2 3" xfId="28169" xr:uid="{00000000-0005-0000-0000-000039A20000}"/>
    <cellStyle name="Normal 423 4 3" xfId="14364" xr:uid="{00000000-0005-0000-0000-00003AA20000}"/>
    <cellStyle name="Normal 423 4 3 2" xfId="31999" xr:uid="{00000000-0005-0000-0000-00003BA20000}"/>
    <cellStyle name="Normal 423 4 4" xfId="25305" xr:uid="{00000000-0005-0000-0000-00003CA20000}"/>
    <cellStyle name="Normal 423 5" xfId="7351" xr:uid="{00000000-0005-0000-0000-00003DA20000}"/>
    <cellStyle name="Normal 423 5 2" xfId="10339" xr:uid="{00000000-0005-0000-0000-00003EA20000}"/>
    <cellStyle name="Normal 423 5 2 2" xfId="18132" xr:uid="{00000000-0005-0000-0000-00003FA20000}"/>
    <cellStyle name="Normal 423 5 2 2 2" xfId="35769" xr:uid="{00000000-0005-0000-0000-000040A20000}"/>
    <cellStyle name="Normal 423 5 2 3" xfId="28706" xr:uid="{00000000-0005-0000-0000-000041A20000}"/>
    <cellStyle name="Normal 423 5 3" xfId="15139" xr:uid="{00000000-0005-0000-0000-000042A20000}"/>
    <cellStyle name="Normal 423 5 3 2" xfId="32774" xr:uid="{00000000-0005-0000-0000-000043A20000}"/>
    <cellStyle name="Normal 423 5 4" xfId="25843" xr:uid="{00000000-0005-0000-0000-000044A20000}"/>
    <cellStyle name="Normal 423 6" xfId="7950" xr:uid="{00000000-0005-0000-0000-000045A20000}"/>
    <cellStyle name="Normal 423 6 2" xfId="15747" xr:uid="{00000000-0005-0000-0000-000046A20000}"/>
    <cellStyle name="Normal 423 6 2 2" xfId="33382" xr:uid="{00000000-0005-0000-0000-000047A20000}"/>
    <cellStyle name="Normal 423 6 3" xfId="26366" xr:uid="{00000000-0005-0000-0000-000048A20000}"/>
    <cellStyle name="Normal 423 7" xfId="11909" xr:uid="{00000000-0005-0000-0000-000049A20000}"/>
    <cellStyle name="Normal 423 7 2" xfId="29592" xr:uid="{00000000-0005-0000-0000-00004AA20000}"/>
    <cellStyle name="Normal 423 8" xfId="23501" xr:uid="{00000000-0005-0000-0000-00004BA20000}"/>
    <cellStyle name="Normal 423 9" xfId="52414" xr:uid="{00000000-0005-0000-0000-00004CA20000}"/>
    <cellStyle name="Normal 424" xfId="2776" xr:uid="{00000000-0005-0000-0000-00004DA20000}"/>
    <cellStyle name="Normal 424 2" xfId="4788" xr:uid="{00000000-0005-0000-0000-00004EA20000}"/>
    <cellStyle name="Normal 424 2 2" xfId="8633" xr:uid="{00000000-0005-0000-0000-00004FA20000}"/>
    <cellStyle name="Normal 424 2 2 2" xfId="16429" xr:uid="{00000000-0005-0000-0000-000050A20000}"/>
    <cellStyle name="Normal 424 2 2 2 2" xfId="34064" xr:uid="{00000000-0005-0000-0000-000051A20000}"/>
    <cellStyle name="Normal 424 2 2 3" xfId="27034" xr:uid="{00000000-0005-0000-0000-000052A20000}"/>
    <cellStyle name="Normal 424 2 3" xfId="12925" xr:uid="{00000000-0005-0000-0000-000053A20000}"/>
    <cellStyle name="Normal 424 2 3 2" xfId="30575" xr:uid="{00000000-0005-0000-0000-000054A20000}"/>
    <cellStyle name="Normal 424 2 4" xfId="24169" xr:uid="{00000000-0005-0000-0000-000055A20000}"/>
    <cellStyle name="Normal 424 3" xfId="5946" xr:uid="{00000000-0005-0000-0000-000056A20000}"/>
    <cellStyle name="Normal 424 3 2" xfId="9246" xr:uid="{00000000-0005-0000-0000-000057A20000}"/>
    <cellStyle name="Normal 424 3 2 2" xfId="17041" xr:uid="{00000000-0005-0000-0000-000058A20000}"/>
    <cellStyle name="Normal 424 3 2 2 2" xfId="34677" xr:uid="{00000000-0005-0000-0000-000059A20000}"/>
    <cellStyle name="Normal 424 3 2 3" xfId="27634" xr:uid="{00000000-0005-0000-0000-00005AA20000}"/>
    <cellStyle name="Normal 424 3 3" xfId="13802" xr:uid="{00000000-0005-0000-0000-00005BA20000}"/>
    <cellStyle name="Normal 424 3 3 2" xfId="31442" xr:uid="{00000000-0005-0000-0000-00005CA20000}"/>
    <cellStyle name="Normal 424 3 4" xfId="24769" xr:uid="{00000000-0005-0000-0000-00005DA20000}"/>
    <cellStyle name="Normal 424 4" xfId="6576" xr:uid="{00000000-0005-0000-0000-00005EA20000}"/>
    <cellStyle name="Normal 424 4 2" xfId="9786" xr:uid="{00000000-0005-0000-0000-00005FA20000}"/>
    <cellStyle name="Normal 424 4 2 2" xfId="17580" xr:uid="{00000000-0005-0000-0000-000060A20000}"/>
    <cellStyle name="Normal 424 4 2 2 2" xfId="35217" xr:uid="{00000000-0005-0000-0000-000061A20000}"/>
    <cellStyle name="Normal 424 4 2 3" xfId="28170" xr:uid="{00000000-0005-0000-0000-000062A20000}"/>
    <cellStyle name="Normal 424 4 3" xfId="14365" xr:uid="{00000000-0005-0000-0000-000063A20000}"/>
    <cellStyle name="Normal 424 4 3 2" xfId="32000" xr:uid="{00000000-0005-0000-0000-000064A20000}"/>
    <cellStyle name="Normal 424 4 4" xfId="25306" xr:uid="{00000000-0005-0000-0000-000065A20000}"/>
    <cellStyle name="Normal 424 5" xfId="7352" xr:uid="{00000000-0005-0000-0000-000066A20000}"/>
    <cellStyle name="Normal 424 5 2" xfId="10340" xr:uid="{00000000-0005-0000-0000-000067A20000}"/>
    <cellStyle name="Normal 424 5 2 2" xfId="18133" xr:uid="{00000000-0005-0000-0000-000068A20000}"/>
    <cellStyle name="Normal 424 5 2 2 2" xfId="35770" xr:uid="{00000000-0005-0000-0000-000069A20000}"/>
    <cellStyle name="Normal 424 5 2 3" xfId="28707" xr:uid="{00000000-0005-0000-0000-00006AA20000}"/>
    <cellStyle name="Normal 424 5 3" xfId="15140" xr:uid="{00000000-0005-0000-0000-00006BA20000}"/>
    <cellStyle name="Normal 424 5 3 2" xfId="32775" xr:uid="{00000000-0005-0000-0000-00006CA20000}"/>
    <cellStyle name="Normal 424 5 4" xfId="25844" xr:uid="{00000000-0005-0000-0000-00006DA20000}"/>
    <cellStyle name="Normal 424 6" xfId="7951" xr:uid="{00000000-0005-0000-0000-00006EA20000}"/>
    <cellStyle name="Normal 424 6 2" xfId="15748" xr:uid="{00000000-0005-0000-0000-00006FA20000}"/>
    <cellStyle name="Normal 424 6 2 2" xfId="33383" xr:uid="{00000000-0005-0000-0000-000070A20000}"/>
    <cellStyle name="Normal 424 6 3" xfId="26367" xr:uid="{00000000-0005-0000-0000-000071A20000}"/>
    <cellStyle name="Normal 424 7" xfId="11910" xr:uid="{00000000-0005-0000-0000-000072A20000}"/>
    <cellStyle name="Normal 424 7 2" xfId="29593" xr:uid="{00000000-0005-0000-0000-000073A20000}"/>
    <cellStyle name="Normal 424 8" xfId="23502" xr:uid="{00000000-0005-0000-0000-000074A20000}"/>
    <cellStyle name="Normal 424 9" xfId="52415" xr:uid="{00000000-0005-0000-0000-000075A20000}"/>
    <cellStyle name="Normal 425" xfId="2777" xr:uid="{00000000-0005-0000-0000-000076A20000}"/>
    <cellStyle name="Normal 425 2" xfId="4789" xr:uid="{00000000-0005-0000-0000-000077A20000}"/>
    <cellStyle name="Normal 425 2 2" xfId="8634" xr:uid="{00000000-0005-0000-0000-000078A20000}"/>
    <cellStyle name="Normal 425 2 2 2" xfId="16430" xr:uid="{00000000-0005-0000-0000-000079A20000}"/>
    <cellStyle name="Normal 425 2 2 2 2" xfId="34065" xr:uid="{00000000-0005-0000-0000-00007AA20000}"/>
    <cellStyle name="Normal 425 2 2 3" xfId="27035" xr:uid="{00000000-0005-0000-0000-00007BA20000}"/>
    <cellStyle name="Normal 425 2 3" xfId="12926" xr:uid="{00000000-0005-0000-0000-00007CA20000}"/>
    <cellStyle name="Normal 425 2 3 2" xfId="30576" xr:uid="{00000000-0005-0000-0000-00007DA20000}"/>
    <cellStyle name="Normal 425 2 4" xfId="24170" xr:uid="{00000000-0005-0000-0000-00007EA20000}"/>
    <cellStyle name="Normal 425 3" xfId="5947" xr:uid="{00000000-0005-0000-0000-00007FA20000}"/>
    <cellStyle name="Normal 425 3 2" xfId="9247" xr:uid="{00000000-0005-0000-0000-000080A20000}"/>
    <cellStyle name="Normal 425 3 2 2" xfId="17042" xr:uid="{00000000-0005-0000-0000-000081A20000}"/>
    <cellStyle name="Normal 425 3 2 2 2" xfId="34678" xr:uid="{00000000-0005-0000-0000-000082A20000}"/>
    <cellStyle name="Normal 425 3 2 3" xfId="27635" xr:uid="{00000000-0005-0000-0000-000083A20000}"/>
    <cellStyle name="Normal 425 3 3" xfId="13803" xr:uid="{00000000-0005-0000-0000-000084A20000}"/>
    <cellStyle name="Normal 425 3 3 2" xfId="31443" xr:uid="{00000000-0005-0000-0000-000085A20000}"/>
    <cellStyle name="Normal 425 3 4" xfId="24770" xr:uid="{00000000-0005-0000-0000-000086A20000}"/>
    <cellStyle name="Normal 425 4" xfId="6577" xr:uid="{00000000-0005-0000-0000-000087A20000}"/>
    <cellStyle name="Normal 425 4 2" xfId="9787" xr:uid="{00000000-0005-0000-0000-000088A20000}"/>
    <cellStyle name="Normal 425 4 2 2" xfId="17581" xr:uid="{00000000-0005-0000-0000-000089A20000}"/>
    <cellStyle name="Normal 425 4 2 2 2" xfId="35218" xr:uid="{00000000-0005-0000-0000-00008AA20000}"/>
    <cellStyle name="Normal 425 4 2 3" xfId="28171" xr:uid="{00000000-0005-0000-0000-00008BA20000}"/>
    <cellStyle name="Normal 425 4 3" xfId="14366" xr:uid="{00000000-0005-0000-0000-00008CA20000}"/>
    <cellStyle name="Normal 425 4 3 2" xfId="32001" xr:uid="{00000000-0005-0000-0000-00008DA20000}"/>
    <cellStyle name="Normal 425 4 4" xfId="25307" xr:uid="{00000000-0005-0000-0000-00008EA20000}"/>
    <cellStyle name="Normal 425 5" xfId="7353" xr:uid="{00000000-0005-0000-0000-00008FA20000}"/>
    <cellStyle name="Normal 425 5 2" xfId="10341" xr:uid="{00000000-0005-0000-0000-000090A20000}"/>
    <cellStyle name="Normal 425 5 2 2" xfId="18134" xr:uid="{00000000-0005-0000-0000-000091A20000}"/>
    <cellStyle name="Normal 425 5 2 2 2" xfId="35771" xr:uid="{00000000-0005-0000-0000-000092A20000}"/>
    <cellStyle name="Normal 425 5 2 3" xfId="28708" xr:uid="{00000000-0005-0000-0000-000093A20000}"/>
    <cellStyle name="Normal 425 5 3" xfId="15141" xr:uid="{00000000-0005-0000-0000-000094A20000}"/>
    <cellStyle name="Normal 425 5 3 2" xfId="32776" xr:uid="{00000000-0005-0000-0000-000095A20000}"/>
    <cellStyle name="Normal 425 5 4" xfId="25845" xr:uid="{00000000-0005-0000-0000-000096A20000}"/>
    <cellStyle name="Normal 425 6" xfId="7952" xr:uid="{00000000-0005-0000-0000-000097A20000}"/>
    <cellStyle name="Normal 425 6 2" xfId="15749" xr:uid="{00000000-0005-0000-0000-000098A20000}"/>
    <cellStyle name="Normal 425 6 2 2" xfId="33384" xr:uid="{00000000-0005-0000-0000-000099A20000}"/>
    <cellStyle name="Normal 425 6 3" xfId="26368" xr:uid="{00000000-0005-0000-0000-00009AA20000}"/>
    <cellStyle name="Normal 425 7" xfId="11911" xr:uid="{00000000-0005-0000-0000-00009BA20000}"/>
    <cellStyle name="Normal 425 7 2" xfId="29594" xr:uid="{00000000-0005-0000-0000-00009CA20000}"/>
    <cellStyle name="Normal 425 8" xfId="23503" xr:uid="{00000000-0005-0000-0000-00009DA20000}"/>
    <cellStyle name="Normal 425 9" xfId="52416" xr:uid="{00000000-0005-0000-0000-00009EA20000}"/>
    <cellStyle name="Normal 426" xfId="2778" xr:uid="{00000000-0005-0000-0000-00009FA20000}"/>
    <cellStyle name="Normal 426 2" xfId="4790" xr:uid="{00000000-0005-0000-0000-0000A0A20000}"/>
    <cellStyle name="Normal 426 2 2" xfId="8635" xr:uid="{00000000-0005-0000-0000-0000A1A20000}"/>
    <cellStyle name="Normal 426 2 2 2" xfId="16431" xr:uid="{00000000-0005-0000-0000-0000A2A20000}"/>
    <cellStyle name="Normal 426 2 2 2 2" xfId="34066" xr:uid="{00000000-0005-0000-0000-0000A3A20000}"/>
    <cellStyle name="Normal 426 2 2 3" xfId="27036" xr:uid="{00000000-0005-0000-0000-0000A4A20000}"/>
    <cellStyle name="Normal 426 2 3" xfId="12927" xr:uid="{00000000-0005-0000-0000-0000A5A20000}"/>
    <cellStyle name="Normal 426 2 3 2" xfId="30577" xr:uid="{00000000-0005-0000-0000-0000A6A20000}"/>
    <cellStyle name="Normal 426 2 4" xfId="24171" xr:uid="{00000000-0005-0000-0000-0000A7A20000}"/>
    <cellStyle name="Normal 426 3" xfId="5948" xr:uid="{00000000-0005-0000-0000-0000A8A20000}"/>
    <cellStyle name="Normal 426 3 2" xfId="9248" xr:uid="{00000000-0005-0000-0000-0000A9A20000}"/>
    <cellStyle name="Normal 426 3 2 2" xfId="17043" xr:uid="{00000000-0005-0000-0000-0000AAA20000}"/>
    <cellStyle name="Normal 426 3 2 2 2" xfId="34679" xr:uid="{00000000-0005-0000-0000-0000ABA20000}"/>
    <cellStyle name="Normal 426 3 2 3" xfId="27636" xr:uid="{00000000-0005-0000-0000-0000ACA20000}"/>
    <cellStyle name="Normal 426 3 3" xfId="13804" xr:uid="{00000000-0005-0000-0000-0000ADA20000}"/>
    <cellStyle name="Normal 426 3 3 2" xfId="31444" xr:uid="{00000000-0005-0000-0000-0000AEA20000}"/>
    <cellStyle name="Normal 426 3 4" xfId="24771" xr:uid="{00000000-0005-0000-0000-0000AFA20000}"/>
    <cellStyle name="Normal 426 4" xfId="6578" xr:uid="{00000000-0005-0000-0000-0000B0A20000}"/>
    <cellStyle name="Normal 426 4 2" xfId="9788" xr:uid="{00000000-0005-0000-0000-0000B1A20000}"/>
    <cellStyle name="Normal 426 4 2 2" xfId="17582" xr:uid="{00000000-0005-0000-0000-0000B2A20000}"/>
    <cellStyle name="Normal 426 4 2 2 2" xfId="35219" xr:uid="{00000000-0005-0000-0000-0000B3A20000}"/>
    <cellStyle name="Normal 426 4 2 3" xfId="28172" xr:uid="{00000000-0005-0000-0000-0000B4A20000}"/>
    <cellStyle name="Normal 426 4 3" xfId="14367" xr:uid="{00000000-0005-0000-0000-0000B5A20000}"/>
    <cellStyle name="Normal 426 4 3 2" xfId="32002" xr:uid="{00000000-0005-0000-0000-0000B6A20000}"/>
    <cellStyle name="Normal 426 4 4" xfId="25308" xr:uid="{00000000-0005-0000-0000-0000B7A20000}"/>
    <cellStyle name="Normal 426 5" xfId="7354" xr:uid="{00000000-0005-0000-0000-0000B8A20000}"/>
    <cellStyle name="Normal 426 5 2" xfId="10342" xr:uid="{00000000-0005-0000-0000-0000B9A20000}"/>
    <cellStyle name="Normal 426 5 2 2" xfId="18135" xr:uid="{00000000-0005-0000-0000-0000BAA20000}"/>
    <cellStyle name="Normal 426 5 2 2 2" xfId="35772" xr:uid="{00000000-0005-0000-0000-0000BBA20000}"/>
    <cellStyle name="Normal 426 5 2 3" xfId="28709" xr:uid="{00000000-0005-0000-0000-0000BCA20000}"/>
    <cellStyle name="Normal 426 5 3" xfId="15142" xr:uid="{00000000-0005-0000-0000-0000BDA20000}"/>
    <cellStyle name="Normal 426 5 3 2" xfId="32777" xr:uid="{00000000-0005-0000-0000-0000BEA20000}"/>
    <cellStyle name="Normal 426 5 4" xfId="25846" xr:uid="{00000000-0005-0000-0000-0000BFA20000}"/>
    <cellStyle name="Normal 426 6" xfId="7953" xr:uid="{00000000-0005-0000-0000-0000C0A20000}"/>
    <cellStyle name="Normal 426 6 2" xfId="15750" xr:uid="{00000000-0005-0000-0000-0000C1A20000}"/>
    <cellStyle name="Normal 426 6 2 2" xfId="33385" xr:uid="{00000000-0005-0000-0000-0000C2A20000}"/>
    <cellStyle name="Normal 426 6 3" xfId="26369" xr:uid="{00000000-0005-0000-0000-0000C3A20000}"/>
    <cellStyle name="Normal 426 7" xfId="11912" xr:uid="{00000000-0005-0000-0000-0000C4A20000}"/>
    <cellStyle name="Normal 426 7 2" xfId="29595" xr:uid="{00000000-0005-0000-0000-0000C5A20000}"/>
    <cellStyle name="Normal 426 8" xfId="23504" xr:uid="{00000000-0005-0000-0000-0000C6A20000}"/>
    <cellStyle name="Normal 426 9" xfId="52417" xr:uid="{00000000-0005-0000-0000-0000C7A20000}"/>
    <cellStyle name="Normal 427" xfId="2779" xr:uid="{00000000-0005-0000-0000-0000C8A20000}"/>
    <cellStyle name="Normal 427 2" xfId="4791" xr:uid="{00000000-0005-0000-0000-0000C9A20000}"/>
    <cellStyle name="Normal 427 2 2" xfId="8636" xr:uid="{00000000-0005-0000-0000-0000CAA20000}"/>
    <cellStyle name="Normal 427 2 2 2" xfId="16432" xr:uid="{00000000-0005-0000-0000-0000CBA20000}"/>
    <cellStyle name="Normal 427 2 2 2 2" xfId="34067" xr:uid="{00000000-0005-0000-0000-0000CCA20000}"/>
    <cellStyle name="Normal 427 2 2 3" xfId="27037" xr:uid="{00000000-0005-0000-0000-0000CDA20000}"/>
    <cellStyle name="Normal 427 2 3" xfId="12928" xr:uid="{00000000-0005-0000-0000-0000CEA20000}"/>
    <cellStyle name="Normal 427 2 3 2" xfId="30578" xr:uid="{00000000-0005-0000-0000-0000CFA20000}"/>
    <cellStyle name="Normal 427 2 4" xfId="24172" xr:uid="{00000000-0005-0000-0000-0000D0A20000}"/>
    <cellStyle name="Normal 427 3" xfId="5949" xr:uid="{00000000-0005-0000-0000-0000D1A20000}"/>
    <cellStyle name="Normal 427 3 2" xfId="9249" xr:uid="{00000000-0005-0000-0000-0000D2A20000}"/>
    <cellStyle name="Normal 427 3 2 2" xfId="17044" xr:uid="{00000000-0005-0000-0000-0000D3A20000}"/>
    <cellStyle name="Normal 427 3 2 2 2" xfId="34680" xr:uid="{00000000-0005-0000-0000-0000D4A20000}"/>
    <cellStyle name="Normal 427 3 2 3" xfId="27637" xr:uid="{00000000-0005-0000-0000-0000D5A20000}"/>
    <cellStyle name="Normal 427 3 3" xfId="13805" xr:uid="{00000000-0005-0000-0000-0000D6A20000}"/>
    <cellStyle name="Normal 427 3 3 2" xfId="31445" xr:uid="{00000000-0005-0000-0000-0000D7A20000}"/>
    <cellStyle name="Normal 427 3 4" xfId="24772" xr:uid="{00000000-0005-0000-0000-0000D8A20000}"/>
    <cellStyle name="Normal 427 4" xfId="6579" xr:uid="{00000000-0005-0000-0000-0000D9A20000}"/>
    <cellStyle name="Normal 427 4 2" xfId="9789" xr:uid="{00000000-0005-0000-0000-0000DAA20000}"/>
    <cellStyle name="Normal 427 4 2 2" xfId="17583" xr:uid="{00000000-0005-0000-0000-0000DBA20000}"/>
    <cellStyle name="Normal 427 4 2 2 2" xfId="35220" xr:uid="{00000000-0005-0000-0000-0000DCA20000}"/>
    <cellStyle name="Normal 427 4 2 3" xfId="28173" xr:uid="{00000000-0005-0000-0000-0000DDA20000}"/>
    <cellStyle name="Normal 427 4 3" xfId="14368" xr:uid="{00000000-0005-0000-0000-0000DEA20000}"/>
    <cellStyle name="Normal 427 4 3 2" xfId="32003" xr:uid="{00000000-0005-0000-0000-0000DFA20000}"/>
    <cellStyle name="Normal 427 4 4" xfId="25309" xr:uid="{00000000-0005-0000-0000-0000E0A20000}"/>
    <cellStyle name="Normal 427 5" xfId="7355" xr:uid="{00000000-0005-0000-0000-0000E1A20000}"/>
    <cellStyle name="Normal 427 5 2" xfId="10343" xr:uid="{00000000-0005-0000-0000-0000E2A20000}"/>
    <cellStyle name="Normal 427 5 2 2" xfId="18136" xr:uid="{00000000-0005-0000-0000-0000E3A20000}"/>
    <cellStyle name="Normal 427 5 2 2 2" xfId="35773" xr:uid="{00000000-0005-0000-0000-0000E4A20000}"/>
    <cellStyle name="Normal 427 5 2 3" xfId="28710" xr:uid="{00000000-0005-0000-0000-0000E5A20000}"/>
    <cellStyle name="Normal 427 5 3" xfId="15143" xr:uid="{00000000-0005-0000-0000-0000E6A20000}"/>
    <cellStyle name="Normal 427 5 3 2" xfId="32778" xr:uid="{00000000-0005-0000-0000-0000E7A20000}"/>
    <cellStyle name="Normal 427 5 4" xfId="25847" xr:uid="{00000000-0005-0000-0000-0000E8A20000}"/>
    <cellStyle name="Normal 427 6" xfId="7954" xr:uid="{00000000-0005-0000-0000-0000E9A20000}"/>
    <cellStyle name="Normal 427 6 2" xfId="15751" xr:uid="{00000000-0005-0000-0000-0000EAA20000}"/>
    <cellStyle name="Normal 427 6 2 2" xfId="33386" xr:uid="{00000000-0005-0000-0000-0000EBA20000}"/>
    <cellStyle name="Normal 427 6 3" xfId="26370" xr:uid="{00000000-0005-0000-0000-0000ECA20000}"/>
    <cellStyle name="Normal 427 7" xfId="11913" xr:uid="{00000000-0005-0000-0000-0000EDA20000}"/>
    <cellStyle name="Normal 427 7 2" xfId="29596" xr:uid="{00000000-0005-0000-0000-0000EEA20000}"/>
    <cellStyle name="Normal 427 8" xfId="23505" xr:uid="{00000000-0005-0000-0000-0000EFA20000}"/>
    <cellStyle name="Normal 427 9" xfId="52418" xr:uid="{00000000-0005-0000-0000-0000F0A20000}"/>
    <cellStyle name="Normal 428" xfId="2780" xr:uid="{00000000-0005-0000-0000-0000F1A20000}"/>
    <cellStyle name="Normal 428 2" xfId="4792" xr:uid="{00000000-0005-0000-0000-0000F2A20000}"/>
    <cellStyle name="Normal 428 2 2" xfId="8637" xr:uid="{00000000-0005-0000-0000-0000F3A20000}"/>
    <cellStyle name="Normal 428 2 2 2" xfId="16433" xr:uid="{00000000-0005-0000-0000-0000F4A20000}"/>
    <cellStyle name="Normal 428 2 2 2 2" xfId="34068" xr:uid="{00000000-0005-0000-0000-0000F5A20000}"/>
    <cellStyle name="Normal 428 2 2 3" xfId="27038" xr:uid="{00000000-0005-0000-0000-0000F6A20000}"/>
    <cellStyle name="Normal 428 2 3" xfId="12929" xr:uid="{00000000-0005-0000-0000-0000F7A20000}"/>
    <cellStyle name="Normal 428 2 3 2" xfId="30579" xr:uid="{00000000-0005-0000-0000-0000F8A20000}"/>
    <cellStyle name="Normal 428 2 4" xfId="24173" xr:uid="{00000000-0005-0000-0000-0000F9A20000}"/>
    <cellStyle name="Normal 428 3" xfId="5950" xr:uid="{00000000-0005-0000-0000-0000FAA20000}"/>
    <cellStyle name="Normal 428 3 2" xfId="9250" xr:uid="{00000000-0005-0000-0000-0000FBA20000}"/>
    <cellStyle name="Normal 428 3 2 2" xfId="17045" xr:uid="{00000000-0005-0000-0000-0000FCA20000}"/>
    <cellStyle name="Normal 428 3 2 2 2" xfId="34681" xr:uid="{00000000-0005-0000-0000-0000FDA20000}"/>
    <cellStyle name="Normal 428 3 2 3" xfId="27638" xr:uid="{00000000-0005-0000-0000-0000FEA20000}"/>
    <cellStyle name="Normal 428 3 3" xfId="13806" xr:uid="{00000000-0005-0000-0000-0000FFA20000}"/>
    <cellStyle name="Normal 428 3 3 2" xfId="31446" xr:uid="{00000000-0005-0000-0000-000000A30000}"/>
    <cellStyle name="Normal 428 3 4" xfId="24773" xr:uid="{00000000-0005-0000-0000-000001A30000}"/>
    <cellStyle name="Normal 428 4" xfId="6580" xr:uid="{00000000-0005-0000-0000-000002A30000}"/>
    <cellStyle name="Normal 428 4 2" xfId="9790" xr:uid="{00000000-0005-0000-0000-000003A30000}"/>
    <cellStyle name="Normal 428 4 2 2" xfId="17584" xr:uid="{00000000-0005-0000-0000-000004A30000}"/>
    <cellStyle name="Normal 428 4 2 2 2" xfId="35221" xr:uid="{00000000-0005-0000-0000-000005A30000}"/>
    <cellStyle name="Normal 428 4 2 3" xfId="28174" xr:uid="{00000000-0005-0000-0000-000006A30000}"/>
    <cellStyle name="Normal 428 4 3" xfId="14369" xr:uid="{00000000-0005-0000-0000-000007A30000}"/>
    <cellStyle name="Normal 428 4 3 2" xfId="32004" xr:uid="{00000000-0005-0000-0000-000008A30000}"/>
    <cellStyle name="Normal 428 4 4" xfId="25310" xr:uid="{00000000-0005-0000-0000-000009A30000}"/>
    <cellStyle name="Normal 428 5" xfId="7356" xr:uid="{00000000-0005-0000-0000-00000AA30000}"/>
    <cellStyle name="Normal 428 5 2" xfId="10344" xr:uid="{00000000-0005-0000-0000-00000BA30000}"/>
    <cellStyle name="Normal 428 5 2 2" xfId="18137" xr:uid="{00000000-0005-0000-0000-00000CA30000}"/>
    <cellStyle name="Normal 428 5 2 2 2" xfId="35774" xr:uid="{00000000-0005-0000-0000-00000DA30000}"/>
    <cellStyle name="Normal 428 5 2 3" xfId="28711" xr:uid="{00000000-0005-0000-0000-00000EA30000}"/>
    <cellStyle name="Normal 428 5 3" xfId="15144" xr:uid="{00000000-0005-0000-0000-00000FA30000}"/>
    <cellStyle name="Normal 428 5 3 2" xfId="32779" xr:uid="{00000000-0005-0000-0000-000010A30000}"/>
    <cellStyle name="Normal 428 5 4" xfId="25848" xr:uid="{00000000-0005-0000-0000-000011A30000}"/>
    <cellStyle name="Normal 428 6" xfId="7955" xr:uid="{00000000-0005-0000-0000-000012A30000}"/>
    <cellStyle name="Normal 428 6 2" xfId="15752" xr:uid="{00000000-0005-0000-0000-000013A30000}"/>
    <cellStyle name="Normal 428 6 2 2" xfId="33387" xr:uid="{00000000-0005-0000-0000-000014A30000}"/>
    <cellStyle name="Normal 428 6 3" xfId="26371" xr:uid="{00000000-0005-0000-0000-000015A30000}"/>
    <cellStyle name="Normal 428 7" xfId="11914" xr:uid="{00000000-0005-0000-0000-000016A30000}"/>
    <cellStyle name="Normal 428 7 2" xfId="29597" xr:uid="{00000000-0005-0000-0000-000017A30000}"/>
    <cellStyle name="Normal 428 8" xfId="23506" xr:uid="{00000000-0005-0000-0000-000018A30000}"/>
    <cellStyle name="Normal 428 9" xfId="52419" xr:uid="{00000000-0005-0000-0000-000019A30000}"/>
    <cellStyle name="Normal 429" xfId="2781" xr:uid="{00000000-0005-0000-0000-00001AA30000}"/>
    <cellStyle name="Normal 429 2" xfId="2782" xr:uid="{00000000-0005-0000-0000-00001BA30000}"/>
    <cellStyle name="Normal 429 2 2" xfId="4794" xr:uid="{00000000-0005-0000-0000-00001CA30000}"/>
    <cellStyle name="Normal 429 2 3" xfId="52421" xr:uid="{00000000-0005-0000-0000-00001DA30000}"/>
    <cellStyle name="Normal 429 3" xfId="2783" xr:uid="{00000000-0005-0000-0000-00001EA30000}"/>
    <cellStyle name="Normal 429 3 2" xfId="4795" xr:uid="{00000000-0005-0000-0000-00001FA30000}"/>
    <cellStyle name="Normal 429 4" xfId="4793" xr:uid="{00000000-0005-0000-0000-000020A30000}"/>
    <cellStyle name="Normal 429 5" xfId="52420" xr:uid="{00000000-0005-0000-0000-000021A30000}"/>
    <cellStyle name="Normal 43" xfId="2784" xr:uid="{00000000-0005-0000-0000-000022A30000}"/>
    <cellStyle name="Normal 43 2" xfId="4796" xr:uid="{00000000-0005-0000-0000-000023A30000}"/>
    <cellStyle name="Normal 43 2 2" xfId="22783" xr:uid="{00000000-0005-0000-0000-000024A30000}"/>
    <cellStyle name="Normal 43 2 2 2" xfId="38990" xr:uid="{00000000-0005-0000-0000-000025A30000}"/>
    <cellStyle name="Normal 43 3" xfId="22999" xr:uid="{00000000-0005-0000-0000-000026A30000}"/>
    <cellStyle name="Normal 43 4" xfId="22574" xr:uid="{00000000-0005-0000-0000-000027A30000}"/>
    <cellStyle name="Normal 43 4 2" xfId="38885" xr:uid="{00000000-0005-0000-0000-000028A30000}"/>
    <cellStyle name="Normal 43 5" xfId="52422" xr:uid="{00000000-0005-0000-0000-000029A30000}"/>
    <cellStyle name="Normal 430" xfId="2785" xr:uid="{00000000-0005-0000-0000-00002AA30000}"/>
    <cellStyle name="Normal 430 10" xfId="52423" xr:uid="{00000000-0005-0000-0000-00002BA30000}"/>
    <cellStyle name="Normal 430 2" xfId="2786" xr:uid="{00000000-0005-0000-0000-00002CA30000}"/>
    <cellStyle name="Normal 430 2 2" xfId="4798" xr:uid="{00000000-0005-0000-0000-00002DA30000}"/>
    <cellStyle name="Normal 430 2 3" xfId="52424" xr:uid="{00000000-0005-0000-0000-00002EA30000}"/>
    <cellStyle name="Normal 430 3" xfId="4797" xr:uid="{00000000-0005-0000-0000-00002FA30000}"/>
    <cellStyle name="Normal 430 3 2" xfId="8638" xr:uid="{00000000-0005-0000-0000-000030A30000}"/>
    <cellStyle name="Normal 430 3 2 2" xfId="16434" xr:uid="{00000000-0005-0000-0000-000031A30000}"/>
    <cellStyle name="Normal 430 3 2 2 2" xfId="34069" xr:uid="{00000000-0005-0000-0000-000032A30000}"/>
    <cellStyle name="Normal 430 3 2 3" xfId="27039" xr:uid="{00000000-0005-0000-0000-000033A30000}"/>
    <cellStyle name="Normal 430 3 3" xfId="12932" xr:uid="{00000000-0005-0000-0000-000034A30000}"/>
    <cellStyle name="Normal 430 3 3 2" xfId="30582" xr:uid="{00000000-0005-0000-0000-000035A30000}"/>
    <cellStyle name="Normal 430 3 4" xfId="24174" xr:uid="{00000000-0005-0000-0000-000036A30000}"/>
    <cellStyle name="Normal 430 4" xfId="5951" xr:uid="{00000000-0005-0000-0000-000037A30000}"/>
    <cellStyle name="Normal 430 4 2" xfId="9251" xr:uid="{00000000-0005-0000-0000-000038A30000}"/>
    <cellStyle name="Normal 430 4 2 2" xfId="17046" xr:uid="{00000000-0005-0000-0000-000039A30000}"/>
    <cellStyle name="Normal 430 4 2 2 2" xfId="34682" xr:uid="{00000000-0005-0000-0000-00003AA30000}"/>
    <cellStyle name="Normal 430 4 2 3" xfId="27639" xr:uid="{00000000-0005-0000-0000-00003BA30000}"/>
    <cellStyle name="Normal 430 4 3" xfId="13807" xr:uid="{00000000-0005-0000-0000-00003CA30000}"/>
    <cellStyle name="Normal 430 4 3 2" xfId="31447" xr:uid="{00000000-0005-0000-0000-00003DA30000}"/>
    <cellStyle name="Normal 430 4 4" xfId="24774" xr:uid="{00000000-0005-0000-0000-00003EA30000}"/>
    <cellStyle name="Normal 430 5" xfId="6581" xr:uid="{00000000-0005-0000-0000-00003FA30000}"/>
    <cellStyle name="Normal 430 5 2" xfId="9791" xr:uid="{00000000-0005-0000-0000-000040A30000}"/>
    <cellStyle name="Normal 430 5 2 2" xfId="17585" xr:uid="{00000000-0005-0000-0000-000041A30000}"/>
    <cellStyle name="Normal 430 5 2 2 2" xfId="35222" xr:uid="{00000000-0005-0000-0000-000042A30000}"/>
    <cellStyle name="Normal 430 5 2 3" xfId="28175" xr:uid="{00000000-0005-0000-0000-000043A30000}"/>
    <cellStyle name="Normal 430 5 3" xfId="14370" xr:uid="{00000000-0005-0000-0000-000044A30000}"/>
    <cellStyle name="Normal 430 5 3 2" xfId="32005" xr:uid="{00000000-0005-0000-0000-000045A30000}"/>
    <cellStyle name="Normal 430 5 4" xfId="25311" xr:uid="{00000000-0005-0000-0000-000046A30000}"/>
    <cellStyle name="Normal 430 6" xfId="7357" xr:uid="{00000000-0005-0000-0000-000047A30000}"/>
    <cellStyle name="Normal 430 6 2" xfId="10345" xr:uid="{00000000-0005-0000-0000-000048A30000}"/>
    <cellStyle name="Normal 430 6 2 2" xfId="18138" xr:uid="{00000000-0005-0000-0000-000049A30000}"/>
    <cellStyle name="Normal 430 6 2 2 2" xfId="35775" xr:uid="{00000000-0005-0000-0000-00004AA30000}"/>
    <cellStyle name="Normal 430 6 2 3" xfId="28712" xr:uid="{00000000-0005-0000-0000-00004BA30000}"/>
    <cellStyle name="Normal 430 6 3" xfId="15145" xr:uid="{00000000-0005-0000-0000-00004CA30000}"/>
    <cellStyle name="Normal 430 6 3 2" xfId="32780" xr:uid="{00000000-0005-0000-0000-00004DA30000}"/>
    <cellStyle name="Normal 430 6 4" xfId="25849" xr:uid="{00000000-0005-0000-0000-00004EA30000}"/>
    <cellStyle name="Normal 430 7" xfId="7956" xr:uid="{00000000-0005-0000-0000-00004FA30000}"/>
    <cellStyle name="Normal 430 7 2" xfId="15753" xr:uid="{00000000-0005-0000-0000-000050A30000}"/>
    <cellStyle name="Normal 430 7 2 2" xfId="33388" xr:uid="{00000000-0005-0000-0000-000051A30000}"/>
    <cellStyle name="Normal 430 7 3" xfId="26372" xr:uid="{00000000-0005-0000-0000-000052A30000}"/>
    <cellStyle name="Normal 430 8" xfId="11916" xr:uid="{00000000-0005-0000-0000-000053A30000}"/>
    <cellStyle name="Normal 430 8 2" xfId="29599" xr:uid="{00000000-0005-0000-0000-000054A30000}"/>
    <cellStyle name="Normal 430 9" xfId="23507" xr:uid="{00000000-0005-0000-0000-000055A30000}"/>
    <cellStyle name="Normal 431" xfId="2787" xr:uid="{00000000-0005-0000-0000-000056A30000}"/>
    <cellStyle name="Normal 431 10" xfId="52425" xr:uid="{00000000-0005-0000-0000-000057A30000}"/>
    <cellStyle name="Normal 431 2" xfId="2788" xr:uid="{00000000-0005-0000-0000-000058A30000}"/>
    <cellStyle name="Normal 431 2 2" xfId="4800" xr:uid="{00000000-0005-0000-0000-000059A30000}"/>
    <cellStyle name="Normal 431 2 3" xfId="52426" xr:uid="{00000000-0005-0000-0000-00005AA30000}"/>
    <cellStyle name="Normal 431 3" xfId="4799" xr:uid="{00000000-0005-0000-0000-00005BA30000}"/>
    <cellStyle name="Normal 431 3 2" xfId="8639" xr:uid="{00000000-0005-0000-0000-00005CA30000}"/>
    <cellStyle name="Normal 431 3 2 2" xfId="16435" xr:uid="{00000000-0005-0000-0000-00005DA30000}"/>
    <cellStyle name="Normal 431 3 2 2 2" xfId="34070" xr:uid="{00000000-0005-0000-0000-00005EA30000}"/>
    <cellStyle name="Normal 431 3 2 3" xfId="27040" xr:uid="{00000000-0005-0000-0000-00005FA30000}"/>
    <cellStyle name="Normal 431 3 3" xfId="12933" xr:uid="{00000000-0005-0000-0000-000060A30000}"/>
    <cellStyle name="Normal 431 3 3 2" xfId="30583" xr:uid="{00000000-0005-0000-0000-000061A30000}"/>
    <cellStyle name="Normal 431 3 4" xfId="24175" xr:uid="{00000000-0005-0000-0000-000062A30000}"/>
    <cellStyle name="Normal 431 4" xfId="5952" xr:uid="{00000000-0005-0000-0000-000063A30000}"/>
    <cellStyle name="Normal 431 4 2" xfId="9252" xr:uid="{00000000-0005-0000-0000-000064A30000}"/>
    <cellStyle name="Normal 431 4 2 2" xfId="17047" xr:uid="{00000000-0005-0000-0000-000065A30000}"/>
    <cellStyle name="Normal 431 4 2 2 2" xfId="34683" xr:uid="{00000000-0005-0000-0000-000066A30000}"/>
    <cellStyle name="Normal 431 4 2 3" xfId="27640" xr:uid="{00000000-0005-0000-0000-000067A30000}"/>
    <cellStyle name="Normal 431 4 3" xfId="13808" xr:uid="{00000000-0005-0000-0000-000068A30000}"/>
    <cellStyle name="Normal 431 4 3 2" xfId="31448" xr:uid="{00000000-0005-0000-0000-000069A30000}"/>
    <cellStyle name="Normal 431 4 4" xfId="24775" xr:uid="{00000000-0005-0000-0000-00006AA30000}"/>
    <cellStyle name="Normal 431 5" xfId="6582" xr:uid="{00000000-0005-0000-0000-00006BA30000}"/>
    <cellStyle name="Normal 431 5 2" xfId="9792" xr:uid="{00000000-0005-0000-0000-00006CA30000}"/>
    <cellStyle name="Normal 431 5 2 2" xfId="17586" xr:uid="{00000000-0005-0000-0000-00006DA30000}"/>
    <cellStyle name="Normal 431 5 2 2 2" xfId="35223" xr:uid="{00000000-0005-0000-0000-00006EA30000}"/>
    <cellStyle name="Normal 431 5 2 3" xfId="28176" xr:uid="{00000000-0005-0000-0000-00006FA30000}"/>
    <cellStyle name="Normal 431 5 3" xfId="14371" xr:uid="{00000000-0005-0000-0000-000070A30000}"/>
    <cellStyle name="Normal 431 5 3 2" xfId="32006" xr:uid="{00000000-0005-0000-0000-000071A30000}"/>
    <cellStyle name="Normal 431 5 4" xfId="25312" xr:uid="{00000000-0005-0000-0000-000072A30000}"/>
    <cellStyle name="Normal 431 6" xfId="7358" xr:uid="{00000000-0005-0000-0000-000073A30000}"/>
    <cellStyle name="Normal 431 6 2" xfId="10346" xr:uid="{00000000-0005-0000-0000-000074A30000}"/>
    <cellStyle name="Normal 431 6 2 2" xfId="18139" xr:uid="{00000000-0005-0000-0000-000075A30000}"/>
    <cellStyle name="Normal 431 6 2 2 2" xfId="35776" xr:uid="{00000000-0005-0000-0000-000076A30000}"/>
    <cellStyle name="Normal 431 6 2 3" xfId="28713" xr:uid="{00000000-0005-0000-0000-000077A30000}"/>
    <cellStyle name="Normal 431 6 3" xfId="15146" xr:uid="{00000000-0005-0000-0000-000078A30000}"/>
    <cellStyle name="Normal 431 6 3 2" xfId="32781" xr:uid="{00000000-0005-0000-0000-000079A30000}"/>
    <cellStyle name="Normal 431 6 4" xfId="25850" xr:uid="{00000000-0005-0000-0000-00007AA30000}"/>
    <cellStyle name="Normal 431 7" xfId="7957" xr:uid="{00000000-0005-0000-0000-00007BA30000}"/>
    <cellStyle name="Normal 431 7 2" xfId="15754" xr:uid="{00000000-0005-0000-0000-00007CA30000}"/>
    <cellStyle name="Normal 431 7 2 2" xfId="33389" xr:uid="{00000000-0005-0000-0000-00007DA30000}"/>
    <cellStyle name="Normal 431 7 3" xfId="26373" xr:uid="{00000000-0005-0000-0000-00007EA30000}"/>
    <cellStyle name="Normal 431 8" xfId="11917" xr:uid="{00000000-0005-0000-0000-00007FA30000}"/>
    <cellStyle name="Normal 431 8 2" xfId="29600" xr:uid="{00000000-0005-0000-0000-000080A30000}"/>
    <cellStyle name="Normal 431 9" xfId="23508" xr:uid="{00000000-0005-0000-0000-000081A30000}"/>
    <cellStyle name="Normal 432" xfId="2789" xr:uid="{00000000-0005-0000-0000-000082A30000}"/>
    <cellStyle name="Normal 432 10" xfId="52427" xr:uid="{00000000-0005-0000-0000-000083A30000}"/>
    <cellStyle name="Normal 432 2" xfId="2790" xr:uid="{00000000-0005-0000-0000-000084A30000}"/>
    <cellStyle name="Normal 432 2 2" xfId="4802" xr:uid="{00000000-0005-0000-0000-000085A30000}"/>
    <cellStyle name="Normal 432 2 3" xfId="52428" xr:uid="{00000000-0005-0000-0000-000086A30000}"/>
    <cellStyle name="Normal 432 3" xfId="4801" xr:uid="{00000000-0005-0000-0000-000087A30000}"/>
    <cellStyle name="Normal 432 3 2" xfId="8640" xr:uid="{00000000-0005-0000-0000-000088A30000}"/>
    <cellStyle name="Normal 432 3 2 2" xfId="16436" xr:uid="{00000000-0005-0000-0000-000089A30000}"/>
    <cellStyle name="Normal 432 3 2 2 2" xfId="34071" xr:uid="{00000000-0005-0000-0000-00008AA30000}"/>
    <cellStyle name="Normal 432 3 2 3" xfId="27041" xr:uid="{00000000-0005-0000-0000-00008BA30000}"/>
    <cellStyle name="Normal 432 3 3" xfId="12934" xr:uid="{00000000-0005-0000-0000-00008CA30000}"/>
    <cellStyle name="Normal 432 3 3 2" xfId="30584" xr:uid="{00000000-0005-0000-0000-00008DA30000}"/>
    <cellStyle name="Normal 432 3 4" xfId="24176" xr:uid="{00000000-0005-0000-0000-00008EA30000}"/>
    <cellStyle name="Normal 432 4" xfId="5953" xr:uid="{00000000-0005-0000-0000-00008FA30000}"/>
    <cellStyle name="Normal 432 4 2" xfId="9253" xr:uid="{00000000-0005-0000-0000-000090A30000}"/>
    <cellStyle name="Normal 432 4 2 2" xfId="17048" xr:uid="{00000000-0005-0000-0000-000091A30000}"/>
    <cellStyle name="Normal 432 4 2 2 2" xfId="34684" xr:uid="{00000000-0005-0000-0000-000092A30000}"/>
    <cellStyle name="Normal 432 4 2 3" xfId="27641" xr:uid="{00000000-0005-0000-0000-000093A30000}"/>
    <cellStyle name="Normal 432 4 3" xfId="13809" xr:uid="{00000000-0005-0000-0000-000094A30000}"/>
    <cellStyle name="Normal 432 4 3 2" xfId="31449" xr:uid="{00000000-0005-0000-0000-000095A30000}"/>
    <cellStyle name="Normal 432 4 4" xfId="24776" xr:uid="{00000000-0005-0000-0000-000096A30000}"/>
    <cellStyle name="Normal 432 5" xfId="6583" xr:uid="{00000000-0005-0000-0000-000097A30000}"/>
    <cellStyle name="Normal 432 5 2" xfId="9793" xr:uid="{00000000-0005-0000-0000-000098A30000}"/>
    <cellStyle name="Normal 432 5 2 2" xfId="17587" xr:uid="{00000000-0005-0000-0000-000099A30000}"/>
    <cellStyle name="Normal 432 5 2 2 2" xfId="35224" xr:uid="{00000000-0005-0000-0000-00009AA30000}"/>
    <cellStyle name="Normal 432 5 2 3" xfId="28177" xr:uid="{00000000-0005-0000-0000-00009BA30000}"/>
    <cellStyle name="Normal 432 5 3" xfId="14372" xr:uid="{00000000-0005-0000-0000-00009CA30000}"/>
    <cellStyle name="Normal 432 5 3 2" xfId="32007" xr:uid="{00000000-0005-0000-0000-00009DA30000}"/>
    <cellStyle name="Normal 432 5 4" xfId="25313" xr:uid="{00000000-0005-0000-0000-00009EA30000}"/>
    <cellStyle name="Normal 432 6" xfId="7359" xr:uid="{00000000-0005-0000-0000-00009FA30000}"/>
    <cellStyle name="Normal 432 6 2" xfId="10347" xr:uid="{00000000-0005-0000-0000-0000A0A30000}"/>
    <cellStyle name="Normal 432 6 2 2" xfId="18140" xr:uid="{00000000-0005-0000-0000-0000A1A30000}"/>
    <cellStyle name="Normal 432 6 2 2 2" xfId="35777" xr:uid="{00000000-0005-0000-0000-0000A2A30000}"/>
    <cellStyle name="Normal 432 6 2 3" xfId="28714" xr:uid="{00000000-0005-0000-0000-0000A3A30000}"/>
    <cellStyle name="Normal 432 6 3" xfId="15147" xr:uid="{00000000-0005-0000-0000-0000A4A30000}"/>
    <cellStyle name="Normal 432 6 3 2" xfId="32782" xr:uid="{00000000-0005-0000-0000-0000A5A30000}"/>
    <cellStyle name="Normal 432 6 4" xfId="25851" xr:uid="{00000000-0005-0000-0000-0000A6A30000}"/>
    <cellStyle name="Normal 432 7" xfId="7958" xr:uid="{00000000-0005-0000-0000-0000A7A30000}"/>
    <cellStyle name="Normal 432 7 2" xfId="15755" xr:uid="{00000000-0005-0000-0000-0000A8A30000}"/>
    <cellStyle name="Normal 432 7 2 2" xfId="33390" xr:uid="{00000000-0005-0000-0000-0000A9A30000}"/>
    <cellStyle name="Normal 432 7 3" xfId="26374" xr:uid="{00000000-0005-0000-0000-0000AAA30000}"/>
    <cellStyle name="Normal 432 8" xfId="11918" xr:uid="{00000000-0005-0000-0000-0000ABA30000}"/>
    <cellStyle name="Normal 432 8 2" xfId="29601" xr:uid="{00000000-0005-0000-0000-0000ACA30000}"/>
    <cellStyle name="Normal 432 9" xfId="23509" xr:uid="{00000000-0005-0000-0000-0000ADA30000}"/>
    <cellStyle name="Normal 433" xfId="2791" xr:uid="{00000000-0005-0000-0000-0000AEA30000}"/>
    <cellStyle name="Normal 433 10" xfId="52429" xr:uid="{00000000-0005-0000-0000-0000AFA30000}"/>
    <cellStyle name="Normal 433 2" xfId="2792" xr:uid="{00000000-0005-0000-0000-0000B0A30000}"/>
    <cellStyle name="Normal 433 2 2" xfId="4804" xr:uid="{00000000-0005-0000-0000-0000B1A30000}"/>
    <cellStyle name="Normal 433 2 3" xfId="52430" xr:uid="{00000000-0005-0000-0000-0000B2A30000}"/>
    <cellStyle name="Normal 433 3" xfId="4803" xr:uid="{00000000-0005-0000-0000-0000B3A30000}"/>
    <cellStyle name="Normal 433 3 2" xfId="8641" xr:uid="{00000000-0005-0000-0000-0000B4A30000}"/>
    <cellStyle name="Normal 433 3 2 2" xfId="16437" xr:uid="{00000000-0005-0000-0000-0000B5A30000}"/>
    <cellStyle name="Normal 433 3 2 2 2" xfId="34072" xr:uid="{00000000-0005-0000-0000-0000B6A30000}"/>
    <cellStyle name="Normal 433 3 2 3" xfId="27042" xr:uid="{00000000-0005-0000-0000-0000B7A30000}"/>
    <cellStyle name="Normal 433 3 3" xfId="12935" xr:uid="{00000000-0005-0000-0000-0000B8A30000}"/>
    <cellStyle name="Normal 433 3 3 2" xfId="30585" xr:uid="{00000000-0005-0000-0000-0000B9A30000}"/>
    <cellStyle name="Normal 433 3 4" xfId="24177" xr:uid="{00000000-0005-0000-0000-0000BAA30000}"/>
    <cellStyle name="Normal 433 4" xfId="5954" xr:uid="{00000000-0005-0000-0000-0000BBA30000}"/>
    <cellStyle name="Normal 433 4 2" xfId="9254" xr:uid="{00000000-0005-0000-0000-0000BCA30000}"/>
    <cellStyle name="Normal 433 4 2 2" xfId="17049" xr:uid="{00000000-0005-0000-0000-0000BDA30000}"/>
    <cellStyle name="Normal 433 4 2 2 2" xfId="34685" xr:uid="{00000000-0005-0000-0000-0000BEA30000}"/>
    <cellStyle name="Normal 433 4 2 3" xfId="27642" xr:uid="{00000000-0005-0000-0000-0000BFA30000}"/>
    <cellStyle name="Normal 433 4 3" xfId="13810" xr:uid="{00000000-0005-0000-0000-0000C0A30000}"/>
    <cellStyle name="Normal 433 4 3 2" xfId="31450" xr:uid="{00000000-0005-0000-0000-0000C1A30000}"/>
    <cellStyle name="Normal 433 4 4" xfId="24777" xr:uid="{00000000-0005-0000-0000-0000C2A30000}"/>
    <cellStyle name="Normal 433 5" xfId="6584" xr:uid="{00000000-0005-0000-0000-0000C3A30000}"/>
    <cellStyle name="Normal 433 5 2" xfId="9794" xr:uid="{00000000-0005-0000-0000-0000C4A30000}"/>
    <cellStyle name="Normal 433 5 2 2" xfId="17588" xr:uid="{00000000-0005-0000-0000-0000C5A30000}"/>
    <cellStyle name="Normal 433 5 2 2 2" xfId="35225" xr:uid="{00000000-0005-0000-0000-0000C6A30000}"/>
    <cellStyle name="Normal 433 5 2 3" xfId="28178" xr:uid="{00000000-0005-0000-0000-0000C7A30000}"/>
    <cellStyle name="Normal 433 5 3" xfId="14373" xr:uid="{00000000-0005-0000-0000-0000C8A30000}"/>
    <cellStyle name="Normal 433 5 3 2" xfId="32008" xr:uid="{00000000-0005-0000-0000-0000C9A30000}"/>
    <cellStyle name="Normal 433 5 4" xfId="25314" xr:uid="{00000000-0005-0000-0000-0000CAA30000}"/>
    <cellStyle name="Normal 433 6" xfId="7360" xr:uid="{00000000-0005-0000-0000-0000CBA30000}"/>
    <cellStyle name="Normal 433 6 2" xfId="10348" xr:uid="{00000000-0005-0000-0000-0000CCA30000}"/>
    <cellStyle name="Normal 433 6 2 2" xfId="18141" xr:uid="{00000000-0005-0000-0000-0000CDA30000}"/>
    <cellStyle name="Normal 433 6 2 2 2" xfId="35778" xr:uid="{00000000-0005-0000-0000-0000CEA30000}"/>
    <cellStyle name="Normal 433 6 2 3" xfId="28715" xr:uid="{00000000-0005-0000-0000-0000CFA30000}"/>
    <cellStyle name="Normal 433 6 3" xfId="15148" xr:uid="{00000000-0005-0000-0000-0000D0A30000}"/>
    <cellStyle name="Normal 433 6 3 2" xfId="32783" xr:uid="{00000000-0005-0000-0000-0000D1A30000}"/>
    <cellStyle name="Normal 433 6 4" xfId="25852" xr:uid="{00000000-0005-0000-0000-0000D2A30000}"/>
    <cellStyle name="Normal 433 7" xfId="7959" xr:uid="{00000000-0005-0000-0000-0000D3A30000}"/>
    <cellStyle name="Normal 433 7 2" xfId="15756" xr:uid="{00000000-0005-0000-0000-0000D4A30000}"/>
    <cellStyle name="Normal 433 7 2 2" xfId="33391" xr:uid="{00000000-0005-0000-0000-0000D5A30000}"/>
    <cellStyle name="Normal 433 7 3" xfId="26375" xr:uid="{00000000-0005-0000-0000-0000D6A30000}"/>
    <cellStyle name="Normal 433 8" xfId="11919" xr:uid="{00000000-0005-0000-0000-0000D7A30000}"/>
    <cellStyle name="Normal 433 8 2" xfId="29602" xr:uid="{00000000-0005-0000-0000-0000D8A30000}"/>
    <cellStyle name="Normal 433 9" xfId="23510" xr:uid="{00000000-0005-0000-0000-0000D9A30000}"/>
    <cellStyle name="Normal 434" xfId="2793" xr:uid="{00000000-0005-0000-0000-0000DAA30000}"/>
    <cellStyle name="Normal 434 2" xfId="4805" xr:uid="{00000000-0005-0000-0000-0000DBA30000}"/>
    <cellStyle name="Normal 434 2 2" xfId="8642" xr:uid="{00000000-0005-0000-0000-0000DCA30000}"/>
    <cellStyle name="Normal 434 2 2 2" xfId="16438" xr:uid="{00000000-0005-0000-0000-0000DDA30000}"/>
    <cellStyle name="Normal 434 2 2 2 2" xfId="34073" xr:uid="{00000000-0005-0000-0000-0000DEA30000}"/>
    <cellStyle name="Normal 434 2 2 3" xfId="27043" xr:uid="{00000000-0005-0000-0000-0000DFA30000}"/>
    <cellStyle name="Normal 434 2 3" xfId="12936" xr:uid="{00000000-0005-0000-0000-0000E0A30000}"/>
    <cellStyle name="Normal 434 2 3 2" xfId="30586" xr:uid="{00000000-0005-0000-0000-0000E1A30000}"/>
    <cellStyle name="Normal 434 2 4" xfId="24178" xr:uid="{00000000-0005-0000-0000-0000E2A30000}"/>
    <cellStyle name="Normal 434 3" xfId="5955" xr:uid="{00000000-0005-0000-0000-0000E3A30000}"/>
    <cellStyle name="Normal 434 3 2" xfId="9255" xr:uid="{00000000-0005-0000-0000-0000E4A30000}"/>
    <cellStyle name="Normal 434 3 2 2" xfId="17050" xr:uid="{00000000-0005-0000-0000-0000E5A30000}"/>
    <cellStyle name="Normal 434 3 2 2 2" xfId="34686" xr:uid="{00000000-0005-0000-0000-0000E6A30000}"/>
    <cellStyle name="Normal 434 3 2 3" xfId="27643" xr:uid="{00000000-0005-0000-0000-0000E7A30000}"/>
    <cellStyle name="Normal 434 3 3" xfId="13811" xr:uid="{00000000-0005-0000-0000-0000E8A30000}"/>
    <cellStyle name="Normal 434 3 3 2" xfId="31451" xr:uid="{00000000-0005-0000-0000-0000E9A30000}"/>
    <cellStyle name="Normal 434 3 4" xfId="24778" xr:uid="{00000000-0005-0000-0000-0000EAA30000}"/>
    <cellStyle name="Normal 434 4" xfId="6585" xr:uid="{00000000-0005-0000-0000-0000EBA30000}"/>
    <cellStyle name="Normal 434 4 2" xfId="9795" xr:uid="{00000000-0005-0000-0000-0000ECA30000}"/>
    <cellStyle name="Normal 434 4 2 2" xfId="17589" xr:uid="{00000000-0005-0000-0000-0000EDA30000}"/>
    <cellStyle name="Normal 434 4 2 2 2" xfId="35226" xr:uid="{00000000-0005-0000-0000-0000EEA30000}"/>
    <cellStyle name="Normal 434 4 2 3" xfId="28179" xr:uid="{00000000-0005-0000-0000-0000EFA30000}"/>
    <cellStyle name="Normal 434 4 3" xfId="14374" xr:uid="{00000000-0005-0000-0000-0000F0A30000}"/>
    <cellStyle name="Normal 434 4 3 2" xfId="32009" xr:uid="{00000000-0005-0000-0000-0000F1A30000}"/>
    <cellStyle name="Normal 434 4 4" xfId="25315" xr:uid="{00000000-0005-0000-0000-0000F2A30000}"/>
    <cellStyle name="Normal 434 5" xfId="7361" xr:uid="{00000000-0005-0000-0000-0000F3A30000}"/>
    <cellStyle name="Normal 434 5 2" xfId="10349" xr:uid="{00000000-0005-0000-0000-0000F4A30000}"/>
    <cellStyle name="Normal 434 5 2 2" xfId="18142" xr:uid="{00000000-0005-0000-0000-0000F5A30000}"/>
    <cellStyle name="Normal 434 5 2 2 2" xfId="35779" xr:uid="{00000000-0005-0000-0000-0000F6A30000}"/>
    <cellStyle name="Normal 434 5 2 3" xfId="28716" xr:uid="{00000000-0005-0000-0000-0000F7A30000}"/>
    <cellStyle name="Normal 434 5 3" xfId="15149" xr:uid="{00000000-0005-0000-0000-0000F8A30000}"/>
    <cellStyle name="Normal 434 5 3 2" xfId="32784" xr:uid="{00000000-0005-0000-0000-0000F9A30000}"/>
    <cellStyle name="Normal 434 5 4" xfId="25853" xr:uid="{00000000-0005-0000-0000-0000FAA30000}"/>
    <cellStyle name="Normal 434 6" xfId="7960" xr:uid="{00000000-0005-0000-0000-0000FBA30000}"/>
    <cellStyle name="Normal 434 6 2" xfId="15757" xr:uid="{00000000-0005-0000-0000-0000FCA30000}"/>
    <cellStyle name="Normal 434 6 2 2" xfId="33392" xr:uid="{00000000-0005-0000-0000-0000FDA30000}"/>
    <cellStyle name="Normal 434 6 3" xfId="26376" xr:uid="{00000000-0005-0000-0000-0000FEA30000}"/>
    <cellStyle name="Normal 434 7" xfId="11920" xr:uid="{00000000-0005-0000-0000-0000FFA30000}"/>
    <cellStyle name="Normal 434 7 2" xfId="29603" xr:uid="{00000000-0005-0000-0000-000000A40000}"/>
    <cellStyle name="Normal 434 8" xfId="23511" xr:uid="{00000000-0005-0000-0000-000001A40000}"/>
    <cellStyle name="Normal 434 9" xfId="52431" xr:uid="{00000000-0005-0000-0000-000002A40000}"/>
    <cellStyle name="Normal 435" xfId="2794" xr:uid="{00000000-0005-0000-0000-000003A40000}"/>
    <cellStyle name="Normal 435 2" xfId="4807" xr:uid="{00000000-0005-0000-0000-000004A40000}"/>
    <cellStyle name="Normal 435 2 2" xfId="8643" xr:uid="{00000000-0005-0000-0000-000005A40000}"/>
    <cellStyle name="Normal 435 2 2 2" xfId="16439" xr:uid="{00000000-0005-0000-0000-000006A40000}"/>
    <cellStyle name="Normal 435 2 2 2 2" xfId="34074" xr:uid="{00000000-0005-0000-0000-000007A40000}"/>
    <cellStyle name="Normal 435 2 2 3" xfId="27044" xr:uid="{00000000-0005-0000-0000-000008A40000}"/>
    <cellStyle name="Normal 435 2 3" xfId="12938" xr:uid="{00000000-0005-0000-0000-000009A40000}"/>
    <cellStyle name="Normal 435 2 3 2" xfId="30588" xr:uid="{00000000-0005-0000-0000-00000AA40000}"/>
    <cellStyle name="Normal 435 2 4" xfId="24179" xr:uid="{00000000-0005-0000-0000-00000BA40000}"/>
    <cellStyle name="Normal 435 3" xfId="4806" xr:uid="{00000000-0005-0000-0000-00000CA40000}"/>
    <cellStyle name="Normal 435 4" xfId="7961" xr:uid="{00000000-0005-0000-0000-00000DA40000}"/>
    <cellStyle name="Normal 435 4 2" xfId="15758" xr:uid="{00000000-0005-0000-0000-00000EA40000}"/>
    <cellStyle name="Normal 435 4 2 2" xfId="33393" xr:uid="{00000000-0005-0000-0000-00000FA40000}"/>
    <cellStyle name="Normal 435 4 3" xfId="26377" xr:uid="{00000000-0005-0000-0000-000010A40000}"/>
    <cellStyle name="Normal 435 5" xfId="11921" xr:uid="{00000000-0005-0000-0000-000011A40000}"/>
    <cellStyle name="Normal 435 5 2" xfId="29604" xr:uid="{00000000-0005-0000-0000-000012A40000}"/>
    <cellStyle name="Normal 435 6" xfId="23512" xr:uid="{00000000-0005-0000-0000-000013A40000}"/>
    <cellStyle name="Normal 435 7" xfId="52432" xr:uid="{00000000-0005-0000-0000-000014A40000}"/>
    <cellStyle name="Normal 436" xfId="2795" xr:uid="{00000000-0005-0000-0000-000015A40000}"/>
    <cellStyle name="Normal 436 2" xfId="4809" xr:uid="{00000000-0005-0000-0000-000016A40000}"/>
    <cellStyle name="Normal 436 2 2" xfId="8644" xr:uid="{00000000-0005-0000-0000-000017A40000}"/>
    <cellStyle name="Normal 436 2 2 2" xfId="16440" xr:uid="{00000000-0005-0000-0000-000018A40000}"/>
    <cellStyle name="Normal 436 2 2 2 2" xfId="34075" xr:uid="{00000000-0005-0000-0000-000019A40000}"/>
    <cellStyle name="Normal 436 2 2 3" xfId="27045" xr:uid="{00000000-0005-0000-0000-00001AA40000}"/>
    <cellStyle name="Normal 436 2 3" xfId="12940" xr:uid="{00000000-0005-0000-0000-00001BA40000}"/>
    <cellStyle name="Normal 436 2 3 2" xfId="30589" xr:uid="{00000000-0005-0000-0000-00001CA40000}"/>
    <cellStyle name="Normal 436 2 4" xfId="24180" xr:uid="{00000000-0005-0000-0000-00001DA40000}"/>
    <cellStyle name="Normal 436 3" xfId="4808" xr:uid="{00000000-0005-0000-0000-00001EA40000}"/>
    <cellStyle name="Normal 436 4" xfId="7962" xr:uid="{00000000-0005-0000-0000-00001FA40000}"/>
    <cellStyle name="Normal 436 4 2" xfId="15759" xr:uid="{00000000-0005-0000-0000-000020A40000}"/>
    <cellStyle name="Normal 436 4 2 2" xfId="33394" xr:uid="{00000000-0005-0000-0000-000021A40000}"/>
    <cellStyle name="Normal 436 4 3" xfId="26378" xr:uid="{00000000-0005-0000-0000-000022A40000}"/>
    <cellStyle name="Normal 436 5" xfId="11922" xr:uid="{00000000-0005-0000-0000-000023A40000}"/>
    <cellStyle name="Normal 436 5 2" xfId="29605" xr:uid="{00000000-0005-0000-0000-000024A40000}"/>
    <cellStyle name="Normal 436 6" xfId="23513" xr:uid="{00000000-0005-0000-0000-000025A40000}"/>
    <cellStyle name="Normal 436 7" xfId="52433" xr:uid="{00000000-0005-0000-0000-000026A40000}"/>
    <cellStyle name="Normal 437" xfId="2796" xr:uid="{00000000-0005-0000-0000-000027A40000}"/>
    <cellStyle name="Normal 437 2" xfId="4811" xr:uid="{00000000-0005-0000-0000-000028A40000}"/>
    <cellStyle name="Normal 437 2 2" xfId="8645" xr:uid="{00000000-0005-0000-0000-000029A40000}"/>
    <cellStyle name="Normal 437 2 2 2" xfId="16441" xr:uid="{00000000-0005-0000-0000-00002AA40000}"/>
    <cellStyle name="Normal 437 2 2 2 2" xfId="34076" xr:uid="{00000000-0005-0000-0000-00002BA40000}"/>
    <cellStyle name="Normal 437 2 2 3" xfId="27046" xr:uid="{00000000-0005-0000-0000-00002CA40000}"/>
    <cellStyle name="Normal 437 2 3" xfId="12941" xr:uid="{00000000-0005-0000-0000-00002DA40000}"/>
    <cellStyle name="Normal 437 2 3 2" xfId="30590" xr:uid="{00000000-0005-0000-0000-00002EA40000}"/>
    <cellStyle name="Normal 437 2 4" xfId="24181" xr:uid="{00000000-0005-0000-0000-00002FA40000}"/>
    <cellStyle name="Normal 437 3" xfId="4810" xr:uid="{00000000-0005-0000-0000-000030A40000}"/>
    <cellStyle name="Normal 437 4" xfId="7963" xr:uid="{00000000-0005-0000-0000-000031A40000}"/>
    <cellStyle name="Normal 437 4 2" xfId="15760" xr:uid="{00000000-0005-0000-0000-000032A40000}"/>
    <cellStyle name="Normal 437 4 2 2" xfId="33395" xr:uid="{00000000-0005-0000-0000-000033A40000}"/>
    <cellStyle name="Normal 437 4 3" xfId="26379" xr:uid="{00000000-0005-0000-0000-000034A40000}"/>
    <cellStyle name="Normal 437 5" xfId="11923" xr:uid="{00000000-0005-0000-0000-000035A40000}"/>
    <cellStyle name="Normal 437 5 2" xfId="29606" xr:uid="{00000000-0005-0000-0000-000036A40000}"/>
    <cellStyle name="Normal 437 6" xfId="23514" xr:uid="{00000000-0005-0000-0000-000037A40000}"/>
    <cellStyle name="Normal 437 7" xfId="52434" xr:uid="{00000000-0005-0000-0000-000038A40000}"/>
    <cellStyle name="Normal 438" xfId="2797" xr:uid="{00000000-0005-0000-0000-000039A40000}"/>
    <cellStyle name="Normal 438 2" xfId="4813" xr:uid="{00000000-0005-0000-0000-00003AA40000}"/>
    <cellStyle name="Normal 438 2 2" xfId="8646" xr:uid="{00000000-0005-0000-0000-00003BA40000}"/>
    <cellStyle name="Normal 438 2 2 2" xfId="16442" xr:uid="{00000000-0005-0000-0000-00003CA40000}"/>
    <cellStyle name="Normal 438 2 2 2 2" xfId="34077" xr:uid="{00000000-0005-0000-0000-00003DA40000}"/>
    <cellStyle name="Normal 438 2 2 3" xfId="27047" xr:uid="{00000000-0005-0000-0000-00003EA40000}"/>
    <cellStyle name="Normal 438 2 3" xfId="12942" xr:uid="{00000000-0005-0000-0000-00003FA40000}"/>
    <cellStyle name="Normal 438 2 3 2" xfId="30591" xr:uid="{00000000-0005-0000-0000-000040A40000}"/>
    <cellStyle name="Normal 438 2 4" xfId="24182" xr:uid="{00000000-0005-0000-0000-000041A40000}"/>
    <cellStyle name="Normal 438 3" xfId="4812" xr:uid="{00000000-0005-0000-0000-000042A40000}"/>
    <cellStyle name="Normal 438 4" xfId="7964" xr:uid="{00000000-0005-0000-0000-000043A40000}"/>
    <cellStyle name="Normal 438 4 2" xfId="15761" xr:uid="{00000000-0005-0000-0000-000044A40000}"/>
    <cellStyle name="Normal 438 4 2 2" xfId="33396" xr:uid="{00000000-0005-0000-0000-000045A40000}"/>
    <cellStyle name="Normal 438 4 3" xfId="26380" xr:uid="{00000000-0005-0000-0000-000046A40000}"/>
    <cellStyle name="Normal 438 5" xfId="11924" xr:uid="{00000000-0005-0000-0000-000047A40000}"/>
    <cellStyle name="Normal 438 5 2" xfId="29607" xr:uid="{00000000-0005-0000-0000-000048A40000}"/>
    <cellStyle name="Normal 438 6" xfId="23515" xr:uid="{00000000-0005-0000-0000-000049A40000}"/>
    <cellStyle name="Normal 438 7" xfId="52435" xr:uid="{00000000-0005-0000-0000-00004AA40000}"/>
    <cellStyle name="Normal 439" xfId="2798" xr:uid="{00000000-0005-0000-0000-00004BA40000}"/>
    <cellStyle name="Normal 439 2" xfId="4815" xr:uid="{00000000-0005-0000-0000-00004CA40000}"/>
    <cellStyle name="Normal 439 2 2" xfId="8647" xr:uid="{00000000-0005-0000-0000-00004DA40000}"/>
    <cellStyle name="Normal 439 2 2 2" xfId="16443" xr:uid="{00000000-0005-0000-0000-00004EA40000}"/>
    <cellStyle name="Normal 439 2 2 2 2" xfId="34078" xr:uid="{00000000-0005-0000-0000-00004FA40000}"/>
    <cellStyle name="Normal 439 2 2 3" xfId="27048" xr:uid="{00000000-0005-0000-0000-000050A40000}"/>
    <cellStyle name="Normal 439 2 3" xfId="12943" xr:uid="{00000000-0005-0000-0000-000051A40000}"/>
    <cellStyle name="Normal 439 2 3 2" xfId="30592" xr:uid="{00000000-0005-0000-0000-000052A40000}"/>
    <cellStyle name="Normal 439 2 4" xfId="24183" xr:uid="{00000000-0005-0000-0000-000053A40000}"/>
    <cellStyle name="Normal 439 3" xfId="4814" xr:uid="{00000000-0005-0000-0000-000054A40000}"/>
    <cellStyle name="Normal 439 4" xfId="7965" xr:uid="{00000000-0005-0000-0000-000055A40000}"/>
    <cellStyle name="Normal 439 4 2" xfId="15762" xr:uid="{00000000-0005-0000-0000-000056A40000}"/>
    <cellStyle name="Normal 439 4 2 2" xfId="33397" xr:uid="{00000000-0005-0000-0000-000057A40000}"/>
    <cellStyle name="Normal 439 4 3" xfId="26381" xr:uid="{00000000-0005-0000-0000-000058A40000}"/>
    <cellStyle name="Normal 439 5" xfId="11925" xr:uid="{00000000-0005-0000-0000-000059A40000}"/>
    <cellStyle name="Normal 439 5 2" xfId="29608" xr:uid="{00000000-0005-0000-0000-00005AA40000}"/>
    <cellStyle name="Normal 439 6" xfId="23516" xr:uid="{00000000-0005-0000-0000-00005BA40000}"/>
    <cellStyle name="Normal 439 7" xfId="52436" xr:uid="{00000000-0005-0000-0000-00005CA40000}"/>
    <cellStyle name="Normal 44" xfId="2799" xr:uid="{00000000-0005-0000-0000-00005DA40000}"/>
    <cellStyle name="Normal 44 2" xfId="4816" xr:uid="{00000000-0005-0000-0000-00005EA40000}"/>
    <cellStyle name="Normal 44 2 2" xfId="22784" xr:uid="{00000000-0005-0000-0000-00005FA40000}"/>
    <cellStyle name="Normal 44 2 2 2" xfId="38991" xr:uid="{00000000-0005-0000-0000-000060A40000}"/>
    <cellStyle name="Normal 44 3" xfId="23000" xr:uid="{00000000-0005-0000-0000-000061A40000}"/>
    <cellStyle name="Normal 44 4" xfId="22575" xr:uid="{00000000-0005-0000-0000-000062A40000}"/>
    <cellStyle name="Normal 44 4 2" xfId="38886" xr:uid="{00000000-0005-0000-0000-000063A40000}"/>
    <cellStyle name="Normal 44 5" xfId="52437" xr:uid="{00000000-0005-0000-0000-000064A40000}"/>
    <cellStyle name="Normal 440" xfId="2800" xr:uid="{00000000-0005-0000-0000-000065A40000}"/>
    <cellStyle name="Normal 440 2" xfId="4818" xr:uid="{00000000-0005-0000-0000-000066A40000}"/>
    <cellStyle name="Normal 440 2 2" xfId="8648" xr:uid="{00000000-0005-0000-0000-000067A40000}"/>
    <cellStyle name="Normal 440 2 2 2" xfId="16444" xr:uid="{00000000-0005-0000-0000-000068A40000}"/>
    <cellStyle name="Normal 440 2 2 2 2" xfId="34079" xr:uid="{00000000-0005-0000-0000-000069A40000}"/>
    <cellStyle name="Normal 440 2 2 3" xfId="27049" xr:uid="{00000000-0005-0000-0000-00006AA40000}"/>
    <cellStyle name="Normal 440 2 3" xfId="12945" xr:uid="{00000000-0005-0000-0000-00006BA40000}"/>
    <cellStyle name="Normal 440 2 3 2" xfId="30594" xr:uid="{00000000-0005-0000-0000-00006CA40000}"/>
    <cellStyle name="Normal 440 2 4" xfId="24184" xr:uid="{00000000-0005-0000-0000-00006DA40000}"/>
    <cellStyle name="Normal 440 3" xfId="4817" xr:uid="{00000000-0005-0000-0000-00006EA40000}"/>
    <cellStyle name="Normal 440 4" xfId="7966" xr:uid="{00000000-0005-0000-0000-00006FA40000}"/>
    <cellStyle name="Normal 440 4 2" xfId="15763" xr:uid="{00000000-0005-0000-0000-000070A40000}"/>
    <cellStyle name="Normal 440 4 2 2" xfId="33398" xr:uid="{00000000-0005-0000-0000-000071A40000}"/>
    <cellStyle name="Normal 440 4 3" xfId="26382" xr:uid="{00000000-0005-0000-0000-000072A40000}"/>
    <cellStyle name="Normal 440 5" xfId="11926" xr:uid="{00000000-0005-0000-0000-000073A40000}"/>
    <cellStyle name="Normal 440 5 2" xfId="29609" xr:uid="{00000000-0005-0000-0000-000074A40000}"/>
    <cellStyle name="Normal 440 6" xfId="23517" xr:uid="{00000000-0005-0000-0000-000075A40000}"/>
    <cellStyle name="Normal 440 7" xfId="52438" xr:uid="{00000000-0005-0000-0000-000076A40000}"/>
    <cellStyle name="Normal 441" xfId="2801" xr:uid="{00000000-0005-0000-0000-000077A40000}"/>
    <cellStyle name="Normal 441 2" xfId="4819" xr:uid="{00000000-0005-0000-0000-000078A40000}"/>
    <cellStyle name="Normal 441 2 2" xfId="8649" xr:uid="{00000000-0005-0000-0000-000079A40000}"/>
    <cellStyle name="Normal 441 2 2 2" xfId="16445" xr:uid="{00000000-0005-0000-0000-00007AA40000}"/>
    <cellStyle name="Normal 441 2 2 2 2" xfId="34080" xr:uid="{00000000-0005-0000-0000-00007BA40000}"/>
    <cellStyle name="Normal 441 2 2 3" xfId="27050" xr:uid="{00000000-0005-0000-0000-00007CA40000}"/>
    <cellStyle name="Normal 441 2 3" xfId="12946" xr:uid="{00000000-0005-0000-0000-00007DA40000}"/>
    <cellStyle name="Normal 441 2 3 2" xfId="30595" xr:uid="{00000000-0005-0000-0000-00007EA40000}"/>
    <cellStyle name="Normal 441 2 4" xfId="24185" xr:uid="{00000000-0005-0000-0000-00007FA40000}"/>
    <cellStyle name="Normal 441 3" xfId="5956" xr:uid="{00000000-0005-0000-0000-000080A40000}"/>
    <cellStyle name="Normal 441 3 2" xfId="9256" xr:uid="{00000000-0005-0000-0000-000081A40000}"/>
    <cellStyle name="Normal 441 3 2 2" xfId="17051" xr:uid="{00000000-0005-0000-0000-000082A40000}"/>
    <cellStyle name="Normal 441 3 2 2 2" xfId="34687" xr:uid="{00000000-0005-0000-0000-000083A40000}"/>
    <cellStyle name="Normal 441 3 2 3" xfId="27644" xr:uid="{00000000-0005-0000-0000-000084A40000}"/>
    <cellStyle name="Normal 441 3 3" xfId="13812" xr:uid="{00000000-0005-0000-0000-000085A40000}"/>
    <cellStyle name="Normal 441 3 3 2" xfId="31452" xr:uid="{00000000-0005-0000-0000-000086A40000}"/>
    <cellStyle name="Normal 441 3 4" xfId="24779" xr:uid="{00000000-0005-0000-0000-000087A40000}"/>
    <cellStyle name="Normal 441 4" xfId="6586" xr:uid="{00000000-0005-0000-0000-000088A40000}"/>
    <cellStyle name="Normal 441 4 2" xfId="9796" xr:uid="{00000000-0005-0000-0000-000089A40000}"/>
    <cellStyle name="Normal 441 4 2 2" xfId="17590" xr:uid="{00000000-0005-0000-0000-00008AA40000}"/>
    <cellStyle name="Normal 441 4 2 2 2" xfId="35227" xr:uid="{00000000-0005-0000-0000-00008BA40000}"/>
    <cellStyle name="Normal 441 4 2 3" xfId="28180" xr:uid="{00000000-0005-0000-0000-00008CA40000}"/>
    <cellStyle name="Normal 441 4 3" xfId="14375" xr:uid="{00000000-0005-0000-0000-00008DA40000}"/>
    <cellStyle name="Normal 441 4 3 2" xfId="32010" xr:uid="{00000000-0005-0000-0000-00008EA40000}"/>
    <cellStyle name="Normal 441 4 4" xfId="25316" xr:uid="{00000000-0005-0000-0000-00008FA40000}"/>
    <cellStyle name="Normal 441 5" xfId="7362" xr:uid="{00000000-0005-0000-0000-000090A40000}"/>
    <cellStyle name="Normal 441 5 2" xfId="10350" xr:uid="{00000000-0005-0000-0000-000091A40000}"/>
    <cellStyle name="Normal 441 5 2 2" xfId="18143" xr:uid="{00000000-0005-0000-0000-000092A40000}"/>
    <cellStyle name="Normal 441 5 2 2 2" xfId="35780" xr:uid="{00000000-0005-0000-0000-000093A40000}"/>
    <cellStyle name="Normal 441 5 2 3" xfId="28717" xr:uid="{00000000-0005-0000-0000-000094A40000}"/>
    <cellStyle name="Normal 441 5 3" xfId="15150" xr:uid="{00000000-0005-0000-0000-000095A40000}"/>
    <cellStyle name="Normal 441 5 3 2" xfId="32785" xr:uid="{00000000-0005-0000-0000-000096A40000}"/>
    <cellStyle name="Normal 441 5 4" xfId="25854" xr:uid="{00000000-0005-0000-0000-000097A40000}"/>
    <cellStyle name="Normal 441 6" xfId="7967" xr:uid="{00000000-0005-0000-0000-000098A40000}"/>
    <cellStyle name="Normal 441 6 2" xfId="15764" xr:uid="{00000000-0005-0000-0000-000099A40000}"/>
    <cellStyle name="Normal 441 6 2 2" xfId="33399" xr:uid="{00000000-0005-0000-0000-00009AA40000}"/>
    <cellStyle name="Normal 441 6 3" xfId="26383" xr:uid="{00000000-0005-0000-0000-00009BA40000}"/>
    <cellStyle name="Normal 441 7" xfId="11927" xr:uid="{00000000-0005-0000-0000-00009CA40000}"/>
    <cellStyle name="Normal 441 7 2" xfId="29610" xr:uid="{00000000-0005-0000-0000-00009DA40000}"/>
    <cellStyle name="Normal 441 8" xfId="23518" xr:uid="{00000000-0005-0000-0000-00009EA40000}"/>
    <cellStyle name="Normal 441 9" xfId="52439" xr:uid="{00000000-0005-0000-0000-00009FA40000}"/>
    <cellStyle name="Normal 442" xfId="2802" xr:uid="{00000000-0005-0000-0000-0000A0A40000}"/>
    <cellStyle name="Normal 442 2" xfId="4820" xr:uid="{00000000-0005-0000-0000-0000A1A40000}"/>
    <cellStyle name="Normal 442 2 2" xfId="8650" xr:uid="{00000000-0005-0000-0000-0000A2A40000}"/>
    <cellStyle name="Normal 442 2 2 2" xfId="16446" xr:uid="{00000000-0005-0000-0000-0000A3A40000}"/>
    <cellStyle name="Normal 442 2 2 2 2" xfId="34081" xr:uid="{00000000-0005-0000-0000-0000A4A40000}"/>
    <cellStyle name="Normal 442 2 2 3" xfId="27051" xr:uid="{00000000-0005-0000-0000-0000A5A40000}"/>
    <cellStyle name="Normal 442 2 3" xfId="12947" xr:uid="{00000000-0005-0000-0000-0000A6A40000}"/>
    <cellStyle name="Normal 442 2 3 2" xfId="30596" xr:uid="{00000000-0005-0000-0000-0000A7A40000}"/>
    <cellStyle name="Normal 442 2 4" xfId="24186" xr:uid="{00000000-0005-0000-0000-0000A8A40000}"/>
    <cellStyle name="Normal 442 3" xfId="5957" xr:uid="{00000000-0005-0000-0000-0000A9A40000}"/>
    <cellStyle name="Normal 442 3 2" xfId="9257" xr:uid="{00000000-0005-0000-0000-0000AAA40000}"/>
    <cellStyle name="Normal 442 3 2 2" xfId="17052" xr:uid="{00000000-0005-0000-0000-0000ABA40000}"/>
    <cellStyle name="Normal 442 3 2 2 2" xfId="34688" xr:uid="{00000000-0005-0000-0000-0000ACA40000}"/>
    <cellStyle name="Normal 442 3 2 3" xfId="27645" xr:uid="{00000000-0005-0000-0000-0000ADA40000}"/>
    <cellStyle name="Normal 442 3 3" xfId="13813" xr:uid="{00000000-0005-0000-0000-0000AEA40000}"/>
    <cellStyle name="Normal 442 3 3 2" xfId="31453" xr:uid="{00000000-0005-0000-0000-0000AFA40000}"/>
    <cellStyle name="Normal 442 3 4" xfId="24780" xr:uid="{00000000-0005-0000-0000-0000B0A40000}"/>
    <cellStyle name="Normal 442 4" xfId="6587" xr:uid="{00000000-0005-0000-0000-0000B1A40000}"/>
    <cellStyle name="Normal 442 4 2" xfId="9797" xr:uid="{00000000-0005-0000-0000-0000B2A40000}"/>
    <cellStyle name="Normal 442 4 2 2" xfId="17591" xr:uid="{00000000-0005-0000-0000-0000B3A40000}"/>
    <cellStyle name="Normal 442 4 2 2 2" xfId="35228" xr:uid="{00000000-0005-0000-0000-0000B4A40000}"/>
    <cellStyle name="Normal 442 4 2 3" xfId="28181" xr:uid="{00000000-0005-0000-0000-0000B5A40000}"/>
    <cellStyle name="Normal 442 4 3" xfId="14376" xr:uid="{00000000-0005-0000-0000-0000B6A40000}"/>
    <cellStyle name="Normal 442 4 3 2" xfId="32011" xr:uid="{00000000-0005-0000-0000-0000B7A40000}"/>
    <cellStyle name="Normal 442 4 4" xfId="25317" xr:uid="{00000000-0005-0000-0000-0000B8A40000}"/>
    <cellStyle name="Normal 442 5" xfId="7363" xr:uid="{00000000-0005-0000-0000-0000B9A40000}"/>
    <cellStyle name="Normal 442 5 2" xfId="10351" xr:uid="{00000000-0005-0000-0000-0000BAA40000}"/>
    <cellStyle name="Normal 442 5 2 2" xfId="18144" xr:uid="{00000000-0005-0000-0000-0000BBA40000}"/>
    <cellStyle name="Normal 442 5 2 2 2" xfId="35781" xr:uid="{00000000-0005-0000-0000-0000BCA40000}"/>
    <cellStyle name="Normal 442 5 2 3" xfId="28718" xr:uid="{00000000-0005-0000-0000-0000BDA40000}"/>
    <cellStyle name="Normal 442 5 3" xfId="15151" xr:uid="{00000000-0005-0000-0000-0000BEA40000}"/>
    <cellStyle name="Normal 442 5 3 2" xfId="32786" xr:uid="{00000000-0005-0000-0000-0000BFA40000}"/>
    <cellStyle name="Normal 442 5 4" xfId="25855" xr:uid="{00000000-0005-0000-0000-0000C0A40000}"/>
    <cellStyle name="Normal 442 6" xfId="7968" xr:uid="{00000000-0005-0000-0000-0000C1A40000}"/>
    <cellStyle name="Normal 442 6 2" xfId="15765" xr:uid="{00000000-0005-0000-0000-0000C2A40000}"/>
    <cellStyle name="Normal 442 6 2 2" xfId="33400" xr:uid="{00000000-0005-0000-0000-0000C3A40000}"/>
    <cellStyle name="Normal 442 6 3" xfId="26384" xr:uid="{00000000-0005-0000-0000-0000C4A40000}"/>
    <cellStyle name="Normal 442 7" xfId="11928" xr:uid="{00000000-0005-0000-0000-0000C5A40000}"/>
    <cellStyle name="Normal 442 7 2" xfId="29611" xr:uid="{00000000-0005-0000-0000-0000C6A40000}"/>
    <cellStyle name="Normal 442 8" xfId="23519" xr:uid="{00000000-0005-0000-0000-0000C7A40000}"/>
    <cellStyle name="Normal 442 9" xfId="52440" xr:uid="{00000000-0005-0000-0000-0000C8A40000}"/>
    <cellStyle name="Normal 443" xfId="2803" xr:uid="{00000000-0005-0000-0000-0000C9A40000}"/>
    <cellStyle name="Normal 443 2" xfId="4821" xr:uid="{00000000-0005-0000-0000-0000CAA40000}"/>
    <cellStyle name="Normal 443 2 2" xfId="8651" xr:uid="{00000000-0005-0000-0000-0000CBA40000}"/>
    <cellStyle name="Normal 443 2 2 2" xfId="16447" xr:uid="{00000000-0005-0000-0000-0000CCA40000}"/>
    <cellStyle name="Normal 443 2 2 2 2" xfId="34082" xr:uid="{00000000-0005-0000-0000-0000CDA40000}"/>
    <cellStyle name="Normal 443 2 2 3" xfId="27052" xr:uid="{00000000-0005-0000-0000-0000CEA40000}"/>
    <cellStyle name="Normal 443 2 3" xfId="12948" xr:uid="{00000000-0005-0000-0000-0000CFA40000}"/>
    <cellStyle name="Normal 443 2 3 2" xfId="30597" xr:uid="{00000000-0005-0000-0000-0000D0A40000}"/>
    <cellStyle name="Normal 443 2 4" xfId="24187" xr:uid="{00000000-0005-0000-0000-0000D1A40000}"/>
    <cellStyle name="Normal 443 3" xfId="5958" xr:uid="{00000000-0005-0000-0000-0000D2A40000}"/>
    <cellStyle name="Normal 443 3 2" xfId="9258" xr:uid="{00000000-0005-0000-0000-0000D3A40000}"/>
    <cellStyle name="Normal 443 3 2 2" xfId="17053" xr:uid="{00000000-0005-0000-0000-0000D4A40000}"/>
    <cellStyle name="Normal 443 3 2 2 2" xfId="34689" xr:uid="{00000000-0005-0000-0000-0000D5A40000}"/>
    <cellStyle name="Normal 443 3 2 3" xfId="27646" xr:uid="{00000000-0005-0000-0000-0000D6A40000}"/>
    <cellStyle name="Normal 443 3 3" xfId="13814" xr:uid="{00000000-0005-0000-0000-0000D7A40000}"/>
    <cellStyle name="Normal 443 3 3 2" xfId="31454" xr:uid="{00000000-0005-0000-0000-0000D8A40000}"/>
    <cellStyle name="Normal 443 3 4" xfId="24781" xr:uid="{00000000-0005-0000-0000-0000D9A40000}"/>
    <cellStyle name="Normal 443 4" xfId="6588" xr:uid="{00000000-0005-0000-0000-0000DAA40000}"/>
    <cellStyle name="Normal 443 4 2" xfId="9798" xr:uid="{00000000-0005-0000-0000-0000DBA40000}"/>
    <cellStyle name="Normal 443 4 2 2" xfId="17592" xr:uid="{00000000-0005-0000-0000-0000DCA40000}"/>
    <cellStyle name="Normal 443 4 2 2 2" xfId="35229" xr:uid="{00000000-0005-0000-0000-0000DDA40000}"/>
    <cellStyle name="Normal 443 4 2 3" xfId="28182" xr:uid="{00000000-0005-0000-0000-0000DEA40000}"/>
    <cellStyle name="Normal 443 4 3" xfId="14377" xr:uid="{00000000-0005-0000-0000-0000DFA40000}"/>
    <cellStyle name="Normal 443 4 3 2" xfId="32012" xr:uid="{00000000-0005-0000-0000-0000E0A40000}"/>
    <cellStyle name="Normal 443 4 4" xfId="25318" xr:uid="{00000000-0005-0000-0000-0000E1A40000}"/>
    <cellStyle name="Normal 443 5" xfId="7364" xr:uid="{00000000-0005-0000-0000-0000E2A40000}"/>
    <cellStyle name="Normal 443 5 2" xfId="10352" xr:uid="{00000000-0005-0000-0000-0000E3A40000}"/>
    <cellStyle name="Normal 443 5 2 2" xfId="18145" xr:uid="{00000000-0005-0000-0000-0000E4A40000}"/>
    <cellStyle name="Normal 443 5 2 2 2" xfId="35782" xr:uid="{00000000-0005-0000-0000-0000E5A40000}"/>
    <cellStyle name="Normal 443 5 2 3" xfId="28719" xr:uid="{00000000-0005-0000-0000-0000E6A40000}"/>
    <cellStyle name="Normal 443 5 3" xfId="15152" xr:uid="{00000000-0005-0000-0000-0000E7A40000}"/>
    <cellStyle name="Normal 443 5 3 2" xfId="32787" xr:uid="{00000000-0005-0000-0000-0000E8A40000}"/>
    <cellStyle name="Normal 443 5 4" xfId="25856" xr:uid="{00000000-0005-0000-0000-0000E9A40000}"/>
    <cellStyle name="Normal 443 6" xfId="7969" xr:uid="{00000000-0005-0000-0000-0000EAA40000}"/>
    <cellStyle name="Normal 443 6 2" xfId="15766" xr:uid="{00000000-0005-0000-0000-0000EBA40000}"/>
    <cellStyle name="Normal 443 6 2 2" xfId="33401" xr:uid="{00000000-0005-0000-0000-0000ECA40000}"/>
    <cellStyle name="Normal 443 6 3" xfId="26385" xr:uid="{00000000-0005-0000-0000-0000EDA40000}"/>
    <cellStyle name="Normal 443 7" xfId="11929" xr:uid="{00000000-0005-0000-0000-0000EEA40000}"/>
    <cellStyle name="Normal 443 7 2" xfId="29612" xr:uid="{00000000-0005-0000-0000-0000EFA40000}"/>
    <cellStyle name="Normal 443 8" xfId="23520" xr:uid="{00000000-0005-0000-0000-0000F0A40000}"/>
    <cellStyle name="Normal 443 9" xfId="52441" xr:uid="{00000000-0005-0000-0000-0000F1A40000}"/>
    <cellStyle name="Normal 444" xfId="2804" xr:uid="{00000000-0005-0000-0000-0000F2A40000}"/>
    <cellStyle name="Normal 444 2" xfId="4822" xr:uid="{00000000-0005-0000-0000-0000F3A40000}"/>
    <cellStyle name="Normal 444 2 2" xfId="8652" xr:uid="{00000000-0005-0000-0000-0000F4A40000}"/>
    <cellStyle name="Normal 444 2 2 2" xfId="16448" xr:uid="{00000000-0005-0000-0000-0000F5A40000}"/>
    <cellStyle name="Normal 444 2 2 2 2" xfId="34083" xr:uid="{00000000-0005-0000-0000-0000F6A40000}"/>
    <cellStyle name="Normal 444 2 2 3" xfId="27053" xr:uid="{00000000-0005-0000-0000-0000F7A40000}"/>
    <cellStyle name="Normal 444 2 3" xfId="12949" xr:uid="{00000000-0005-0000-0000-0000F8A40000}"/>
    <cellStyle name="Normal 444 2 3 2" xfId="30598" xr:uid="{00000000-0005-0000-0000-0000F9A40000}"/>
    <cellStyle name="Normal 444 2 4" xfId="24188" xr:uid="{00000000-0005-0000-0000-0000FAA40000}"/>
    <cellStyle name="Normal 444 3" xfId="5959" xr:uid="{00000000-0005-0000-0000-0000FBA40000}"/>
    <cellStyle name="Normal 444 3 2" xfId="9259" xr:uid="{00000000-0005-0000-0000-0000FCA40000}"/>
    <cellStyle name="Normal 444 3 2 2" xfId="17054" xr:uid="{00000000-0005-0000-0000-0000FDA40000}"/>
    <cellStyle name="Normal 444 3 2 2 2" xfId="34690" xr:uid="{00000000-0005-0000-0000-0000FEA40000}"/>
    <cellStyle name="Normal 444 3 2 3" xfId="27647" xr:uid="{00000000-0005-0000-0000-0000FFA40000}"/>
    <cellStyle name="Normal 444 3 3" xfId="13815" xr:uid="{00000000-0005-0000-0000-000000A50000}"/>
    <cellStyle name="Normal 444 3 3 2" xfId="31455" xr:uid="{00000000-0005-0000-0000-000001A50000}"/>
    <cellStyle name="Normal 444 3 4" xfId="24782" xr:uid="{00000000-0005-0000-0000-000002A50000}"/>
    <cellStyle name="Normal 444 4" xfId="6589" xr:uid="{00000000-0005-0000-0000-000003A50000}"/>
    <cellStyle name="Normal 444 4 2" xfId="9799" xr:uid="{00000000-0005-0000-0000-000004A50000}"/>
    <cellStyle name="Normal 444 4 2 2" xfId="17593" xr:uid="{00000000-0005-0000-0000-000005A50000}"/>
    <cellStyle name="Normal 444 4 2 2 2" xfId="35230" xr:uid="{00000000-0005-0000-0000-000006A50000}"/>
    <cellStyle name="Normal 444 4 2 3" xfId="28183" xr:uid="{00000000-0005-0000-0000-000007A50000}"/>
    <cellStyle name="Normal 444 4 3" xfId="14378" xr:uid="{00000000-0005-0000-0000-000008A50000}"/>
    <cellStyle name="Normal 444 4 3 2" xfId="32013" xr:uid="{00000000-0005-0000-0000-000009A50000}"/>
    <cellStyle name="Normal 444 4 4" xfId="25319" xr:uid="{00000000-0005-0000-0000-00000AA50000}"/>
    <cellStyle name="Normal 444 5" xfId="7365" xr:uid="{00000000-0005-0000-0000-00000BA50000}"/>
    <cellStyle name="Normal 444 5 2" xfId="10353" xr:uid="{00000000-0005-0000-0000-00000CA50000}"/>
    <cellStyle name="Normal 444 5 2 2" xfId="18146" xr:uid="{00000000-0005-0000-0000-00000DA50000}"/>
    <cellStyle name="Normal 444 5 2 2 2" xfId="35783" xr:uid="{00000000-0005-0000-0000-00000EA50000}"/>
    <cellStyle name="Normal 444 5 2 3" xfId="28720" xr:uid="{00000000-0005-0000-0000-00000FA50000}"/>
    <cellStyle name="Normal 444 5 3" xfId="15153" xr:uid="{00000000-0005-0000-0000-000010A50000}"/>
    <cellStyle name="Normal 444 5 3 2" xfId="32788" xr:uid="{00000000-0005-0000-0000-000011A50000}"/>
    <cellStyle name="Normal 444 5 4" xfId="25857" xr:uid="{00000000-0005-0000-0000-000012A50000}"/>
    <cellStyle name="Normal 444 6" xfId="7970" xr:uid="{00000000-0005-0000-0000-000013A50000}"/>
    <cellStyle name="Normal 444 6 2" xfId="15767" xr:uid="{00000000-0005-0000-0000-000014A50000}"/>
    <cellStyle name="Normal 444 6 2 2" xfId="33402" xr:uid="{00000000-0005-0000-0000-000015A50000}"/>
    <cellStyle name="Normal 444 6 3" xfId="26386" xr:uid="{00000000-0005-0000-0000-000016A50000}"/>
    <cellStyle name="Normal 444 7" xfId="11930" xr:uid="{00000000-0005-0000-0000-000017A50000}"/>
    <cellStyle name="Normal 444 7 2" xfId="29613" xr:uid="{00000000-0005-0000-0000-000018A50000}"/>
    <cellStyle name="Normal 444 8" xfId="23521" xr:uid="{00000000-0005-0000-0000-000019A50000}"/>
    <cellStyle name="Normal 444 9" xfId="52442" xr:uid="{00000000-0005-0000-0000-00001AA50000}"/>
    <cellStyle name="Normal 445" xfId="2805" xr:uid="{00000000-0005-0000-0000-00001BA50000}"/>
    <cellStyle name="Normal 445 2" xfId="4823" xr:uid="{00000000-0005-0000-0000-00001CA50000}"/>
    <cellStyle name="Normal 445 2 2" xfId="8653" xr:uid="{00000000-0005-0000-0000-00001DA50000}"/>
    <cellStyle name="Normal 445 2 2 2" xfId="16449" xr:uid="{00000000-0005-0000-0000-00001EA50000}"/>
    <cellStyle name="Normal 445 2 2 2 2" xfId="34084" xr:uid="{00000000-0005-0000-0000-00001FA50000}"/>
    <cellStyle name="Normal 445 2 2 3" xfId="27054" xr:uid="{00000000-0005-0000-0000-000020A50000}"/>
    <cellStyle name="Normal 445 2 3" xfId="12950" xr:uid="{00000000-0005-0000-0000-000021A50000}"/>
    <cellStyle name="Normal 445 2 3 2" xfId="30599" xr:uid="{00000000-0005-0000-0000-000022A50000}"/>
    <cellStyle name="Normal 445 2 4" xfId="24189" xr:uid="{00000000-0005-0000-0000-000023A50000}"/>
    <cellStyle name="Normal 445 3" xfId="5960" xr:uid="{00000000-0005-0000-0000-000024A50000}"/>
    <cellStyle name="Normal 445 3 2" xfId="9260" xr:uid="{00000000-0005-0000-0000-000025A50000}"/>
    <cellStyle name="Normal 445 3 2 2" xfId="17055" xr:uid="{00000000-0005-0000-0000-000026A50000}"/>
    <cellStyle name="Normal 445 3 2 2 2" xfId="34691" xr:uid="{00000000-0005-0000-0000-000027A50000}"/>
    <cellStyle name="Normal 445 3 2 3" xfId="27648" xr:uid="{00000000-0005-0000-0000-000028A50000}"/>
    <cellStyle name="Normal 445 3 3" xfId="13816" xr:uid="{00000000-0005-0000-0000-000029A50000}"/>
    <cellStyle name="Normal 445 3 3 2" xfId="31456" xr:uid="{00000000-0005-0000-0000-00002AA50000}"/>
    <cellStyle name="Normal 445 3 4" xfId="24783" xr:uid="{00000000-0005-0000-0000-00002BA50000}"/>
    <cellStyle name="Normal 445 4" xfId="6590" xr:uid="{00000000-0005-0000-0000-00002CA50000}"/>
    <cellStyle name="Normal 445 4 2" xfId="9800" xr:uid="{00000000-0005-0000-0000-00002DA50000}"/>
    <cellStyle name="Normal 445 4 2 2" xfId="17594" xr:uid="{00000000-0005-0000-0000-00002EA50000}"/>
    <cellStyle name="Normal 445 4 2 2 2" xfId="35231" xr:uid="{00000000-0005-0000-0000-00002FA50000}"/>
    <cellStyle name="Normal 445 4 2 3" xfId="28184" xr:uid="{00000000-0005-0000-0000-000030A50000}"/>
    <cellStyle name="Normal 445 4 3" xfId="14379" xr:uid="{00000000-0005-0000-0000-000031A50000}"/>
    <cellStyle name="Normal 445 4 3 2" xfId="32014" xr:uid="{00000000-0005-0000-0000-000032A50000}"/>
    <cellStyle name="Normal 445 4 4" xfId="25320" xr:uid="{00000000-0005-0000-0000-000033A50000}"/>
    <cellStyle name="Normal 445 5" xfId="7366" xr:uid="{00000000-0005-0000-0000-000034A50000}"/>
    <cellStyle name="Normal 445 5 2" xfId="10354" xr:uid="{00000000-0005-0000-0000-000035A50000}"/>
    <cellStyle name="Normal 445 5 2 2" xfId="18147" xr:uid="{00000000-0005-0000-0000-000036A50000}"/>
    <cellStyle name="Normal 445 5 2 2 2" xfId="35784" xr:uid="{00000000-0005-0000-0000-000037A50000}"/>
    <cellStyle name="Normal 445 5 2 3" xfId="28721" xr:uid="{00000000-0005-0000-0000-000038A50000}"/>
    <cellStyle name="Normal 445 5 3" xfId="15154" xr:uid="{00000000-0005-0000-0000-000039A50000}"/>
    <cellStyle name="Normal 445 5 3 2" xfId="32789" xr:uid="{00000000-0005-0000-0000-00003AA50000}"/>
    <cellStyle name="Normal 445 5 4" xfId="25858" xr:uid="{00000000-0005-0000-0000-00003BA50000}"/>
    <cellStyle name="Normal 445 6" xfId="7971" xr:uid="{00000000-0005-0000-0000-00003CA50000}"/>
    <cellStyle name="Normal 445 6 2" xfId="15768" xr:uid="{00000000-0005-0000-0000-00003DA50000}"/>
    <cellStyle name="Normal 445 6 2 2" xfId="33403" xr:uid="{00000000-0005-0000-0000-00003EA50000}"/>
    <cellStyle name="Normal 445 6 3" xfId="26387" xr:uid="{00000000-0005-0000-0000-00003FA50000}"/>
    <cellStyle name="Normal 445 7" xfId="11931" xr:uid="{00000000-0005-0000-0000-000040A50000}"/>
    <cellStyle name="Normal 445 7 2" xfId="29614" xr:uid="{00000000-0005-0000-0000-000041A50000}"/>
    <cellStyle name="Normal 445 8" xfId="23522" xr:uid="{00000000-0005-0000-0000-000042A50000}"/>
    <cellStyle name="Normal 445 9" xfId="52443" xr:uid="{00000000-0005-0000-0000-000043A50000}"/>
    <cellStyle name="Normal 446" xfId="2806" xr:uid="{00000000-0005-0000-0000-000044A50000}"/>
    <cellStyle name="Normal 446 2" xfId="4825" xr:uid="{00000000-0005-0000-0000-000045A50000}"/>
    <cellStyle name="Normal 446 2 2" xfId="8654" xr:uid="{00000000-0005-0000-0000-000046A50000}"/>
    <cellStyle name="Normal 446 2 2 2" xfId="16450" xr:uid="{00000000-0005-0000-0000-000047A50000}"/>
    <cellStyle name="Normal 446 2 2 2 2" xfId="34085" xr:uid="{00000000-0005-0000-0000-000048A50000}"/>
    <cellStyle name="Normal 446 2 2 3" xfId="27055" xr:uid="{00000000-0005-0000-0000-000049A50000}"/>
    <cellStyle name="Normal 446 2 3" xfId="12952" xr:uid="{00000000-0005-0000-0000-00004AA50000}"/>
    <cellStyle name="Normal 446 2 3 2" xfId="30601" xr:uid="{00000000-0005-0000-0000-00004BA50000}"/>
    <cellStyle name="Normal 446 2 4" xfId="24190" xr:uid="{00000000-0005-0000-0000-00004CA50000}"/>
    <cellStyle name="Normal 446 3" xfId="4824" xr:uid="{00000000-0005-0000-0000-00004DA50000}"/>
    <cellStyle name="Normal 446 4" xfId="7972" xr:uid="{00000000-0005-0000-0000-00004EA50000}"/>
    <cellStyle name="Normal 446 4 2" xfId="15769" xr:uid="{00000000-0005-0000-0000-00004FA50000}"/>
    <cellStyle name="Normal 446 4 2 2" xfId="33404" xr:uid="{00000000-0005-0000-0000-000050A50000}"/>
    <cellStyle name="Normal 446 4 3" xfId="26388" xr:uid="{00000000-0005-0000-0000-000051A50000}"/>
    <cellStyle name="Normal 446 5" xfId="11932" xr:uid="{00000000-0005-0000-0000-000052A50000}"/>
    <cellStyle name="Normal 446 5 2" xfId="29615" xr:uid="{00000000-0005-0000-0000-000053A50000}"/>
    <cellStyle name="Normal 446 6" xfId="23523" xr:uid="{00000000-0005-0000-0000-000054A50000}"/>
    <cellStyle name="Normal 446 7" xfId="52444" xr:uid="{00000000-0005-0000-0000-000055A50000}"/>
    <cellStyle name="Normal 447" xfId="2807" xr:uid="{00000000-0005-0000-0000-000056A50000}"/>
    <cellStyle name="Normal 447 2" xfId="4827" xr:uid="{00000000-0005-0000-0000-000057A50000}"/>
    <cellStyle name="Normal 447 2 2" xfId="8655" xr:uid="{00000000-0005-0000-0000-000058A50000}"/>
    <cellStyle name="Normal 447 2 2 2" xfId="16451" xr:uid="{00000000-0005-0000-0000-000059A50000}"/>
    <cellStyle name="Normal 447 2 2 2 2" xfId="34086" xr:uid="{00000000-0005-0000-0000-00005AA50000}"/>
    <cellStyle name="Normal 447 2 2 3" xfId="27056" xr:uid="{00000000-0005-0000-0000-00005BA50000}"/>
    <cellStyle name="Normal 447 2 3" xfId="12953" xr:uid="{00000000-0005-0000-0000-00005CA50000}"/>
    <cellStyle name="Normal 447 2 3 2" xfId="30602" xr:uid="{00000000-0005-0000-0000-00005DA50000}"/>
    <cellStyle name="Normal 447 2 4" xfId="24191" xr:uid="{00000000-0005-0000-0000-00005EA50000}"/>
    <cellStyle name="Normal 447 3" xfId="4826" xr:uid="{00000000-0005-0000-0000-00005FA50000}"/>
    <cellStyle name="Normal 447 4" xfId="7973" xr:uid="{00000000-0005-0000-0000-000060A50000}"/>
    <cellStyle name="Normal 447 4 2" xfId="15770" xr:uid="{00000000-0005-0000-0000-000061A50000}"/>
    <cellStyle name="Normal 447 4 2 2" xfId="33405" xr:uid="{00000000-0005-0000-0000-000062A50000}"/>
    <cellStyle name="Normal 447 4 3" xfId="26389" xr:uid="{00000000-0005-0000-0000-000063A50000}"/>
    <cellStyle name="Normal 447 5" xfId="11933" xr:uid="{00000000-0005-0000-0000-000064A50000}"/>
    <cellStyle name="Normal 447 5 2" xfId="29616" xr:uid="{00000000-0005-0000-0000-000065A50000}"/>
    <cellStyle name="Normal 447 6" xfId="23524" xr:uid="{00000000-0005-0000-0000-000066A50000}"/>
    <cellStyle name="Normal 447 7" xfId="52445" xr:uid="{00000000-0005-0000-0000-000067A50000}"/>
    <cellStyle name="Normal 448" xfId="2808" xr:uid="{00000000-0005-0000-0000-000068A50000}"/>
    <cellStyle name="Normal 448 2" xfId="4828" xr:uid="{00000000-0005-0000-0000-000069A50000}"/>
    <cellStyle name="Normal 448 2 2" xfId="8656" xr:uid="{00000000-0005-0000-0000-00006AA50000}"/>
    <cellStyle name="Normal 448 2 2 2" xfId="16452" xr:uid="{00000000-0005-0000-0000-00006BA50000}"/>
    <cellStyle name="Normal 448 2 2 2 2" xfId="34087" xr:uid="{00000000-0005-0000-0000-00006CA50000}"/>
    <cellStyle name="Normal 448 2 2 3" xfId="27057" xr:uid="{00000000-0005-0000-0000-00006DA50000}"/>
    <cellStyle name="Normal 448 2 3" xfId="12954" xr:uid="{00000000-0005-0000-0000-00006EA50000}"/>
    <cellStyle name="Normal 448 2 3 2" xfId="30603" xr:uid="{00000000-0005-0000-0000-00006FA50000}"/>
    <cellStyle name="Normal 448 2 4" xfId="24192" xr:uid="{00000000-0005-0000-0000-000070A50000}"/>
    <cellStyle name="Normal 448 3" xfId="5961" xr:uid="{00000000-0005-0000-0000-000071A50000}"/>
    <cellStyle name="Normal 448 3 2" xfId="9261" xr:uid="{00000000-0005-0000-0000-000072A50000}"/>
    <cellStyle name="Normal 448 3 2 2" xfId="17056" xr:uid="{00000000-0005-0000-0000-000073A50000}"/>
    <cellStyle name="Normal 448 3 2 2 2" xfId="34692" xr:uid="{00000000-0005-0000-0000-000074A50000}"/>
    <cellStyle name="Normal 448 3 2 3" xfId="27649" xr:uid="{00000000-0005-0000-0000-000075A50000}"/>
    <cellStyle name="Normal 448 3 3" xfId="13817" xr:uid="{00000000-0005-0000-0000-000076A50000}"/>
    <cellStyle name="Normal 448 3 3 2" xfId="31457" xr:uid="{00000000-0005-0000-0000-000077A50000}"/>
    <cellStyle name="Normal 448 3 4" xfId="24784" xr:uid="{00000000-0005-0000-0000-000078A50000}"/>
    <cellStyle name="Normal 448 4" xfId="6591" xr:uid="{00000000-0005-0000-0000-000079A50000}"/>
    <cellStyle name="Normal 448 4 2" xfId="9801" xr:uid="{00000000-0005-0000-0000-00007AA50000}"/>
    <cellStyle name="Normal 448 4 2 2" xfId="17595" xr:uid="{00000000-0005-0000-0000-00007BA50000}"/>
    <cellStyle name="Normal 448 4 2 2 2" xfId="35232" xr:uid="{00000000-0005-0000-0000-00007CA50000}"/>
    <cellStyle name="Normal 448 4 2 3" xfId="28185" xr:uid="{00000000-0005-0000-0000-00007DA50000}"/>
    <cellStyle name="Normal 448 4 3" xfId="14380" xr:uid="{00000000-0005-0000-0000-00007EA50000}"/>
    <cellStyle name="Normal 448 4 3 2" xfId="32015" xr:uid="{00000000-0005-0000-0000-00007FA50000}"/>
    <cellStyle name="Normal 448 4 4" xfId="25321" xr:uid="{00000000-0005-0000-0000-000080A50000}"/>
    <cellStyle name="Normal 448 5" xfId="7367" xr:uid="{00000000-0005-0000-0000-000081A50000}"/>
    <cellStyle name="Normal 448 5 2" xfId="10355" xr:uid="{00000000-0005-0000-0000-000082A50000}"/>
    <cellStyle name="Normal 448 5 2 2" xfId="18148" xr:uid="{00000000-0005-0000-0000-000083A50000}"/>
    <cellStyle name="Normal 448 5 2 2 2" xfId="35785" xr:uid="{00000000-0005-0000-0000-000084A50000}"/>
    <cellStyle name="Normal 448 5 2 3" xfId="28722" xr:uid="{00000000-0005-0000-0000-000085A50000}"/>
    <cellStyle name="Normal 448 5 3" xfId="15155" xr:uid="{00000000-0005-0000-0000-000086A50000}"/>
    <cellStyle name="Normal 448 5 3 2" xfId="32790" xr:uid="{00000000-0005-0000-0000-000087A50000}"/>
    <cellStyle name="Normal 448 5 4" xfId="25859" xr:uid="{00000000-0005-0000-0000-000088A50000}"/>
    <cellStyle name="Normal 448 6" xfId="7974" xr:uid="{00000000-0005-0000-0000-000089A50000}"/>
    <cellStyle name="Normal 448 6 2" xfId="15771" xr:uid="{00000000-0005-0000-0000-00008AA50000}"/>
    <cellStyle name="Normal 448 6 2 2" xfId="33406" xr:uid="{00000000-0005-0000-0000-00008BA50000}"/>
    <cellStyle name="Normal 448 6 3" xfId="26390" xr:uid="{00000000-0005-0000-0000-00008CA50000}"/>
    <cellStyle name="Normal 448 7" xfId="11934" xr:uid="{00000000-0005-0000-0000-00008DA50000}"/>
    <cellStyle name="Normal 448 7 2" xfId="29617" xr:uid="{00000000-0005-0000-0000-00008EA50000}"/>
    <cellStyle name="Normal 448 8" xfId="23525" xr:uid="{00000000-0005-0000-0000-00008FA50000}"/>
    <cellStyle name="Normal 448 9" xfId="52446" xr:uid="{00000000-0005-0000-0000-000090A50000}"/>
    <cellStyle name="Normal 449" xfId="2809" xr:uid="{00000000-0005-0000-0000-000091A50000}"/>
    <cellStyle name="Normal 449 2" xfId="4830" xr:uid="{00000000-0005-0000-0000-000092A50000}"/>
    <cellStyle name="Normal 449 2 2" xfId="8657" xr:uid="{00000000-0005-0000-0000-000093A50000}"/>
    <cellStyle name="Normal 449 2 2 2" xfId="16453" xr:uid="{00000000-0005-0000-0000-000094A50000}"/>
    <cellStyle name="Normal 449 2 2 2 2" xfId="34088" xr:uid="{00000000-0005-0000-0000-000095A50000}"/>
    <cellStyle name="Normal 449 2 2 3" xfId="27058" xr:uid="{00000000-0005-0000-0000-000096A50000}"/>
    <cellStyle name="Normal 449 2 3" xfId="12955" xr:uid="{00000000-0005-0000-0000-000097A50000}"/>
    <cellStyle name="Normal 449 2 3 2" xfId="30604" xr:uid="{00000000-0005-0000-0000-000098A50000}"/>
    <cellStyle name="Normal 449 2 4" xfId="24193" xr:uid="{00000000-0005-0000-0000-000099A50000}"/>
    <cellStyle name="Normal 449 3" xfId="4829" xr:uid="{00000000-0005-0000-0000-00009AA50000}"/>
    <cellStyle name="Normal 449 4" xfId="7975" xr:uid="{00000000-0005-0000-0000-00009BA50000}"/>
    <cellStyle name="Normal 449 4 2" xfId="15772" xr:uid="{00000000-0005-0000-0000-00009CA50000}"/>
    <cellStyle name="Normal 449 4 2 2" xfId="33407" xr:uid="{00000000-0005-0000-0000-00009DA50000}"/>
    <cellStyle name="Normal 449 4 3" xfId="26391" xr:uid="{00000000-0005-0000-0000-00009EA50000}"/>
    <cellStyle name="Normal 449 5" xfId="11935" xr:uid="{00000000-0005-0000-0000-00009FA50000}"/>
    <cellStyle name="Normal 449 5 2" xfId="29618" xr:uid="{00000000-0005-0000-0000-0000A0A50000}"/>
    <cellStyle name="Normal 449 6" xfId="23526" xr:uid="{00000000-0005-0000-0000-0000A1A50000}"/>
    <cellStyle name="Normal 449 7" xfId="52447" xr:uid="{00000000-0005-0000-0000-0000A2A50000}"/>
    <cellStyle name="Normal 45" xfId="2810" xr:uid="{00000000-0005-0000-0000-0000A3A50000}"/>
    <cellStyle name="Normal 45 2" xfId="4831" xr:uid="{00000000-0005-0000-0000-0000A4A50000}"/>
    <cellStyle name="Normal 45 2 2" xfId="22785" xr:uid="{00000000-0005-0000-0000-0000A5A50000}"/>
    <cellStyle name="Normal 45 2 2 2" xfId="38992" xr:uid="{00000000-0005-0000-0000-0000A6A50000}"/>
    <cellStyle name="Normal 45 3" xfId="23001" xr:uid="{00000000-0005-0000-0000-0000A7A50000}"/>
    <cellStyle name="Normal 45 4" xfId="22576" xr:uid="{00000000-0005-0000-0000-0000A8A50000}"/>
    <cellStyle name="Normal 45 4 2" xfId="38887" xr:uid="{00000000-0005-0000-0000-0000A9A50000}"/>
    <cellStyle name="Normal 45 5" xfId="52448" xr:uid="{00000000-0005-0000-0000-0000AAA50000}"/>
    <cellStyle name="Normal 450" xfId="2811" xr:uid="{00000000-0005-0000-0000-0000ABA50000}"/>
    <cellStyle name="Normal 450 2" xfId="4833" xr:uid="{00000000-0005-0000-0000-0000ACA50000}"/>
    <cellStyle name="Normal 450 2 2" xfId="8658" xr:uid="{00000000-0005-0000-0000-0000ADA50000}"/>
    <cellStyle name="Normal 450 2 2 2" xfId="16454" xr:uid="{00000000-0005-0000-0000-0000AEA50000}"/>
    <cellStyle name="Normal 450 2 2 2 2" xfId="34089" xr:uid="{00000000-0005-0000-0000-0000AFA50000}"/>
    <cellStyle name="Normal 450 2 2 3" xfId="27059" xr:uid="{00000000-0005-0000-0000-0000B0A50000}"/>
    <cellStyle name="Normal 450 2 3" xfId="12956" xr:uid="{00000000-0005-0000-0000-0000B1A50000}"/>
    <cellStyle name="Normal 450 2 3 2" xfId="30605" xr:uid="{00000000-0005-0000-0000-0000B2A50000}"/>
    <cellStyle name="Normal 450 2 4" xfId="24194" xr:uid="{00000000-0005-0000-0000-0000B3A50000}"/>
    <cellStyle name="Normal 450 3" xfId="4832" xr:uid="{00000000-0005-0000-0000-0000B4A50000}"/>
    <cellStyle name="Normal 450 4" xfId="7976" xr:uid="{00000000-0005-0000-0000-0000B5A50000}"/>
    <cellStyle name="Normal 450 4 2" xfId="15773" xr:uid="{00000000-0005-0000-0000-0000B6A50000}"/>
    <cellStyle name="Normal 450 4 2 2" xfId="33408" xr:uid="{00000000-0005-0000-0000-0000B7A50000}"/>
    <cellStyle name="Normal 450 4 3" xfId="26392" xr:uid="{00000000-0005-0000-0000-0000B8A50000}"/>
    <cellStyle name="Normal 450 5" xfId="11936" xr:uid="{00000000-0005-0000-0000-0000B9A50000}"/>
    <cellStyle name="Normal 450 5 2" xfId="29619" xr:uid="{00000000-0005-0000-0000-0000BAA50000}"/>
    <cellStyle name="Normal 450 6" xfId="23527" xr:uid="{00000000-0005-0000-0000-0000BBA50000}"/>
    <cellStyle name="Normal 450 7" xfId="52449" xr:uid="{00000000-0005-0000-0000-0000BCA50000}"/>
    <cellStyle name="Normal 451" xfId="2812" xr:uid="{00000000-0005-0000-0000-0000BDA50000}"/>
    <cellStyle name="Normal 451 2" xfId="4835" xr:uid="{00000000-0005-0000-0000-0000BEA50000}"/>
    <cellStyle name="Normal 451 2 2" xfId="8659" xr:uid="{00000000-0005-0000-0000-0000BFA50000}"/>
    <cellStyle name="Normal 451 2 2 2" xfId="16455" xr:uid="{00000000-0005-0000-0000-0000C0A50000}"/>
    <cellStyle name="Normal 451 2 2 2 2" xfId="34090" xr:uid="{00000000-0005-0000-0000-0000C1A50000}"/>
    <cellStyle name="Normal 451 2 2 3" xfId="27060" xr:uid="{00000000-0005-0000-0000-0000C2A50000}"/>
    <cellStyle name="Normal 451 2 3" xfId="12957" xr:uid="{00000000-0005-0000-0000-0000C3A50000}"/>
    <cellStyle name="Normal 451 2 3 2" xfId="30606" xr:uid="{00000000-0005-0000-0000-0000C4A50000}"/>
    <cellStyle name="Normal 451 2 4" xfId="24195" xr:uid="{00000000-0005-0000-0000-0000C5A50000}"/>
    <cellStyle name="Normal 451 3" xfId="4834" xr:uid="{00000000-0005-0000-0000-0000C6A50000}"/>
    <cellStyle name="Normal 451 4" xfId="7977" xr:uid="{00000000-0005-0000-0000-0000C7A50000}"/>
    <cellStyle name="Normal 451 4 2" xfId="15774" xr:uid="{00000000-0005-0000-0000-0000C8A50000}"/>
    <cellStyle name="Normal 451 4 2 2" xfId="33409" xr:uid="{00000000-0005-0000-0000-0000C9A50000}"/>
    <cellStyle name="Normal 451 4 3" xfId="26393" xr:uid="{00000000-0005-0000-0000-0000CAA50000}"/>
    <cellStyle name="Normal 451 5" xfId="11937" xr:uid="{00000000-0005-0000-0000-0000CBA50000}"/>
    <cellStyle name="Normal 451 5 2" xfId="29620" xr:uid="{00000000-0005-0000-0000-0000CCA50000}"/>
    <cellStyle name="Normal 451 6" xfId="23528" xr:uid="{00000000-0005-0000-0000-0000CDA50000}"/>
    <cellStyle name="Normal 451 7" xfId="52450" xr:uid="{00000000-0005-0000-0000-0000CEA50000}"/>
    <cellStyle name="Normal 452" xfId="2813" xr:uid="{00000000-0005-0000-0000-0000CFA50000}"/>
    <cellStyle name="Normal 452 2" xfId="4837" xr:uid="{00000000-0005-0000-0000-0000D0A50000}"/>
    <cellStyle name="Normal 452 2 2" xfId="8660" xr:uid="{00000000-0005-0000-0000-0000D1A50000}"/>
    <cellStyle name="Normal 452 2 2 2" xfId="16456" xr:uid="{00000000-0005-0000-0000-0000D2A50000}"/>
    <cellStyle name="Normal 452 2 2 2 2" xfId="34091" xr:uid="{00000000-0005-0000-0000-0000D3A50000}"/>
    <cellStyle name="Normal 452 2 2 3" xfId="27061" xr:uid="{00000000-0005-0000-0000-0000D4A50000}"/>
    <cellStyle name="Normal 452 2 3" xfId="12958" xr:uid="{00000000-0005-0000-0000-0000D5A50000}"/>
    <cellStyle name="Normal 452 2 3 2" xfId="30607" xr:uid="{00000000-0005-0000-0000-0000D6A50000}"/>
    <cellStyle name="Normal 452 2 4" xfId="24196" xr:uid="{00000000-0005-0000-0000-0000D7A50000}"/>
    <cellStyle name="Normal 452 3" xfId="4836" xr:uid="{00000000-0005-0000-0000-0000D8A50000}"/>
    <cellStyle name="Normal 452 4" xfId="7978" xr:uid="{00000000-0005-0000-0000-0000D9A50000}"/>
    <cellStyle name="Normal 452 4 2" xfId="15775" xr:uid="{00000000-0005-0000-0000-0000DAA50000}"/>
    <cellStyle name="Normal 452 4 2 2" xfId="33410" xr:uid="{00000000-0005-0000-0000-0000DBA50000}"/>
    <cellStyle name="Normal 452 4 3" xfId="26394" xr:uid="{00000000-0005-0000-0000-0000DCA50000}"/>
    <cellStyle name="Normal 452 5" xfId="11938" xr:uid="{00000000-0005-0000-0000-0000DDA50000}"/>
    <cellStyle name="Normal 452 5 2" xfId="29621" xr:uid="{00000000-0005-0000-0000-0000DEA50000}"/>
    <cellStyle name="Normal 452 6" xfId="23529" xr:uid="{00000000-0005-0000-0000-0000DFA50000}"/>
    <cellStyle name="Normal 452 7" xfId="52451" xr:uid="{00000000-0005-0000-0000-0000E0A50000}"/>
    <cellStyle name="Normal 453" xfId="2814" xr:uid="{00000000-0005-0000-0000-0000E1A50000}"/>
    <cellStyle name="Normal 453 2" xfId="4839" xr:uid="{00000000-0005-0000-0000-0000E2A50000}"/>
    <cellStyle name="Normal 453 2 2" xfId="8661" xr:uid="{00000000-0005-0000-0000-0000E3A50000}"/>
    <cellStyle name="Normal 453 2 2 2" xfId="16457" xr:uid="{00000000-0005-0000-0000-0000E4A50000}"/>
    <cellStyle name="Normal 453 2 2 2 2" xfId="34092" xr:uid="{00000000-0005-0000-0000-0000E5A50000}"/>
    <cellStyle name="Normal 453 2 2 3" xfId="27062" xr:uid="{00000000-0005-0000-0000-0000E6A50000}"/>
    <cellStyle name="Normal 453 2 3" xfId="12959" xr:uid="{00000000-0005-0000-0000-0000E7A50000}"/>
    <cellStyle name="Normal 453 2 3 2" xfId="30608" xr:uid="{00000000-0005-0000-0000-0000E8A50000}"/>
    <cellStyle name="Normal 453 2 4" xfId="24197" xr:uid="{00000000-0005-0000-0000-0000E9A50000}"/>
    <cellStyle name="Normal 453 3" xfId="4838" xr:uid="{00000000-0005-0000-0000-0000EAA50000}"/>
    <cellStyle name="Normal 453 4" xfId="7979" xr:uid="{00000000-0005-0000-0000-0000EBA50000}"/>
    <cellStyle name="Normal 453 4 2" xfId="15776" xr:uid="{00000000-0005-0000-0000-0000ECA50000}"/>
    <cellStyle name="Normal 453 4 2 2" xfId="33411" xr:uid="{00000000-0005-0000-0000-0000EDA50000}"/>
    <cellStyle name="Normal 453 4 3" xfId="26395" xr:uid="{00000000-0005-0000-0000-0000EEA50000}"/>
    <cellStyle name="Normal 453 5" xfId="11939" xr:uid="{00000000-0005-0000-0000-0000EFA50000}"/>
    <cellStyle name="Normal 453 5 2" xfId="29622" xr:uid="{00000000-0005-0000-0000-0000F0A50000}"/>
    <cellStyle name="Normal 453 6" xfId="23530" xr:uid="{00000000-0005-0000-0000-0000F1A50000}"/>
    <cellStyle name="Normal 453 7" xfId="52452" xr:uid="{00000000-0005-0000-0000-0000F2A50000}"/>
    <cellStyle name="Normal 454" xfId="2815" xr:uid="{00000000-0005-0000-0000-0000F3A50000}"/>
    <cellStyle name="Normal 454 2" xfId="4841" xr:uid="{00000000-0005-0000-0000-0000F4A50000}"/>
    <cellStyle name="Normal 454 2 2" xfId="8662" xr:uid="{00000000-0005-0000-0000-0000F5A50000}"/>
    <cellStyle name="Normal 454 2 2 2" xfId="16458" xr:uid="{00000000-0005-0000-0000-0000F6A50000}"/>
    <cellStyle name="Normal 454 2 2 2 2" xfId="34093" xr:uid="{00000000-0005-0000-0000-0000F7A50000}"/>
    <cellStyle name="Normal 454 2 2 3" xfId="27063" xr:uid="{00000000-0005-0000-0000-0000F8A50000}"/>
    <cellStyle name="Normal 454 2 3" xfId="12960" xr:uid="{00000000-0005-0000-0000-0000F9A50000}"/>
    <cellStyle name="Normal 454 2 3 2" xfId="30609" xr:uid="{00000000-0005-0000-0000-0000FAA50000}"/>
    <cellStyle name="Normal 454 2 4" xfId="24198" xr:uid="{00000000-0005-0000-0000-0000FBA50000}"/>
    <cellStyle name="Normal 454 3" xfId="4840" xr:uid="{00000000-0005-0000-0000-0000FCA50000}"/>
    <cellStyle name="Normal 454 4" xfId="7980" xr:uid="{00000000-0005-0000-0000-0000FDA50000}"/>
    <cellStyle name="Normal 454 4 2" xfId="15777" xr:uid="{00000000-0005-0000-0000-0000FEA50000}"/>
    <cellStyle name="Normal 454 4 2 2" xfId="33412" xr:uid="{00000000-0005-0000-0000-0000FFA50000}"/>
    <cellStyle name="Normal 454 4 3" xfId="26396" xr:uid="{00000000-0005-0000-0000-000000A60000}"/>
    <cellStyle name="Normal 454 5" xfId="11940" xr:uid="{00000000-0005-0000-0000-000001A60000}"/>
    <cellStyle name="Normal 454 5 2" xfId="29623" xr:uid="{00000000-0005-0000-0000-000002A60000}"/>
    <cellStyle name="Normal 454 6" xfId="23531" xr:uid="{00000000-0005-0000-0000-000003A60000}"/>
    <cellStyle name="Normal 454 7" xfId="52453" xr:uid="{00000000-0005-0000-0000-000004A60000}"/>
    <cellStyle name="Normal 455" xfId="2816" xr:uid="{00000000-0005-0000-0000-000005A60000}"/>
    <cellStyle name="Normal 455 2" xfId="4843" xr:uid="{00000000-0005-0000-0000-000006A60000}"/>
    <cellStyle name="Normal 455 2 2" xfId="8663" xr:uid="{00000000-0005-0000-0000-000007A60000}"/>
    <cellStyle name="Normal 455 2 2 2" xfId="16459" xr:uid="{00000000-0005-0000-0000-000008A60000}"/>
    <cellStyle name="Normal 455 2 2 2 2" xfId="34094" xr:uid="{00000000-0005-0000-0000-000009A60000}"/>
    <cellStyle name="Normal 455 2 2 3" xfId="27064" xr:uid="{00000000-0005-0000-0000-00000AA60000}"/>
    <cellStyle name="Normal 455 2 3" xfId="12961" xr:uid="{00000000-0005-0000-0000-00000BA60000}"/>
    <cellStyle name="Normal 455 2 3 2" xfId="30610" xr:uid="{00000000-0005-0000-0000-00000CA60000}"/>
    <cellStyle name="Normal 455 2 4" xfId="24199" xr:uid="{00000000-0005-0000-0000-00000DA60000}"/>
    <cellStyle name="Normal 455 3" xfId="4842" xr:uid="{00000000-0005-0000-0000-00000EA60000}"/>
    <cellStyle name="Normal 455 4" xfId="7981" xr:uid="{00000000-0005-0000-0000-00000FA60000}"/>
    <cellStyle name="Normal 455 4 2" xfId="15778" xr:uid="{00000000-0005-0000-0000-000010A60000}"/>
    <cellStyle name="Normal 455 4 2 2" xfId="33413" xr:uid="{00000000-0005-0000-0000-000011A60000}"/>
    <cellStyle name="Normal 455 4 3" xfId="26397" xr:uid="{00000000-0005-0000-0000-000012A60000}"/>
    <cellStyle name="Normal 455 5" xfId="11941" xr:uid="{00000000-0005-0000-0000-000013A60000}"/>
    <cellStyle name="Normal 455 5 2" xfId="29624" xr:uid="{00000000-0005-0000-0000-000014A60000}"/>
    <cellStyle name="Normal 455 6" xfId="23532" xr:uid="{00000000-0005-0000-0000-000015A60000}"/>
    <cellStyle name="Normal 455 7" xfId="52454" xr:uid="{00000000-0005-0000-0000-000016A60000}"/>
    <cellStyle name="Normal 456" xfId="2817" xr:uid="{00000000-0005-0000-0000-000017A60000}"/>
    <cellStyle name="Normal 456 2" xfId="4845" xr:uid="{00000000-0005-0000-0000-000018A60000}"/>
    <cellStyle name="Normal 456 2 2" xfId="8664" xr:uid="{00000000-0005-0000-0000-000019A60000}"/>
    <cellStyle name="Normal 456 2 2 2" xfId="16460" xr:uid="{00000000-0005-0000-0000-00001AA60000}"/>
    <cellStyle name="Normal 456 2 2 2 2" xfId="34095" xr:uid="{00000000-0005-0000-0000-00001BA60000}"/>
    <cellStyle name="Normal 456 2 2 3" xfId="27065" xr:uid="{00000000-0005-0000-0000-00001CA60000}"/>
    <cellStyle name="Normal 456 2 3" xfId="12962" xr:uid="{00000000-0005-0000-0000-00001DA60000}"/>
    <cellStyle name="Normal 456 2 3 2" xfId="30611" xr:uid="{00000000-0005-0000-0000-00001EA60000}"/>
    <cellStyle name="Normal 456 2 4" xfId="24200" xr:uid="{00000000-0005-0000-0000-00001FA60000}"/>
    <cellStyle name="Normal 456 3" xfId="4844" xr:uid="{00000000-0005-0000-0000-000020A60000}"/>
    <cellStyle name="Normal 456 4" xfId="7982" xr:uid="{00000000-0005-0000-0000-000021A60000}"/>
    <cellStyle name="Normal 456 4 2" xfId="15779" xr:uid="{00000000-0005-0000-0000-000022A60000}"/>
    <cellStyle name="Normal 456 4 2 2" xfId="33414" xr:uid="{00000000-0005-0000-0000-000023A60000}"/>
    <cellStyle name="Normal 456 4 3" xfId="26398" xr:uid="{00000000-0005-0000-0000-000024A60000}"/>
    <cellStyle name="Normal 456 5" xfId="11942" xr:uid="{00000000-0005-0000-0000-000025A60000}"/>
    <cellStyle name="Normal 456 5 2" xfId="29625" xr:uid="{00000000-0005-0000-0000-000026A60000}"/>
    <cellStyle name="Normal 456 6" xfId="23533" xr:uid="{00000000-0005-0000-0000-000027A60000}"/>
    <cellStyle name="Normal 456 7" xfId="52455" xr:uid="{00000000-0005-0000-0000-000028A60000}"/>
    <cellStyle name="Normal 457" xfId="2818" xr:uid="{00000000-0005-0000-0000-000029A60000}"/>
    <cellStyle name="Normal 457 2" xfId="4847" xr:uid="{00000000-0005-0000-0000-00002AA60000}"/>
    <cellStyle name="Normal 457 2 2" xfId="8665" xr:uid="{00000000-0005-0000-0000-00002BA60000}"/>
    <cellStyle name="Normal 457 2 2 2" xfId="16461" xr:uid="{00000000-0005-0000-0000-00002CA60000}"/>
    <cellStyle name="Normal 457 2 2 2 2" xfId="34096" xr:uid="{00000000-0005-0000-0000-00002DA60000}"/>
    <cellStyle name="Normal 457 2 2 3" xfId="27066" xr:uid="{00000000-0005-0000-0000-00002EA60000}"/>
    <cellStyle name="Normal 457 2 3" xfId="12963" xr:uid="{00000000-0005-0000-0000-00002FA60000}"/>
    <cellStyle name="Normal 457 2 3 2" xfId="30612" xr:uid="{00000000-0005-0000-0000-000030A60000}"/>
    <cellStyle name="Normal 457 2 4" xfId="24201" xr:uid="{00000000-0005-0000-0000-000031A60000}"/>
    <cellStyle name="Normal 457 3" xfId="4846" xr:uid="{00000000-0005-0000-0000-000032A60000}"/>
    <cellStyle name="Normal 457 4" xfId="7983" xr:uid="{00000000-0005-0000-0000-000033A60000}"/>
    <cellStyle name="Normal 457 4 2" xfId="15780" xr:uid="{00000000-0005-0000-0000-000034A60000}"/>
    <cellStyle name="Normal 457 4 2 2" xfId="33415" xr:uid="{00000000-0005-0000-0000-000035A60000}"/>
    <cellStyle name="Normal 457 4 3" xfId="26399" xr:uid="{00000000-0005-0000-0000-000036A60000}"/>
    <cellStyle name="Normal 457 5" xfId="11943" xr:uid="{00000000-0005-0000-0000-000037A60000}"/>
    <cellStyle name="Normal 457 5 2" xfId="29626" xr:uid="{00000000-0005-0000-0000-000038A60000}"/>
    <cellStyle name="Normal 457 6" xfId="23534" xr:uid="{00000000-0005-0000-0000-000039A60000}"/>
    <cellStyle name="Normal 457 7" xfId="52456" xr:uid="{00000000-0005-0000-0000-00003AA60000}"/>
    <cellStyle name="Normal 458" xfId="2819" xr:uid="{00000000-0005-0000-0000-00003BA60000}"/>
    <cellStyle name="Normal 458 2" xfId="4849" xr:uid="{00000000-0005-0000-0000-00003CA60000}"/>
    <cellStyle name="Normal 458 2 2" xfId="8666" xr:uid="{00000000-0005-0000-0000-00003DA60000}"/>
    <cellStyle name="Normal 458 2 2 2" xfId="16462" xr:uid="{00000000-0005-0000-0000-00003EA60000}"/>
    <cellStyle name="Normal 458 2 2 2 2" xfId="34097" xr:uid="{00000000-0005-0000-0000-00003FA60000}"/>
    <cellStyle name="Normal 458 2 2 3" xfId="27067" xr:uid="{00000000-0005-0000-0000-000040A60000}"/>
    <cellStyle name="Normal 458 2 3" xfId="12964" xr:uid="{00000000-0005-0000-0000-000041A60000}"/>
    <cellStyle name="Normal 458 2 3 2" xfId="30613" xr:uid="{00000000-0005-0000-0000-000042A60000}"/>
    <cellStyle name="Normal 458 2 4" xfId="24202" xr:uid="{00000000-0005-0000-0000-000043A60000}"/>
    <cellStyle name="Normal 458 3" xfId="4848" xr:uid="{00000000-0005-0000-0000-000044A60000}"/>
    <cellStyle name="Normal 458 4" xfId="7984" xr:uid="{00000000-0005-0000-0000-000045A60000}"/>
    <cellStyle name="Normal 458 4 2" xfId="15781" xr:uid="{00000000-0005-0000-0000-000046A60000}"/>
    <cellStyle name="Normal 458 4 2 2" xfId="33416" xr:uid="{00000000-0005-0000-0000-000047A60000}"/>
    <cellStyle name="Normal 458 4 3" xfId="26400" xr:uid="{00000000-0005-0000-0000-000048A60000}"/>
    <cellStyle name="Normal 458 5" xfId="11944" xr:uid="{00000000-0005-0000-0000-000049A60000}"/>
    <cellStyle name="Normal 458 5 2" xfId="29627" xr:uid="{00000000-0005-0000-0000-00004AA60000}"/>
    <cellStyle name="Normal 458 6" xfId="23535" xr:uid="{00000000-0005-0000-0000-00004BA60000}"/>
    <cellStyle name="Normal 458 7" xfId="52457" xr:uid="{00000000-0005-0000-0000-00004CA60000}"/>
    <cellStyle name="Normal 459" xfId="2820" xr:uid="{00000000-0005-0000-0000-00004DA60000}"/>
    <cellStyle name="Normal 459 2" xfId="4851" xr:uid="{00000000-0005-0000-0000-00004EA60000}"/>
    <cellStyle name="Normal 459 2 2" xfId="8667" xr:uid="{00000000-0005-0000-0000-00004FA60000}"/>
    <cellStyle name="Normal 459 2 2 2" xfId="16463" xr:uid="{00000000-0005-0000-0000-000050A60000}"/>
    <cellStyle name="Normal 459 2 2 2 2" xfId="34098" xr:uid="{00000000-0005-0000-0000-000051A60000}"/>
    <cellStyle name="Normal 459 2 2 3" xfId="27068" xr:uid="{00000000-0005-0000-0000-000052A60000}"/>
    <cellStyle name="Normal 459 2 3" xfId="12965" xr:uid="{00000000-0005-0000-0000-000053A60000}"/>
    <cellStyle name="Normal 459 2 3 2" xfId="30614" xr:uid="{00000000-0005-0000-0000-000054A60000}"/>
    <cellStyle name="Normal 459 2 4" xfId="24203" xr:uid="{00000000-0005-0000-0000-000055A60000}"/>
    <cellStyle name="Normal 459 3" xfId="4850" xr:uid="{00000000-0005-0000-0000-000056A60000}"/>
    <cellStyle name="Normal 459 4" xfId="7985" xr:uid="{00000000-0005-0000-0000-000057A60000}"/>
    <cellStyle name="Normal 459 4 2" xfId="15782" xr:uid="{00000000-0005-0000-0000-000058A60000}"/>
    <cellStyle name="Normal 459 4 2 2" xfId="33417" xr:uid="{00000000-0005-0000-0000-000059A60000}"/>
    <cellStyle name="Normal 459 4 3" xfId="26401" xr:uid="{00000000-0005-0000-0000-00005AA60000}"/>
    <cellStyle name="Normal 459 5" xfId="11945" xr:uid="{00000000-0005-0000-0000-00005BA60000}"/>
    <cellStyle name="Normal 459 5 2" xfId="29628" xr:uid="{00000000-0005-0000-0000-00005CA60000}"/>
    <cellStyle name="Normal 459 6" xfId="23536" xr:uid="{00000000-0005-0000-0000-00005DA60000}"/>
    <cellStyle name="Normal 459 7" xfId="52458" xr:uid="{00000000-0005-0000-0000-00005EA60000}"/>
    <cellStyle name="Normal 46" xfId="2821" xr:uid="{00000000-0005-0000-0000-00005FA60000}"/>
    <cellStyle name="Normal 46 2" xfId="4852" xr:uid="{00000000-0005-0000-0000-000060A60000}"/>
    <cellStyle name="Normal 46 2 2" xfId="22786" xr:uid="{00000000-0005-0000-0000-000061A60000}"/>
    <cellStyle name="Normal 46 2 2 2" xfId="38993" xr:uid="{00000000-0005-0000-0000-000062A60000}"/>
    <cellStyle name="Normal 46 3" xfId="23002" xr:uid="{00000000-0005-0000-0000-000063A60000}"/>
    <cellStyle name="Normal 46 4" xfId="22577" xr:uid="{00000000-0005-0000-0000-000064A60000}"/>
    <cellStyle name="Normal 46 4 2" xfId="38888" xr:uid="{00000000-0005-0000-0000-000065A60000}"/>
    <cellStyle name="Normal 46 5" xfId="52459" xr:uid="{00000000-0005-0000-0000-000066A60000}"/>
    <cellStyle name="Normal 460" xfId="2822" xr:uid="{00000000-0005-0000-0000-000067A60000}"/>
    <cellStyle name="Normal 460 2" xfId="4854" xr:uid="{00000000-0005-0000-0000-000068A60000}"/>
    <cellStyle name="Normal 460 2 2" xfId="8668" xr:uid="{00000000-0005-0000-0000-000069A60000}"/>
    <cellStyle name="Normal 460 2 2 2" xfId="16464" xr:uid="{00000000-0005-0000-0000-00006AA60000}"/>
    <cellStyle name="Normal 460 2 2 2 2" xfId="34099" xr:uid="{00000000-0005-0000-0000-00006BA60000}"/>
    <cellStyle name="Normal 460 2 2 3" xfId="27069" xr:uid="{00000000-0005-0000-0000-00006CA60000}"/>
    <cellStyle name="Normal 460 2 3" xfId="12966" xr:uid="{00000000-0005-0000-0000-00006DA60000}"/>
    <cellStyle name="Normal 460 2 3 2" xfId="30615" xr:uid="{00000000-0005-0000-0000-00006EA60000}"/>
    <cellStyle name="Normal 460 2 4" xfId="24204" xr:uid="{00000000-0005-0000-0000-00006FA60000}"/>
    <cellStyle name="Normal 460 3" xfId="4853" xr:uid="{00000000-0005-0000-0000-000070A60000}"/>
    <cellStyle name="Normal 460 4" xfId="7986" xr:uid="{00000000-0005-0000-0000-000071A60000}"/>
    <cellStyle name="Normal 460 4 2" xfId="15783" xr:uid="{00000000-0005-0000-0000-000072A60000}"/>
    <cellStyle name="Normal 460 4 2 2" xfId="33418" xr:uid="{00000000-0005-0000-0000-000073A60000}"/>
    <cellStyle name="Normal 460 4 3" xfId="26402" xr:uid="{00000000-0005-0000-0000-000074A60000}"/>
    <cellStyle name="Normal 460 5" xfId="11946" xr:uid="{00000000-0005-0000-0000-000075A60000}"/>
    <cellStyle name="Normal 460 5 2" xfId="29629" xr:uid="{00000000-0005-0000-0000-000076A60000}"/>
    <cellStyle name="Normal 460 6" xfId="23537" xr:uid="{00000000-0005-0000-0000-000077A60000}"/>
    <cellStyle name="Normal 460 7" xfId="52460" xr:uid="{00000000-0005-0000-0000-000078A60000}"/>
    <cellStyle name="Normal 461" xfId="2823" xr:uid="{00000000-0005-0000-0000-000079A60000}"/>
    <cellStyle name="Normal 461 2" xfId="4856" xr:uid="{00000000-0005-0000-0000-00007AA60000}"/>
    <cellStyle name="Normal 461 2 2" xfId="8669" xr:uid="{00000000-0005-0000-0000-00007BA60000}"/>
    <cellStyle name="Normal 461 2 2 2" xfId="16465" xr:uid="{00000000-0005-0000-0000-00007CA60000}"/>
    <cellStyle name="Normal 461 2 2 2 2" xfId="34100" xr:uid="{00000000-0005-0000-0000-00007DA60000}"/>
    <cellStyle name="Normal 461 2 2 3" xfId="27070" xr:uid="{00000000-0005-0000-0000-00007EA60000}"/>
    <cellStyle name="Normal 461 2 3" xfId="12967" xr:uid="{00000000-0005-0000-0000-00007FA60000}"/>
    <cellStyle name="Normal 461 2 3 2" xfId="30616" xr:uid="{00000000-0005-0000-0000-000080A60000}"/>
    <cellStyle name="Normal 461 2 4" xfId="24205" xr:uid="{00000000-0005-0000-0000-000081A60000}"/>
    <cellStyle name="Normal 461 3" xfId="4855" xr:uid="{00000000-0005-0000-0000-000082A60000}"/>
    <cellStyle name="Normal 461 4" xfId="7987" xr:uid="{00000000-0005-0000-0000-000083A60000}"/>
    <cellStyle name="Normal 461 4 2" xfId="15784" xr:uid="{00000000-0005-0000-0000-000084A60000}"/>
    <cellStyle name="Normal 461 4 2 2" xfId="33419" xr:uid="{00000000-0005-0000-0000-000085A60000}"/>
    <cellStyle name="Normal 461 4 3" xfId="26403" xr:uid="{00000000-0005-0000-0000-000086A60000}"/>
    <cellStyle name="Normal 461 5" xfId="11947" xr:uid="{00000000-0005-0000-0000-000087A60000}"/>
    <cellStyle name="Normal 461 5 2" xfId="29630" xr:uid="{00000000-0005-0000-0000-000088A60000}"/>
    <cellStyle name="Normal 461 6" xfId="23538" xr:uid="{00000000-0005-0000-0000-000089A60000}"/>
    <cellStyle name="Normal 461 7" xfId="52461" xr:uid="{00000000-0005-0000-0000-00008AA60000}"/>
    <cellStyle name="Normal 462" xfId="2824" xr:uid="{00000000-0005-0000-0000-00008BA60000}"/>
    <cellStyle name="Normal 462 2" xfId="4858" xr:uid="{00000000-0005-0000-0000-00008CA60000}"/>
    <cellStyle name="Normal 462 2 2" xfId="8670" xr:uid="{00000000-0005-0000-0000-00008DA60000}"/>
    <cellStyle name="Normal 462 2 2 2" xfId="16466" xr:uid="{00000000-0005-0000-0000-00008EA60000}"/>
    <cellStyle name="Normal 462 2 2 2 2" xfId="34101" xr:uid="{00000000-0005-0000-0000-00008FA60000}"/>
    <cellStyle name="Normal 462 2 2 3" xfId="27071" xr:uid="{00000000-0005-0000-0000-000090A60000}"/>
    <cellStyle name="Normal 462 2 3" xfId="12968" xr:uid="{00000000-0005-0000-0000-000091A60000}"/>
    <cellStyle name="Normal 462 2 3 2" xfId="30617" xr:uid="{00000000-0005-0000-0000-000092A60000}"/>
    <cellStyle name="Normal 462 2 4" xfId="24206" xr:uid="{00000000-0005-0000-0000-000093A60000}"/>
    <cellStyle name="Normal 462 3" xfId="4857" xr:uid="{00000000-0005-0000-0000-000094A60000}"/>
    <cellStyle name="Normal 462 4" xfId="7988" xr:uid="{00000000-0005-0000-0000-000095A60000}"/>
    <cellStyle name="Normal 462 4 2" xfId="15785" xr:uid="{00000000-0005-0000-0000-000096A60000}"/>
    <cellStyle name="Normal 462 4 2 2" xfId="33420" xr:uid="{00000000-0005-0000-0000-000097A60000}"/>
    <cellStyle name="Normal 462 4 3" xfId="26404" xr:uid="{00000000-0005-0000-0000-000098A60000}"/>
    <cellStyle name="Normal 462 5" xfId="11948" xr:uid="{00000000-0005-0000-0000-000099A60000}"/>
    <cellStyle name="Normal 462 5 2" xfId="29631" xr:uid="{00000000-0005-0000-0000-00009AA60000}"/>
    <cellStyle name="Normal 462 6" xfId="23539" xr:uid="{00000000-0005-0000-0000-00009BA60000}"/>
    <cellStyle name="Normal 462 7" xfId="52462" xr:uid="{00000000-0005-0000-0000-00009CA60000}"/>
    <cellStyle name="Normal 463" xfId="2825" xr:uid="{00000000-0005-0000-0000-00009DA60000}"/>
    <cellStyle name="Normal 463 2" xfId="4860" xr:uid="{00000000-0005-0000-0000-00009EA60000}"/>
    <cellStyle name="Normal 463 2 2" xfId="8671" xr:uid="{00000000-0005-0000-0000-00009FA60000}"/>
    <cellStyle name="Normal 463 2 2 2" xfId="16467" xr:uid="{00000000-0005-0000-0000-0000A0A60000}"/>
    <cellStyle name="Normal 463 2 2 2 2" xfId="34102" xr:uid="{00000000-0005-0000-0000-0000A1A60000}"/>
    <cellStyle name="Normal 463 2 2 3" xfId="27072" xr:uid="{00000000-0005-0000-0000-0000A2A60000}"/>
    <cellStyle name="Normal 463 2 3" xfId="12969" xr:uid="{00000000-0005-0000-0000-0000A3A60000}"/>
    <cellStyle name="Normal 463 2 3 2" xfId="30618" xr:uid="{00000000-0005-0000-0000-0000A4A60000}"/>
    <cellStyle name="Normal 463 2 4" xfId="24207" xr:uid="{00000000-0005-0000-0000-0000A5A60000}"/>
    <cellStyle name="Normal 463 3" xfId="4859" xr:uid="{00000000-0005-0000-0000-0000A6A60000}"/>
    <cellStyle name="Normal 463 4" xfId="7989" xr:uid="{00000000-0005-0000-0000-0000A7A60000}"/>
    <cellStyle name="Normal 463 4 2" xfId="15786" xr:uid="{00000000-0005-0000-0000-0000A8A60000}"/>
    <cellStyle name="Normal 463 4 2 2" xfId="33421" xr:uid="{00000000-0005-0000-0000-0000A9A60000}"/>
    <cellStyle name="Normal 463 4 3" xfId="26405" xr:uid="{00000000-0005-0000-0000-0000AAA60000}"/>
    <cellStyle name="Normal 463 5" xfId="11949" xr:uid="{00000000-0005-0000-0000-0000ABA60000}"/>
    <cellStyle name="Normal 463 5 2" xfId="29632" xr:uid="{00000000-0005-0000-0000-0000ACA60000}"/>
    <cellStyle name="Normal 463 6" xfId="23540" xr:uid="{00000000-0005-0000-0000-0000ADA60000}"/>
    <cellStyle name="Normal 463 7" xfId="52463" xr:uid="{00000000-0005-0000-0000-0000AEA60000}"/>
    <cellStyle name="Normal 464" xfId="2826" xr:uid="{00000000-0005-0000-0000-0000AFA60000}"/>
    <cellStyle name="Normal 464 2" xfId="4862" xr:uid="{00000000-0005-0000-0000-0000B0A60000}"/>
    <cellStyle name="Normal 464 2 2" xfId="8672" xr:uid="{00000000-0005-0000-0000-0000B1A60000}"/>
    <cellStyle name="Normal 464 2 2 2" xfId="16468" xr:uid="{00000000-0005-0000-0000-0000B2A60000}"/>
    <cellStyle name="Normal 464 2 2 2 2" xfId="34103" xr:uid="{00000000-0005-0000-0000-0000B3A60000}"/>
    <cellStyle name="Normal 464 2 2 3" xfId="27073" xr:uid="{00000000-0005-0000-0000-0000B4A60000}"/>
    <cellStyle name="Normal 464 2 3" xfId="12970" xr:uid="{00000000-0005-0000-0000-0000B5A60000}"/>
    <cellStyle name="Normal 464 2 3 2" xfId="30619" xr:uid="{00000000-0005-0000-0000-0000B6A60000}"/>
    <cellStyle name="Normal 464 2 4" xfId="24208" xr:uid="{00000000-0005-0000-0000-0000B7A60000}"/>
    <cellStyle name="Normal 464 3" xfId="4861" xr:uid="{00000000-0005-0000-0000-0000B8A60000}"/>
    <cellStyle name="Normal 464 4" xfId="7990" xr:uid="{00000000-0005-0000-0000-0000B9A60000}"/>
    <cellStyle name="Normal 464 4 2" xfId="15787" xr:uid="{00000000-0005-0000-0000-0000BAA60000}"/>
    <cellStyle name="Normal 464 4 2 2" xfId="33422" xr:uid="{00000000-0005-0000-0000-0000BBA60000}"/>
    <cellStyle name="Normal 464 4 3" xfId="26406" xr:uid="{00000000-0005-0000-0000-0000BCA60000}"/>
    <cellStyle name="Normal 464 5" xfId="11950" xr:uid="{00000000-0005-0000-0000-0000BDA60000}"/>
    <cellStyle name="Normal 464 5 2" xfId="29633" xr:uid="{00000000-0005-0000-0000-0000BEA60000}"/>
    <cellStyle name="Normal 464 6" xfId="23541" xr:uid="{00000000-0005-0000-0000-0000BFA60000}"/>
    <cellStyle name="Normal 464 7" xfId="52464" xr:uid="{00000000-0005-0000-0000-0000C0A60000}"/>
    <cellStyle name="Normal 465" xfId="2827" xr:uid="{00000000-0005-0000-0000-0000C1A60000}"/>
    <cellStyle name="Normal 465 2" xfId="4864" xr:uid="{00000000-0005-0000-0000-0000C2A60000}"/>
    <cellStyle name="Normal 465 2 2" xfId="8673" xr:uid="{00000000-0005-0000-0000-0000C3A60000}"/>
    <cellStyle name="Normal 465 2 2 2" xfId="16469" xr:uid="{00000000-0005-0000-0000-0000C4A60000}"/>
    <cellStyle name="Normal 465 2 2 2 2" xfId="34104" xr:uid="{00000000-0005-0000-0000-0000C5A60000}"/>
    <cellStyle name="Normal 465 2 2 3" xfId="27074" xr:uid="{00000000-0005-0000-0000-0000C6A60000}"/>
    <cellStyle name="Normal 465 2 3" xfId="12972" xr:uid="{00000000-0005-0000-0000-0000C7A60000}"/>
    <cellStyle name="Normal 465 2 3 2" xfId="30621" xr:uid="{00000000-0005-0000-0000-0000C8A60000}"/>
    <cellStyle name="Normal 465 2 4" xfId="24209" xr:uid="{00000000-0005-0000-0000-0000C9A60000}"/>
    <cellStyle name="Normal 465 3" xfId="4863" xr:uid="{00000000-0005-0000-0000-0000CAA60000}"/>
    <cellStyle name="Normal 465 4" xfId="7991" xr:uid="{00000000-0005-0000-0000-0000CBA60000}"/>
    <cellStyle name="Normal 465 4 2" xfId="15788" xr:uid="{00000000-0005-0000-0000-0000CCA60000}"/>
    <cellStyle name="Normal 465 4 2 2" xfId="33423" xr:uid="{00000000-0005-0000-0000-0000CDA60000}"/>
    <cellStyle name="Normal 465 4 3" xfId="26407" xr:uid="{00000000-0005-0000-0000-0000CEA60000}"/>
    <cellStyle name="Normal 465 5" xfId="11951" xr:uid="{00000000-0005-0000-0000-0000CFA60000}"/>
    <cellStyle name="Normal 465 5 2" xfId="29634" xr:uid="{00000000-0005-0000-0000-0000D0A60000}"/>
    <cellStyle name="Normal 465 6" xfId="23542" xr:uid="{00000000-0005-0000-0000-0000D1A60000}"/>
    <cellStyle name="Normal 465 7" xfId="52465" xr:uid="{00000000-0005-0000-0000-0000D2A60000}"/>
    <cellStyle name="Normal 466" xfId="2828" xr:uid="{00000000-0005-0000-0000-0000D3A60000}"/>
    <cellStyle name="Normal 466 2" xfId="4866" xr:uid="{00000000-0005-0000-0000-0000D4A60000}"/>
    <cellStyle name="Normal 466 2 2" xfId="8674" xr:uid="{00000000-0005-0000-0000-0000D5A60000}"/>
    <cellStyle name="Normal 466 2 2 2" xfId="16470" xr:uid="{00000000-0005-0000-0000-0000D6A60000}"/>
    <cellStyle name="Normal 466 2 2 2 2" xfId="34105" xr:uid="{00000000-0005-0000-0000-0000D7A60000}"/>
    <cellStyle name="Normal 466 2 2 3" xfId="27075" xr:uid="{00000000-0005-0000-0000-0000D8A60000}"/>
    <cellStyle name="Normal 466 2 3" xfId="12973" xr:uid="{00000000-0005-0000-0000-0000D9A60000}"/>
    <cellStyle name="Normal 466 2 3 2" xfId="30622" xr:uid="{00000000-0005-0000-0000-0000DAA60000}"/>
    <cellStyle name="Normal 466 2 4" xfId="24210" xr:uid="{00000000-0005-0000-0000-0000DBA60000}"/>
    <cellStyle name="Normal 466 3" xfId="4865" xr:uid="{00000000-0005-0000-0000-0000DCA60000}"/>
    <cellStyle name="Normal 466 4" xfId="7992" xr:uid="{00000000-0005-0000-0000-0000DDA60000}"/>
    <cellStyle name="Normal 466 4 2" xfId="15789" xr:uid="{00000000-0005-0000-0000-0000DEA60000}"/>
    <cellStyle name="Normal 466 4 2 2" xfId="33424" xr:uid="{00000000-0005-0000-0000-0000DFA60000}"/>
    <cellStyle name="Normal 466 4 3" xfId="26408" xr:uid="{00000000-0005-0000-0000-0000E0A60000}"/>
    <cellStyle name="Normal 466 5" xfId="11952" xr:uid="{00000000-0005-0000-0000-0000E1A60000}"/>
    <cellStyle name="Normal 466 5 2" xfId="29635" xr:uid="{00000000-0005-0000-0000-0000E2A60000}"/>
    <cellStyle name="Normal 466 6" xfId="23543" xr:uid="{00000000-0005-0000-0000-0000E3A60000}"/>
    <cellStyle name="Normal 466 7" xfId="52466" xr:uid="{00000000-0005-0000-0000-0000E4A60000}"/>
    <cellStyle name="Normal 467" xfId="2829" xr:uid="{00000000-0005-0000-0000-0000E5A60000}"/>
    <cellStyle name="Normal 467 2" xfId="4868" xr:uid="{00000000-0005-0000-0000-0000E6A60000}"/>
    <cellStyle name="Normal 467 2 2" xfId="8675" xr:uid="{00000000-0005-0000-0000-0000E7A60000}"/>
    <cellStyle name="Normal 467 2 2 2" xfId="16471" xr:uid="{00000000-0005-0000-0000-0000E8A60000}"/>
    <cellStyle name="Normal 467 2 2 2 2" xfId="34106" xr:uid="{00000000-0005-0000-0000-0000E9A60000}"/>
    <cellStyle name="Normal 467 2 2 3" xfId="27076" xr:uid="{00000000-0005-0000-0000-0000EAA60000}"/>
    <cellStyle name="Normal 467 2 3" xfId="12974" xr:uid="{00000000-0005-0000-0000-0000EBA60000}"/>
    <cellStyle name="Normal 467 2 3 2" xfId="30623" xr:uid="{00000000-0005-0000-0000-0000ECA60000}"/>
    <cellStyle name="Normal 467 2 4" xfId="24211" xr:uid="{00000000-0005-0000-0000-0000EDA60000}"/>
    <cellStyle name="Normal 467 3" xfId="4867" xr:uid="{00000000-0005-0000-0000-0000EEA60000}"/>
    <cellStyle name="Normal 467 4" xfId="7993" xr:uid="{00000000-0005-0000-0000-0000EFA60000}"/>
    <cellStyle name="Normal 467 4 2" xfId="15790" xr:uid="{00000000-0005-0000-0000-0000F0A60000}"/>
    <cellStyle name="Normal 467 4 2 2" xfId="33425" xr:uid="{00000000-0005-0000-0000-0000F1A60000}"/>
    <cellStyle name="Normal 467 4 3" xfId="26409" xr:uid="{00000000-0005-0000-0000-0000F2A60000}"/>
    <cellStyle name="Normal 467 5" xfId="11953" xr:uid="{00000000-0005-0000-0000-0000F3A60000}"/>
    <cellStyle name="Normal 467 5 2" xfId="29636" xr:uid="{00000000-0005-0000-0000-0000F4A60000}"/>
    <cellStyle name="Normal 467 6" xfId="23544" xr:uid="{00000000-0005-0000-0000-0000F5A60000}"/>
    <cellStyle name="Normal 467 7" xfId="52467" xr:uid="{00000000-0005-0000-0000-0000F6A60000}"/>
    <cellStyle name="Normal 468" xfId="2830" xr:uid="{00000000-0005-0000-0000-0000F7A60000}"/>
    <cellStyle name="Normal 468 2" xfId="4870" xr:uid="{00000000-0005-0000-0000-0000F8A60000}"/>
    <cellStyle name="Normal 468 2 2" xfId="8676" xr:uid="{00000000-0005-0000-0000-0000F9A60000}"/>
    <cellStyle name="Normal 468 2 2 2" xfId="16472" xr:uid="{00000000-0005-0000-0000-0000FAA60000}"/>
    <cellStyle name="Normal 468 2 2 2 2" xfId="34107" xr:uid="{00000000-0005-0000-0000-0000FBA60000}"/>
    <cellStyle name="Normal 468 2 2 3" xfId="27077" xr:uid="{00000000-0005-0000-0000-0000FCA60000}"/>
    <cellStyle name="Normal 468 2 3" xfId="12975" xr:uid="{00000000-0005-0000-0000-0000FDA60000}"/>
    <cellStyle name="Normal 468 2 3 2" xfId="30624" xr:uid="{00000000-0005-0000-0000-0000FEA60000}"/>
    <cellStyle name="Normal 468 2 4" xfId="24212" xr:uid="{00000000-0005-0000-0000-0000FFA60000}"/>
    <cellStyle name="Normal 468 3" xfId="4869" xr:uid="{00000000-0005-0000-0000-000000A70000}"/>
    <cellStyle name="Normal 468 4" xfId="7994" xr:uid="{00000000-0005-0000-0000-000001A70000}"/>
    <cellStyle name="Normal 468 4 2" xfId="15791" xr:uid="{00000000-0005-0000-0000-000002A70000}"/>
    <cellStyle name="Normal 468 4 2 2" xfId="33426" xr:uid="{00000000-0005-0000-0000-000003A70000}"/>
    <cellStyle name="Normal 468 4 3" xfId="26410" xr:uid="{00000000-0005-0000-0000-000004A70000}"/>
    <cellStyle name="Normal 468 5" xfId="11954" xr:uid="{00000000-0005-0000-0000-000005A70000}"/>
    <cellStyle name="Normal 468 5 2" xfId="29637" xr:uid="{00000000-0005-0000-0000-000006A70000}"/>
    <cellStyle name="Normal 468 6" xfId="23545" xr:uid="{00000000-0005-0000-0000-000007A70000}"/>
    <cellStyle name="Normal 468 7" xfId="52468" xr:uid="{00000000-0005-0000-0000-000008A70000}"/>
    <cellStyle name="Normal 469" xfId="2831" xr:uid="{00000000-0005-0000-0000-000009A70000}"/>
    <cellStyle name="Normal 469 2" xfId="4872" xr:uid="{00000000-0005-0000-0000-00000AA70000}"/>
    <cellStyle name="Normal 469 2 2" xfId="8677" xr:uid="{00000000-0005-0000-0000-00000BA70000}"/>
    <cellStyle name="Normal 469 2 2 2" xfId="16473" xr:uid="{00000000-0005-0000-0000-00000CA70000}"/>
    <cellStyle name="Normal 469 2 2 2 2" xfId="34108" xr:uid="{00000000-0005-0000-0000-00000DA70000}"/>
    <cellStyle name="Normal 469 2 2 3" xfId="27078" xr:uid="{00000000-0005-0000-0000-00000EA70000}"/>
    <cellStyle name="Normal 469 2 3" xfId="12976" xr:uid="{00000000-0005-0000-0000-00000FA70000}"/>
    <cellStyle name="Normal 469 2 3 2" xfId="30625" xr:uid="{00000000-0005-0000-0000-000010A70000}"/>
    <cellStyle name="Normal 469 2 4" xfId="24213" xr:uid="{00000000-0005-0000-0000-000011A70000}"/>
    <cellStyle name="Normal 469 3" xfId="4871" xr:uid="{00000000-0005-0000-0000-000012A70000}"/>
    <cellStyle name="Normal 469 4" xfId="7995" xr:uid="{00000000-0005-0000-0000-000013A70000}"/>
    <cellStyle name="Normal 469 4 2" xfId="15792" xr:uid="{00000000-0005-0000-0000-000014A70000}"/>
    <cellStyle name="Normal 469 4 2 2" xfId="33427" xr:uid="{00000000-0005-0000-0000-000015A70000}"/>
    <cellStyle name="Normal 469 4 3" xfId="26411" xr:uid="{00000000-0005-0000-0000-000016A70000}"/>
    <cellStyle name="Normal 469 5" xfId="11955" xr:uid="{00000000-0005-0000-0000-000017A70000}"/>
    <cellStyle name="Normal 469 5 2" xfId="29638" xr:uid="{00000000-0005-0000-0000-000018A70000}"/>
    <cellStyle name="Normal 469 6" xfId="23546" xr:uid="{00000000-0005-0000-0000-000019A70000}"/>
    <cellStyle name="Normal 469 7" xfId="52469" xr:uid="{00000000-0005-0000-0000-00001AA70000}"/>
    <cellStyle name="Normal 47" xfId="2832" xr:uid="{00000000-0005-0000-0000-00001BA70000}"/>
    <cellStyle name="Normal 47 2" xfId="4873" xr:uid="{00000000-0005-0000-0000-00001CA70000}"/>
    <cellStyle name="Normal 47 2 2" xfId="22787" xr:uid="{00000000-0005-0000-0000-00001DA70000}"/>
    <cellStyle name="Normal 47 2 2 2" xfId="38994" xr:uid="{00000000-0005-0000-0000-00001EA70000}"/>
    <cellStyle name="Normal 47 3" xfId="23003" xr:uid="{00000000-0005-0000-0000-00001FA70000}"/>
    <cellStyle name="Normal 47 4" xfId="22578" xr:uid="{00000000-0005-0000-0000-000020A70000}"/>
    <cellStyle name="Normal 47 4 2" xfId="38889" xr:uid="{00000000-0005-0000-0000-000021A70000}"/>
    <cellStyle name="Normal 47 5" xfId="52470" xr:uid="{00000000-0005-0000-0000-000022A70000}"/>
    <cellStyle name="Normal 470" xfId="2833" xr:uid="{00000000-0005-0000-0000-000023A70000}"/>
    <cellStyle name="Normal 470 2" xfId="4875" xr:uid="{00000000-0005-0000-0000-000024A70000}"/>
    <cellStyle name="Normal 470 2 2" xfId="8678" xr:uid="{00000000-0005-0000-0000-000025A70000}"/>
    <cellStyle name="Normal 470 2 2 2" xfId="16474" xr:uid="{00000000-0005-0000-0000-000026A70000}"/>
    <cellStyle name="Normal 470 2 2 2 2" xfId="34109" xr:uid="{00000000-0005-0000-0000-000027A70000}"/>
    <cellStyle name="Normal 470 2 2 3" xfId="27079" xr:uid="{00000000-0005-0000-0000-000028A70000}"/>
    <cellStyle name="Normal 470 2 3" xfId="12977" xr:uid="{00000000-0005-0000-0000-000029A70000}"/>
    <cellStyle name="Normal 470 2 3 2" xfId="30626" xr:uid="{00000000-0005-0000-0000-00002AA70000}"/>
    <cellStyle name="Normal 470 2 4" xfId="24214" xr:uid="{00000000-0005-0000-0000-00002BA70000}"/>
    <cellStyle name="Normal 470 3" xfId="4874" xr:uid="{00000000-0005-0000-0000-00002CA70000}"/>
    <cellStyle name="Normal 470 4" xfId="7996" xr:uid="{00000000-0005-0000-0000-00002DA70000}"/>
    <cellStyle name="Normal 470 4 2" xfId="15793" xr:uid="{00000000-0005-0000-0000-00002EA70000}"/>
    <cellStyle name="Normal 470 4 2 2" xfId="33428" xr:uid="{00000000-0005-0000-0000-00002FA70000}"/>
    <cellStyle name="Normal 470 4 3" xfId="26412" xr:uid="{00000000-0005-0000-0000-000030A70000}"/>
    <cellStyle name="Normal 470 5" xfId="11956" xr:uid="{00000000-0005-0000-0000-000031A70000}"/>
    <cellStyle name="Normal 470 5 2" xfId="29639" xr:uid="{00000000-0005-0000-0000-000032A70000}"/>
    <cellStyle name="Normal 470 6" xfId="23547" xr:uid="{00000000-0005-0000-0000-000033A70000}"/>
    <cellStyle name="Normal 470 7" xfId="52471" xr:uid="{00000000-0005-0000-0000-000034A70000}"/>
    <cellStyle name="Normal 471" xfId="2834" xr:uid="{00000000-0005-0000-0000-000035A70000}"/>
    <cellStyle name="Normal 471 2" xfId="4877" xr:uid="{00000000-0005-0000-0000-000036A70000}"/>
    <cellStyle name="Normal 471 2 2" xfId="8679" xr:uid="{00000000-0005-0000-0000-000037A70000}"/>
    <cellStyle name="Normal 471 2 2 2" xfId="16475" xr:uid="{00000000-0005-0000-0000-000038A70000}"/>
    <cellStyle name="Normal 471 2 2 2 2" xfId="34110" xr:uid="{00000000-0005-0000-0000-000039A70000}"/>
    <cellStyle name="Normal 471 2 2 3" xfId="27080" xr:uid="{00000000-0005-0000-0000-00003AA70000}"/>
    <cellStyle name="Normal 471 2 3" xfId="12978" xr:uid="{00000000-0005-0000-0000-00003BA70000}"/>
    <cellStyle name="Normal 471 2 3 2" xfId="30627" xr:uid="{00000000-0005-0000-0000-00003CA70000}"/>
    <cellStyle name="Normal 471 2 4" xfId="24215" xr:uid="{00000000-0005-0000-0000-00003DA70000}"/>
    <cellStyle name="Normal 471 3" xfId="4876" xr:uid="{00000000-0005-0000-0000-00003EA70000}"/>
    <cellStyle name="Normal 471 4" xfId="7997" xr:uid="{00000000-0005-0000-0000-00003FA70000}"/>
    <cellStyle name="Normal 471 4 2" xfId="15794" xr:uid="{00000000-0005-0000-0000-000040A70000}"/>
    <cellStyle name="Normal 471 4 2 2" xfId="33429" xr:uid="{00000000-0005-0000-0000-000041A70000}"/>
    <cellStyle name="Normal 471 4 3" xfId="26413" xr:uid="{00000000-0005-0000-0000-000042A70000}"/>
    <cellStyle name="Normal 471 5" xfId="11957" xr:uid="{00000000-0005-0000-0000-000043A70000}"/>
    <cellStyle name="Normal 471 5 2" xfId="29640" xr:uid="{00000000-0005-0000-0000-000044A70000}"/>
    <cellStyle name="Normal 471 6" xfId="23548" xr:uid="{00000000-0005-0000-0000-000045A70000}"/>
    <cellStyle name="Normal 471 7" xfId="52472" xr:uid="{00000000-0005-0000-0000-000046A70000}"/>
    <cellStyle name="Normal 472" xfId="2835" xr:uid="{00000000-0005-0000-0000-000047A70000}"/>
    <cellStyle name="Normal 472 2" xfId="4879" xr:uid="{00000000-0005-0000-0000-000048A70000}"/>
    <cellStyle name="Normal 472 2 2" xfId="8680" xr:uid="{00000000-0005-0000-0000-000049A70000}"/>
    <cellStyle name="Normal 472 2 2 2" xfId="16476" xr:uid="{00000000-0005-0000-0000-00004AA70000}"/>
    <cellStyle name="Normal 472 2 2 2 2" xfId="34111" xr:uid="{00000000-0005-0000-0000-00004BA70000}"/>
    <cellStyle name="Normal 472 2 2 3" xfId="27081" xr:uid="{00000000-0005-0000-0000-00004CA70000}"/>
    <cellStyle name="Normal 472 2 3" xfId="12979" xr:uid="{00000000-0005-0000-0000-00004DA70000}"/>
    <cellStyle name="Normal 472 2 3 2" xfId="30628" xr:uid="{00000000-0005-0000-0000-00004EA70000}"/>
    <cellStyle name="Normal 472 2 4" xfId="24216" xr:uid="{00000000-0005-0000-0000-00004FA70000}"/>
    <cellStyle name="Normal 472 3" xfId="4878" xr:uid="{00000000-0005-0000-0000-000050A70000}"/>
    <cellStyle name="Normal 472 4" xfId="7998" xr:uid="{00000000-0005-0000-0000-000051A70000}"/>
    <cellStyle name="Normal 472 4 2" xfId="15795" xr:uid="{00000000-0005-0000-0000-000052A70000}"/>
    <cellStyle name="Normal 472 4 2 2" xfId="33430" xr:uid="{00000000-0005-0000-0000-000053A70000}"/>
    <cellStyle name="Normal 472 4 3" xfId="26414" xr:uid="{00000000-0005-0000-0000-000054A70000}"/>
    <cellStyle name="Normal 472 5" xfId="11958" xr:uid="{00000000-0005-0000-0000-000055A70000}"/>
    <cellStyle name="Normal 472 5 2" xfId="29641" xr:uid="{00000000-0005-0000-0000-000056A70000}"/>
    <cellStyle name="Normal 472 6" xfId="23549" xr:uid="{00000000-0005-0000-0000-000057A70000}"/>
    <cellStyle name="Normal 472 7" xfId="52473" xr:uid="{00000000-0005-0000-0000-000058A70000}"/>
    <cellStyle name="Normal 473" xfId="2836" xr:uid="{00000000-0005-0000-0000-000059A70000}"/>
    <cellStyle name="Normal 473 2" xfId="4881" xr:uid="{00000000-0005-0000-0000-00005AA70000}"/>
    <cellStyle name="Normal 473 2 2" xfId="8681" xr:uid="{00000000-0005-0000-0000-00005BA70000}"/>
    <cellStyle name="Normal 473 2 2 2" xfId="16477" xr:uid="{00000000-0005-0000-0000-00005CA70000}"/>
    <cellStyle name="Normal 473 2 2 2 2" xfId="34112" xr:uid="{00000000-0005-0000-0000-00005DA70000}"/>
    <cellStyle name="Normal 473 2 2 3" xfId="27082" xr:uid="{00000000-0005-0000-0000-00005EA70000}"/>
    <cellStyle name="Normal 473 2 3" xfId="12980" xr:uid="{00000000-0005-0000-0000-00005FA70000}"/>
    <cellStyle name="Normal 473 2 3 2" xfId="30629" xr:uid="{00000000-0005-0000-0000-000060A70000}"/>
    <cellStyle name="Normal 473 2 4" xfId="24217" xr:uid="{00000000-0005-0000-0000-000061A70000}"/>
    <cellStyle name="Normal 473 3" xfId="4880" xr:uid="{00000000-0005-0000-0000-000062A70000}"/>
    <cellStyle name="Normal 473 4" xfId="7999" xr:uid="{00000000-0005-0000-0000-000063A70000}"/>
    <cellStyle name="Normal 473 4 2" xfId="15796" xr:uid="{00000000-0005-0000-0000-000064A70000}"/>
    <cellStyle name="Normal 473 4 2 2" xfId="33431" xr:uid="{00000000-0005-0000-0000-000065A70000}"/>
    <cellStyle name="Normal 473 4 3" xfId="26415" xr:uid="{00000000-0005-0000-0000-000066A70000}"/>
    <cellStyle name="Normal 473 5" xfId="11959" xr:uid="{00000000-0005-0000-0000-000067A70000}"/>
    <cellStyle name="Normal 473 5 2" xfId="29642" xr:uid="{00000000-0005-0000-0000-000068A70000}"/>
    <cellStyle name="Normal 473 6" xfId="23550" xr:uid="{00000000-0005-0000-0000-000069A70000}"/>
    <cellStyle name="Normal 473 7" xfId="52474" xr:uid="{00000000-0005-0000-0000-00006AA70000}"/>
    <cellStyle name="Normal 474" xfId="2837" xr:uid="{00000000-0005-0000-0000-00006BA70000}"/>
    <cellStyle name="Normal 474 2" xfId="4883" xr:uid="{00000000-0005-0000-0000-00006CA70000}"/>
    <cellStyle name="Normal 474 2 2" xfId="8682" xr:uid="{00000000-0005-0000-0000-00006DA70000}"/>
    <cellStyle name="Normal 474 2 2 2" xfId="16478" xr:uid="{00000000-0005-0000-0000-00006EA70000}"/>
    <cellStyle name="Normal 474 2 2 2 2" xfId="34113" xr:uid="{00000000-0005-0000-0000-00006FA70000}"/>
    <cellStyle name="Normal 474 2 2 3" xfId="27083" xr:uid="{00000000-0005-0000-0000-000070A70000}"/>
    <cellStyle name="Normal 474 2 3" xfId="12981" xr:uid="{00000000-0005-0000-0000-000071A70000}"/>
    <cellStyle name="Normal 474 2 3 2" xfId="30630" xr:uid="{00000000-0005-0000-0000-000072A70000}"/>
    <cellStyle name="Normal 474 2 4" xfId="24218" xr:uid="{00000000-0005-0000-0000-000073A70000}"/>
    <cellStyle name="Normal 474 3" xfId="4882" xr:uid="{00000000-0005-0000-0000-000074A70000}"/>
    <cellStyle name="Normal 474 4" xfId="8000" xr:uid="{00000000-0005-0000-0000-000075A70000}"/>
    <cellStyle name="Normal 474 4 2" xfId="15797" xr:uid="{00000000-0005-0000-0000-000076A70000}"/>
    <cellStyle name="Normal 474 4 2 2" xfId="33432" xr:uid="{00000000-0005-0000-0000-000077A70000}"/>
    <cellStyle name="Normal 474 4 3" xfId="26416" xr:uid="{00000000-0005-0000-0000-000078A70000}"/>
    <cellStyle name="Normal 474 5" xfId="11960" xr:uid="{00000000-0005-0000-0000-000079A70000}"/>
    <cellStyle name="Normal 474 5 2" xfId="29643" xr:uid="{00000000-0005-0000-0000-00007AA70000}"/>
    <cellStyle name="Normal 474 6" xfId="23551" xr:uid="{00000000-0005-0000-0000-00007BA70000}"/>
    <cellStyle name="Normal 474 7" xfId="52475" xr:uid="{00000000-0005-0000-0000-00007CA70000}"/>
    <cellStyle name="Normal 475" xfId="2838" xr:uid="{00000000-0005-0000-0000-00007DA70000}"/>
    <cellStyle name="Normal 475 2" xfId="4885" xr:uid="{00000000-0005-0000-0000-00007EA70000}"/>
    <cellStyle name="Normal 475 2 2" xfId="8683" xr:uid="{00000000-0005-0000-0000-00007FA70000}"/>
    <cellStyle name="Normal 475 2 2 2" xfId="16479" xr:uid="{00000000-0005-0000-0000-000080A70000}"/>
    <cellStyle name="Normal 475 2 2 2 2" xfId="34114" xr:uid="{00000000-0005-0000-0000-000081A70000}"/>
    <cellStyle name="Normal 475 2 2 3" xfId="27084" xr:uid="{00000000-0005-0000-0000-000082A70000}"/>
    <cellStyle name="Normal 475 2 3" xfId="12982" xr:uid="{00000000-0005-0000-0000-000083A70000}"/>
    <cellStyle name="Normal 475 2 3 2" xfId="30631" xr:uid="{00000000-0005-0000-0000-000084A70000}"/>
    <cellStyle name="Normal 475 2 4" xfId="24219" xr:uid="{00000000-0005-0000-0000-000085A70000}"/>
    <cellStyle name="Normal 475 3" xfId="4884" xr:uid="{00000000-0005-0000-0000-000086A70000}"/>
    <cellStyle name="Normal 475 4" xfId="8001" xr:uid="{00000000-0005-0000-0000-000087A70000}"/>
    <cellStyle name="Normal 475 4 2" xfId="15798" xr:uid="{00000000-0005-0000-0000-000088A70000}"/>
    <cellStyle name="Normal 475 4 2 2" xfId="33433" xr:uid="{00000000-0005-0000-0000-000089A70000}"/>
    <cellStyle name="Normal 475 4 3" xfId="26417" xr:uid="{00000000-0005-0000-0000-00008AA70000}"/>
    <cellStyle name="Normal 475 5" xfId="11961" xr:uid="{00000000-0005-0000-0000-00008BA70000}"/>
    <cellStyle name="Normal 475 5 2" xfId="29644" xr:uid="{00000000-0005-0000-0000-00008CA70000}"/>
    <cellStyle name="Normal 475 6" xfId="23552" xr:uid="{00000000-0005-0000-0000-00008DA70000}"/>
    <cellStyle name="Normal 475 7" xfId="52476" xr:uid="{00000000-0005-0000-0000-00008EA70000}"/>
    <cellStyle name="Normal 476" xfId="2839" xr:uid="{00000000-0005-0000-0000-00008FA70000}"/>
    <cellStyle name="Normal 476 2" xfId="4887" xr:uid="{00000000-0005-0000-0000-000090A70000}"/>
    <cellStyle name="Normal 476 2 2" xfId="8684" xr:uid="{00000000-0005-0000-0000-000091A70000}"/>
    <cellStyle name="Normal 476 2 2 2" xfId="16480" xr:uid="{00000000-0005-0000-0000-000092A70000}"/>
    <cellStyle name="Normal 476 2 2 2 2" xfId="34115" xr:uid="{00000000-0005-0000-0000-000093A70000}"/>
    <cellStyle name="Normal 476 2 2 3" xfId="27085" xr:uid="{00000000-0005-0000-0000-000094A70000}"/>
    <cellStyle name="Normal 476 2 3" xfId="12983" xr:uid="{00000000-0005-0000-0000-000095A70000}"/>
    <cellStyle name="Normal 476 2 3 2" xfId="30632" xr:uid="{00000000-0005-0000-0000-000096A70000}"/>
    <cellStyle name="Normal 476 2 4" xfId="24220" xr:uid="{00000000-0005-0000-0000-000097A70000}"/>
    <cellStyle name="Normal 476 3" xfId="4886" xr:uid="{00000000-0005-0000-0000-000098A70000}"/>
    <cellStyle name="Normal 476 4" xfId="8002" xr:uid="{00000000-0005-0000-0000-000099A70000}"/>
    <cellStyle name="Normal 476 4 2" xfId="15799" xr:uid="{00000000-0005-0000-0000-00009AA70000}"/>
    <cellStyle name="Normal 476 4 2 2" xfId="33434" xr:uid="{00000000-0005-0000-0000-00009BA70000}"/>
    <cellStyle name="Normal 476 4 3" xfId="26418" xr:uid="{00000000-0005-0000-0000-00009CA70000}"/>
    <cellStyle name="Normal 476 5" xfId="11962" xr:uid="{00000000-0005-0000-0000-00009DA70000}"/>
    <cellStyle name="Normal 476 5 2" xfId="29645" xr:uid="{00000000-0005-0000-0000-00009EA70000}"/>
    <cellStyle name="Normal 476 6" xfId="23553" xr:uid="{00000000-0005-0000-0000-00009FA70000}"/>
    <cellStyle name="Normal 476 7" xfId="52477" xr:uid="{00000000-0005-0000-0000-0000A0A70000}"/>
    <cellStyle name="Normal 477" xfId="2840" xr:uid="{00000000-0005-0000-0000-0000A1A70000}"/>
    <cellStyle name="Normal 477 2" xfId="4889" xr:uid="{00000000-0005-0000-0000-0000A2A70000}"/>
    <cellStyle name="Normal 477 2 2" xfId="8685" xr:uid="{00000000-0005-0000-0000-0000A3A70000}"/>
    <cellStyle name="Normal 477 2 2 2" xfId="16481" xr:uid="{00000000-0005-0000-0000-0000A4A70000}"/>
    <cellStyle name="Normal 477 2 2 2 2" xfId="34116" xr:uid="{00000000-0005-0000-0000-0000A5A70000}"/>
    <cellStyle name="Normal 477 2 2 3" xfId="27086" xr:uid="{00000000-0005-0000-0000-0000A6A70000}"/>
    <cellStyle name="Normal 477 2 3" xfId="12984" xr:uid="{00000000-0005-0000-0000-0000A7A70000}"/>
    <cellStyle name="Normal 477 2 3 2" xfId="30633" xr:uid="{00000000-0005-0000-0000-0000A8A70000}"/>
    <cellStyle name="Normal 477 2 4" xfId="24221" xr:uid="{00000000-0005-0000-0000-0000A9A70000}"/>
    <cellStyle name="Normal 477 3" xfId="4888" xr:uid="{00000000-0005-0000-0000-0000AAA70000}"/>
    <cellStyle name="Normal 477 4" xfId="8003" xr:uid="{00000000-0005-0000-0000-0000ABA70000}"/>
    <cellStyle name="Normal 477 4 2" xfId="15800" xr:uid="{00000000-0005-0000-0000-0000ACA70000}"/>
    <cellStyle name="Normal 477 4 2 2" xfId="33435" xr:uid="{00000000-0005-0000-0000-0000ADA70000}"/>
    <cellStyle name="Normal 477 4 3" xfId="26419" xr:uid="{00000000-0005-0000-0000-0000AEA70000}"/>
    <cellStyle name="Normal 477 5" xfId="11963" xr:uid="{00000000-0005-0000-0000-0000AFA70000}"/>
    <cellStyle name="Normal 477 5 2" xfId="29646" xr:uid="{00000000-0005-0000-0000-0000B0A70000}"/>
    <cellStyle name="Normal 477 6" xfId="23554" xr:uid="{00000000-0005-0000-0000-0000B1A70000}"/>
    <cellStyle name="Normal 477 7" xfId="52478" xr:uid="{00000000-0005-0000-0000-0000B2A70000}"/>
    <cellStyle name="Normal 478" xfId="2841" xr:uid="{00000000-0005-0000-0000-0000B3A70000}"/>
    <cellStyle name="Normal 478 2" xfId="4891" xr:uid="{00000000-0005-0000-0000-0000B4A70000}"/>
    <cellStyle name="Normal 478 2 2" xfId="8686" xr:uid="{00000000-0005-0000-0000-0000B5A70000}"/>
    <cellStyle name="Normal 478 2 2 2" xfId="16482" xr:uid="{00000000-0005-0000-0000-0000B6A70000}"/>
    <cellStyle name="Normal 478 2 2 2 2" xfId="34117" xr:uid="{00000000-0005-0000-0000-0000B7A70000}"/>
    <cellStyle name="Normal 478 2 2 3" xfId="27087" xr:uid="{00000000-0005-0000-0000-0000B8A70000}"/>
    <cellStyle name="Normal 478 2 3" xfId="12985" xr:uid="{00000000-0005-0000-0000-0000B9A70000}"/>
    <cellStyle name="Normal 478 2 3 2" xfId="30634" xr:uid="{00000000-0005-0000-0000-0000BAA70000}"/>
    <cellStyle name="Normal 478 2 4" xfId="24222" xr:uid="{00000000-0005-0000-0000-0000BBA70000}"/>
    <cellStyle name="Normal 478 3" xfId="4890" xr:uid="{00000000-0005-0000-0000-0000BCA70000}"/>
    <cellStyle name="Normal 478 4" xfId="8004" xr:uid="{00000000-0005-0000-0000-0000BDA70000}"/>
    <cellStyle name="Normal 478 4 2" xfId="15801" xr:uid="{00000000-0005-0000-0000-0000BEA70000}"/>
    <cellStyle name="Normal 478 4 2 2" xfId="33436" xr:uid="{00000000-0005-0000-0000-0000BFA70000}"/>
    <cellStyle name="Normal 478 4 3" xfId="26420" xr:uid="{00000000-0005-0000-0000-0000C0A70000}"/>
    <cellStyle name="Normal 478 5" xfId="11964" xr:uid="{00000000-0005-0000-0000-0000C1A70000}"/>
    <cellStyle name="Normal 478 5 2" xfId="29647" xr:uid="{00000000-0005-0000-0000-0000C2A70000}"/>
    <cellStyle name="Normal 478 6" xfId="23555" xr:uid="{00000000-0005-0000-0000-0000C3A70000}"/>
    <cellStyle name="Normal 478 7" xfId="52479" xr:uid="{00000000-0005-0000-0000-0000C4A70000}"/>
    <cellStyle name="Normal 479" xfId="2842" xr:uid="{00000000-0005-0000-0000-0000C5A70000}"/>
    <cellStyle name="Normal 479 2" xfId="4893" xr:uid="{00000000-0005-0000-0000-0000C6A70000}"/>
    <cellStyle name="Normal 479 2 2" xfId="8687" xr:uid="{00000000-0005-0000-0000-0000C7A70000}"/>
    <cellStyle name="Normal 479 2 2 2" xfId="16483" xr:uid="{00000000-0005-0000-0000-0000C8A70000}"/>
    <cellStyle name="Normal 479 2 2 2 2" xfId="34118" xr:uid="{00000000-0005-0000-0000-0000C9A70000}"/>
    <cellStyle name="Normal 479 2 2 3" xfId="27088" xr:uid="{00000000-0005-0000-0000-0000CAA70000}"/>
    <cellStyle name="Normal 479 2 3" xfId="12986" xr:uid="{00000000-0005-0000-0000-0000CBA70000}"/>
    <cellStyle name="Normal 479 2 3 2" xfId="30635" xr:uid="{00000000-0005-0000-0000-0000CCA70000}"/>
    <cellStyle name="Normal 479 2 4" xfId="24223" xr:uid="{00000000-0005-0000-0000-0000CDA70000}"/>
    <cellStyle name="Normal 479 3" xfId="4892" xr:uid="{00000000-0005-0000-0000-0000CEA70000}"/>
    <cellStyle name="Normal 479 4" xfId="8005" xr:uid="{00000000-0005-0000-0000-0000CFA70000}"/>
    <cellStyle name="Normal 479 4 2" xfId="15802" xr:uid="{00000000-0005-0000-0000-0000D0A70000}"/>
    <cellStyle name="Normal 479 4 2 2" xfId="33437" xr:uid="{00000000-0005-0000-0000-0000D1A70000}"/>
    <cellStyle name="Normal 479 4 3" xfId="26421" xr:uid="{00000000-0005-0000-0000-0000D2A70000}"/>
    <cellStyle name="Normal 479 5" xfId="11965" xr:uid="{00000000-0005-0000-0000-0000D3A70000}"/>
    <cellStyle name="Normal 479 5 2" xfId="29648" xr:uid="{00000000-0005-0000-0000-0000D4A70000}"/>
    <cellStyle name="Normal 479 6" xfId="23556" xr:uid="{00000000-0005-0000-0000-0000D5A70000}"/>
    <cellStyle name="Normal 479 7" xfId="52480" xr:uid="{00000000-0005-0000-0000-0000D6A70000}"/>
    <cellStyle name="Normal 48" xfId="2843" xr:uid="{00000000-0005-0000-0000-0000D7A70000}"/>
    <cellStyle name="Normal 48 2" xfId="4894" xr:uid="{00000000-0005-0000-0000-0000D8A70000}"/>
    <cellStyle name="Normal 48 2 2" xfId="22788" xr:uid="{00000000-0005-0000-0000-0000D9A70000}"/>
    <cellStyle name="Normal 48 2 2 2" xfId="38995" xr:uid="{00000000-0005-0000-0000-0000DAA70000}"/>
    <cellStyle name="Normal 48 3" xfId="23004" xr:uid="{00000000-0005-0000-0000-0000DBA70000}"/>
    <cellStyle name="Normal 48 4" xfId="22579" xr:uid="{00000000-0005-0000-0000-0000DCA70000}"/>
    <cellStyle name="Normal 48 4 2" xfId="38890" xr:uid="{00000000-0005-0000-0000-0000DDA70000}"/>
    <cellStyle name="Normal 48 5" xfId="52481" xr:uid="{00000000-0005-0000-0000-0000DEA70000}"/>
    <cellStyle name="Normal 480" xfId="2844" xr:uid="{00000000-0005-0000-0000-0000DFA70000}"/>
    <cellStyle name="Normal 480 2" xfId="4896" xr:uid="{00000000-0005-0000-0000-0000E0A70000}"/>
    <cellStyle name="Normal 480 2 2" xfId="8688" xr:uid="{00000000-0005-0000-0000-0000E1A70000}"/>
    <cellStyle name="Normal 480 2 2 2" xfId="16484" xr:uid="{00000000-0005-0000-0000-0000E2A70000}"/>
    <cellStyle name="Normal 480 2 2 2 2" xfId="34119" xr:uid="{00000000-0005-0000-0000-0000E3A70000}"/>
    <cellStyle name="Normal 480 2 2 3" xfId="27089" xr:uid="{00000000-0005-0000-0000-0000E4A70000}"/>
    <cellStyle name="Normal 480 2 3" xfId="12987" xr:uid="{00000000-0005-0000-0000-0000E5A70000}"/>
    <cellStyle name="Normal 480 2 3 2" xfId="30636" xr:uid="{00000000-0005-0000-0000-0000E6A70000}"/>
    <cellStyle name="Normal 480 2 4" xfId="24224" xr:uid="{00000000-0005-0000-0000-0000E7A70000}"/>
    <cellStyle name="Normal 480 3" xfId="4895" xr:uid="{00000000-0005-0000-0000-0000E8A70000}"/>
    <cellStyle name="Normal 480 4" xfId="8006" xr:uid="{00000000-0005-0000-0000-0000E9A70000}"/>
    <cellStyle name="Normal 480 4 2" xfId="15803" xr:uid="{00000000-0005-0000-0000-0000EAA70000}"/>
    <cellStyle name="Normal 480 4 2 2" xfId="33438" xr:uid="{00000000-0005-0000-0000-0000EBA70000}"/>
    <cellStyle name="Normal 480 4 3" xfId="26422" xr:uid="{00000000-0005-0000-0000-0000ECA70000}"/>
    <cellStyle name="Normal 480 5" xfId="11966" xr:uid="{00000000-0005-0000-0000-0000EDA70000}"/>
    <cellStyle name="Normal 480 5 2" xfId="29649" xr:uid="{00000000-0005-0000-0000-0000EEA70000}"/>
    <cellStyle name="Normal 480 6" xfId="23557" xr:uid="{00000000-0005-0000-0000-0000EFA70000}"/>
    <cellStyle name="Normal 480 7" xfId="52482" xr:uid="{00000000-0005-0000-0000-0000F0A70000}"/>
    <cellStyle name="Normal 481" xfId="2845" xr:uid="{00000000-0005-0000-0000-0000F1A70000}"/>
    <cellStyle name="Normal 481 2" xfId="4898" xr:uid="{00000000-0005-0000-0000-0000F2A70000}"/>
    <cellStyle name="Normal 481 2 2" xfId="8689" xr:uid="{00000000-0005-0000-0000-0000F3A70000}"/>
    <cellStyle name="Normal 481 2 2 2" xfId="16485" xr:uid="{00000000-0005-0000-0000-0000F4A70000}"/>
    <cellStyle name="Normal 481 2 2 2 2" xfId="34120" xr:uid="{00000000-0005-0000-0000-0000F5A70000}"/>
    <cellStyle name="Normal 481 2 2 3" xfId="27090" xr:uid="{00000000-0005-0000-0000-0000F6A70000}"/>
    <cellStyle name="Normal 481 2 3" xfId="12988" xr:uid="{00000000-0005-0000-0000-0000F7A70000}"/>
    <cellStyle name="Normal 481 2 3 2" xfId="30637" xr:uid="{00000000-0005-0000-0000-0000F8A70000}"/>
    <cellStyle name="Normal 481 2 4" xfId="24225" xr:uid="{00000000-0005-0000-0000-0000F9A70000}"/>
    <cellStyle name="Normal 481 3" xfId="4897" xr:uid="{00000000-0005-0000-0000-0000FAA70000}"/>
    <cellStyle name="Normal 481 4" xfId="8007" xr:uid="{00000000-0005-0000-0000-0000FBA70000}"/>
    <cellStyle name="Normal 481 4 2" xfId="15804" xr:uid="{00000000-0005-0000-0000-0000FCA70000}"/>
    <cellStyle name="Normal 481 4 2 2" xfId="33439" xr:uid="{00000000-0005-0000-0000-0000FDA70000}"/>
    <cellStyle name="Normal 481 4 3" xfId="26423" xr:uid="{00000000-0005-0000-0000-0000FEA70000}"/>
    <cellStyle name="Normal 481 5" xfId="11967" xr:uid="{00000000-0005-0000-0000-0000FFA70000}"/>
    <cellStyle name="Normal 481 5 2" xfId="29650" xr:uid="{00000000-0005-0000-0000-000000A80000}"/>
    <cellStyle name="Normal 481 6" xfId="23558" xr:uid="{00000000-0005-0000-0000-000001A80000}"/>
    <cellStyle name="Normal 481 7" xfId="52483" xr:uid="{00000000-0005-0000-0000-000002A80000}"/>
    <cellStyle name="Normal 482" xfId="2846" xr:uid="{00000000-0005-0000-0000-000003A80000}"/>
    <cellStyle name="Normal 482 2" xfId="4900" xr:uid="{00000000-0005-0000-0000-000004A80000}"/>
    <cellStyle name="Normal 482 2 2" xfId="8690" xr:uid="{00000000-0005-0000-0000-000005A80000}"/>
    <cellStyle name="Normal 482 2 2 2" xfId="16486" xr:uid="{00000000-0005-0000-0000-000006A80000}"/>
    <cellStyle name="Normal 482 2 2 2 2" xfId="34121" xr:uid="{00000000-0005-0000-0000-000007A80000}"/>
    <cellStyle name="Normal 482 2 2 3" xfId="27091" xr:uid="{00000000-0005-0000-0000-000008A80000}"/>
    <cellStyle name="Normal 482 2 3" xfId="12989" xr:uid="{00000000-0005-0000-0000-000009A80000}"/>
    <cellStyle name="Normal 482 2 3 2" xfId="30638" xr:uid="{00000000-0005-0000-0000-00000AA80000}"/>
    <cellStyle name="Normal 482 2 4" xfId="24226" xr:uid="{00000000-0005-0000-0000-00000BA80000}"/>
    <cellStyle name="Normal 482 3" xfId="4899" xr:uid="{00000000-0005-0000-0000-00000CA80000}"/>
    <cellStyle name="Normal 482 4" xfId="8008" xr:uid="{00000000-0005-0000-0000-00000DA80000}"/>
    <cellStyle name="Normal 482 4 2" xfId="15805" xr:uid="{00000000-0005-0000-0000-00000EA80000}"/>
    <cellStyle name="Normal 482 4 2 2" xfId="33440" xr:uid="{00000000-0005-0000-0000-00000FA80000}"/>
    <cellStyle name="Normal 482 4 3" xfId="26424" xr:uid="{00000000-0005-0000-0000-000010A80000}"/>
    <cellStyle name="Normal 482 5" xfId="11968" xr:uid="{00000000-0005-0000-0000-000011A80000}"/>
    <cellStyle name="Normal 482 5 2" xfId="29651" xr:uid="{00000000-0005-0000-0000-000012A80000}"/>
    <cellStyle name="Normal 482 6" xfId="23559" xr:uid="{00000000-0005-0000-0000-000013A80000}"/>
    <cellStyle name="Normal 482 7" xfId="52484" xr:uid="{00000000-0005-0000-0000-000014A80000}"/>
    <cellStyle name="Normal 483" xfId="2847" xr:uid="{00000000-0005-0000-0000-000015A80000}"/>
    <cellStyle name="Normal 483 2" xfId="4901" xr:uid="{00000000-0005-0000-0000-000016A80000}"/>
    <cellStyle name="Normal 483 2 2" xfId="8691" xr:uid="{00000000-0005-0000-0000-000017A80000}"/>
    <cellStyle name="Normal 483 2 2 2" xfId="16487" xr:uid="{00000000-0005-0000-0000-000018A80000}"/>
    <cellStyle name="Normal 483 2 2 2 2" xfId="34122" xr:uid="{00000000-0005-0000-0000-000019A80000}"/>
    <cellStyle name="Normal 483 2 2 3" xfId="27092" xr:uid="{00000000-0005-0000-0000-00001AA80000}"/>
    <cellStyle name="Normal 483 2 3" xfId="12990" xr:uid="{00000000-0005-0000-0000-00001BA80000}"/>
    <cellStyle name="Normal 483 2 3 2" xfId="30639" xr:uid="{00000000-0005-0000-0000-00001CA80000}"/>
    <cellStyle name="Normal 483 2 4" xfId="24227" xr:uid="{00000000-0005-0000-0000-00001DA80000}"/>
    <cellStyle name="Normal 483 3" xfId="5962" xr:uid="{00000000-0005-0000-0000-00001EA80000}"/>
    <cellStyle name="Normal 483 3 2" xfId="9262" xr:uid="{00000000-0005-0000-0000-00001FA80000}"/>
    <cellStyle name="Normal 483 3 2 2" xfId="17057" xr:uid="{00000000-0005-0000-0000-000020A80000}"/>
    <cellStyle name="Normal 483 3 2 2 2" xfId="34693" xr:uid="{00000000-0005-0000-0000-000021A80000}"/>
    <cellStyle name="Normal 483 3 2 3" xfId="27650" xr:uid="{00000000-0005-0000-0000-000022A80000}"/>
    <cellStyle name="Normal 483 3 3" xfId="13818" xr:uid="{00000000-0005-0000-0000-000023A80000}"/>
    <cellStyle name="Normal 483 3 3 2" xfId="31458" xr:uid="{00000000-0005-0000-0000-000024A80000}"/>
    <cellStyle name="Normal 483 3 4" xfId="24785" xr:uid="{00000000-0005-0000-0000-000025A80000}"/>
    <cellStyle name="Normal 483 4" xfId="6592" xr:uid="{00000000-0005-0000-0000-000026A80000}"/>
    <cellStyle name="Normal 483 4 2" xfId="9802" xr:uid="{00000000-0005-0000-0000-000027A80000}"/>
    <cellStyle name="Normal 483 4 2 2" xfId="17596" xr:uid="{00000000-0005-0000-0000-000028A80000}"/>
    <cellStyle name="Normal 483 4 2 2 2" xfId="35233" xr:uid="{00000000-0005-0000-0000-000029A80000}"/>
    <cellStyle name="Normal 483 4 2 3" xfId="28186" xr:uid="{00000000-0005-0000-0000-00002AA80000}"/>
    <cellStyle name="Normal 483 4 3" xfId="14381" xr:uid="{00000000-0005-0000-0000-00002BA80000}"/>
    <cellStyle name="Normal 483 4 3 2" xfId="32016" xr:uid="{00000000-0005-0000-0000-00002CA80000}"/>
    <cellStyle name="Normal 483 4 4" xfId="25322" xr:uid="{00000000-0005-0000-0000-00002DA80000}"/>
    <cellStyle name="Normal 483 5" xfId="7368" xr:uid="{00000000-0005-0000-0000-00002EA80000}"/>
    <cellStyle name="Normal 483 5 2" xfId="10356" xr:uid="{00000000-0005-0000-0000-00002FA80000}"/>
    <cellStyle name="Normal 483 5 2 2" xfId="18149" xr:uid="{00000000-0005-0000-0000-000030A80000}"/>
    <cellStyle name="Normal 483 5 2 2 2" xfId="35786" xr:uid="{00000000-0005-0000-0000-000031A80000}"/>
    <cellStyle name="Normal 483 5 2 3" xfId="28723" xr:uid="{00000000-0005-0000-0000-000032A80000}"/>
    <cellStyle name="Normal 483 5 3" xfId="15156" xr:uid="{00000000-0005-0000-0000-000033A80000}"/>
    <cellStyle name="Normal 483 5 3 2" xfId="32791" xr:uid="{00000000-0005-0000-0000-000034A80000}"/>
    <cellStyle name="Normal 483 5 4" xfId="25860" xr:uid="{00000000-0005-0000-0000-000035A80000}"/>
    <cellStyle name="Normal 483 6" xfId="8009" xr:uid="{00000000-0005-0000-0000-000036A80000}"/>
    <cellStyle name="Normal 483 6 2" xfId="15806" xr:uid="{00000000-0005-0000-0000-000037A80000}"/>
    <cellStyle name="Normal 483 6 2 2" xfId="33441" xr:uid="{00000000-0005-0000-0000-000038A80000}"/>
    <cellStyle name="Normal 483 6 3" xfId="26425" xr:uid="{00000000-0005-0000-0000-000039A80000}"/>
    <cellStyle name="Normal 483 7" xfId="11969" xr:uid="{00000000-0005-0000-0000-00003AA80000}"/>
    <cellStyle name="Normal 483 7 2" xfId="29652" xr:uid="{00000000-0005-0000-0000-00003BA80000}"/>
    <cellStyle name="Normal 483 8" xfId="23560" xr:uid="{00000000-0005-0000-0000-00003CA80000}"/>
    <cellStyle name="Normal 483 9" xfId="52485" xr:uid="{00000000-0005-0000-0000-00003DA80000}"/>
    <cellStyle name="Normal 484" xfId="2848" xr:uid="{00000000-0005-0000-0000-00003EA80000}"/>
    <cellStyle name="Normal 484 2" xfId="4902" xr:uid="{00000000-0005-0000-0000-00003FA80000}"/>
    <cellStyle name="Normal 484 2 2" xfId="8692" xr:uid="{00000000-0005-0000-0000-000040A80000}"/>
    <cellStyle name="Normal 484 2 2 2" xfId="16488" xr:uid="{00000000-0005-0000-0000-000041A80000}"/>
    <cellStyle name="Normal 484 2 2 2 2" xfId="34123" xr:uid="{00000000-0005-0000-0000-000042A80000}"/>
    <cellStyle name="Normal 484 2 2 3" xfId="27093" xr:uid="{00000000-0005-0000-0000-000043A80000}"/>
    <cellStyle name="Normal 484 2 3" xfId="12991" xr:uid="{00000000-0005-0000-0000-000044A80000}"/>
    <cellStyle name="Normal 484 2 3 2" xfId="30640" xr:uid="{00000000-0005-0000-0000-000045A80000}"/>
    <cellStyle name="Normal 484 2 4" xfId="24228" xr:uid="{00000000-0005-0000-0000-000046A80000}"/>
    <cellStyle name="Normal 484 3" xfId="5963" xr:uid="{00000000-0005-0000-0000-000047A80000}"/>
    <cellStyle name="Normal 484 3 2" xfId="9263" xr:uid="{00000000-0005-0000-0000-000048A80000}"/>
    <cellStyle name="Normal 484 3 2 2" xfId="17058" xr:uid="{00000000-0005-0000-0000-000049A80000}"/>
    <cellStyle name="Normal 484 3 2 2 2" xfId="34694" xr:uid="{00000000-0005-0000-0000-00004AA80000}"/>
    <cellStyle name="Normal 484 3 2 3" xfId="27651" xr:uid="{00000000-0005-0000-0000-00004BA80000}"/>
    <cellStyle name="Normal 484 3 3" xfId="13819" xr:uid="{00000000-0005-0000-0000-00004CA80000}"/>
    <cellStyle name="Normal 484 3 3 2" xfId="31459" xr:uid="{00000000-0005-0000-0000-00004DA80000}"/>
    <cellStyle name="Normal 484 3 4" xfId="24786" xr:uid="{00000000-0005-0000-0000-00004EA80000}"/>
    <cellStyle name="Normal 484 4" xfId="6593" xr:uid="{00000000-0005-0000-0000-00004FA80000}"/>
    <cellStyle name="Normal 484 4 2" xfId="9803" xr:uid="{00000000-0005-0000-0000-000050A80000}"/>
    <cellStyle name="Normal 484 4 2 2" xfId="17597" xr:uid="{00000000-0005-0000-0000-000051A80000}"/>
    <cellStyle name="Normal 484 4 2 2 2" xfId="35234" xr:uid="{00000000-0005-0000-0000-000052A80000}"/>
    <cellStyle name="Normal 484 4 2 3" xfId="28187" xr:uid="{00000000-0005-0000-0000-000053A80000}"/>
    <cellStyle name="Normal 484 4 3" xfId="14382" xr:uid="{00000000-0005-0000-0000-000054A80000}"/>
    <cellStyle name="Normal 484 4 3 2" xfId="32017" xr:uid="{00000000-0005-0000-0000-000055A80000}"/>
    <cellStyle name="Normal 484 4 4" xfId="25323" xr:uid="{00000000-0005-0000-0000-000056A80000}"/>
    <cellStyle name="Normal 484 5" xfId="7369" xr:uid="{00000000-0005-0000-0000-000057A80000}"/>
    <cellStyle name="Normal 484 5 2" xfId="10357" xr:uid="{00000000-0005-0000-0000-000058A80000}"/>
    <cellStyle name="Normal 484 5 2 2" xfId="18150" xr:uid="{00000000-0005-0000-0000-000059A80000}"/>
    <cellStyle name="Normal 484 5 2 2 2" xfId="35787" xr:uid="{00000000-0005-0000-0000-00005AA80000}"/>
    <cellStyle name="Normal 484 5 2 3" xfId="28724" xr:uid="{00000000-0005-0000-0000-00005BA80000}"/>
    <cellStyle name="Normal 484 5 3" xfId="15157" xr:uid="{00000000-0005-0000-0000-00005CA80000}"/>
    <cellStyle name="Normal 484 5 3 2" xfId="32792" xr:uid="{00000000-0005-0000-0000-00005DA80000}"/>
    <cellStyle name="Normal 484 5 4" xfId="25861" xr:uid="{00000000-0005-0000-0000-00005EA80000}"/>
    <cellStyle name="Normal 484 6" xfId="8010" xr:uid="{00000000-0005-0000-0000-00005FA80000}"/>
    <cellStyle name="Normal 484 6 2" xfId="15807" xr:uid="{00000000-0005-0000-0000-000060A80000}"/>
    <cellStyle name="Normal 484 6 2 2" xfId="33442" xr:uid="{00000000-0005-0000-0000-000061A80000}"/>
    <cellStyle name="Normal 484 6 3" xfId="26426" xr:uid="{00000000-0005-0000-0000-000062A80000}"/>
    <cellStyle name="Normal 484 7" xfId="11970" xr:uid="{00000000-0005-0000-0000-000063A80000}"/>
    <cellStyle name="Normal 484 7 2" xfId="29653" xr:uid="{00000000-0005-0000-0000-000064A80000}"/>
    <cellStyle name="Normal 484 8" xfId="23561" xr:uid="{00000000-0005-0000-0000-000065A80000}"/>
    <cellStyle name="Normal 484 9" xfId="52486" xr:uid="{00000000-0005-0000-0000-000066A80000}"/>
    <cellStyle name="Normal 485" xfId="195" xr:uid="{00000000-0005-0000-0000-000067A80000}"/>
    <cellStyle name="Normal 485 10" xfId="23562" xr:uid="{00000000-0005-0000-0000-000068A80000}"/>
    <cellStyle name="Normal 485 11" xfId="52487" xr:uid="{00000000-0005-0000-0000-000069A80000}"/>
    <cellStyle name="Normal 485 12" xfId="2849" xr:uid="{00000000-0005-0000-0000-00006AA80000}"/>
    <cellStyle name="Normal 485 2" xfId="193" xr:uid="{00000000-0005-0000-0000-00006BA80000}"/>
    <cellStyle name="Normal 485 2 2" xfId="4904" xr:uid="{00000000-0005-0000-0000-00006CA80000}"/>
    <cellStyle name="Normal 485 3" xfId="197" xr:uid="{00000000-0005-0000-0000-00006DA80000}"/>
    <cellStyle name="Normal 485 3 2" xfId="211" xr:uid="{00000000-0005-0000-0000-00006EA80000}"/>
    <cellStyle name="Normal 485 3 3" xfId="204" xr:uid="{00000000-0005-0000-0000-00006FA80000}"/>
    <cellStyle name="Normal 485 4" xfId="198" xr:uid="{00000000-0005-0000-0000-000070A80000}"/>
    <cellStyle name="Normal 485 4 2" xfId="212" xr:uid="{00000000-0005-0000-0000-000071A80000}"/>
    <cellStyle name="Normal 485 4 3" xfId="205" xr:uid="{00000000-0005-0000-0000-000072A80000}"/>
    <cellStyle name="Normal 485 5" xfId="4905" xr:uid="{00000000-0005-0000-0000-000073A80000}"/>
    <cellStyle name="Normal 485 5 2" xfId="8693" xr:uid="{00000000-0005-0000-0000-000074A80000}"/>
    <cellStyle name="Normal 485 5 2 2" xfId="16489" xr:uid="{00000000-0005-0000-0000-000075A80000}"/>
    <cellStyle name="Normal 485 5 2 2 2" xfId="34124" xr:uid="{00000000-0005-0000-0000-000076A80000}"/>
    <cellStyle name="Normal 485 5 2 3" xfId="27094" xr:uid="{00000000-0005-0000-0000-000077A80000}"/>
    <cellStyle name="Normal 485 5 3" xfId="12993" xr:uid="{00000000-0005-0000-0000-000078A80000}"/>
    <cellStyle name="Normal 485 5 3 2" xfId="30642" xr:uid="{00000000-0005-0000-0000-000079A80000}"/>
    <cellStyle name="Normal 485 5 4" xfId="24229" xr:uid="{00000000-0005-0000-0000-00007AA80000}"/>
    <cellStyle name="Normal 485 6" xfId="4903" xr:uid="{00000000-0005-0000-0000-00007BA80000}"/>
    <cellStyle name="Normal 485 7" xfId="8011" xr:uid="{00000000-0005-0000-0000-00007CA80000}"/>
    <cellStyle name="Normal 485 7 2" xfId="15808" xr:uid="{00000000-0005-0000-0000-00007DA80000}"/>
    <cellStyle name="Normal 485 7 2 2" xfId="33443" xr:uid="{00000000-0005-0000-0000-00007EA80000}"/>
    <cellStyle name="Normal 485 7 3" xfId="26427" xr:uid="{00000000-0005-0000-0000-00007FA80000}"/>
    <cellStyle name="Normal 485 8" xfId="11971" xr:uid="{00000000-0005-0000-0000-000080A80000}"/>
    <cellStyle name="Normal 485 8 2" xfId="29654" xr:uid="{00000000-0005-0000-0000-000081A80000}"/>
    <cellStyle name="Normal 485 9" xfId="21957" xr:uid="{00000000-0005-0000-0000-000082A80000}"/>
    <cellStyle name="Normal 485 9 2" xfId="38710" xr:uid="{00000000-0005-0000-0000-000083A80000}"/>
    <cellStyle name="Normal 486" xfId="2850" xr:uid="{00000000-0005-0000-0000-000084A80000}"/>
    <cellStyle name="Normal 486 2" xfId="4907" xr:uid="{00000000-0005-0000-0000-000085A80000}"/>
    <cellStyle name="Normal 486 2 2" xfId="8694" xr:uid="{00000000-0005-0000-0000-000086A80000}"/>
    <cellStyle name="Normal 486 2 2 2" xfId="16490" xr:uid="{00000000-0005-0000-0000-000087A80000}"/>
    <cellStyle name="Normal 486 2 2 2 2" xfId="34125" xr:uid="{00000000-0005-0000-0000-000088A80000}"/>
    <cellStyle name="Normal 486 2 2 3" xfId="27095" xr:uid="{00000000-0005-0000-0000-000089A80000}"/>
    <cellStyle name="Normal 486 2 3" xfId="12994" xr:uid="{00000000-0005-0000-0000-00008AA80000}"/>
    <cellStyle name="Normal 486 2 3 2" xfId="30643" xr:uid="{00000000-0005-0000-0000-00008BA80000}"/>
    <cellStyle name="Normal 486 2 4" xfId="24230" xr:uid="{00000000-0005-0000-0000-00008CA80000}"/>
    <cellStyle name="Normal 486 3" xfId="4906" xr:uid="{00000000-0005-0000-0000-00008DA80000}"/>
    <cellStyle name="Normal 486 4" xfId="8012" xr:uid="{00000000-0005-0000-0000-00008EA80000}"/>
    <cellStyle name="Normal 486 4 2" xfId="15809" xr:uid="{00000000-0005-0000-0000-00008FA80000}"/>
    <cellStyle name="Normal 486 4 2 2" xfId="33444" xr:uid="{00000000-0005-0000-0000-000090A80000}"/>
    <cellStyle name="Normal 486 4 3" xfId="26428" xr:uid="{00000000-0005-0000-0000-000091A80000}"/>
    <cellStyle name="Normal 486 5" xfId="11972" xr:uid="{00000000-0005-0000-0000-000092A80000}"/>
    <cellStyle name="Normal 486 5 2" xfId="29655" xr:uid="{00000000-0005-0000-0000-000093A80000}"/>
    <cellStyle name="Normal 486 6" xfId="23563" xr:uid="{00000000-0005-0000-0000-000094A80000}"/>
    <cellStyle name="Normal 486 7" xfId="52488" xr:uid="{00000000-0005-0000-0000-000095A80000}"/>
    <cellStyle name="Normal 487" xfId="2851" xr:uid="{00000000-0005-0000-0000-000096A80000}"/>
    <cellStyle name="Normal 487 2" xfId="4909" xr:uid="{00000000-0005-0000-0000-000097A80000}"/>
    <cellStyle name="Normal 487 2 2" xfId="8695" xr:uid="{00000000-0005-0000-0000-000098A80000}"/>
    <cellStyle name="Normal 487 2 2 2" xfId="16491" xr:uid="{00000000-0005-0000-0000-000099A80000}"/>
    <cellStyle name="Normal 487 2 2 2 2" xfId="34126" xr:uid="{00000000-0005-0000-0000-00009AA80000}"/>
    <cellStyle name="Normal 487 2 2 3" xfId="27096" xr:uid="{00000000-0005-0000-0000-00009BA80000}"/>
    <cellStyle name="Normal 487 2 3" xfId="12995" xr:uid="{00000000-0005-0000-0000-00009CA80000}"/>
    <cellStyle name="Normal 487 2 3 2" xfId="30644" xr:uid="{00000000-0005-0000-0000-00009DA80000}"/>
    <cellStyle name="Normal 487 2 4" xfId="24231" xr:uid="{00000000-0005-0000-0000-00009EA80000}"/>
    <cellStyle name="Normal 487 3" xfId="4908" xr:uid="{00000000-0005-0000-0000-00009FA80000}"/>
    <cellStyle name="Normal 487 4" xfId="8013" xr:uid="{00000000-0005-0000-0000-0000A0A80000}"/>
    <cellStyle name="Normal 487 4 2" xfId="15810" xr:uid="{00000000-0005-0000-0000-0000A1A80000}"/>
    <cellStyle name="Normal 487 4 2 2" xfId="33445" xr:uid="{00000000-0005-0000-0000-0000A2A80000}"/>
    <cellStyle name="Normal 487 4 3" xfId="26429" xr:uid="{00000000-0005-0000-0000-0000A3A80000}"/>
    <cellStyle name="Normal 487 5" xfId="11973" xr:uid="{00000000-0005-0000-0000-0000A4A80000}"/>
    <cellStyle name="Normal 487 5 2" xfId="29656" xr:uid="{00000000-0005-0000-0000-0000A5A80000}"/>
    <cellStyle name="Normal 487 6" xfId="23564" xr:uid="{00000000-0005-0000-0000-0000A6A80000}"/>
    <cellStyle name="Normal 487 7" xfId="52489" xr:uid="{00000000-0005-0000-0000-0000A7A80000}"/>
    <cellStyle name="Normal 488" xfId="2852" xr:uid="{00000000-0005-0000-0000-0000A8A80000}"/>
    <cellStyle name="Normal 488 2" xfId="4911" xr:uid="{00000000-0005-0000-0000-0000A9A80000}"/>
    <cellStyle name="Normal 488 2 2" xfId="8696" xr:uid="{00000000-0005-0000-0000-0000AAA80000}"/>
    <cellStyle name="Normal 488 2 2 2" xfId="16492" xr:uid="{00000000-0005-0000-0000-0000ABA80000}"/>
    <cellStyle name="Normal 488 2 2 2 2" xfId="34127" xr:uid="{00000000-0005-0000-0000-0000ACA80000}"/>
    <cellStyle name="Normal 488 2 2 3" xfId="27097" xr:uid="{00000000-0005-0000-0000-0000ADA80000}"/>
    <cellStyle name="Normal 488 2 3" xfId="12996" xr:uid="{00000000-0005-0000-0000-0000AEA80000}"/>
    <cellStyle name="Normal 488 2 3 2" xfId="30645" xr:uid="{00000000-0005-0000-0000-0000AFA80000}"/>
    <cellStyle name="Normal 488 2 4" xfId="24232" xr:uid="{00000000-0005-0000-0000-0000B0A80000}"/>
    <cellStyle name="Normal 488 3" xfId="4910" xr:uid="{00000000-0005-0000-0000-0000B1A80000}"/>
    <cellStyle name="Normal 488 4" xfId="8014" xr:uid="{00000000-0005-0000-0000-0000B2A80000}"/>
    <cellStyle name="Normal 488 4 2" xfId="15811" xr:uid="{00000000-0005-0000-0000-0000B3A80000}"/>
    <cellStyle name="Normal 488 4 2 2" xfId="33446" xr:uid="{00000000-0005-0000-0000-0000B4A80000}"/>
    <cellStyle name="Normal 488 4 3" xfId="26430" xr:uid="{00000000-0005-0000-0000-0000B5A80000}"/>
    <cellStyle name="Normal 488 5" xfId="11974" xr:uid="{00000000-0005-0000-0000-0000B6A80000}"/>
    <cellStyle name="Normal 488 5 2" xfId="29657" xr:uid="{00000000-0005-0000-0000-0000B7A80000}"/>
    <cellStyle name="Normal 488 6" xfId="23565" xr:uid="{00000000-0005-0000-0000-0000B8A80000}"/>
    <cellStyle name="Normal 488 7" xfId="52490" xr:uid="{00000000-0005-0000-0000-0000B9A80000}"/>
    <cellStyle name="Normal 489" xfId="2853" xr:uid="{00000000-0005-0000-0000-0000BAA80000}"/>
    <cellStyle name="Normal 489 2" xfId="4913" xr:uid="{00000000-0005-0000-0000-0000BBA80000}"/>
    <cellStyle name="Normal 489 2 2" xfId="8697" xr:uid="{00000000-0005-0000-0000-0000BCA80000}"/>
    <cellStyle name="Normal 489 2 2 2" xfId="16493" xr:uid="{00000000-0005-0000-0000-0000BDA80000}"/>
    <cellStyle name="Normal 489 2 2 2 2" xfId="34128" xr:uid="{00000000-0005-0000-0000-0000BEA80000}"/>
    <cellStyle name="Normal 489 2 2 3" xfId="27098" xr:uid="{00000000-0005-0000-0000-0000BFA80000}"/>
    <cellStyle name="Normal 489 2 3" xfId="12997" xr:uid="{00000000-0005-0000-0000-0000C0A80000}"/>
    <cellStyle name="Normal 489 2 3 2" xfId="30646" xr:uid="{00000000-0005-0000-0000-0000C1A80000}"/>
    <cellStyle name="Normal 489 2 4" xfId="24233" xr:uid="{00000000-0005-0000-0000-0000C2A80000}"/>
    <cellStyle name="Normal 489 3" xfId="4912" xr:uid="{00000000-0005-0000-0000-0000C3A80000}"/>
    <cellStyle name="Normal 489 4" xfId="8015" xr:uid="{00000000-0005-0000-0000-0000C4A80000}"/>
    <cellStyle name="Normal 489 4 2" xfId="15812" xr:uid="{00000000-0005-0000-0000-0000C5A80000}"/>
    <cellStyle name="Normal 489 4 2 2" xfId="33447" xr:uid="{00000000-0005-0000-0000-0000C6A80000}"/>
    <cellStyle name="Normal 489 4 3" xfId="26431" xr:uid="{00000000-0005-0000-0000-0000C7A80000}"/>
    <cellStyle name="Normal 489 5" xfId="11975" xr:uid="{00000000-0005-0000-0000-0000C8A80000}"/>
    <cellStyle name="Normal 489 5 2" xfId="29658" xr:uid="{00000000-0005-0000-0000-0000C9A80000}"/>
    <cellStyle name="Normal 489 6" xfId="23566" xr:uid="{00000000-0005-0000-0000-0000CAA80000}"/>
    <cellStyle name="Normal 489 7" xfId="52491" xr:uid="{00000000-0005-0000-0000-0000CBA80000}"/>
    <cellStyle name="Normal 49" xfId="2854" xr:uid="{00000000-0005-0000-0000-0000CCA80000}"/>
    <cellStyle name="Normal 49 2" xfId="4914" xr:uid="{00000000-0005-0000-0000-0000CDA80000}"/>
    <cellStyle name="Normal 49 3" xfId="52492" xr:uid="{00000000-0005-0000-0000-0000CEA80000}"/>
    <cellStyle name="Normal 490" xfId="2855" xr:uid="{00000000-0005-0000-0000-0000CFA80000}"/>
    <cellStyle name="Normal 490 2" xfId="4916" xr:uid="{00000000-0005-0000-0000-0000D0A80000}"/>
    <cellStyle name="Normal 490 2 2" xfId="8698" xr:uid="{00000000-0005-0000-0000-0000D1A80000}"/>
    <cellStyle name="Normal 490 2 2 2" xfId="16494" xr:uid="{00000000-0005-0000-0000-0000D2A80000}"/>
    <cellStyle name="Normal 490 2 2 2 2" xfId="34129" xr:uid="{00000000-0005-0000-0000-0000D3A80000}"/>
    <cellStyle name="Normal 490 2 2 3" xfId="27099" xr:uid="{00000000-0005-0000-0000-0000D4A80000}"/>
    <cellStyle name="Normal 490 2 3" xfId="12998" xr:uid="{00000000-0005-0000-0000-0000D5A80000}"/>
    <cellStyle name="Normal 490 2 3 2" xfId="30647" xr:uid="{00000000-0005-0000-0000-0000D6A80000}"/>
    <cellStyle name="Normal 490 2 4" xfId="24234" xr:uid="{00000000-0005-0000-0000-0000D7A80000}"/>
    <cellStyle name="Normal 490 3" xfId="4915" xr:uid="{00000000-0005-0000-0000-0000D8A80000}"/>
    <cellStyle name="Normal 490 4" xfId="8016" xr:uid="{00000000-0005-0000-0000-0000D9A80000}"/>
    <cellStyle name="Normal 490 4 2" xfId="15813" xr:uid="{00000000-0005-0000-0000-0000DAA80000}"/>
    <cellStyle name="Normal 490 4 2 2" xfId="33448" xr:uid="{00000000-0005-0000-0000-0000DBA80000}"/>
    <cellStyle name="Normal 490 4 3" xfId="26432" xr:uid="{00000000-0005-0000-0000-0000DCA80000}"/>
    <cellStyle name="Normal 490 5" xfId="11976" xr:uid="{00000000-0005-0000-0000-0000DDA80000}"/>
    <cellStyle name="Normal 490 5 2" xfId="29659" xr:uid="{00000000-0005-0000-0000-0000DEA80000}"/>
    <cellStyle name="Normal 490 6" xfId="23567" xr:uid="{00000000-0005-0000-0000-0000DFA80000}"/>
    <cellStyle name="Normal 490 7" xfId="52493" xr:uid="{00000000-0005-0000-0000-0000E0A80000}"/>
    <cellStyle name="Normal 491" xfId="2856" xr:uid="{00000000-0005-0000-0000-0000E1A80000}"/>
    <cellStyle name="Normal 491 2" xfId="4918" xr:uid="{00000000-0005-0000-0000-0000E2A80000}"/>
    <cellStyle name="Normal 491 2 2" xfId="8699" xr:uid="{00000000-0005-0000-0000-0000E3A80000}"/>
    <cellStyle name="Normal 491 2 2 2" xfId="16495" xr:uid="{00000000-0005-0000-0000-0000E4A80000}"/>
    <cellStyle name="Normal 491 2 2 2 2" xfId="34130" xr:uid="{00000000-0005-0000-0000-0000E5A80000}"/>
    <cellStyle name="Normal 491 2 2 3" xfId="27100" xr:uid="{00000000-0005-0000-0000-0000E6A80000}"/>
    <cellStyle name="Normal 491 2 3" xfId="13000" xr:uid="{00000000-0005-0000-0000-0000E7A80000}"/>
    <cellStyle name="Normal 491 2 3 2" xfId="30649" xr:uid="{00000000-0005-0000-0000-0000E8A80000}"/>
    <cellStyle name="Normal 491 2 4" xfId="24235" xr:uid="{00000000-0005-0000-0000-0000E9A80000}"/>
    <cellStyle name="Normal 491 3" xfId="4917" xr:uid="{00000000-0005-0000-0000-0000EAA80000}"/>
    <cellStyle name="Normal 491 4" xfId="8017" xr:uid="{00000000-0005-0000-0000-0000EBA80000}"/>
    <cellStyle name="Normal 491 4 2" xfId="15814" xr:uid="{00000000-0005-0000-0000-0000ECA80000}"/>
    <cellStyle name="Normal 491 4 2 2" xfId="33449" xr:uid="{00000000-0005-0000-0000-0000EDA80000}"/>
    <cellStyle name="Normal 491 4 3" xfId="26433" xr:uid="{00000000-0005-0000-0000-0000EEA80000}"/>
    <cellStyle name="Normal 491 5" xfId="11977" xr:uid="{00000000-0005-0000-0000-0000EFA80000}"/>
    <cellStyle name="Normal 491 5 2" xfId="29660" xr:uid="{00000000-0005-0000-0000-0000F0A80000}"/>
    <cellStyle name="Normal 491 6" xfId="23568" xr:uid="{00000000-0005-0000-0000-0000F1A80000}"/>
    <cellStyle name="Normal 491 7" xfId="52494" xr:uid="{00000000-0005-0000-0000-0000F2A80000}"/>
    <cellStyle name="Normal 492" xfId="2857" xr:uid="{00000000-0005-0000-0000-0000F3A80000}"/>
    <cellStyle name="Normal 492 2" xfId="4920" xr:uid="{00000000-0005-0000-0000-0000F4A80000}"/>
    <cellStyle name="Normal 492 2 2" xfId="8700" xr:uid="{00000000-0005-0000-0000-0000F5A80000}"/>
    <cellStyle name="Normal 492 2 2 2" xfId="16496" xr:uid="{00000000-0005-0000-0000-0000F6A80000}"/>
    <cellStyle name="Normal 492 2 2 2 2" xfId="34131" xr:uid="{00000000-0005-0000-0000-0000F7A80000}"/>
    <cellStyle name="Normal 492 2 2 3" xfId="27101" xr:uid="{00000000-0005-0000-0000-0000F8A80000}"/>
    <cellStyle name="Normal 492 2 3" xfId="13001" xr:uid="{00000000-0005-0000-0000-0000F9A80000}"/>
    <cellStyle name="Normal 492 2 3 2" xfId="30650" xr:uid="{00000000-0005-0000-0000-0000FAA80000}"/>
    <cellStyle name="Normal 492 2 4" xfId="24236" xr:uid="{00000000-0005-0000-0000-0000FBA80000}"/>
    <cellStyle name="Normal 492 3" xfId="4919" xr:uid="{00000000-0005-0000-0000-0000FCA80000}"/>
    <cellStyle name="Normal 492 4" xfId="8018" xr:uid="{00000000-0005-0000-0000-0000FDA80000}"/>
    <cellStyle name="Normal 492 4 2" xfId="15815" xr:uid="{00000000-0005-0000-0000-0000FEA80000}"/>
    <cellStyle name="Normal 492 4 2 2" xfId="33450" xr:uid="{00000000-0005-0000-0000-0000FFA80000}"/>
    <cellStyle name="Normal 492 4 3" xfId="26434" xr:uid="{00000000-0005-0000-0000-000000A90000}"/>
    <cellStyle name="Normal 492 5" xfId="11978" xr:uid="{00000000-0005-0000-0000-000001A90000}"/>
    <cellStyle name="Normal 492 5 2" xfId="29661" xr:uid="{00000000-0005-0000-0000-000002A90000}"/>
    <cellStyle name="Normal 492 6" xfId="23569" xr:uid="{00000000-0005-0000-0000-000003A90000}"/>
    <cellStyle name="Normal 492 7" xfId="52495" xr:uid="{00000000-0005-0000-0000-000004A90000}"/>
    <cellStyle name="Normal 493" xfId="2858" xr:uid="{00000000-0005-0000-0000-000005A90000}"/>
    <cellStyle name="Normal 493 2" xfId="4922" xr:uid="{00000000-0005-0000-0000-000006A90000}"/>
    <cellStyle name="Normal 493 2 2" xfId="8701" xr:uid="{00000000-0005-0000-0000-000007A90000}"/>
    <cellStyle name="Normal 493 2 2 2" xfId="16497" xr:uid="{00000000-0005-0000-0000-000008A90000}"/>
    <cellStyle name="Normal 493 2 2 2 2" xfId="34132" xr:uid="{00000000-0005-0000-0000-000009A90000}"/>
    <cellStyle name="Normal 493 2 2 3" xfId="27102" xr:uid="{00000000-0005-0000-0000-00000AA90000}"/>
    <cellStyle name="Normal 493 2 3" xfId="13002" xr:uid="{00000000-0005-0000-0000-00000BA90000}"/>
    <cellStyle name="Normal 493 2 3 2" xfId="30651" xr:uid="{00000000-0005-0000-0000-00000CA90000}"/>
    <cellStyle name="Normal 493 2 4" xfId="24237" xr:uid="{00000000-0005-0000-0000-00000DA90000}"/>
    <cellStyle name="Normal 493 3" xfId="4921" xr:uid="{00000000-0005-0000-0000-00000EA90000}"/>
    <cellStyle name="Normal 493 4" xfId="8019" xr:uid="{00000000-0005-0000-0000-00000FA90000}"/>
    <cellStyle name="Normal 493 4 2" xfId="15816" xr:uid="{00000000-0005-0000-0000-000010A90000}"/>
    <cellStyle name="Normal 493 4 2 2" xfId="33451" xr:uid="{00000000-0005-0000-0000-000011A90000}"/>
    <cellStyle name="Normal 493 4 3" xfId="26435" xr:uid="{00000000-0005-0000-0000-000012A90000}"/>
    <cellStyle name="Normal 493 5" xfId="11979" xr:uid="{00000000-0005-0000-0000-000013A90000}"/>
    <cellStyle name="Normal 493 5 2" xfId="29662" xr:uid="{00000000-0005-0000-0000-000014A90000}"/>
    <cellStyle name="Normal 493 6" xfId="23570" xr:uid="{00000000-0005-0000-0000-000015A90000}"/>
    <cellStyle name="Normal 493 7" xfId="52496" xr:uid="{00000000-0005-0000-0000-000016A90000}"/>
    <cellStyle name="Normal 494" xfId="2859" xr:uid="{00000000-0005-0000-0000-000017A90000}"/>
    <cellStyle name="Normal 494 2" xfId="4924" xr:uid="{00000000-0005-0000-0000-000018A90000}"/>
    <cellStyle name="Normal 494 2 2" xfId="8702" xr:uid="{00000000-0005-0000-0000-000019A90000}"/>
    <cellStyle name="Normal 494 2 2 2" xfId="16498" xr:uid="{00000000-0005-0000-0000-00001AA90000}"/>
    <cellStyle name="Normal 494 2 2 2 2" xfId="34133" xr:uid="{00000000-0005-0000-0000-00001BA90000}"/>
    <cellStyle name="Normal 494 2 2 3" xfId="27103" xr:uid="{00000000-0005-0000-0000-00001CA90000}"/>
    <cellStyle name="Normal 494 2 3" xfId="13003" xr:uid="{00000000-0005-0000-0000-00001DA90000}"/>
    <cellStyle name="Normal 494 2 3 2" xfId="30652" xr:uid="{00000000-0005-0000-0000-00001EA90000}"/>
    <cellStyle name="Normal 494 2 4" xfId="24238" xr:uid="{00000000-0005-0000-0000-00001FA90000}"/>
    <cellStyle name="Normal 494 3" xfId="4923" xr:uid="{00000000-0005-0000-0000-000020A90000}"/>
    <cellStyle name="Normal 494 4" xfId="8020" xr:uid="{00000000-0005-0000-0000-000021A90000}"/>
    <cellStyle name="Normal 494 4 2" xfId="15817" xr:uid="{00000000-0005-0000-0000-000022A90000}"/>
    <cellStyle name="Normal 494 4 2 2" xfId="33452" xr:uid="{00000000-0005-0000-0000-000023A90000}"/>
    <cellStyle name="Normal 494 4 3" xfId="26436" xr:uid="{00000000-0005-0000-0000-000024A90000}"/>
    <cellStyle name="Normal 494 5" xfId="11980" xr:uid="{00000000-0005-0000-0000-000025A90000}"/>
    <cellStyle name="Normal 494 5 2" xfId="29663" xr:uid="{00000000-0005-0000-0000-000026A90000}"/>
    <cellStyle name="Normal 494 6" xfId="23571" xr:uid="{00000000-0005-0000-0000-000027A90000}"/>
    <cellStyle name="Normal 494 7" xfId="52497" xr:uid="{00000000-0005-0000-0000-000028A90000}"/>
    <cellStyle name="Normal 495" xfId="2860" xr:uid="{00000000-0005-0000-0000-000029A90000}"/>
    <cellStyle name="Normal 495 2" xfId="4926" xr:uid="{00000000-0005-0000-0000-00002AA90000}"/>
    <cellStyle name="Normal 495 2 2" xfId="8703" xr:uid="{00000000-0005-0000-0000-00002BA90000}"/>
    <cellStyle name="Normal 495 2 2 2" xfId="16499" xr:uid="{00000000-0005-0000-0000-00002CA90000}"/>
    <cellStyle name="Normal 495 2 2 2 2" xfId="34134" xr:uid="{00000000-0005-0000-0000-00002DA90000}"/>
    <cellStyle name="Normal 495 2 2 3" xfId="27104" xr:uid="{00000000-0005-0000-0000-00002EA90000}"/>
    <cellStyle name="Normal 495 2 3" xfId="13004" xr:uid="{00000000-0005-0000-0000-00002FA90000}"/>
    <cellStyle name="Normal 495 2 3 2" xfId="30653" xr:uid="{00000000-0005-0000-0000-000030A90000}"/>
    <cellStyle name="Normal 495 2 4" xfId="24239" xr:uid="{00000000-0005-0000-0000-000031A90000}"/>
    <cellStyle name="Normal 495 3" xfId="4925" xr:uid="{00000000-0005-0000-0000-000032A90000}"/>
    <cellStyle name="Normal 495 4" xfId="8021" xr:uid="{00000000-0005-0000-0000-000033A90000}"/>
    <cellStyle name="Normal 495 4 2" xfId="15818" xr:uid="{00000000-0005-0000-0000-000034A90000}"/>
    <cellStyle name="Normal 495 4 2 2" xfId="33453" xr:uid="{00000000-0005-0000-0000-000035A90000}"/>
    <cellStyle name="Normal 495 4 3" xfId="26437" xr:uid="{00000000-0005-0000-0000-000036A90000}"/>
    <cellStyle name="Normal 495 5" xfId="11981" xr:uid="{00000000-0005-0000-0000-000037A90000}"/>
    <cellStyle name="Normal 495 5 2" xfId="29664" xr:uid="{00000000-0005-0000-0000-000038A90000}"/>
    <cellStyle name="Normal 495 6" xfId="23572" xr:uid="{00000000-0005-0000-0000-000039A90000}"/>
    <cellStyle name="Normal 495 7" xfId="52498" xr:uid="{00000000-0005-0000-0000-00003AA90000}"/>
    <cellStyle name="Normal 496" xfId="2861" xr:uid="{00000000-0005-0000-0000-00003BA90000}"/>
    <cellStyle name="Normal 496 2" xfId="4928" xr:uid="{00000000-0005-0000-0000-00003CA90000}"/>
    <cellStyle name="Normal 496 2 2" xfId="8704" xr:uid="{00000000-0005-0000-0000-00003DA90000}"/>
    <cellStyle name="Normal 496 2 2 2" xfId="16500" xr:uid="{00000000-0005-0000-0000-00003EA90000}"/>
    <cellStyle name="Normal 496 2 2 2 2" xfId="34135" xr:uid="{00000000-0005-0000-0000-00003FA90000}"/>
    <cellStyle name="Normal 496 2 2 3" xfId="27105" xr:uid="{00000000-0005-0000-0000-000040A90000}"/>
    <cellStyle name="Normal 496 2 3" xfId="13005" xr:uid="{00000000-0005-0000-0000-000041A90000}"/>
    <cellStyle name="Normal 496 2 3 2" xfId="30654" xr:uid="{00000000-0005-0000-0000-000042A90000}"/>
    <cellStyle name="Normal 496 2 4" xfId="24240" xr:uid="{00000000-0005-0000-0000-000043A90000}"/>
    <cellStyle name="Normal 496 3" xfId="4927" xr:uid="{00000000-0005-0000-0000-000044A90000}"/>
    <cellStyle name="Normal 496 4" xfId="8022" xr:uid="{00000000-0005-0000-0000-000045A90000}"/>
    <cellStyle name="Normal 496 4 2" xfId="15819" xr:uid="{00000000-0005-0000-0000-000046A90000}"/>
    <cellStyle name="Normal 496 4 2 2" xfId="33454" xr:uid="{00000000-0005-0000-0000-000047A90000}"/>
    <cellStyle name="Normal 496 4 3" xfId="26438" xr:uid="{00000000-0005-0000-0000-000048A90000}"/>
    <cellStyle name="Normal 496 5" xfId="11982" xr:uid="{00000000-0005-0000-0000-000049A90000}"/>
    <cellStyle name="Normal 496 5 2" xfId="29665" xr:uid="{00000000-0005-0000-0000-00004AA90000}"/>
    <cellStyle name="Normal 496 6" xfId="23573" xr:uid="{00000000-0005-0000-0000-00004BA90000}"/>
    <cellStyle name="Normal 496 7" xfId="52499" xr:uid="{00000000-0005-0000-0000-00004CA90000}"/>
    <cellStyle name="Normal 497" xfId="2862" xr:uid="{00000000-0005-0000-0000-00004DA90000}"/>
    <cellStyle name="Normal 497 2" xfId="4930" xr:uid="{00000000-0005-0000-0000-00004EA90000}"/>
    <cellStyle name="Normal 497 2 2" xfId="8705" xr:uid="{00000000-0005-0000-0000-00004FA90000}"/>
    <cellStyle name="Normal 497 2 2 2" xfId="16501" xr:uid="{00000000-0005-0000-0000-000050A90000}"/>
    <cellStyle name="Normal 497 2 2 2 2" xfId="34136" xr:uid="{00000000-0005-0000-0000-000051A90000}"/>
    <cellStyle name="Normal 497 2 2 3" xfId="27106" xr:uid="{00000000-0005-0000-0000-000052A90000}"/>
    <cellStyle name="Normal 497 2 3" xfId="13006" xr:uid="{00000000-0005-0000-0000-000053A90000}"/>
    <cellStyle name="Normal 497 2 3 2" xfId="30655" xr:uid="{00000000-0005-0000-0000-000054A90000}"/>
    <cellStyle name="Normal 497 2 4" xfId="24241" xr:uid="{00000000-0005-0000-0000-000055A90000}"/>
    <cellStyle name="Normal 497 3" xfId="4929" xr:uid="{00000000-0005-0000-0000-000056A90000}"/>
    <cellStyle name="Normal 497 4" xfId="8023" xr:uid="{00000000-0005-0000-0000-000057A90000}"/>
    <cellStyle name="Normal 497 4 2" xfId="15820" xr:uid="{00000000-0005-0000-0000-000058A90000}"/>
    <cellStyle name="Normal 497 4 2 2" xfId="33455" xr:uid="{00000000-0005-0000-0000-000059A90000}"/>
    <cellStyle name="Normal 497 4 3" xfId="26439" xr:uid="{00000000-0005-0000-0000-00005AA90000}"/>
    <cellStyle name="Normal 497 5" xfId="11983" xr:uid="{00000000-0005-0000-0000-00005BA90000}"/>
    <cellStyle name="Normal 497 5 2" xfId="29666" xr:uid="{00000000-0005-0000-0000-00005CA90000}"/>
    <cellStyle name="Normal 497 6" xfId="23574" xr:uid="{00000000-0005-0000-0000-00005DA90000}"/>
    <cellStyle name="Normal 497 7" xfId="52500" xr:uid="{00000000-0005-0000-0000-00005EA90000}"/>
    <cellStyle name="Normal 498" xfId="2863" xr:uid="{00000000-0005-0000-0000-00005FA90000}"/>
    <cellStyle name="Normal 498 2" xfId="4932" xr:uid="{00000000-0005-0000-0000-000060A90000}"/>
    <cellStyle name="Normal 498 2 2" xfId="8706" xr:uid="{00000000-0005-0000-0000-000061A90000}"/>
    <cellStyle name="Normal 498 2 2 2" xfId="16502" xr:uid="{00000000-0005-0000-0000-000062A90000}"/>
    <cellStyle name="Normal 498 2 2 2 2" xfId="34137" xr:uid="{00000000-0005-0000-0000-000063A90000}"/>
    <cellStyle name="Normal 498 2 2 3" xfId="27107" xr:uid="{00000000-0005-0000-0000-000064A90000}"/>
    <cellStyle name="Normal 498 2 3" xfId="13007" xr:uid="{00000000-0005-0000-0000-000065A90000}"/>
    <cellStyle name="Normal 498 2 3 2" xfId="30656" xr:uid="{00000000-0005-0000-0000-000066A90000}"/>
    <cellStyle name="Normal 498 2 4" xfId="24242" xr:uid="{00000000-0005-0000-0000-000067A90000}"/>
    <cellStyle name="Normal 498 3" xfId="4931" xr:uid="{00000000-0005-0000-0000-000068A90000}"/>
    <cellStyle name="Normal 498 4" xfId="8024" xr:uid="{00000000-0005-0000-0000-000069A90000}"/>
    <cellStyle name="Normal 498 4 2" xfId="15821" xr:uid="{00000000-0005-0000-0000-00006AA90000}"/>
    <cellStyle name="Normal 498 4 2 2" xfId="33456" xr:uid="{00000000-0005-0000-0000-00006BA90000}"/>
    <cellStyle name="Normal 498 4 3" xfId="26440" xr:uid="{00000000-0005-0000-0000-00006CA90000}"/>
    <cellStyle name="Normal 498 5" xfId="11984" xr:uid="{00000000-0005-0000-0000-00006DA90000}"/>
    <cellStyle name="Normal 498 5 2" xfId="29667" xr:uid="{00000000-0005-0000-0000-00006EA90000}"/>
    <cellStyle name="Normal 498 6" xfId="23575" xr:uid="{00000000-0005-0000-0000-00006FA90000}"/>
    <cellStyle name="Normal 498 7" xfId="52501" xr:uid="{00000000-0005-0000-0000-000070A90000}"/>
    <cellStyle name="Normal 499" xfId="2864" xr:uid="{00000000-0005-0000-0000-000071A90000}"/>
    <cellStyle name="Normal 499 2" xfId="4933" xr:uid="{00000000-0005-0000-0000-000072A90000}"/>
    <cellStyle name="Normal 499 2 2" xfId="8707" xr:uid="{00000000-0005-0000-0000-000073A90000}"/>
    <cellStyle name="Normal 499 2 2 2" xfId="16503" xr:uid="{00000000-0005-0000-0000-000074A90000}"/>
    <cellStyle name="Normal 499 2 2 2 2" xfId="34138" xr:uid="{00000000-0005-0000-0000-000075A90000}"/>
    <cellStyle name="Normal 499 2 2 3" xfId="27108" xr:uid="{00000000-0005-0000-0000-000076A90000}"/>
    <cellStyle name="Normal 499 2 3" xfId="13008" xr:uid="{00000000-0005-0000-0000-000077A90000}"/>
    <cellStyle name="Normal 499 2 3 2" xfId="30657" xr:uid="{00000000-0005-0000-0000-000078A90000}"/>
    <cellStyle name="Normal 499 2 4" xfId="24243" xr:uid="{00000000-0005-0000-0000-000079A90000}"/>
    <cellStyle name="Normal 499 3" xfId="5964" xr:uid="{00000000-0005-0000-0000-00007AA90000}"/>
    <cellStyle name="Normal 499 3 2" xfId="9264" xr:uid="{00000000-0005-0000-0000-00007BA90000}"/>
    <cellStyle name="Normal 499 3 2 2" xfId="17059" xr:uid="{00000000-0005-0000-0000-00007CA90000}"/>
    <cellStyle name="Normal 499 3 2 2 2" xfId="34695" xr:uid="{00000000-0005-0000-0000-00007DA90000}"/>
    <cellStyle name="Normal 499 3 2 3" xfId="27652" xr:uid="{00000000-0005-0000-0000-00007EA90000}"/>
    <cellStyle name="Normal 499 3 3" xfId="13820" xr:uid="{00000000-0005-0000-0000-00007FA90000}"/>
    <cellStyle name="Normal 499 3 3 2" xfId="31460" xr:uid="{00000000-0005-0000-0000-000080A90000}"/>
    <cellStyle name="Normal 499 3 4" xfId="24787" xr:uid="{00000000-0005-0000-0000-000081A90000}"/>
    <cellStyle name="Normal 499 4" xfId="6594" xr:uid="{00000000-0005-0000-0000-000082A90000}"/>
    <cellStyle name="Normal 499 4 2" xfId="9804" xr:uid="{00000000-0005-0000-0000-000083A90000}"/>
    <cellStyle name="Normal 499 4 2 2" xfId="17598" xr:uid="{00000000-0005-0000-0000-000084A90000}"/>
    <cellStyle name="Normal 499 4 2 2 2" xfId="35235" xr:uid="{00000000-0005-0000-0000-000085A90000}"/>
    <cellStyle name="Normal 499 4 2 3" xfId="28188" xr:uid="{00000000-0005-0000-0000-000086A90000}"/>
    <cellStyle name="Normal 499 4 3" xfId="14383" xr:uid="{00000000-0005-0000-0000-000087A90000}"/>
    <cellStyle name="Normal 499 4 3 2" xfId="32018" xr:uid="{00000000-0005-0000-0000-000088A90000}"/>
    <cellStyle name="Normal 499 4 4" xfId="25324" xr:uid="{00000000-0005-0000-0000-000089A90000}"/>
    <cellStyle name="Normal 499 5" xfId="7370" xr:uid="{00000000-0005-0000-0000-00008AA90000}"/>
    <cellStyle name="Normal 499 5 2" xfId="10358" xr:uid="{00000000-0005-0000-0000-00008BA90000}"/>
    <cellStyle name="Normal 499 5 2 2" xfId="18151" xr:uid="{00000000-0005-0000-0000-00008CA90000}"/>
    <cellStyle name="Normal 499 5 2 2 2" xfId="35788" xr:uid="{00000000-0005-0000-0000-00008DA90000}"/>
    <cellStyle name="Normal 499 5 2 3" xfId="28725" xr:uid="{00000000-0005-0000-0000-00008EA90000}"/>
    <cellStyle name="Normal 499 5 3" xfId="15158" xr:uid="{00000000-0005-0000-0000-00008FA90000}"/>
    <cellStyle name="Normal 499 5 3 2" xfId="32793" xr:uid="{00000000-0005-0000-0000-000090A90000}"/>
    <cellStyle name="Normal 499 5 4" xfId="25862" xr:uid="{00000000-0005-0000-0000-000091A90000}"/>
    <cellStyle name="Normal 499 6" xfId="8025" xr:uid="{00000000-0005-0000-0000-000092A90000}"/>
    <cellStyle name="Normal 499 6 2" xfId="15822" xr:uid="{00000000-0005-0000-0000-000093A90000}"/>
    <cellStyle name="Normal 499 6 2 2" xfId="33457" xr:uid="{00000000-0005-0000-0000-000094A90000}"/>
    <cellStyle name="Normal 499 6 3" xfId="26441" xr:uid="{00000000-0005-0000-0000-000095A90000}"/>
    <cellStyle name="Normal 499 7" xfId="11985" xr:uid="{00000000-0005-0000-0000-000096A90000}"/>
    <cellStyle name="Normal 499 7 2" xfId="29668" xr:uid="{00000000-0005-0000-0000-000097A90000}"/>
    <cellStyle name="Normal 499 8" xfId="23576" xr:uid="{00000000-0005-0000-0000-000098A90000}"/>
    <cellStyle name="Normal 499 9" xfId="52502" xr:uid="{00000000-0005-0000-0000-000099A90000}"/>
    <cellStyle name="Normal 5" xfId="127" xr:uid="{00000000-0005-0000-0000-00009AA90000}"/>
    <cellStyle name="Normal 5 10" xfId="2866" xr:uid="{00000000-0005-0000-0000-00009BA90000}"/>
    <cellStyle name="Normal 5 10 2" xfId="4934" xr:uid="{00000000-0005-0000-0000-00009CA90000}"/>
    <cellStyle name="Normal 5 10 3" xfId="52503" xr:uid="{00000000-0005-0000-0000-00009DA90000}"/>
    <cellStyle name="Normal 5 11" xfId="2867" xr:uid="{00000000-0005-0000-0000-00009EA90000}"/>
    <cellStyle name="Normal 5 11 2" xfId="4935" xr:uid="{00000000-0005-0000-0000-00009FA90000}"/>
    <cellStyle name="Normal 5 11 3" xfId="52504" xr:uid="{00000000-0005-0000-0000-0000A0A90000}"/>
    <cellStyle name="Normal 5 12" xfId="2868" xr:uid="{00000000-0005-0000-0000-0000A1A90000}"/>
    <cellStyle name="Normal 5 13" xfId="2869" xr:uid="{00000000-0005-0000-0000-0000A2A90000}"/>
    <cellStyle name="Normal 5 14" xfId="4936" xr:uid="{00000000-0005-0000-0000-0000A3A90000}"/>
    <cellStyle name="Normal 5 15" xfId="4937" xr:uid="{00000000-0005-0000-0000-0000A4A90000}"/>
    <cellStyle name="Normal 5 16" xfId="2865" xr:uid="{00000000-0005-0000-0000-0000A5A90000}"/>
    <cellStyle name="Normal 5 2" xfId="128" xr:uid="{00000000-0005-0000-0000-0000A6A90000}"/>
    <cellStyle name="Normal 5 2 2" xfId="2871" xr:uid="{00000000-0005-0000-0000-0000A7A90000}"/>
    <cellStyle name="Normal 5 2 2 2" xfId="23005" xr:uid="{00000000-0005-0000-0000-0000A8A90000}"/>
    <cellStyle name="Normal 5 2 2 3" xfId="22706" xr:uid="{00000000-0005-0000-0000-0000A9A90000}"/>
    <cellStyle name="Normal 5 2 3" xfId="2870" xr:uid="{00000000-0005-0000-0000-0000AAA90000}"/>
    <cellStyle name="Normal 5 2_Sheet1" xfId="2872" xr:uid="{00000000-0005-0000-0000-0000ABA90000}"/>
    <cellStyle name="Normal 5 3" xfId="2873" xr:uid="{00000000-0005-0000-0000-0000ACA90000}"/>
    <cellStyle name="Normal 5 4" xfId="2874" xr:uid="{00000000-0005-0000-0000-0000ADA90000}"/>
    <cellStyle name="Normal 5 4 2" xfId="2875" xr:uid="{00000000-0005-0000-0000-0000AEA90000}"/>
    <cellStyle name="Normal 5 4 2 2" xfId="4939" xr:uid="{00000000-0005-0000-0000-0000AFA90000}"/>
    <cellStyle name="Normal 5 4 2 3" xfId="52506" xr:uid="{00000000-0005-0000-0000-0000B0A90000}"/>
    <cellStyle name="Normal 5 4 3" xfId="4938" xr:uid="{00000000-0005-0000-0000-0000B1A90000}"/>
    <cellStyle name="Normal 5 4 4" xfId="52505" xr:uid="{00000000-0005-0000-0000-0000B2A90000}"/>
    <cellStyle name="Normal 5 5" xfId="2876" xr:uid="{00000000-0005-0000-0000-0000B3A90000}"/>
    <cellStyle name="Normal 5 5 2" xfId="4940" xr:uid="{00000000-0005-0000-0000-0000B4A90000}"/>
    <cellStyle name="Normal 5 5 3" xfId="52507" xr:uid="{00000000-0005-0000-0000-0000B5A90000}"/>
    <cellStyle name="Normal 5 6" xfId="2877" xr:uid="{00000000-0005-0000-0000-0000B6A90000}"/>
    <cellStyle name="Normal 5 6 2" xfId="4941" xr:uid="{00000000-0005-0000-0000-0000B7A90000}"/>
    <cellStyle name="Normal 5 6 3" xfId="52508" xr:uid="{00000000-0005-0000-0000-0000B8A90000}"/>
    <cellStyle name="Normal 5 7" xfId="2878" xr:uid="{00000000-0005-0000-0000-0000B9A90000}"/>
    <cellStyle name="Normal 5 7 2" xfId="4942" xr:uid="{00000000-0005-0000-0000-0000BAA90000}"/>
    <cellStyle name="Normal 5 7 3" xfId="52509" xr:uid="{00000000-0005-0000-0000-0000BBA90000}"/>
    <cellStyle name="Normal 5 8" xfId="2879" xr:uid="{00000000-0005-0000-0000-0000BCA90000}"/>
    <cellStyle name="Normal 5 8 2" xfId="4943" xr:uid="{00000000-0005-0000-0000-0000BDA90000}"/>
    <cellStyle name="Normal 5 8 3" xfId="52510" xr:uid="{00000000-0005-0000-0000-0000BEA90000}"/>
    <cellStyle name="Normal 5 9" xfId="2880" xr:uid="{00000000-0005-0000-0000-0000BFA90000}"/>
    <cellStyle name="Normal 5 9 2" xfId="4944" xr:uid="{00000000-0005-0000-0000-0000C0A90000}"/>
    <cellStyle name="Normal 5 9 3" xfId="52511" xr:uid="{00000000-0005-0000-0000-0000C1A90000}"/>
    <cellStyle name="Normal 5_Sheet1" xfId="2881" xr:uid="{00000000-0005-0000-0000-0000C2A90000}"/>
    <cellStyle name="Normal 50" xfId="2882" xr:uid="{00000000-0005-0000-0000-0000C3A90000}"/>
    <cellStyle name="Normal 50 2" xfId="4945" xr:uid="{00000000-0005-0000-0000-0000C4A90000}"/>
    <cellStyle name="Normal 50 3" xfId="52512" xr:uid="{00000000-0005-0000-0000-0000C5A90000}"/>
    <cellStyle name="Normal 500" xfId="2883" xr:uid="{00000000-0005-0000-0000-0000C6A90000}"/>
    <cellStyle name="Normal 500 2" xfId="4946" xr:uid="{00000000-0005-0000-0000-0000C7A90000}"/>
    <cellStyle name="Normal 500 2 2" xfId="8708" xr:uid="{00000000-0005-0000-0000-0000C8A90000}"/>
    <cellStyle name="Normal 500 2 2 2" xfId="16504" xr:uid="{00000000-0005-0000-0000-0000C9A90000}"/>
    <cellStyle name="Normal 500 2 2 2 2" xfId="34139" xr:uid="{00000000-0005-0000-0000-0000CAA90000}"/>
    <cellStyle name="Normal 500 2 2 3" xfId="27109" xr:uid="{00000000-0005-0000-0000-0000CBA90000}"/>
    <cellStyle name="Normal 500 2 3" xfId="13009" xr:uid="{00000000-0005-0000-0000-0000CCA90000}"/>
    <cellStyle name="Normal 500 2 3 2" xfId="30658" xr:uid="{00000000-0005-0000-0000-0000CDA90000}"/>
    <cellStyle name="Normal 500 2 4" xfId="24244" xr:uid="{00000000-0005-0000-0000-0000CEA90000}"/>
    <cellStyle name="Normal 500 3" xfId="5965" xr:uid="{00000000-0005-0000-0000-0000CFA90000}"/>
    <cellStyle name="Normal 500 3 2" xfId="9265" xr:uid="{00000000-0005-0000-0000-0000D0A90000}"/>
    <cellStyle name="Normal 500 3 2 2" xfId="17060" xr:uid="{00000000-0005-0000-0000-0000D1A90000}"/>
    <cellStyle name="Normal 500 3 2 2 2" xfId="34696" xr:uid="{00000000-0005-0000-0000-0000D2A90000}"/>
    <cellStyle name="Normal 500 3 2 3" xfId="27653" xr:uid="{00000000-0005-0000-0000-0000D3A90000}"/>
    <cellStyle name="Normal 500 3 3" xfId="13821" xr:uid="{00000000-0005-0000-0000-0000D4A90000}"/>
    <cellStyle name="Normal 500 3 3 2" xfId="31461" xr:uid="{00000000-0005-0000-0000-0000D5A90000}"/>
    <cellStyle name="Normal 500 3 4" xfId="24788" xr:uid="{00000000-0005-0000-0000-0000D6A90000}"/>
    <cellStyle name="Normal 500 4" xfId="6595" xr:uid="{00000000-0005-0000-0000-0000D7A90000}"/>
    <cellStyle name="Normal 500 4 2" xfId="9805" xr:uid="{00000000-0005-0000-0000-0000D8A90000}"/>
    <cellStyle name="Normal 500 4 2 2" xfId="17599" xr:uid="{00000000-0005-0000-0000-0000D9A90000}"/>
    <cellStyle name="Normal 500 4 2 2 2" xfId="35236" xr:uid="{00000000-0005-0000-0000-0000DAA90000}"/>
    <cellStyle name="Normal 500 4 2 3" xfId="28189" xr:uid="{00000000-0005-0000-0000-0000DBA90000}"/>
    <cellStyle name="Normal 500 4 3" xfId="14384" xr:uid="{00000000-0005-0000-0000-0000DCA90000}"/>
    <cellStyle name="Normal 500 4 3 2" xfId="32019" xr:uid="{00000000-0005-0000-0000-0000DDA90000}"/>
    <cellStyle name="Normal 500 4 4" xfId="25325" xr:uid="{00000000-0005-0000-0000-0000DEA90000}"/>
    <cellStyle name="Normal 500 5" xfId="7371" xr:uid="{00000000-0005-0000-0000-0000DFA90000}"/>
    <cellStyle name="Normal 500 5 2" xfId="10359" xr:uid="{00000000-0005-0000-0000-0000E0A90000}"/>
    <cellStyle name="Normal 500 5 2 2" xfId="18152" xr:uid="{00000000-0005-0000-0000-0000E1A90000}"/>
    <cellStyle name="Normal 500 5 2 2 2" xfId="35789" xr:uid="{00000000-0005-0000-0000-0000E2A90000}"/>
    <cellStyle name="Normal 500 5 2 3" xfId="28726" xr:uid="{00000000-0005-0000-0000-0000E3A90000}"/>
    <cellStyle name="Normal 500 5 3" xfId="15159" xr:uid="{00000000-0005-0000-0000-0000E4A90000}"/>
    <cellStyle name="Normal 500 5 3 2" xfId="32794" xr:uid="{00000000-0005-0000-0000-0000E5A90000}"/>
    <cellStyle name="Normal 500 5 4" xfId="25863" xr:uid="{00000000-0005-0000-0000-0000E6A90000}"/>
    <cellStyle name="Normal 500 6" xfId="8026" xr:uid="{00000000-0005-0000-0000-0000E7A90000}"/>
    <cellStyle name="Normal 500 6 2" xfId="15823" xr:uid="{00000000-0005-0000-0000-0000E8A90000}"/>
    <cellStyle name="Normal 500 6 2 2" xfId="33458" xr:uid="{00000000-0005-0000-0000-0000E9A90000}"/>
    <cellStyle name="Normal 500 6 3" xfId="26442" xr:uid="{00000000-0005-0000-0000-0000EAA90000}"/>
    <cellStyle name="Normal 500 7" xfId="11987" xr:uid="{00000000-0005-0000-0000-0000EBA90000}"/>
    <cellStyle name="Normal 500 7 2" xfId="29669" xr:uid="{00000000-0005-0000-0000-0000ECA90000}"/>
    <cellStyle name="Normal 500 8" xfId="23577" xr:uid="{00000000-0005-0000-0000-0000EDA90000}"/>
    <cellStyle name="Normal 500 9" xfId="52513" xr:uid="{00000000-0005-0000-0000-0000EEA90000}"/>
    <cellStyle name="Normal 501" xfId="2884" xr:uid="{00000000-0005-0000-0000-0000EFA90000}"/>
    <cellStyle name="Normal 501 2" xfId="4947" xr:uid="{00000000-0005-0000-0000-0000F0A90000}"/>
    <cellStyle name="Normal 501 2 2" xfId="8709" xr:uid="{00000000-0005-0000-0000-0000F1A90000}"/>
    <cellStyle name="Normal 501 2 2 2" xfId="16505" xr:uid="{00000000-0005-0000-0000-0000F2A90000}"/>
    <cellStyle name="Normal 501 2 2 2 2" xfId="34140" xr:uid="{00000000-0005-0000-0000-0000F3A90000}"/>
    <cellStyle name="Normal 501 2 2 3" xfId="27110" xr:uid="{00000000-0005-0000-0000-0000F4A90000}"/>
    <cellStyle name="Normal 501 2 3" xfId="13010" xr:uid="{00000000-0005-0000-0000-0000F5A90000}"/>
    <cellStyle name="Normal 501 2 3 2" xfId="30659" xr:uid="{00000000-0005-0000-0000-0000F6A90000}"/>
    <cellStyle name="Normal 501 2 4" xfId="24245" xr:uid="{00000000-0005-0000-0000-0000F7A90000}"/>
    <cellStyle name="Normal 501 3" xfId="5966" xr:uid="{00000000-0005-0000-0000-0000F8A90000}"/>
    <cellStyle name="Normal 501 3 2" xfId="9266" xr:uid="{00000000-0005-0000-0000-0000F9A90000}"/>
    <cellStyle name="Normal 501 3 2 2" xfId="17061" xr:uid="{00000000-0005-0000-0000-0000FAA90000}"/>
    <cellStyle name="Normal 501 3 2 2 2" xfId="34697" xr:uid="{00000000-0005-0000-0000-0000FBA90000}"/>
    <cellStyle name="Normal 501 3 2 3" xfId="27654" xr:uid="{00000000-0005-0000-0000-0000FCA90000}"/>
    <cellStyle name="Normal 501 3 3" xfId="13822" xr:uid="{00000000-0005-0000-0000-0000FDA90000}"/>
    <cellStyle name="Normal 501 3 3 2" xfId="31462" xr:uid="{00000000-0005-0000-0000-0000FEA90000}"/>
    <cellStyle name="Normal 501 3 4" xfId="24789" xr:uid="{00000000-0005-0000-0000-0000FFA90000}"/>
    <cellStyle name="Normal 501 4" xfId="6596" xr:uid="{00000000-0005-0000-0000-000000AA0000}"/>
    <cellStyle name="Normal 501 4 2" xfId="9806" xr:uid="{00000000-0005-0000-0000-000001AA0000}"/>
    <cellStyle name="Normal 501 4 2 2" xfId="17600" xr:uid="{00000000-0005-0000-0000-000002AA0000}"/>
    <cellStyle name="Normal 501 4 2 2 2" xfId="35237" xr:uid="{00000000-0005-0000-0000-000003AA0000}"/>
    <cellStyle name="Normal 501 4 2 3" xfId="28190" xr:uid="{00000000-0005-0000-0000-000004AA0000}"/>
    <cellStyle name="Normal 501 4 3" xfId="14385" xr:uid="{00000000-0005-0000-0000-000005AA0000}"/>
    <cellStyle name="Normal 501 4 3 2" xfId="32020" xr:uid="{00000000-0005-0000-0000-000006AA0000}"/>
    <cellStyle name="Normal 501 4 4" xfId="25326" xr:uid="{00000000-0005-0000-0000-000007AA0000}"/>
    <cellStyle name="Normal 501 5" xfId="7372" xr:uid="{00000000-0005-0000-0000-000008AA0000}"/>
    <cellStyle name="Normal 501 5 2" xfId="10360" xr:uid="{00000000-0005-0000-0000-000009AA0000}"/>
    <cellStyle name="Normal 501 5 2 2" xfId="18153" xr:uid="{00000000-0005-0000-0000-00000AAA0000}"/>
    <cellStyle name="Normal 501 5 2 2 2" xfId="35790" xr:uid="{00000000-0005-0000-0000-00000BAA0000}"/>
    <cellStyle name="Normal 501 5 2 3" xfId="28727" xr:uid="{00000000-0005-0000-0000-00000CAA0000}"/>
    <cellStyle name="Normal 501 5 3" xfId="15160" xr:uid="{00000000-0005-0000-0000-00000DAA0000}"/>
    <cellStyle name="Normal 501 5 3 2" xfId="32795" xr:uid="{00000000-0005-0000-0000-00000EAA0000}"/>
    <cellStyle name="Normal 501 5 4" xfId="25864" xr:uid="{00000000-0005-0000-0000-00000FAA0000}"/>
    <cellStyle name="Normal 501 6" xfId="8027" xr:uid="{00000000-0005-0000-0000-000010AA0000}"/>
    <cellStyle name="Normal 501 6 2" xfId="15824" xr:uid="{00000000-0005-0000-0000-000011AA0000}"/>
    <cellStyle name="Normal 501 6 2 2" xfId="33459" xr:uid="{00000000-0005-0000-0000-000012AA0000}"/>
    <cellStyle name="Normal 501 6 3" xfId="26443" xr:uid="{00000000-0005-0000-0000-000013AA0000}"/>
    <cellStyle name="Normal 501 7" xfId="11988" xr:uid="{00000000-0005-0000-0000-000014AA0000}"/>
    <cellStyle name="Normal 501 7 2" xfId="29670" xr:uid="{00000000-0005-0000-0000-000015AA0000}"/>
    <cellStyle name="Normal 501 8" xfId="23578" xr:uid="{00000000-0005-0000-0000-000016AA0000}"/>
    <cellStyle name="Normal 501 9" xfId="52514" xr:uid="{00000000-0005-0000-0000-000017AA0000}"/>
    <cellStyle name="Normal 502" xfId="2885" xr:uid="{00000000-0005-0000-0000-000018AA0000}"/>
    <cellStyle name="Normal 502 2" xfId="4948" xr:uid="{00000000-0005-0000-0000-000019AA0000}"/>
    <cellStyle name="Normal 502 2 2" xfId="8710" xr:uid="{00000000-0005-0000-0000-00001AAA0000}"/>
    <cellStyle name="Normal 502 2 2 2" xfId="16506" xr:uid="{00000000-0005-0000-0000-00001BAA0000}"/>
    <cellStyle name="Normal 502 2 2 2 2" xfId="34141" xr:uid="{00000000-0005-0000-0000-00001CAA0000}"/>
    <cellStyle name="Normal 502 2 2 3" xfId="27111" xr:uid="{00000000-0005-0000-0000-00001DAA0000}"/>
    <cellStyle name="Normal 502 2 3" xfId="13011" xr:uid="{00000000-0005-0000-0000-00001EAA0000}"/>
    <cellStyle name="Normal 502 2 3 2" xfId="30660" xr:uid="{00000000-0005-0000-0000-00001FAA0000}"/>
    <cellStyle name="Normal 502 2 4" xfId="24246" xr:uid="{00000000-0005-0000-0000-000020AA0000}"/>
    <cellStyle name="Normal 502 3" xfId="5967" xr:uid="{00000000-0005-0000-0000-000021AA0000}"/>
    <cellStyle name="Normal 502 3 2" xfId="9267" xr:uid="{00000000-0005-0000-0000-000022AA0000}"/>
    <cellStyle name="Normal 502 3 2 2" xfId="17062" xr:uid="{00000000-0005-0000-0000-000023AA0000}"/>
    <cellStyle name="Normal 502 3 2 2 2" xfId="34698" xr:uid="{00000000-0005-0000-0000-000024AA0000}"/>
    <cellStyle name="Normal 502 3 2 3" xfId="27655" xr:uid="{00000000-0005-0000-0000-000025AA0000}"/>
    <cellStyle name="Normal 502 3 3" xfId="13823" xr:uid="{00000000-0005-0000-0000-000026AA0000}"/>
    <cellStyle name="Normal 502 3 3 2" xfId="31463" xr:uid="{00000000-0005-0000-0000-000027AA0000}"/>
    <cellStyle name="Normal 502 3 4" xfId="24790" xr:uid="{00000000-0005-0000-0000-000028AA0000}"/>
    <cellStyle name="Normal 502 4" xfId="6597" xr:uid="{00000000-0005-0000-0000-000029AA0000}"/>
    <cellStyle name="Normal 502 4 2" xfId="9807" xr:uid="{00000000-0005-0000-0000-00002AAA0000}"/>
    <cellStyle name="Normal 502 4 2 2" xfId="17601" xr:uid="{00000000-0005-0000-0000-00002BAA0000}"/>
    <cellStyle name="Normal 502 4 2 2 2" xfId="35238" xr:uid="{00000000-0005-0000-0000-00002CAA0000}"/>
    <cellStyle name="Normal 502 4 2 3" xfId="28191" xr:uid="{00000000-0005-0000-0000-00002DAA0000}"/>
    <cellStyle name="Normal 502 4 3" xfId="14386" xr:uid="{00000000-0005-0000-0000-00002EAA0000}"/>
    <cellStyle name="Normal 502 4 3 2" xfId="32021" xr:uid="{00000000-0005-0000-0000-00002FAA0000}"/>
    <cellStyle name="Normal 502 4 4" xfId="25327" xr:uid="{00000000-0005-0000-0000-000030AA0000}"/>
    <cellStyle name="Normal 502 5" xfId="7373" xr:uid="{00000000-0005-0000-0000-000031AA0000}"/>
    <cellStyle name="Normal 502 5 2" xfId="10361" xr:uid="{00000000-0005-0000-0000-000032AA0000}"/>
    <cellStyle name="Normal 502 5 2 2" xfId="18154" xr:uid="{00000000-0005-0000-0000-000033AA0000}"/>
    <cellStyle name="Normal 502 5 2 2 2" xfId="35791" xr:uid="{00000000-0005-0000-0000-000034AA0000}"/>
    <cellStyle name="Normal 502 5 2 3" xfId="28728" xr:uid="{00000000-0005-0000-0000-000035AA0000}"/>
    <cellStyle name="Normal 502 5 3" xfId="15161" xr:uid="{00000000-0005-0000-0000-000036AA0000}"/>
    <cellStyle name="Normal 502 5 3 2" xfId="32796" xr:uid="{00000000-0005-0000-0000-000037AA0000}"/>
    <cellStyle name="Normal 502 5 4" xfId="25865" xr:uid="{00000000-0005-0000-0000-000038AA0000}"/>
    <cellStyle name="Normal 502 6" xfId="8028" xr:uid="{00000000-0005-0000-0000-000039AA0000}"/>
    <cellStyle name="Normal 502 6 2" xfId="15825" xr:uid="{00000000-0005-0000-0000-00003AAA0000}"/>
    <cellStyle name="Normal 502 6 2 2" xfId="33460" xr:uid="{00000000-0005-0000-0000-00003BAA0000}"/>
    <cellStyle name="Normal 502 6 3" xfId="26444" xr:uid="{00000000-0005-0000-0000-00003CAA0000}"/>
    <cellStyle name="Normal 502 7" xfId="11989" xr:uid="{00000000-0005-0000-0000-00003DAA0000}"/>
    <cellStyle name="Normal 502 7 2" xfId="29671" xr:uid="{00000000-0005-0000-0000-00003EAA0000}"/>
    <cellStyle name="Normal 502 8" xfId="23579" xr:uid="{00000000-0005-0000-0000-00003FAA0000}"/>
    <cellStyle name="Normal 502 9" xfId="52515" xr:uid="{00000000-0005-0000-0000-000040AA0000}"/>
    <cellStyle name="Normal 503" xfId="2886" xr:uid="{00000000-0005-0000-0000-000041AA0000}"/>
    <cellStyle name="Normal 503 2" xfId="4949" xr:uid="{00000000-0005-0000-0000-000042AA0000}"/>
    <cellStyle name="Normal 503 2 2" xfId="8711" xr:uid="{00000000-0005-0000-0000-000043AA0000}"/>
    <cellStyle name="Normal 503 2 2 2" xfId="16507" xr:uid="{00000000-0005-0000-0000-000044AA0000}"/>
    <cellStyle name="Normal 503 2 2 2 2" xfId="34142" xr:uid="{00000000-0005-0000-0000-000045AA0000}"/>
    <cellStyle name="Normal 503 2 2 3" xfId="27112" xr:uid="{00000000-0005-0000-0000-000046AA0000}"/>
    <cellStyle name="Normal 503 2 3" xfId="13012" xr:uid="{00000000-0005-0000-0000-000047AA0000}"/>
    <cellStyle name="Normal 503 2 3 2" xfId="30661" xr:uid="{00000000-0005-0000-0000-000048AA0000}"/>
    <cellStyle name="Normal 503 2 4" xfId="24247" xr:uid="{00000000-0005-0000-0000-000049AA0000}"/>
    <cellStyle name="Normal 503 3" xfId="5968" xr:uid="{00000000-0005-0000-0000-00004AAA0000}"/>
    <cellStyle name="Normal 503 3 2" xfId="9268" xr:uid="{00000000-0005-0000-0000-00004BAA0000}"/>
    <cellStyle name="Normal 503 3 2 2" xfId="17063" xr:uid="{00000000-0005-0000-0000-00004CAA0000}"/>
    <cellStyle name="Normal 503 3 2 2 2" xfId="34699" xr:uid="{00000000-0005-0000-0000-00004DAA0000}"/>
    <cellStyle name="Normal 503 3 2 3" xfId="27656" xr:uid="{00000000-0005-0000-0000-00004EAA0000}"/>
    <cellStyle name="Normal 503 3 3" xfId="13824" xr:uid="{00000000-0005-0000-0000-00004FAA0000}"/>
    <cellStyle name="Normal 503 3 3 2" xfId="31464" xr:uid="{00000000-0005-0000-0000-000050AA0000}"/>
    <cellStyle name="Normal 503 3 4" xfId="24791" xr:uid="{00000000-0005-0000-0000-000051AA0000}"/>
    <cellStyle name="Normal 503 4" xfId="6598" xr:uid="{00000000-0005-0000-0000-000052AA0000}"/>
    <cellStyle name="Normal 503 4 2" xfId="9808" xr:uid="{00000000-0005-0000-0000-000053AA0000}"/>
    <cellStyle name="Normal 503 4 2 2" xfId="17602" xr:uid="{00000000-0005-0000-0000-000054AA0000}"/>
    <cellStyle name="Normal 503 4 2 2 2" xfId="35239" xr:uid="{00000000-0005-0000-0000-000055AA0000}"/>
    <cellStyle name="Normal 503 4 2 3" xfId="28192" xr:uid="{00000000-0005-0000-0000-000056AA0000}"/>
    <cellStyle name="Normal 503 4 3" xfId="14387" xr:uid="{00000000-0005-0000-0000-000057AA0000}"/>
    <cellStyle name="Normal 503 4 3 2" xfId="32022" xr:uid="{00000000-0005-0000-0000-000058AA0000}"/>
    <cellStyle name="Normal 503 4 4" xfId="25328" xr:uid="{00000000-0005-0000-0000-000059AA0000}"/>
    <cellStyle name="Normal 503 5" xfId="7374" xr:uid="{00000000-0005-0000-0000-00005AAA0000}"/>
    <cellStyle name="Normal 503 5 2" xfId="10362" xr:uid="{00000000-0005-0000-0000-00005BAA0000}"/>
    <cellStyle name="Normal 503 5 2 2" xfId="18155" xr:uid="{00000000-0005-0000-0000-00005CAA0000}"/>
    <cellStyle name="Normal 503 5 2 2 2" xfId="35792" xr:uid="{00000000-0005-0000-0000-00005DAA0000}"/>
    <cellStyle name="Normal 503 5 2 3" xfId="28729" xr:uid="{00000000-0005-0000-0000-00005EAA0000}"/>
    <cellStyle name="Normal 503 5 3" xfId="15162" xr:uid="{00000000-0005-0000-0000-00005FAA0000}"/>
    <cellStyle name="Normal 503 5 3 2" xfId="32797" xr:uid="{00000000-0005-0000-0000-000060AA0000}"/>
    <cellStyle name="Normal 503 5 4" xfId="25866" xr:uid="{00000000-0005-0000-0000-000061AA0000}"/>
    <cellStyle name="Normal 503 6" xfId="8029" xr:uid="{00000000-0005-0000-0000-000062AA0000}"/>
    <cellStyle name="Normal 503 6 2" xfId="15826" xr:uid="{00000000-0005-0000-0000-000063AA0000}"/>
    <cellStyle name="Normal 503 6 2 2" xfId="33461" xr:uid="{00000000-0005-0000-0000-000064AA0000}"/>
    <cellStyle name="Normal 503 6 3" xfId="26445" xr:uid="{00000000-0005-0000-0000-000065AA0000}"/>
    <cellStyle name="Normal 503 7" xfId="11990" xr:uid="{00000000-0005-0000-0000-000066AA0000}"/>
    <cellStyle name="Normal 503 7 2" xfId="29672" xr:uid="{00000000-0005-0000-0000-000067AA0000}"/>
    <cellStyle name="Normal 503 8" xfId="23580" xr:uid="{00000000-0005-0000-0000-000068AA0000}"/>
    <cellStyle name="Normal 503 9" xfId="52516" xr:uid="{00000000-0005-0000-0000-000069AA0000}"/>
    <cellStyle name="Normal 504" xfId="2887" xr:uid="{00000000-0005-0000-0000-00006AAA0000}"/>
    <cellStyle name="Normal 504 2" xfId="4950" xr:uid="{00000000-0005-0000-0000-00006BAA0000}"/>
    <cellStyle name="Normal 504 2 2" xfId="8712" xr:uid="{00000000-0005-0000-0000-00006CAA0000}"/>
    <cellStyle name="Normal 504 2 2 2" xfId="16508" xr:uid="{00000000-0005-0000-0000-00006DAA0000}"/>
    <cellStyle name="Normal 504 2 2 2 2" xfId="34143" xr:uid="{00000000-0005-0000-0000-00006EAA0000}"/>
    <cellStyle name="Normal 504 2 2 3" xfId="27113" xr:uid="{00000000-0005-0000-0000-00006FAA0000}"/>
    <cellStyle name="Normal 504 2 3" xfId="13013" xr:uid="{00000000-0005-0000-0000-000070AA0000}"/>
    <cellStyle name="Normal 504 2 3 2" xfId="30662" xr:uid="{00000000-0005-0000-0000-000071AA0000}"/>
    <cellStyle name="Normal 504 2 4" xfId="24248" xr:uid="{00000000-0005-0000-0000-000072AA0000}"/>
    <cellStyle name="Normal 504 3" xfId="5969" xr:uid="{00000000-0005-0000-0000-000073AA0000}"/>
    <cellStyle name="Normal 504 3 2" xfId="9269" xr:uid="{00000000-0005-0000-0000-000074AA0000}"/>
    <cellStyle name="Normal 504 3 2 2" xfId="17064" xr:uid="{00000000-0005-0000-0000-000075AA0000}"/>
    <cellStyle name="Normal 504 3 2 2 2" xfId="34700" xr:uid="{00000000-0005-0000-0000-000076AA0000}"/>
    <cellStyle name="Normal 504 3 2 3" xfId="27657" xr:uid="{00000000-0005-0000-0000-000077AA0000}"/>
    <cellStyle name="Normal 504 3 3" xfId="13825" xr:uid="{00000000-0005-0000-0000-000078AA0000}"/>
    <cellStyle name="Normal 504 3 3 2" xfId="31465" xr:uid="{00000000-0005-0000-0000-000079AA0000}"/>
    <cellStyle name="Normal 504 3 4" xfId="24792" xr:uid="{00000000-0005-0000-0000-00007AAA0000}"/>
    <cellStyle name="Normal 504 4" xfId="6599" xr:uid="{00000000-0005-0000-0000-00007BAA0000}"/>
    <cellStyle name="Normal 504 4 2" xfId="9809" xr:uid="{00000000-0005-0000-0000-00007CAA0000}"/>
    <cellStyle name="Normal 504 4 2 2" xfId="17603" xr:uid="{00000000-0005-0000-0000-00007DAA0000}"/>
    <cellStyle name="Normal 504 4 2 2 2" xfId="35240" xr:uid="{00000000-0005-0000-0000-00007EAA0000}"/>
    <cellStyle name="Normal 504 4 2 3" xfId="28193" xr:uid="{00000000-0005-0000-0000-00007FAA0000}"/>
    <cellStyle name="Normal 504 4 3" xfId="14388" xr:uid="{00000000-0005-0000-0000-000080AA0000}"/>
    <cellStyle name="Normal 504 4 3 2" xfId="32023" xr:uid="{00000000-0005-0000-0000-000081AA0000}"/>
    <cellStyle name="Normal 504 4 4" xfId="25329" xr:uid="{00000000-0005-0000-0000-000082AA0000}"/>
    <cellStyle name="Normal 504 5" xfId="7375" xr:uid="{00000000-0005-0000-0000-000083AA0000}"/>
    <cellStyle name="Normal 504 5 2" xfId="10363" xr:uid="{00000000-0005-0000-0000-000084AA0000}"/>
    <cellStyle name="Normal 504 5 2 2" xfId="18156" xr:uid="{00000000-0005-0000-0000-000085AA0000}"/>
    <cellStyle name="Normal 504 5 2 2 2" xfId="35793" xr:uid="{00000000-0005-0000-0000-000086AA0000}"/>
    <cellStyle name="Normal 504 5 2 3" xfId="28730" xr:uid="{00000000-0005-0000-0000-000087AA0000}"/>
    <cellStyle name="Normal 504 5 3" xfId="15163" xr:uid="{00000000-0005-0000-0000-000088AA0000}"/>
    <cellStyle name="Normal 504 5 3 2" xfId="32798" xr:uid="{00000000-0005-0000-0000-000089AA0000}"/>
    <cellStyle name="Normal 504 5 4" xfId="25867" xr:uid="{00000000-0005-0000-0000-00008AAA0000}"/>
    <cellStyle name="Normal 504 6" xfId="8030" xr:uid="{00000000-0005-0000-0000-00008BAA0000}"/>
    <cellStyle name="Normal 504 6 2" xfId="15827" xr:uid="{00000000-0005-0000-0000-00008CAA0000}"/>
    <cellStyle name="Normal 504 6 2 2" xfId="33462" xr:uid="{00000000-0005-0000-0000-00008DAA0000}"/>
    <cellStyle name="Normal 504 6 3" xfId="26446" xr:uid="{00000000-0005-0000-0000-00008EAA0000}"/>
    <cellStyle name="Normal 504 7" xfId="11991" xr:uid="{00000000-0005-0000-0000-00008FAA0000}"/>
    <cellStyle name="Normal 504 7 2" xfId="29673" xr:uid="{00000000-0005-0000-0000-000090AA0000}"/>
    <cellStyle name="Normal 504 8" xfId="23581" xr:uid="{00000000-0005-0000-0000-000091AA0000}"/>
    <cellStyle name="Normal 504 9" xfId="52517" xr:uid="{00000000-0005-0000-0000-000092AA0000}"/>
    <cellStyle name="Normal 505" xfId="2888" xr:uid="{00000000-0005-0000-0000-000093AA0000}"/>
    <cellStyle name="Normal 505 2" xfId="4951" xr:uid="{00000000-0005-0000-0000-000094AA0000}"/>
    <cellStyle name="Normal 505 2 2" xfId="8713" xr:uid="{00000000-0005-0000-0000-000095AA0000}"/>
    <cellStyle name="Normal 505 2 2 2" xfId="16509" xr:uid="{00000000-0005-0000-0000-000096AA0000}"/>
    <cellStyle name="Normal 505 2 2 2 2" xfId="34144" xr:uid="{00000000-0005-0000-0000-000097AA0000}"/>
    <cellStyle name="Normal 505 2 2 3" xfId="27114" xr:uid="{00000000-0005-0000-0000-000098AA0000}"/>
    <cellStyle name="Normal 505 2 3" xfId="13014" xr:uid="{00000000-0005-0000-0000-000099AA0000}"/>
    <cellStyle name="Normal 505 2 3 2" xfId="30663" xr:uid="{00000000-0005-0000-0000-00009AAA0000}"/>
    <cellStyle name="Normal 505 2 4" xfId="24249" xr:uid="{00000000-0005-0000-0000-00009BAA0000}"/>
    <cellStyle name="Normal 505 3" xfId="5970" xr:uid="{00000000-0005-0000-0000-00009CAA0000}"/>
    <cellStyle name="Normal 505 3 2" xfId="9270" xr:uid="{00000000-0005-0000-0000-00009DAA0000}"/>
    <cellStyle name="Normal 505 3 2 2" xfId="17065" xr:uid="{00000000-0005-0000-0000-00009EAA0000}"/>
    <cellStyle name="Normal 505 3 2 2 2" xfId="34701" xr:uid="{00000000-0005-0000-0000-00009FAA0000}"/>
    <cellStyle name="Normal 505 3 2 3" xfId="27658" xr:uid="{00000000-0005-0000-0000-0000A0AA0000}"/>
    <cellStyle name="Normal 505 3 3" xfId="13826" xr:uid="{00000000-0005-0000-0000-0000A1AA0000}"/>
    <cellStyle name="Normal 505 3 3 2" xfId="31466" xr:uid="{00000000-0005-0000-0000-0000A2AA0000}"/>
    <cellStyle name="Normal 505 3 4" xfId="24793" xr:uid="{00000000-0005-0000-0000-0000A3AA0000}"/>
    <cellStyle name="Normal 505 4" xfId="6600" xr:uid="{00000000-0005-0000-0000-0000A4AA0000}"/>
    <cellStyle name="Normal 505 4 2" xfId="9810" xr:uid="{00000000-0005-0000-0000-0000A5AA0000}"/>
    <cellStyle name="Normal 505 4 2 2" xfId="17604" xr:uid="{00000000-0005-0000-0000-0000A6AA0000}"/>
    <cellStyle name="Normal 505 4 2 2 2" xfId="35241" xr:uid="{00000000-0005-0000-0000-0000A7AA0000}"/>
    <cellStyle name="Normal 505 4 2 3" xfId="28194" xr:uid="{00000000-0005-0000-0000-0000A8AA0000}"/>
    <cellStyle name="Normal 505 4 3" xfId="14389" xr:uid="{00000000-0005-0000-0000-0000A9AA0000}"/>
    <cellStyle name="Normal 505 4 3 2" xfId="32024" xr:uid="{00000000-0005-0000-0000-0000AAAA0000}"/>
    <cellStyle name="Normal 505 4 4" xfId="25330" xr:uid="{00000000-0005-0000-0000-0000ABAA0000}"/>
    <cellStyle name="Normal 505 5" xfId="7376" xr:uid="{00000000-0005-0000-0000-0000ACAA0000}"/>
    <cellStyle name="Normal 505 5 2" xfId="10364" xr:uid="{00000000-0005-0000-0000-0000ADAA0000}"/>
    <cellStyle name="Normal 505 5 2 2" xfId="18157" xr:uid="{00000000-0005-0000-0000-0000AEAA0000}"/>
    <cellStyle name="Normal 505 5 2 2 2" xfId="35794" xr:uid="{00000000-0005-0000-0000-0000AFAA0000}"/>
    <cellStyle name="Normal 505 5 2 3" xfId="28731" xr:uid="{00000000-0005-0000-0000-0000B0AA0000}"/>
    <cellStyle name="Normal 505 5 3" xfId="15164" xr:uid="{00000000-0005-0000-0000-0000B1AA0000}"/>
    <cellStyle name="Normal 505 5 3 2" xfId="32799" xr:uid="{00000000-0005-0000-0000-0000B2AA0000}"/>
    <cellStyle name="Normal 505 5 4" xfId="25868" xr:uid="{00000000-0005-0000-0000-0000B3AA0000}"/>
    <cellStyle name="Normal 505 6" xfId="8031" xr:uid="{00000000-0005-0000-0000-0000B4AA0000}"/>
    <cellStyle name="Normal 505 6 2" xfId="15828" xr:uid="{00000000-0005-0000-0000-0000B5AA0000}"/>
    <cellStyle name="Normal 505 6 2 2" xfId="33463" xr:uid="{00000000-0005-0000-0000-0000B6AA0000}"/>
    <cellStyle name="Normal 505 6 3" xfId="26447" xr:uid="{00000000-0005-0000-0000-0000B7AA0000}"/>
    <cellStyle name="Normal 505 7" xfId="11992" xr:uid="{00000000-0005-0000-0000-0000B8AA0000}"/>
    <cellStyle name="Normal 505 7 2" xfId="29674" xr:uid="{00000000-0005-0000-0000-0000B9AA0000}"/>
    <cellStyle name="Normal 505 8" xfId="23582" xr:uid="{00000000-0005-0000-0000-0000BAAA0000}"/>
    <cellStyle name="Normal 505 9" xfId="52518" xr:uid="{00000000-0005-0000-0000-0000BBAA0000}"/>
    <cellStyle name="Normal 506" xfId="2889" xr:uid="{00000000-0005-0000-0000-0000BCAA0000}"/>
    <cellStyle name="Normal 506 2" xfId="4952" xr:uid="{00000000-0005-0000-0000-0000BDAA0000}"/>
    <cellStyle name="Normal 506 2 2" xfId="8714" xr:uid="{00000000-0005-0000-0000-0000BEAA0000}"/>
    <cellStyle name="Normal 506 2 2 2" xfId="16510" xr:uid="{00000000-0005-0000-0000-0000BFAA0000}"/>
    <cellStyle name="Normal 506 2 2 2 2" xfId="34145" xr:uid="{00000000-0005-0000-0000-0000C0AA0000}"/>
    <cellStyle name="Normal 506 2 2 3" xfId="27115" xr:uid="{00000000-0005-0000-0000-0000C1AA0000}"/>
    <cellStyle name="Normal 506 2 3" xfId="13015" xr:uid="{00000000-0005-0000-0000-0000C2AA0000}"/>
    <cellStyle name="Normal 506 2 3 2" xfId="30664" xr:uid="{00000000-0005-0000-0000-0000C3AA0000}"/>
    <cellStyle name="Normal 506 2 4" xfId="24250" xr:uid="{00000000-0005-0000-0000-0000C4AA0000}"/>
    <cellStyle name="Normal 506 3" xfId="5971" xr:uid="{00000000-0005-0000-0000-0000C5AA0000}"/>
    <cellStyle name="Normal 506 3 2" xfId="9271" xr:uid="{00000000-0005-0000-0000-0000C6AA0000}"/>
    <cellStyle name="Normal 506 3 2 2" xfId="17066" xr:uid="{00000000-0005-0000-0000-0000C7AA0000}"/>
    <cellStyle name="Normal 506 3 2 2 2" xfId="34702" xr:uid="{00000000-0005-0000-0000-0000C8AA0000}"/>
    <cellStyle name="Normal 506 3 2 3" xfId="27659" xr:uid="{00000000-0005-0000-0000-0000C9AA0000}"/>
    <cellStyle name="Normal 506 3 3" xfId="13827" xr:uid="{00000000-0005-0000-0000-0000CAAA0000}"/>
    <cellStyle name="Normal 506 3 3 2" xfId="31467" xr:uid="{00000000-0005-0000-0000-0000CBAA0000}"/>
    <cellStyle name="Normal 506 3 4" xfId="24794" xr:uid="{00000000-0005-0000-0000-0000CCAA0000}"/>
    <cellStyle name="Normal 506 4" xfId="6601" xr:uid="{00000000-0005-0000-0000-0000CDAA0000}"/>
    <cellStyle name="Normal 506 4 2" xfId="9811" xr:uid="{00000000-0005-0000-0000-0000CEAA0000}"/>
    <cellStyle name="Normal 506 4 2 2" xfId="17605" xr:uid="{00000000-0005-0000-0000-0000CFAA0000}"/>
    <cellStyle name="Normal 506 4 2 2 2" xfId="35242" xr:uid="{00000000-0005-0000-0000-0000D0AA0000}"/>
    <cellStyle name="Normal 506 4 2 3" xfId="28195" xr:uid="{00000000-0005-0000-0000-0000D1AA0000}"/>
    <cellStyle name="Normal 506 4 3" xfId="14390" xr:uid="{00000000-0005-0000-0000-0000D2AA0000}"/>
    <cellStyle name="Normal 506 4 3 2" xfId="32025" xr:uid="{00000000-0005-0000-0000-0000D3AA0000}"/>
    <cellStyle name="Normal 506 4 4" xfId="25331" xr:uid="{00000000-0005-0000-0000-0000D4AA0000}"/>
    <cellStyle name="Normal 506 5" xfId="7377" xr:uid="{00000000-0005-0000-0000-0000D5AA0000}"/>
    <cellStyle name="Normal 506 5 2" xfId="10365" xr:uid="{00000000-0005-0000-0000-0000D6AA0000}"/>
    <cellStyle name="Normal 506 5 2 2" xfId="18158" xr:uid="{00000000-0005-0000-0000-0000D7AA0000}"/>
    <cellStyle name="Normal 506 5 2 2 2" xfId="35795" xr:uid="{00000000-0005-0000-0000-0000D8AA0000}"/>
    <cellStyle name="Normal 506 5 2 3" xfId="28732" xr:uid="{00000000-0005-0000-0000-0000D9AA0000}"/>
    <cellStyle name="Normal 506 5 3" xfId="15165" xr:uid="{00000000-0005-0000-0000-0000DAAA0000}"/>
    <cellStyle name="Normal 506 5 3 2" xfId="32800" xr:uid="{00000000-0005-0000-0000-0000DBAA0000}"/>
    <cellStyle name="Normal 506 5 4" xfId="25869" xr:uid="{00000000-0005-0000-0000-0000DCAA0000}"/>
    <cellStyle name="Normal 506 6" xfId="8032" xr:uid="{00000000-0005-0000-0000-0000DDAA0000}"/>
    <cellStyle name="Normal 506 6 2" xfId="15829" xr:uid="{00000000-0005-0000-0000-0000DEAA0000}"/>
    <cellStyle name="Normal 506 6 2 2" xfId="33464" xr:uid="{00000000-0005-0000-0000-0000DFAA0000}"/>
    <cellStyle name="Normal 506 6 3" xfId="26448" xr:uid="{00000000-0005-0000-0000-0000E0AA0000}"/>
    <cellStyle name="Normal 506 7" xfId="11993" xr:uid="{00000000-0005-0000-0000-0000E1AA0000}"/>
    <cellStyle name="Normal 506 7 2" xfId="29675" xr:uid="{00000000-0005-0000-0000-0000E2AA0000}"/>
    <cellStyle name="Normal 506 8" xfId="23583" xr:uid="{00000000-0005-0000-0000-0000E3AA0000}"/>
    <cellStyle name="Normal 506 9" xfId="52519" xr:uid="{00000000-0005-0000-0000-0000E4AA0000}"/>
    <cellStyle name="Normal 507" xfId="2890" xr:uid="{00000000-0005-0000-0000-0000E5AA0000}"/>
    <cellStyle name="Normal 507 2" xfId="4953" xr:uid="{00000000-0005-0000-0000-0000E6AA0000}"/>
    <cellStyle name="Normal 507 2 2" xfId="8715" xr:uid="{00000000-0005-0000-0000-0000E7AA0000}"/>
    <cellStyle name="Normal 507 2 2 2" xfId="16511" xr:uid="{00000000-0005-0000-0000-0000E8AA0000}"/>
    <cellStyle name="Normal 507 2 2 2 2" xfId="34146" xr:uid="{00000000-0005-0000-0000-0000E9AA0000}"/>
    <cellStyle name="Normal 507 2 2 3" xfId="27116" xr:uid="{00000000-0005-0000-0000-0000EAAA0000}"/>
    <cellStyle name="Normal 507 2 3" xfId="13016" xr:uid="{00000000-0005-0000-0000-0000EBAA0000}"/>
    <cellStyle name="Normal 507 2 3 2" xfId="30665" xr:uid="{00000000-0005-0000-0000-0000ECAA0000}"/>
    <cellStyle name="Normal 507 2 4" xfId="24251" xr:uid="{00000000-0005-0000-0000-0000EDAA0000}"/>
    <cellStyle name="Normal 507 3" xfId="5972" xr:uid="{00000000-0005-0000-0000-0000EEAA0000}"/>
    <cellStyle name="Normal 507 3 2" xfId="9272" xr:uid="{00000000-0005-0000-0000-0000EFAA0000}"/>
    <cellStyle name="Normal 507 3 2 2" xfId="17067" xr:uid="{00000000-0005-0000-0000-0000F0AA0000}"/>
    <cellStyle name="Normal 507 3 2 2 2" xfId="34703" xr:uid="{00000000-0005-0000-0000-0000F1AA0000}"/>
    <cellStyle name="Normal 507 3 2 3" xfId="27660" xr:uid="{00000000-0005-0000-0000-0000F2AA0000}"/>
    <cellStyle name="Normal 507 3 3" xfId="13828" xr:uid="{00000000-0005-0000-0000-0000F3AA0000}"/>
    <cellStyle name="Normal 507 3 3 2" xfId="31468" xr:uid="{00000000-0005-0000-0000-0000F4AA0000}"/>
    <cellStyle name="Normal 507 3 4" xfId="24795" xr:uid="{00000000-0005-0000-0000-0000F5AA0000}"/>
    <cellStyle name="Normal 507 4" xfId="6602" xr:uid="{00000000-0005-0000-0000-0000F6AA0000}"/>
    <cellStyle name="Normal 507 4 2" xfId="9812" xr:uid="{00000000-0005-0000-0000-0000F7AA0000}"/>
    <cellStyle name="Normal 507 4 2 2" xfId="17606" xr:uid="{00000000-0005-0000-0000-0000F8AA0000}"/>
    <cellStyle name="Normal 507 4 2 2 2" xfId="35243" xr:uid="{00000000-0005-0000-0000-0000F9AA0000}"/>
    <cellStyle name="Normal 507 4 2 3" xfId="28196" xr:uid="{00000000-0005-0000-0000-0000FAAA0000}"/>
    <cellStyle name="Normal 507 4 3" xfId="14391" xr:uid="{00000000-0005-0000-0000-0000FBAA0000}"/>
    <cellStyle name="Normal 507 4 3 2" xfId="32026" xr:uid="{00000000-0005-0000-0000-0000FCAA0000}"/>
    <cellStyle name="Normal 507 4 4" xfId="25332" xr:uid="{00000000-0005-0000-0000-0000FDAA0000}"/>
    <cellStyle name="Normal 507 5" xfId="7378" xr:uid="{00000000-0005-0000-0000-0000FEAA0000}"/>
    <cellStyle name="Normal 507 5 2" xfId="10366" xr:uid="{00000000-0005-0000-0000-0000FFAA0000}"/>
    <cellStyle name="Normal 507 5 2 2" xfId="18159" xr:uid="{00000000-0005-0000-0000-000000AB0000}"/>
    <cellStyle name="Normal 507 5 2 2 2" xfId="35796" xr:uid="{00000000-0005-0000-0000-000001AB0000}"/>
    <cellStyle name="Normal 507 5 2 3" xfId="28733" xr:uid="{00000000-0005-0000-0000-000002AB0000}"/>
    <cellStyle name="Normal 507 5 3" xfId="15166" xr:uid="{00000000-0005-0000-0000-000003AB0000}"/>
    <cellStyle name="Normal 507 5 3 2" xfId="32801" xr:uid="{00000000-0005-0000-0000-000004AB0000}"/>
    <cellStyle name="Normal 507 5 4" xfId="25870" xr:uid="{00000000-0005-0000-0000-000005AB0000}"/>
    <cellStyle name="Normal 507 6" xfId="8033" xr:uid="{00000000-0005-0000-0000-000006AB0000}"/>
    <cellStyle name="Normal 507 6 2" xfId="15830" xr:uid="{00000000-0005-0000-0000-000007AB0000}"/>
    <cellStyle name="Normal 507 6 2 2" xfId="33465" xr:uid="{00000000-0005-0000-0000-000008AB0000}"/>
    <cellStyle name="Normal 507 6 3" xfId="26449" xr:uid="{00000000-0005-0000-0000-000009AB0000}"/>
    <cellStyle name="Normal 507 7" xfId="11994" xr:uid="{00000000-0005-0000-0000-00000AAB0000}"/>
    <cellStyle name="Normal 507 7 2" xfId="29676" xr:uid="{00000000-0005-0000-0000-00000BAB0000}"/>
    <cellStyle name="Normal 507 8" xfId="23584" xr:uid="{00000000-0005-0000-0000-00000CAB0000}"/>
    <cellStyle name="Normal 507 9" xfId="52520" xr:uid="{00000000-0005-0000-0000-00000DAB0000}"/>
    <cellStyle name="Normal 508" xfId="2891" xr:uid="{00000000-0005-0000-0000-00000EAB0000}"/>
    <cellStyle name="Normal 508 2" xfId="4954" xr:uid="{00000000-0005-0000-0000-00000FAB0000}"/>
    <cellStyle name="Normal 508 2 2" xfId="8716" xr:uid="{00000000-0005-0000-0000-000010AB0000}"/>
    <cellStyle name="Normal 508 2 2 2" xfId="16512" xr:uid="{00000000-0005-0000-0000-000011AB0000}"/>
    <cellStyle name="Normal 508 2 2 2 2" xfId="34147" xr:uid="{00000000-0005-0000-0000-000012AB0000}"/>
    <cellStyle name="Normal 508 2 2 3" xfId="27117" xr:uid="{00000000-0005-0000-0000-000013AB0000}"/>
    <cellStyle name="Normal 508 2 3" xfId="13017" xr:uid="{00000000-0005-0000-0000-000014AB0000}"/>
    <cellStyle name="Normal 508 2 3 2" xfId="30666" xr:uid="{00000000-0005-0000-0000-000015AB0000}"/>
    <cellStyle name="Normal 508 2 4" xfId="24252" xr:uid="{00000000-0005-0000-0000-000016AB0000}"/>
    <cellStyle name="Normal 508 3" xfId="5973" xr:uid="{00000000-0005-0000-0000-000017AB0000}"/>
    <cellStyle name="Normal 508 3 2" xfId="9273" xr:uid="{00000000-0005-0000-0000-000018AB0000}"/>
    <cellStyle name="Normal 508 3 2 2" xfId="17068" xr:uid="{00000000-0005-0000-0000-000019AB0000}"/>
    <cellStyle name="Normal 508 3 2 2 2" xfId="34704" xr:uid="{00000000-0005-0000-0000-00001AAB0000}"/>
    <cellStyle name="Normal 508 3 2 3" xfId="27661" xr:uid="{00000000-0005-0000-0000-00001BAB0000}"/>
    <cellStyle name="Normal 508 3 3" xfId="13829" xr:uid="{00000000-0005-0000-0000-00001CAB0000}"/>
    <cellStyle name="Normal 508 3 3 2" xfId="31469" xr:uid="{00000000-0005-0000-0000-00001DAB0000}"/>
    <cellStyle name="Normal 508 3 4" xfId="24796" xr:uid="{00000000-0005-0000-0000-00001EAB0000}"/>
    <cellStyle name="Normal 508 4" xfId="6603" xr:uid="{00000000-0005-0000-0000-00001FAB0000}"/>
    <cellStyle name="Normal 508 4 2" xfId="9813" xr:uid="{00000000-0005-0000-0000-000020AB0000}"/>
    <cellStyle name="Normal 508 4 2 2" xfId="17607" xr:uid="{00000000-0005-0000-0000-000021AB0000}"/>
    <cellStyle name="Normal 508 4 2 2 2" xfId="35244" xr:uid="{00000000-0005-0000-0000-000022AB0000}"/>
    <cellStyle name="Normal 508 4 2 3" xfId="28197" xr:uid="{00000000-0005-0000-0000-000023AB0000}"/>
    <cellStyle name="Normal 508 4 3" xfId="14392" xr:uid="{00000000-0005-0000-0000-000024AB0000}"/>
    <cellStyle name="Normal 508 4 3 2" xfId="32027" xr:uid="{00000000-0005-0000-0000-000025AB0000}"/>
    <cellStyle name="Normal 508 4 4" xfId="25333" xr:uid="{00000000-0005-0000-0000-000026AB0000}"/>
    <cellStyle name="Normal 508 5" xfId="7379" xr:uid="{00000000-0005-0000-0000-000027AB0000}"/>
    <cellStyle name="Normal 508 5 2" xfId="10367" xr:uid="{00000000-0005-0000-0000-000028AB0000}"/>
    <cellStyle name="Normal 508 5 2 2" xfId="18160" xr:uid="{00000000-0005-0000-0000-000029AB0000}"/>
    <cellStyle name="Normal 508 5 2 2 2" xfId="35797" xr:uid="{00000000-0005-0000-0000-00002AAB0000}"/>
    <cellStyle name="Normal 508 5 2 3" xfId="28734" xr:uid="{00000000-0005-0000-0000-00002BAB0000}"/>
    <cellStyle name="Normal 508 5 3" xfId="15167" xr:uid="{00000000-0005-0000-0000-00002CAB0000}"/>
    <cellStyle name="Normal 508 5 3 2" xfId="32802" xr:uid="{00000000-0005-0000-0000-00002DAB0000}"/>
    <cellStyle name="Normal 508 5 4" xfId="25871" xr:uid="{00000000-0005-0000-0000-00002EAB0000}"/>
    <cellStyle name="Normal 508 6" xfId="8034" xr:uid="{00000000-0005-0000-0000-00002FAB0000}"/>
    <cellStyle name="Normal 508 6 2" xfId="15831" xr:uid="{00000000-0005-0000-0000-000030AB0000}"/>
    <cellStyle name="Normal 508 6 2 2" xfId="33466" xr:uid="{00000000-0005-0000-0000-000031AB0000}"/>
    <cellStyle name="Normal 508 6 3" xfId="26450" xr:uid="{00000000-0005-0000-0000-000032AB0000}"/>
    <cellStyle name="Normal 508 7" xfId="11995" xr:uid="{00000000-0005-0000-0000-000033AB0000}"/>
    <cellStyle name="Normal 508 7 2" xfId="29677" xr:uid="{00000000-0005-0000-0000-000034AB0000}"/>
    <cellStyle name="Normal 508 8" xfId="23585" xr:uid="{00000000-0005-0000-0000-000035AB0000}"/>
    <cellStyle name="Normal 508 9" xfId="52521" xr:uid="{00000000-0005-0000-0000-000036AB0000}"/>
    <cellStyle name="Normal 509" xfId="2892" xr:uid="{00000000-0005-0000-0000-000037AB0000}"/>
    <cellStyle name="Normal 509 2" xfId="4955" xr:uid="{00000000-0005-0000-0000-000038AB0000}"/>
    <cellStyle name="Normal 509 2 2" xfId="8717" xr:uid="{00000000-0005-0000-0000-000039AB0000}"/>
    <cellStyle name="Normal 509 2 2 2" xfId="16513" xr:uid="{00000000-0005-0000-0000-00003AAB0000}"/>
    <cellStyle name="Normal 509 2 2 2 2" xfId="34148" xr:uid="{00000000-0005-0000-0000-00003BAB0000}"/>
    <cellStyle name="Normal 509 2 2 3" xfId="27118" xr:uid="{00000000-0005-0000-0000-00003CAB0000}"/>
    <cellStyle name="Normal 509 2 3" xfId="13018" xr:uid="{00000000-0005-0000-0000-00003DAB0000}"/>
    <cellStyle name="Normal 509 2 3 2" xfId="30667" xr:uid="{00000000-0005-0000-0000-00003EAB0000}"/>
    <cellStyle name="Normal 509 2 4" xfId="24253" xr:uid="{00000000-0005-0000-0000-00003FAB0000}"/>
    <cellStyle name="Normal 509 3" xfId="5974" xr:uid="{00000000-0005-0000-0000-000040AB0000}"/>
    <cellStyle name="Normal 509 3 2" xfId="9274" xr:uid="{00000000-0005-0000-0000-000041AB0000}"/>
    <cellStyle name="Normal 509 3 2 2" xfId="17069" xr:uid="{00000000-0005-0000-0000-000042AB0000}"/>
    <cellStyle name="Normal 509 3 2 2 2" xfId="34705" xr:uid="{00000000-0005-0000-0000-000043AB0000}"/>
    <cellStyle name="Normal 509 3 2 3" xfId="27662" xr:uid="{00000000-0005-0000-0000-000044AB0000}"/>
    <cellStyle name="Normal 509 3 3" xfId="13830" xr:uid="{00000000-0005-0000-0000-000045AB0000}"/>
    <cellStyle name="Normal 509 3 3 2" xfId="31470" xr:uid="{00000000-0005-0000-0000-000046AB0000}"/>
    <cellStyle name="Normal 509 3 4" xfId="24797" xr:uid="{00000000-0005-0000-0000-000047AB0000}"/>
    <cellStyle name="Normal 509 4" xfId="6604" xr:uid="{00000000-0005-0000-0000-000048AB0000}"/>
    <cellStyle name="Normal 509 4 2" xfId="9814" xr:uid="{00000000-0005-0000-0000-000049AB0000}"/>
    <cellStyle name="Normal 509 4 2 2" xfId="17608" xr:uid="{00000000-0005-0000-0000-00004AAB0000}"/>
    <cellStyle name="Normal 509 4 2 2 2" xfId="35245" xr:uid="{00000000-0005-0000-0000-00004BAB0000}"/>
    <cellStyle name="Normal 509 4 2 3" xfId="28198" xr:uid="{00000000-0005-0000-0000-00004CAB0000}"/>
    <cellStyle name="Normal 509 4 3" xfId="14393" xr:uid="{00000000-0005-0000-0000-00004DAB0000}"/>
    <cellStyle name="Normal 509 4 3 2" xfId="32028" xr:uid="{00000000-0005-0000-0000-00004EAB0000}"/>
    <cellStyle name="Normal 509 4 4" xfId="25334" xr:uid="{00000000-0005-0000-0000-00004FAB0000}"/>
    <cellStyle name="Normal 509 5" xfId="7380" xr:uid="{00000000-0005-0000-0000-000050AB0000}"/>
    <cellStyle name="Normal 509 5 2" xfId="10368" xr:uid="{00000000-0005-0000-0000-000051AB0000}"/>
    <cellStyle name="Normal 509 5 2 2" xfId="18161" xr:uid="{00000000-0005-0000-0000-000052AB0000}"/>
    <cellStyle name="Normal 509 5 2 2 2" xfId="35798" xr:uid="{00000000-0005-0000-0000-000053AB0000}"/>
    <cellStyle name="Normal 509 5 2 3" xfId="28735" xr:uid="{00000000-0005-0000-0000-000054AB0000}"/>
    <cellStyle name="Normal 509 5 3" xfId="15168" xr:uid="{00000000-0005-0000-0000-000055AB0000}"/>
    <cellStyle name="Normal 509 5 3 2" xfId="32803" xr:uid="{00000000-0005-0000-0000-000056AB0000}"/>
    <cellStyle name="Normal 509 5 4" xfId="25872" xr:uid="{00000000-0005-0000-0000-000057AB0000}"/>
    <cellStyle name="Normal 509 6" xfId="8035" xr:uid="{00000000-0005-0000-0000-000058AB0000}"/>
    <cellStyle name="Normal 509 6 2" xfId="15832" xr:uid="{00000000-0005-0000-0000-000059AB0000}"/>
    <cellStyle name="Normal 509 6 2 2" xfId="33467" xr:uid="{00000000-0005-0000-0000-00005AAB0000}"/>
    <cellStyle name="Normal 509 6 3" xfId="26451" xr:uid="{00000000-0005-0000-0000-00005BAB0000}"/>
    <cellStyle name="Normal 509 7" xfId="11996" xr:uid="{00000000-0005-0000-0000-00005CAB0000}"/>
    <cellStyle name="Normal 509 7 2" xfId="29678" xr:uid="{00000000-0005-0000-0000-00005DAB0000}"/>
    <cellStyle name="Normal 509 8" xfId="23586" xr:uid="{00000000-0005-0000-0000-00005EAB0000}"/>
    <cellStyle name="Normal 509 9" xfId="52522" xr:uid="{00000000-0005-0000-0000-00005FAB0000}"/>
    <cellStyle name="Normal 51" xfId="2893" xr:uid="{00000000-0005-0000-0000-000060AB0000}"/>
    <cellStyle name="Normal 51 2" xfId="4956" xr:uid="{00000000-0005-0000-0000-000061AB0000}"/>
    <cellStyle name="Normal 51 3" xfId="52523" xr:uid="{00000000-0005-0000-0000-000062AB0000}"/>
    <cellStyle name="Normal 510" xfId="2894" xr:uid="{00000000-0005-0000-0000-000063AB0000}"/>
    <cellStyle name="Normal 510 2" xfId="4957" xr:uid="{00000000-0005-0000-0000-000064AB0000}"/>
    <cellStyle name="Normal 510 2 2" xfId="8718" xr:uid="{00000000-0005-0000-0000-000065AB0000}"/>
    <cellStyle name="Normal 510 2 2 2" xfId="16514" xr:uid="{00000000-0005-0000-0000-000066AB0000}"/>
    <cellStyle name="Normal 510 2 2 2 2" xfId="34149" xr:uid="{00000000-0005-0000-0000-000067AB0000}"/>
    <cellStyle name="Normal 510 2 2 3" xfId="27119" xr:uid="{00000000-0005-0000-0000-000068AB0000}"/>
    <cellStyle name="Normal 510 2 3" xfId="13019" xr:uid="{00000000-0005-0000-0000-000069AB0000}"/>
    <cellStyle name="Normal 510 2 3 2" xfId="30668" xr:uid="{00000000-0005-0000-0000-00006AAB0000}"/>
    <cellStyle name="Normal 510 2 4" xfId="24254" xr:uid="{00000000-0005-0000-0000-00006BAB0000}"/>
    <cellStyle name="Normal 510 3" xfId="5975" xr:uid="{00000000-0005-0000-0000-00006CAB0000}"/>
    <cellStyle name="Normal 510 3 2" xfId="9275" xr:uid="{00000000-0005-0000-0000-00006DAB0000}"/>
    <cellStyle name="Normal 510 3 2 2" xfId="17070" xr:uid="{00000000-0005-0000-0000-00006EAB0000}"/>
    <cellStyle name="Normal 510 3 2 2 2" xfId="34706" xr:uid="{00000000-0005-0000-0000-00006FAB0000}"/>
    <cellStyle name="Normal 510 3 2 3" xfId="27663" xr:uid="{00000000-0005-0000-0000-000070AB0000}"/>
    <cellStyle name="Normal 510 3 3" xfId="13831" xr:uid="{00000000-0005-0000-0000-000071AB0000}"/>
    <cellStyle name="Normal 510 3 3 2" xfId="31471" xr:uid="{00000000-0005-0000-0000-000072AB0000}"/>
    <cellStyle name="Normal 510 3 4" xfId="24798" xr:uid="{00000000-0005-0000-0000-000073AB0000}"/>
    <cellStyle name="Normal 510 4" xfId="6605" xr:uid="{00000000-0005-0000-0000-000074AB0000}"/>
    <cellStyle name="Normal 510 4 2" xfId="9815" xr:uid="{00000000-0005-0000-0000-000075AB0000}"/>
    <cellStyle name="Normal 510 4 2 2" xfId="17609" xr:uid="{00000000-0005-0000-0000-000076AB0000}"/>
    <cellStyle name="Normal 510 4 2 2 2" xfId="35246" xr:uid="{00000000-0005-0000-0000-000077AB0000}"/>
    <cellStyle name="Normal 510 4 2 3" xfId="28199" xr:uid="{00000000-0005-0000-0000-000078AB0000}"/>
    <cellStyle name="Normal 510 4 3" xfId="14394" xr:uid="{00000000-0005-0000-0000-000079AB0000}"/>
    <cellStyle name="Normal 510 4 3 2" xfId="32029" xr:uid="{00000000-0005-0000-0000-00007AAB0000}"/>
    <cellStyle name="Normal 510 4 4" xfId="25335" xr:uid="{00000000-0005-0000-0000-00007BAB0000}"/>
    <cellStyle name="Normal 510 5" xfId="7381" xr:uid="{00000000-0005-0000-0000-00007CAB0000}"/>
    <cellStyle name="Normal 510 5 2" xfId="10369" xr:uid="{00000000-0005-0000-0000-00007DAB0000}"/>
    <cellStyle name="Normal 510 5 2 2" xfId="18162" xr:uid="{00000000-0005-0000-0000-00007EAB0000}"/>
    <cellStyle name="Normal 510 5 2 2 2" xfId="35799" xr:uid="{00000000-0005-0000-0000-00007FAB0000}"/>
    <cellStyle name="Normal 510 5 2 3" xfId="28736" xr:uid="{00000000-0005-0000-0000-000080AB0000}"/>
    <cellStyle name="Normal 510 5 3" xfId="15169" xr:uid="{00000000-0005-0000-0000-000081AB0000}"/>
    <cellStyle name="Normal 510 5 3 2" xfId="32804" xr:uid="{00000000-0005-0000-0000-000082AB0000}"/>
    <cellStyle name="Normal 510 5 4" xfId="25873" xr:uid="{00000000-0005-0000-0000-000083AB0000}"/>
    <cellStyle name="Normal 510 6" xfId="8036" xr:uid="{00000000-0005-0000-0000-000084AB0000}"/>
    <cellStyle name="Normal 510 6 2" xfId="15833" xr:uid="{00000000-0005-0000-0000-000085AB0000}"/>
    <cellStyle name="Normal 510 6 2 2" xfId="33468" xr:uid="{00000000-0005-0000-0000-000086AB0000}"/>
    <cellStyle name="Normal 510 6 3" xfId="26452" xr:uid="{00000000-0005-0000-0000-000087AB0000}"/>
    <cellStyle name="Normal 510 7" xfId="11997" xr:uid="{00000000-0005-0000-0000-000088AB0000}"/>
    <cellStyle name="Normal 510 7 2" xfId="29679" xr:uid="{00000000-0005-0000-0000-000089AB0000}"/>
    <cellStyle name="Normal 510 8" xfId="23587" xr:uid="{00000000-0005-0000-0000-00008AAB0000}"/>
    <cellStyle name="Normal 510 9" xfId="52524" xr:uid="{00000000-0005-0000-0000-00008BAB0000}"/>
    <cellStyle name="Normal 511" xfId="2895" xr:uid="{00000000-0005-0000-0000-00008CAB0000}"/>
    <cellStyle name="Normal 511 2" xfId="4958" xr:uid="{00000000-0005-0000-0000-00008DAB0000}"/>
    <cellStyle name="Normal 511 2 2" xfId="8719" xr:uid="{00000000-0005-0000-0000-00008EAB0000}"/>
    <cellStyle name="Normal 511 2 2 2" xfId="16515" xr:uid="{00000000-0005-0000-0000-00008FAB0000}"/>
    <cellStyle name="Normal 511 2 2 2 2" xfId="34150" xr:uid="{00000000-0005-0000-0000-000090AB0000}"/>
    <cellStyle name="Normal 511 2 2 3" xfId="27120" xr:uid="{00000000-0005-0000-0000-000091AB0000}"/>
    <cellStyle name="Normal 511 2 3" xfId="13020" xr:uid="{00000000-0005-0000-0000-000092AB0000}"/>
    <cellStyle name="Normal 511 2 3 2" xfId="30669" xr:uid="{00000000-0005-0000-0000-000093AB0000}"/>
    <cellStyle name="Normal 511 2 4" xfId="24255" xr:uid="{00000000-0005-0000-0000-000094AB0000}"/>
    <cellStyle name="Normal 511 3" xfId="5976" xr:uid="{00000000-0005-0000-0000-000095AB0000}"/>
    <cellStyle name="Normal 511 3 2" xfId="9276" xr:uid="{00000000-0005-0000-0000-000096AB0000}"/>
    <cellStyle name="Normal 511 3 2 2" xfId="17071" xr:uid="{00000000-0005-0000-0000-000097AB0000}"/>
    <cellStyle name="Normal 511 3 2 2 2" xfId="34707" xr:uid="{00000000-0005-0000-0000-000098AB0000}"/>
    <cellStyle name="Normal 511 3 2 3" xfId="27664" xr:uid="{00000000-0005-0000-0000-000099AB0000}"/>
    <cellStyle name="Normal 511 3 3" xfId="13832" xr:uid="{00000000-0005-0000-0000-00009AAB0000}"/>
    <cellStyle name="Normal 511 3 3 2" xfId="31472" xr:uid="{00000000-0005-0000-0000-00009BAB0000}"/>
    <cellStyle name="Normal 511 3 4" xfId="24799" xr:uid="{00000000-0005-0000-0000-00009CAB0000}"/>
    <cellStyle name="Normal 511 4" xfId="6606" xr:uid="{00000000-0005-0000-0000-00009DAB0000}"/>
    <cellStyle name="Normal 511 4 2" xfId="9816" xr:uid="{00000000-0005-0000-0000-00009EAB0000}"/>
    <cellStyle name="Normal 511 4 2 2" xfId="17610" xr:uid="{00000000-0005-0000-0000-00009FAB0000}"/>
    <cellStyle name="Normal 511 4 2 2 2" xfId="35247" xr:uid="{00000000-0005-0000-0000-0000A0AB0000}"/>
    <cellStyle name="Normal 511 4 2 3" xfId="28200" xr:uid="{00000000-0005-0000-0000-0000A1AB0000}"/>
    <cellStyle name="Normal 511 4 3" xfId="14395" xr:uid="{00000000-0005-0000-0000-0000A2AB0000}"/>
    <cellStyle name="Normal 511 4 3 2" xfId="32030" xr:uid="{00000000-0005-0000-0000-0000A3AB0000}"/>
    <cellStyle name="Normal 511 4 4" xfId="25336" xr:uid="{00000000-0005-0000-0000-0000A4AB0000}"/>
    <cellStyle name="Normal 511 5" xfId="7382" xr:uid="{00000000-0005-0000-0000-0000A5AB0000}"/>
    <cellStyle name="Normal 511 5 2" xfId="10370" xr:uid="{00000000-0005-0000-0000-0000A6AB0000}"/>
    <cellStyle name="Normal 511 5 2 2" xfId="18163" xr:uid="{00000000-0005-0000-0000-0000A7AB0000}"/>
    <cellStyle name="Normal 511 5 2 2 2" xfId="35800" xr:uid="{00000000-0005-0000-0000-0000A8AB0000}"/>
    <cellStyle name="Normal 511 5 2 3" xfId="28737" xr:uid="{00000000-0005-0000-0000-0000A9AB0000}"/>
    <cellStyle name="Normal 511 5 3" xfId="15170" xr:uid="{00000000-0005-0000-0000-0000AAAB0000}"/>
    <cellStyle name="Normal 511 5 3 2" xfId="32805" xr:uid="{00000000-0005-0000-0000-0000ABAB0000}"/>
    <cellStyle name="Normal 511 5 4" xfId="25874" xr:uid="{00000000-0005-0000-0000-0000ACAB0000}"/>
    <cellStyle name="Normal 511 6" xfId="8037" xr:uid="{00000000-0005-0000-0000-0000ADAB0000}"/>
    <cellStyle name="Normal 511 6 2" xfId="15834" xr:uid="{00000000-0005-0000-0000-0000AEAB0000}"/>
    <cellStyle name="Normal 511 6 2 2" xfId="33469" xr:uid="{00000000-0005-0000-0000-0000AFAB0000}"/>
    <cellStyle name="Normal 511 6 3" xfId="26453" xr:uid="{00000000-0005-0000-0000-0000B0AB0000}"/>
    <cellStyle name="Normal 511 7" xfId="11998" xr:uid="{00000000-0005-0000-0000-0000B1AB0000}"/>
    <cellStyle name="Normal 511 7 2" xfId="29680" xr:uid="{00000000-0005-0000-0000-0000B2AB0000}"/>
    <cellStyle name="Normal 511 8" xfId="23588" xr:uid="{00000000-0005-0000-0000-0000B3AB0000}"/>
    <cellStyle name="Normal 511 9" xfId="52525" xr:uid="{00000000-0005-0000-0000-0000B4AB0000}"/>
    <cellStyle name="Normal 512" xfId="2896" xr:uid="{00000000-0005-0000-0000-0000B5AB0000}"/>
    <cellStyle name="Normal 512 2" xfId="4959" xr:uid="{00000000-0005-0000-0000-0000B6AB0000}"/>
    <cellStyle name="Normal 512 2 2" xfId="8720" xr:uid="{00000000-0005-0000-0000-0000B7AB0000}"/>
    <cellStyle name="Normal 512 2 2 2" xfId="16516" xr:uid="{00000000-0005-0000-0000-0000B8AB0000}"/>
    <cellStyle name="Normal 512 2 2 2 2" xfId="34151" xr:uid="{00000000-0005-0000-0000-0000B9AB0000}"/>
    <cellStyle name="Normal 512 2 2 3" xfId="27121" xr:uid="{00000000-0005-0000-0000-0000BAAB0000}"/>
    <cellStyle name="Normal 512 2 3" xfId="13021" xr:uid="{00000000-0005-0000-0000-0000BBAB0000}"/>
    <cellStyle name="Normal 512 2 3 2" xfId="30670" xr:uid="{00000000-0005-0000-0000-0000BCAB0000}"/>
    <cellStyle name="Normal 512 2 4" xfId="24256" xr:uid="{00000000-0005-0000-0000-0000BDAB0000}"/>
    <cellStyle name="Normal 512 3" xfId="5977" xr:uid="{00000000-0005-0000-0000-0000BEAB0000}"/>
    <cellStyle name="Normal 512 3 2" xfId="9277" xr:uid="{00000000-0005-0000-0000-0000BFAB0000}"/>
    <cellStyle name="Normal 512 3 2 2" xfId="17072" xr:uid="{00000000-0005-0000-0000-0000C0AB0000}"/>
    <cellStyle name="Normal 512 3 2 2 2" xfId="34708" xr:uid="{00000000-0005-0000-0000-0000C1AB0000}"/>
    <cellStyle name="Normal 512 3 2 3" xfId="27665" xr:uid="{00000000-0005-0000-0000-0000C2AB0000}"/>
    <cellStyle name="Normal 512 3 3" xfId="13833" xr:uid="{00000000-0005-0000-0000-0000C3AB0000}"/>
    <cellStyle name="Normal 512 3 3 2" xfId="31473" xr:uid="{00000000-0005-0000-0000-0000C4AB0000}"/>
    <cellStyle name="Normal 512 3 4" xfId="24800" xr:uid="{00000000-0005-0000-0000-0000C5AB0000}"/>
    <cellStyle name="Normal 512 4" xfId="6607" xr:uid="{00000000-0005-0000-0000-0000C6AB0000}"/>
    <cellStyle name="Normal 512 4 2" xfId="9817" xr:uid="{00000000-0005-0000-0000-0000C7AB0000}"/>
    <cellStyle name="Normal 512 4 2 2" xfId="17611" xr:uid="{00000000-0005-0000-0000-0000C8AB0000}"/>
    <cellStyle name="Normal 512 4 2 2 2" xfId="35248" xr:uid="{00000000-0005-0000-0000-0000C9AB0000}"/>
    <cellStyle name="Normal 512 4 2 3" xfId="28201" xr:uid="{00000000-0005-0000-0000-0000CAAB0000}"/>
    <cellStyle name="Normal 512 4 3" xfId="14396" xr:uid="{00000000-0005-0000-0000-0000CBAB0000}"/>
    <cellStyle name="Normal 512 4 3 2" xfId="32031" xr:uid="{00000000-0005-0000-0000-0000CCAB0000}"/>
    <cellStyle name="Normal 512 4 4" xfId="25337" xr:uid="{00000000-0005-0000-0000-0000CDAB0000}"/>
    <cellStyle name="Normal 512 5" xfId="7383" xr:uid="{00000000-0005-0000-0000-0000CEAB0000}"/>
    <cellStyle name="Normal 512 5 2" xfId="10371" xr:uid="{00000000-0005-0000-0000-0000CFAB0000}"/>
    <cellStyle name="Normal 512 5 2 2" xfId="18164" xr:uid="{00000000-0005-0000-0000-0000D0AB0000}"/>
    <cellStyle name="Normal 512 5 2 2 2" xfId="35801" xr:uid="{00000000-0005-0000-0000-0000D1AB0000}"/>
    <cellStyle name="Normal 512 5 2 3" xfId="28738" xr:uid="{00000000-0005-0000-0000-0000D2AB0000}"/>
    <cellStyle name="Normal 512 5 3" xfId="15171" xr:uid="{00000000-0005-0000-0000-0000D3AB0000}"/>
    <cellStyle name="Normal 512 5 3 2" xfId="32806" xr:uid="{00000000-0005-0000-0000-0000D4AB0000}"/>
    <cellStyle name="Normal 512 5 4" xfId="25875" xr:uid="{00000000-0005-0000-0000-0000D5AB0000}"/>
    <cellStyle name="Normal 512 6" xfId="8038" xr:uid="{00000000-0005-0000-0000-0000D6AB0000}"/>
    <cellStyle name="Normal 512 6 2" xfId="15835" xr:uid="{00000000-0005-0000-0000-0000D7AB0000}"/>
    <cellStyle name="Normal 512 6 2 2" xfId="33470" xr:uid="{00000000-0005-0000-0000-0000D8AB0000}"/>
    <cellStyle name="Normal 512 6 3" xfId="26454" xr:uid="{00000000-0005-0000-0000-0000D9AB0000}"/>
    <cellStyle name="Normal 512 7" xfId="11999" xr:uid="{00000000-0005-0000-0000-0000DAAB0000}"/>
    <cellStyle name="Normal 512 7 2" xfId="29681" xr:uid="{00000000-0005-0000-0000-0000DBAB0000}"/>
    <cellStyle name="Normal 512 8" xfId="23589" xr:uid="{00000000-0005-0000-0000-0000DCAB0000}"/>
    <cellStyle name="Normal 512 9" xfId="52526" xr:uid="{00000000-0005-0000-0000-0000DDAB0000}"/>
    <cellStyle name="Normal 513" xfId="2897" xr:uid="{00000000-0005-0000-0000-0000DEAB0000}"/>
    <cellStyle name="Normal 513 2" xfId="4960" xr:uid="{00000000-0005-0000-0000-0000DFAB0000}"/>
    <cellStyle name="Normal 513 2 2" xfId="8721" xr:uid="{00000000-0005-0000-0000-0000E0AB0000}"/>
    <cellStyle name="Normal 513 2 2 2" xfId="16517" xr:uid="{00000000-0005-0000-0000-0000E1AB0000}"/>
    <cellStyle name="Normal 513 2 2 2 2" xfId="34152" xr:uid="{00000000-0005-0000-0000-0000E2AB0000}"/>
    <cellStyle name="Normal 513 2 2 3" xfId="27122" xr:uid="{00000000-0005-0000-0000-0000E3AB0000}"/>
    <cellStyle name="Normal 513 2 3" xfId="13022" xr:uid="{00000000-0005-0000-0000-0000E4AB0000}"/>
    <cellStyle name="Normal 513 2 3 2" xfId="30671" xr:uid="{00000000-0005-0000-0000-0000E5AB0000}"/>
    <cellStyle name="Normal 513 2 4" xfId="24257" xr:uid="{00000000-0005-0000-0000-0000E6AB0000}"/>
    <cellStyle name="Normal 513 3" xfId="5978" xr:uid="{00000000-0005-0000-0000-0000E7AB0000}"/>
    <cellStyle name="Normal 513 3 2" xfId="9278" xr:uid="{00000000-0005-0000-0000-0000E8AB0000}"/>
    <cellStyle name="Normal 513 3 2 2" xfId="17073" xr:uid="{00000000-0005-0000-0000-0000E9AB0000}"/>
    <cellStyle name="Normal 513 3 2 2 2" xfId="34709" xr:uid="{00000000-0005-0000-0000-0000EAAB0000}"/>
    <cellStyle name="Normal 513 3 2 3" xfId="27666" xr:uid="{00000000-0005-0000-0000-0000EBAB0000}"/>
    <cellStyle name="Normal 513 3 3" xfId="13834" xr:uid="{00000000-0005-0000-0000-0000ECAB0000}"/>
    <cellStyle name="Normal 513 3 3 2" xfId="31474" xr:uid="{00000000-0005-0000-0000-0000EDAB0000}"/>
    <cellStyle name="Normal 513 3 4" xfId="24801" xr:uid="{00000000-0005-0000-0000-0000EEAB0000}"/>
    <cellStyle name="Normal 513 4" xfId="6608" xr:uid="{00000000-0005-0000-0000-0000EFAB0000}"/>
    <cellStyle name="Normal 513 4 2" xfId="9818" xr:uid="{00000000-0005-0000-0000-0000F0AB0000}"/>
    <cellStyle name="Normal 513 4 2 2" xfId="17612" xr:uid="{00000000-0005-0000-0000-0000F1AB0000}"/>
    <cellStyle name="Normal 513 4 2 2 2" xfId="35249" xr:uid="{00000000-0005-0000-0000-0000F2AB0000}"/>
    <cellStyle name="Normal 513 4 2 3" xfId="28202" xr:uid="{00000000-0005-0000-0000-0000F3AB0000}"/>
    <cellStyle name="Normal 513 4 3" xfId="14397" xr:uid="{00000000-0005-0000-0000-0000F4AB0000}"/>
    <cellStyle name="Normal 513 4 3 2" xfId="32032" xr:uid="{00000000-0005-0000-0000-0000F5AB0000}"/>
    <cellStyle name="Normal 513 4 4" xfId="25338" xr:uid="{00000000-0005-0000-0000-0000F6AB0000}"/>
    <cellStyle name="Normal 513 5" xfId="7384" xr:uid="{00000000-0005-0000-0000-0000F7AB0000}"/>
    <cellStyle name="Normal 513 5 2" xfId="10372" xr:uid="{00000000-0005-0000-0000-0000F8AB0000}"/>
    <cellStyle name="Normal 513 5 2 2" xfId="18165" xr:uid="{00000000-0005-0000-0000-0000F9AB0000}"/>
    <cellStyle name="Normal 513 5 2 2 2" xfId="35802" xr:uid="{00000000-0005-0000-0000-0000FAAB0000}"/>
    <cellStyle name="Normal 513 5 2 3" xfId="28739" xr:uid="{00000000-0005-0000-0000-0000FBAB0000}"/>
    <cellStyle name="Normal 513 5 3" xfId="15172" xr:uid="{00000000-0005-0000-0000-0000FCAB0000}"/>
    <cellStyle name="Normal 513 5 3 2" xfId="32807" xr:uid="{00000000-0005-0000-0000-0000FDAB0000}"/>
    <cellStyle name="Normal 513 5 4" xfId="25876" xr:uid="{00000000-0005-0000-0000-0000FEAB0000}"/>
    <cellStyle name="Normal 513 6" xfId="8039" xr:uid="{00000000-0005-0000-0000-0000FFAB0000}"/>
    <cellStyle name="Normal 513 6 2" xfId="15836" xr:uid="{00000000-0005-0000-0000-000000AC0000}"/>
    <cellStyle name="Normal 513 6 2 2" xfId="33471" xr:uid="{00000000-0005-0000-0000-000001AC0000}"/>
    <cellStyle name="Normal 513 6 3" xfId="26455" xr:uid="{00000000-0005-0000-0000-000002AC0000}"/>
    <cellStyle name="Normal 513 7" xfId="12000" xr:uid="{00000000-0005-0000-0000-000003AC0000}"/>
    <cellStyle name="Normal 513 7 2" xfId="29682" xr:uid="{00000000-0005-0000-0000-000004AC0000}"/>
    <cellStyle name="Normal 513 8" xfId="23590" xr:uid="{00000000-0005-0000-0000-000005AC0000}"/>
    <cellStyle name="Normal 513 9" xfId="52527" xr:uid="{00000000-0005-0000-0000-000006AC0000}"/>
    <cellStyle name="Normal 514" xfId="2898" xr:uid="{00000000-0005-0000-0000-000007AC0000}"/>
    <cellStyle name="Normal 514 2" xfId="4961" xr:uid="{00000000-0005-0000-0000-000008AC0000}"/>
    <cellStyle name="Normal 514 2 2" xfId="8722" xr:uid="{00000000-0005-0000-0000-000009AC0000}"/>
    <cellStyle name="Normal 514 2 2 2" xfId="16518" xr:uid="{00000000-0005-0000-0000-00000AAC0000}"/>
    <cellStyle name="Normal 514 2 2 2 2" xfId="34153" xr:uid="{00000000-0005-0000-0000-00000BAC0000}"/>
    <cellStyle name="Normal 514 2 2 3" xfId="27123" xr:uid="{00000000-0005-0000-0000-00000CAC0000}"/>
    <cellStyle name="Normal 514 2 3" xfId="13023" xr:uid="{00000000-0005-0000-0000-00000DAC0000}"/>
    <cellStyle name="Normal 514 2 3 2" xfId="30672" xr:uid="{00000000-0005-0000-0000-00000EAC0000}"/>
    <cellStyle name="Normal 514 2 4" xfId="24258" xr:uid="{00000000-0005-0000-0000-00000FAC0000}"/>
    <cellStyle name="Normal 514 3" xfId="5979" xr:uid="{00000000-0005-0000-0000-000010AC0000}"/>
    <cellStyle name="Normal 514 3 2" xfId="9279" xr:uid="{00000000-0005-0000-0000-000011AC0000}"/>
    <cellStyle name="Normal 514 3 2 2" xfId="17074" xr:uid="{00000000-0005-0000-0000-000012AC0000}"/>
    <cellStyle name="Normal 514 3 2 2 2" xfId="34710" xr:uid="{00000000-0005-0000-0000-000013AC0000}"/>
    <cellStyle name="Normal 514 3 2 3" xfId="27667" xr:uid="{00000000-0005-0000-0000-000014AC0000}"/>
    <cellStyle name="Normal 514 3 3" xfId="13835" xr:uid="{00000000-0005-0000-0000-000015AC0000}"/>
    <cellStyle name="Normal 514 3 3 2" xfId="31475" xr:uid="{00000000-0005-0000-0000-000016AC0000}"/>
    <cellStyle name="Normal 514 3 4" xfId="24802" xr:uid="{00000000-0005-0000-0000-000017AC0000}"/>
    <cellStyle name="Normal 514 4" xfId="6609" xr:uid="{00000000-0005-0000-0000-000018AC0000}"/>
    <cellStyle name="Normal 514 4 2" xfId="9819" xr:uid="{00000000-0005-0000-0000-000019AC0000}"/>
    <cellStyle name="Normal 514 4 2 2" xfId="17613" xr:uid="{00000000-0005-0000-0000-00001AAC0000}"/>
    <cellStyle name="Normal 514 4 2 2 2" xfId="35250" xr:uid="{00000000-0005-0000-0000-00001BAC0000}"/>
    <cellStyle name="Normal 514 4 2 3" xfId="28203" xr:uid="{00000000-0005-0000-0000-00001CAC0000}"/>
    <cellStyle name="Normal 514 4 3" xfId="14398" xr:uid="{00000000-0005-0000-0000-00001DAC0000}"/>
    <cellStyle name="Normal 514 4 3 2" xfId="32033" xr:uid="{00000000-0005-0000-0000-00001EAC0000}"/>
    <cellStyle name="Normal 514 4 4" xfId="25339" xr:uid="{00000000-0005-0000-0000-00001FAC0000}"/>
    <cellStyle name="Normal 514 5" xfId="7385" xr:uid="{00000000-0005-0000-0000-000020AC0000}"/>
    <cellStyle name="Normal 514 5 2" xfId="10373" xr:uid="{00000000-0005-0000-0000-000021AC0000}"/>
    <cellStyle name="Normal 514 5 2 2" xfId="18166" xr:uid="{00000000-0005-0000-0000-000022AC0000}"/>
    <cellStyle name="Normal 514 5 2 2 2" xfId="35803" xr:uid="{00000000-0005-0000-0000-000023AC0000}"/>
    <cellStyle name="Normal 514 5 2 3" xfId="28740" xr:uid="{00000000-0005-0000-0000-000024AC0000}"/>
    <cellStyle name="Normal 514 5 3" xfId="15173" xr:uid="{00000000-0005-0000-0000-000025AC0000}"/>
    <cellStyle name="Normal 514 5 3 2" xfId="32808" xr:uid="{00000000-0005-0000-0000-000026AC0000}"/>
    <cellStyle name="Normal 514 5 4" xfId="25877" xr:uid="{00000000-0005-0000-0000-000027AC0000}"/>
    <cellStyle name="Normal 514 6" xfId="8040" xr:uid="{00000000-0005-0000-0000-000028AC0000}"/>
    <cellStyle name="Normal 514 6 2" xfId="15837" xr:uid="{00000000-0005-0000-0000-000029AC0000}"/>
    <cellStyle name="Normal 514 6 2 2" xfId="33472" xr:uid="{00000000-0005-0000-0000-00002AAC0000}"/>
    <cellStyle name="Normal 514 6 3" xfId="26456" xr:uid="{00000000-0005-0000-0000-00002BAC0000}"/>
    <cellStyle name="Normal 514 7" xfId="12001" xr:uid="{00000000-0005-0000-0000-00002CAC0000}"/>
    <cellStyle name="Normal 514 7 2" xfId="29683" xr:uid="{00000000-0005-0000-0000-00002DAC0000}"/>
    <cellStyle name="Normal 514 8" xfId="23591" xr:uid="{00000000-0005-0000-0000-00002EAC0000}"/>
    <cellStyle name="Normal 514 9" xfId="52528" xr:uid="{00000000-0005-0000-0000-00002FAC0000}"/>
    <cellStyle name="Normal 515" xfId="2899" xr:uid="{00000000-0005-0000-0000-000030AC0000}"/>
    <cellStyle name="Normal 515 2" xfId="4962" xr:uid="{00000000-0005-0000-0000-000031AC0000}"/>
    <cellStyle name="Normal 515 2 2" xfId="8723" xr:uid="{00000000-0005-0000-0000-000032AC0000}"/>
    <cellStyle name="Normal 515 2 2 2" xfId="16519" xr:uid="{00000000-0005-0000-0000-000033AC0000}"/>
    <cellStyle name="Normal 515 2 2 2 2" xfId="34154" xr:uid="{00000000-0005-0000-0000-000034AC0000}"/>
    <cellStyle name="Normal 515 2 2 3" xfId="27124" xr:uid="{00000000-0005-0000-0000-000035AC0000}"/>
    <cellStyle name="Normal 515 2 3" xfId="13024" xr:uid="{00000000-0005-0000-0000-000036AC0000}"/>
    <cellStyle name="Normal 515 2 3 2" xfId="30673" xr:uid="{00000000-0005-0000-0000-000037AC0000}"/>
    <cellStyle name="Normal 515 2 4" xfId="24259" xr:uid="{00000000-0005-0000-0000-000038AC0000}"/>
    <cellStyle name="Normal 515 3" xfId="5980" xr:uid="{00000000-0005-0000-0000-000039AC0000}"/>
    <cellStyle name="Normal 515 3 2" xfId="9280" xr:uid="{00000000-0005-0000-0000-00003AAC0000}"/>
    <cellStyle name="Normal 515 3 2 2" xfId="17075" xr:uid="{00000000-0005-0000-0000-00003BAC0000}"/>
    <cellStyle name="Normal 515 3 2 2 2" xfId="34711" xr:uid="{00000000-0005-0000-0000-00003CAC0000}"/>
    <cellStyle name="Normal 515 3 2 3" xfId="27668" xr:uid="{00000000-0005-0000-0000-00003DAC0000}"/>
    <cellStyle name="Normal 515 3 3" xfId="13836" xr:uid="{00000000-0005-0000-0000-00003EAC0000}"/>
    <cellStyle name="Normal 515 3 3 2" xfId="31476" xr:uid="{00000000-0005-0000-0000-00003FAC0000}"/>
    <cellStyle name="Normal 515 3 4" xfId="24803" xr:uid="{00000000-0005-0000-0000-000040AC0000}"/>
    <cellStyle name="Normal 515 4" xfId="6610" xr:uid="{00000000-0005-0000-0000-000041AC0000}"/>
    <cellStyle name="Normal 515 4 2" xfId="9820" xr:uid="{00000000-0005-0000-0000-000042AC0000}"/>
    <cellStyle name="Normal 515 4 2 2" xfId="17614" xr:uid="{00000000-0005-0000-0000-000043AC0000}"/>
    <cellStyle name="Normal 515 4 2 2 2" xfId="35251" xr:uid="{00000000-0005-0000-0000-000044AC0000}"/>
    <cellStyle name="Normal 515 4 2 3" xfId="28204" xr:uid="{00000000-0005-0000-0000-000045AC0000}"/>
    <cellStyle name="Normal 515 4 3" xfId="14399" xr:uid="{00000000-0005-0000-0000-000046AC0000}"/>
    <cellStyle name="Normal 515 4 3 2" xfId="32034" xr:uid="{00000000-0005-0000-0000-000047AC0000}"/>
    <cellStyle name="Normal 515 4 4" xfId="25340" xr:uid="{00000000-0005-0000-0000-000048AC0000}"/>
    <cellStyle name="Normal 515 5" xfId="7386" xr:uid="{00000000-0005-0000-0000-000049AC0000}"/>
    <cellStyle name="Normal 515 5 2" xfId="10374" xr:uid="{00000000-0005-0000-0000-00004AAC0000}"/>
    <cellStyle name="Normal 515 5 2 2" xfId="18167" xr:uid="{00000000-0005-0000-0000-00004BAC0000}"/>
    <cellStyle name="Normal 515 5 2 2 2" xfId="35804" xr:uid="{00000000-0005-0000-0000-00004CAC0000}"/>
    <cellStyle name="Normal 515 5 2 3" xfId="28741" xr:uid="{00000000-0005-0000-0000-00004DAC0000}"/>
    <cellStyle name="Normal 515 5 3" xfId="15174" xr:uid="{00000000-0005-0000-0000-00004EAC0000}"/>
    <cellStyle name="Normal 515 5 3 2" xfId="32809" xr:uid="{00000000-0005-0000-0000-00004FAC0000}"/>
    <cellStyle name="Normal 515 5 4" xfId="25878" xr:uid="{00000000-0005-0000-0000-000050AC0000}"/>
    <cellStyle name="Normal 515 6" xfId="8041" xr:uid="{00000000-0005-0000-0000-000051AC0000}"/>
    <cellStyle name="Normal 515 6 2" xfId="15838" xr:uid="{00000000-0005-0000-0000-000052AC0000}"/>
    <cellStyle name="Normal 515 6 2 2" xfId="33473" xr:uid="{00000000-0005-0000-0000-000053AC0000}"/>
    <cellStyle name="Normal 515 6 3" xfId="26457" xr:uid="{00000000-0005-0000-0000-000054AC0000}"/>
    <cellStyle name="Normal 515 7" xfId="12002" xr:uid="{00000000-0005-0000-0000-000055AC0000}"/>
    <cellStyle name="Normal 515 7 2" xfId="29684" xr:uid="{00000000-0005-0000-0000-000056AC0000}"/>
    <cellStyle name="Normal 515 8" xfId="23592" xr:uid="{00000000-0005-0000-0000-000057AC0000}"/>
    <cellStyle name="Normal 515 9" xfId="52529" xr:uid="{00000000-0005-0000-0000-000058AC0000}"/>
    <cellStyle name="Normal 516" xfId="2900" xr:uid="{00000000-0005-0000-0000-000059AC0000}"/>
    <cellStyle name="Normal 516 2" xfId="4963" xr:uid="{00000000-0005-0000-0000-00005AAC0000}"/>
    <cellStyle name="Normal 516 2 2" xfId="8724" xr:uid="{00000000-0005-0000-0000-00005BAC0000}"/>
    <cellStyle name="Normal 516 2 2 2" xfId="16520" xr:uid="{00000000-0005-0000-0000-00005CAC0000}"/>
    <cellStyle name="Normal 516 2 2 2 2" xfId="34155" xr:uid="{00000000-0005-0000-0000-00005DAC0000}"/>
    <cellStyle name="Normal 516 2 2 3" xfId="27125" xr:uid="{00000000-0005-0000-0000-00005EAC0000}"/>
    <cellStyle name="Normal 516 2 3" xfId="13025" xr:uid="{00000000-0005-0000-0000-00005FAC0000}"/>
    <cellStyle name="Normal 516 2 3 2" xfId="30674" xr:uid="{00000000-0005-0000-0000-000060AC0000}"/>
    <cellStyle name="Normal 516 2 4" xfId="24260" xr:uid="{00000000-0005-0000-0000-000061AC0000}"/>
    <cellStyle name="Normal 516 3" xfId="5981" xr:uid="{00000000-0005-0000-0000-000062AC0000}"/>
    <cellStyle name="Normal 516 3 2" xfId="9281" xr:uid="{00000000-0005-0000-0000-000063AC0000}"/>
    <cellStyle name="Normal 516 3 2 2" xfId="17076" xr:uid="{00000000-0005-0000-0000-000064AC0000}"/>
    <cellStyle name="Normal 516 3 2 2 2" xfId="34712" xr:uid="{00000000-0005-0000-0000-000065AC0000}"/>
    <cellStyle name="Normal 516 3 2 3" xfId="27669" xr:uid="{00000000-0005-0000-0000-000066AC0000}"/>
    <cellStyle name="Normal 516 3 3" xfId="13837" xr:uid="{00000000-0005-0000-0000-000067AC0000}"/>
    <cellStyle name="Normal 516 3 3 2" xfId="31477" xr:uid="{00000000-0005-0000-0000-000068AC0000}"/>
    <cellStyle name="Normal 516 3 4" xfId="24804" xr:uid="{00000000-0005-0000-0000-000069AC0000}"/>
    <cellStyle name="Normal 516 4" xfId="6611" xr:uid="{00000000-0005-0000-0000-00006AAC0000}"/>
    <cellStyle name="Normal 516 4 2" xfId="9821" xr:uid="{00000000-0005-0000-0000-00006BAC0000}"/>
    <cellStyle name="Normal 516 4 2 2" xfId="17615" xr:uid="{00000000-0005-0000-0000-00006CAC0000}"/>
    <cellStyle name="Normal 516 4 2 2 2" xfId="35252" xr:uid="{00000000-0005-0000-0000-00006DAC0000}"/>
    <cellStyle name="Normal 516 4 2 3" xfId="28205" xr:uid="{00000000-0005-0000-0000-00006EAC0000}"/>
    <cellStyle name="Normal 516 4 3" xfId="14400" xr:uid="{00000000-0005-0000-0000-00006FAC0000}"/>
    <cellStyle name="Normal 516 4 3 2" xfId="32035" xr:uid="{00000000-0005-0000-0000-000070AC0000}"/>
    <cellStyle name="Normal 516 4 4" xfId="25341" xr:uid="{00000000-0005-0000-0000-000071AC0000}"/>
    <cellStyle name="Normal 516 5" xfId="7387" xr:uid="{00000000-0005-0000-0000-000072AC0000}"/>
    <cellStyle name="Normal 516 5 2" xfId="10375" xr:uid="{00000000-0005-0000-0000-000073AC0000}"/>
    <cellStyle name="Normal 516 5 2 2" xfId="18168" xr:uid="{00000000-0005-0000-0000-000074AC0000}"/>
    <cellStyle name="Normal 516 5 2 2 2" xfId="35805" xr:uid="{00000000-0005-0000-0000-000075AC0000}"/>
    <cellStyle name="Normal 516 5 2 3" xfId="28742" xr:uid="{00000000-0005-0000-0000-000076AC0000}"/>
    <cellStyle name="Normal 516 5 3" xfId="15175" xr:uid="{00000000-0005-0000-0000-000077AC0000}"/>
    <cellStyle name="Normal 516 5 3 2" xfId="32810" xr:uid="{00000000-0005-0000-0000-000078AC0000}"/>
    <cellStyle name="Normal 516 5 4" xfId="25879" xr:uid="{00000000-0005-0000-0000-000079AC0000}"/>
    <cellStyle name="Normal 516 6" xfId="8042" xr:uid="{00000000-0005-0000-0000-00007AAC0000}"/>
    <cellStyle name="Normal 516 6 2" xfId="15839" xr:uid="{00000000-0005-0000-0000-00007BAC0000}"/>
    <cellStyle name="Normal 516 6 2 2" xfId="33474" xr:uid="{00000000-0005-0000-0000-00007CAC0000}"/>
    <cellStyle name="Normal 516 6 3" xfId="26458" xr:uid="{00000000-0005-0000-0000-00007DAC0000}"/>
    <cellStyle name="Normal 516 7" xfId="12003" xr:uid="{00000000-0005-0000-0000-00007EAC0000}"/>
    <cellStyle name="Normal 516 7 2" xfId="29685" xr:uid="{00000000-0005-0000-0000-00007FAC0000}"/>
    <cellStyle name="Normal 516 8" xfId="23593" xr:uid="{00000000-0005-0000-0000-000080AC0000}"/>
    <cellStyle name="Normal 516 9" xfId="52530" xr:uid="{00000000-0005-0000-0000-000081AC0000}"/>
    <cellStyle name="Normal 517" xfId="2901" xr:uid="{00000000-0005-0000-0000-000082AC0000}"/>
    <cellStyle name="Normal 517 2" xfId="4964" xr:uid="{00000000-0005-0000-0000-000083AC0000}"/>
    <cellStyle name="Normal 517 2 2" xfId="8725" xr:uid="{00000000-0005-0000-0000-000084AC0000}"/>
    <cellStyle name="Normal 517 2 2 2" xfId="16521" xr:uid="{00000000-0005-0000-0000-000085AC0000}"/>
    <cellStyle name="Normal 517 2 2 2 2" xfId="34156" xr:uid="{00000000-0005-0000-0000-000086AC0000}"/>
    <cellStyle name="Normal 517 2 2 3" xfId="27126" xr:uid="{00000000-0005-0000-0000-000087AC0000}"/>
    <cellStyle name="Normal 517 2 3" xfId="13026" xr:uid="{00000000-0005-0000-0000-000088AC0000}"/>
    <cellStyle name="Normal 517 2 3 2" xfId="30675" xr:uid="{00000000-0005-0000-0000-000089AC0000}"/>
    <cellStyle name="Normal 517 2 4" xfId="24261" xr:uid="{00000000-0005-0000-0000-00008AAC0000}"/>
    <cellStyle name="Normal 517 3" xfId="5982" xr:uid="{00000000-0005-0000-0000-00008BAC0000}"/>
    <cellStyle name="Normal 517 3 2" xfId="9282" xr:uid="{00000000-0005-0000-0000-00008CAC0000}"/>
    <cellStyle name="Normal 517 3 2 2" xfId="17077" xr:uid="{00000000-0005-0000-0000-00008DAC0000}"/>
    <cellStyle name="Normal 517 3 2 2 2" xfId="34713" xr:uid="{00000000-0005-0000-0000-00008EAC0000}"/>
    <cellStyle name="Normal 517 3 2 3" xfId="27670" xr:uid="{00000000-0005-0000-0000-00008FAC0000}"/>
    <cellStyle name="Normal 517 3 3" xfId="13838" xr:uid="{00000000-0005-0000-0000-000090AC0000}"/>
    <cellStyle name="Normal 517 3 3 2" xfId="31478" xr:uid="{00000000-0005-0000-0000-000091AC0000}"/>
    <cellStyle name="Normal 517 3 4" xfId="24805" xr:uid="{00000000-0005-0000-0000-000092AC0000}"/>
    <cellStyle name="Normal 517 4" xfId="6612" xr:uid="{00000000-0005-0000-0000-000093AC0000}"/>
    <cellStyle name="Normal 517 4 2" xfId="9822" xr:uid="{00000000-0005-0000-0000-000094AC0000}"/>
    <cellStyle name="Normal 517 4 2 2" xfId="17616" xr:uid="{00000000-0005-0000-0000-000095AC0000}"/>
    <cellStyle name="Normal 517 4 2 2 2" xfId="35253" xr:uid="{00000000-0005-0000-0000-000096AC0000}"/>
    <cellStyle name="Normal 517 4 2 3" xfId="28206" xr:uid="{00000000-0005-0000-0000-000097AC0000}"/>
    <cellStyle name="Normal 517 4 3" xfId="14401" xr:uid="{00000000-0005-0000-0000-000098AC0000}"/>
    <cellStyle name="Normal 517 4 3 2" xfId="32036" xr:uid="{00000000-0005-0000-0000-000099AC0000}"/>
    <cellStyle name="Normal 517 4 4" xfId="25342" xr:uid="{00000000-0005-0000-0000-00009AAC0000}"/>
    <cellStyle name="Normal 517 5" xfId="7388" xr:uid="{00000000-0005-0000-0000-00009BAC0000}"/>
    <cellStyle name="Normal 517 5 2" xfId="10376" xr:uid="{00000000-0005-0000-0000-00009CAC0000}"/>
    <cellStyle name="Normal 517 5 2 2" xfId="18169" xr:uid="{00000000-0005-0000-0000-00009DAC0000}"/>
    <cellStyle name="Normal 517 5 2 2 2" xfId="35806" xr:uid="{00000000-0005-0000-0000-00009EAC0000}"/>
    <cellStyle name="Normal 517 5 2 3" xfId="28743" xr:uid="{00000000-0005-0000-0000-00009FAC0000}"/>
    <cellStyle name="Normal 517 5 3" xfId="15176" xr:uid="{00000000-0005-0000-0000-0000A0AC0000}"/>
    <cellStyle name="Normal 517 5 3 2" xfId="32811" xr:uid="{00000000-0005-0000-0000-0000A1AC0000}"/>
    <cellStyle name="Normal 517 5 4" xfId="25880" xr:uid="{00000000-0005-0000-0000-0000A2AC0000}"/>
    <cellStyle name="Normal 517 6" xfId="8043" xr:uid="{00000000-0005-0000-0000-0000A3AC0000}"/>
    <cellStyle name="Normal 517 6 2" xfId="15840" xr:uid="{00000000-0005-0000-0000-0000A4AC0000}"/>
    <cellStyle name="Normal 517 6 2 2" xfId="33475" xr:uid="{00000000-0005-0000-0000-0000A5AC0000}"/>
    <cellStyle name="Normal 517 6 3" xfId="26459" xr:uid="{00000000-0005-0000-0000-0000A6AC0000}"/>
    <cellStyle name="Normal 517 7" xfId="12004" xr:uid="{00000000-0005-0000-0000-0000A7AC0000}"/>
    <cellStyle name="Normal 517 7 2" xfId="29686" xr:uid="{00000000-0005-0000-0000-0000A8AC0000}"/>
    <cellStyle name="Normal 517 8" xfId="23594" xr:uid="{00000000-0005-0000-0000-0000A9AC0000}"/>
    <cellStyle name="Normal 517 9" xfId="52531" xr:uid="{00000000-0005-0000-0000-0000AAAC0000}"/>
    <cellStyle name="Normal 518" xfId="2902" xr:uid="{00000000-0005-0000-0000-0000ABAC0000}"/>
    <cellStyle name="Normal 518 2" xfId="4965" xr:uid="{00000000-0005-0000-0000-0000ACAC0000}"/>
    <cellStyle name="Normal 518 2 2" xfId="8726" xr:uid="{00000000-0005-0000-0000-0000ADAC0000}"/>
    <cellStyle name="Normal 518 2 2 2" xfId="16522" xr:uid="{00000000-0005-0000-0000-0000AEAC0000}"/>
    <cellStyle name="Normal 518 2 2 2 2" xfId="34157" xr:uid="{00000000-0005-0000-0000-0000AFAC0000}"/>
    <cellStyle name="Normal 518 2 2 3" xfId="27127" xr:uid="{00000000-0005-0000-0000-0000B0AC0000}"/>
    <cellStyle name="Normal 518 2 3" xfId="13027" xr:uid="{00000000-0005-0000-0000-0000B1AC0000}"/>
    <cellStyle name="Normal 518 2 3 2" xfId="30676" xr:uid="{00000000-0005-0000-0000-0000B2AC0000}"/>
    <cellStyle name="Normal 518 2 4" xfId="24262" xr:uid="{00000000-0005-0000-0000-0000B3AC0000}"/>
    <cellStyle name="Normal 518 3" xfId="5983" xr:uid="{00000000-0005-0000-0000-0000B4AC0000}"/>
    <cellStyle name="Normal 518 3 2" xfId="9283" xr:uid="{00000000-0005-0000-0000-0000B5AC0000}"/>
    <cellStyle name="Normal 518 3 2 2" xfId="17078" xr:uid="{00000000-0005-0000-0000-0000B6AC0000}"/>
    <cellStyle name="Normal 518 3 2 2 2" xfId="34714" xr:uid="{00000000-0005-0000-0000-0000B7AC0000}"/>
    <cellStyle name="Normal 518 3 2 3" xfId="27671" xr:uid="{00000000-0005-0000-0000-0000B8AC0000}"/>
    <cellStyle name="Normal 518 3 3" xfId="13839" xr:uid="{00000000-0005-0000-0000-0000B9AC0000}"/>
    <cellStyle name="Normal 518 3 3 2" xfId="31479" xr:uid="{00000000-0005-0000-0000-0000BAAC0000}"/>
    <cellStyle name="Normal 518 3 4" xfId="24806" xr:uid="{00000000-0005-0000-0000-0000BBAC0000}"/>
    <cellStyle name="Normal 518 4" xfId="6613" xr:uid="{00000000-0005-0000-0000-0000BCAC0000}"/>
    <cellStyle name="Normal 518 4 2" xfId="9823" xr:uid="{00000000-0005-0000-0000-0000BDAC0000}"/>
    <cellStyle name="Normal 518 4 2 2" xfId="17617" xr:uid="{00000000-0005-0000-0000-0000BEAC0000}"/>
    <cellStyle name="Normal 518 4 2 2 2" xfId="35254" xr:uid="{00000000-0005-0000-0000-0000BFAC0000}"/>
    <cellStyle name="Normal 518 4 2 3" xfId="28207" xr:uid="{00000000-0005-0000-0000-0000C0AC0000}"/>
    <cellStyle name="Normal 518 4 3" xfId="14402" xr:uid="{00000000-0005-0000-0000-0000C1AC0000}"/>
    <cellStyle name="Normal 518 4 3 2" xfId="32037" xr:uid="{00000000-0005-0000-0000-0000C2AC0000}"/>
    <cellStyle name="Normal 518 4 4" xfId="25343" xr:uid="{00000000-0005-0000-0000-0000C3AC0000}"/>
    <cellStyle name="Normal 518 5" xfId="7389" xr:uid="{00000000-0005-0000-0000-0000C4AC0000}"/>
    <cellStyle name="Normal 518 5 2" xfId="10377" xr:uid="{00000000-0005-0000-0000-0000C5AC0000}"/>
    <cellStyle name="Normal 518 5 2 2" xfId="18170" xr:uid="{00000000-0005-0000-0000-0000C6AC0000}"/>
    <cellStyle name="Normal 518 5 2 2 2" xfId="35807" xr:uid="{00000000-0005-0000-0000-0000C7AC0000}"/>
    <cellStyle name="Normal 518 5 2 3" xfId="28744" xr:uid="{00000000-0005-0000-0000-0000C8AC0000}"/>
    <cellStyle name="Normal 518 5 3" xfId="15177" xr:uid="{00000000-0005-0000-0000-0000C9AC0000}"/>
    <cellStyle name="Normal 518 5 3 2" xfId="32812" xr:uid="{00000000-0005-0000-0000-0000CAAC0000}"/>
    <cellStyle name="Normal 518 5 4" xfId="25881" xr:uid="{00000000-0005-0000-0000-0000CBAC0000}"/>
    <cellStyle name="Normal 518 6" xfId="8044" xr:uid="{00000000-0005-0000-0000-0000CCAC0000}"/>
    <cellStyle name="Normal 518 6 2" xfId="15841" xr:uid="{00000000-0005-0000-0000-0000CDAC0000}"/>
    <cellStyle name="Normal 518 6 2 2" xfId="33476" xr:uid="{00000000-0005-0000-0000-0000CEAC0000}"/>
    <cellStyle name="Normal 518 6 3" xfId="26460" xr:uid="{00000000-0005-0000-0000-0000CFAC0000}"/>
    <cellStyle name="Normal 518 7" xfId="12005" xr:uid="{00000000-0005-0000-0000-0000D0AC0000}"/>
    <cellStyle name="Normal 518 7 2" xfId="29687" xr:uid="{00000000-0005-0000-0000-0000D1AC0000}"/>
    <cellStyle name="Normal 518 8" xfId="23595" xr:uid="{00000000-0005-0000-0000-0000D2AC0000}"/>
    <cellStyle name="Normal 518 9" xfId="52532" xr:uid="{00000000-0005-0000-0000-0000D3AC0000}"/>
    <cellStyle name="Normal 519" xfId="2903" xr:uid="{00000000-0005-0000-0000-0000D4AC0000}"/>
    <cellStyle name="Normal 519 2" xfId="4966" xr:uid="{00000000-0005-0000-0000-0000D5AC0000}"/>
    <cellStyle name="Normal 519 2 2" xfId="8727" xr:uid="{00000000-0005-0000-0000-0000D6AC0000}"/>
    <cellStyle name="Normal 519 2 2 2" xfId="16523" xr:uid="{00000000-0005-0000-0000-0000D7AC0000}"/>
    <cellStyle name="Normal 519 2 2 2 2" xfId="34158" xr:uid="{00000000-0005-0000-0000-0000D8AC0000}"/>
    <cellStyle name="Normal 519 2 2 3" xfId="27128" xr:uid="{00000000-0005-0000-0000-0000D9AC0000}"/>
    <cellStyle name="Normal 519 2 3" xfId="13028" xr:uid="{00000000-0005-0000-0000-0000DAAC0000}"/>
    <cellStyle name="Normal 519 2 3 2" xfId="30677" xr:uid="{00000000-0005-0000-0000-0000DBAC0000}"/>
    <cellStyle name="Normal 519 2 4" xfId="24263" xr:uid="{00000000-0005-0000-0000-0000DCAC0000}"/>
    <cellStyle name="Normal 519 3" xfId="5984" xr:uid="{00000000-0005-0000-0000-0000DDAC0000}"/>
    <cellStyle name="Normal 519 3 2" xfId="9284" xr:uid="{00000000-0005-0000-0000-0000DEAC0000}"/>
    <cellStyle name="Normal 519 3 2 2" xfId="17079" xr:uid="{00000000-0005-0000-0000-0000DFAC0000}"/>
    <cellStyle name="Normal 519 3 2 2 2" xfId="34715" xr:uid="{00000000-0005-0000-0000-0000E0AC0000}"/>
    <cellStyle name="Normal 519 3 2 3" xfId="27672" xr:uid="{00000000-0005-0000-0000-0000E1AC0000}"/>
    <cellStyle name="Normal 519 3 3" xfId="13840" xr:uid="{00000000-0005-0000-0000-0000E2AC0000}"/>
    <cellStyle name="Normal 519 3 3 2" xfId="31480" xr:uid="{00000000-0005-0000-0000-0000E3AC0000}"/>
    <cellStyle name="Normal 519 3 4" xfId="24807" xr:uid="{00000000-0005-0000-0000-0000E4AC0000}"/>
    <cellStyle name="Normal 519 4" xfId="6614" xr:uid="{00000000-0005-0000-0000-0000E5AC0000}"/>
    <cellStyle name="Normal 519 4 2" xfId="9824" xr:uid="{00000000-0005-0000-0000-0000E6AC0000}"/>
    <cellStyle name="Normal 519 4 2 2" xfId="17618" xr:uid="{00000000-0005-0000-0000-0000E7AC0000}"/>
    <cellStyle name="Normal 519 4 2 2 2" xfId="35255" xr:uid="{00000000-0005-0000-0000-0000E8AC0000}"/>
    <cellStyle name="Normal 519 4 2 3" xfId="28208" xr:uid="{00000000-0005-0000-0000-0000E9AC0000}"/>
    <cellStyle name="Normal 519 4 3" xfId="14403" xr:uid="{00000000-0005-0000-0000-0000EAAC0000}"/>
    <cellStyle name="Normal 519 4 3 2" xfId="32038" xr:uid="{00000000-0005-0000-0000-0000EBAC0000}"/>
    <cellStyle name="Normal 519 4 4" xfId="25344" xr:uid="{00000000-0005-0000-0000-0000ECAC0000}"/>
    <cellStyle name="Normal 519 5" xfId="7390" xr:uid="{00000000-0005-0000-0000-0000EDAC0000}"/>
    <cellStyle name="Normal 519 5 2" xfId="10378" xr:uid="{00000000-0005-0000-0000-0000EEAC0000}"/>
    <cellStyle name="Normal 519 5 2 2" xfId="18171" xr:uid="{00000000-0005-0000-0000-0000EFAC0000}"/>
    <cellStyle name="Normal 519 5 2 2 2" xfId="35808" xr:uid="{00000000-0005-0000-0000-0000F0AC0000}"/>
    <cellStyle name="Normal 519 5 2 3" xfId="28745" xr:uid="{00000000-0005-0000-0000-0000F1AC0000}"/>
    <cellStyle name="Normal 519 5 3" xfId="15178" xr:uid="{00000000-0005-0000-0000-0000F2AC0000}"/>
    <cellStyle name="Normal 519 5 3 2" xfId="32813" xr:uid="{00000000-0005-0000-0000-0000F3AC0000}"/>
    <cellStyle name="Normal 519 5 4" xfId="25882" xr:uid="{00000000-0005-0000-0000-0000F4AC0000}"/>
    <cellStyle name="Normal 519 6" xfId="8045" xr:uid="{00000000-0005-0000-0000-0000F5AC0000}"/>
    <cellStyle name="Normal 519 6 2" xfId="15842" xr:uid="{00000000-0005-0000-0000-0000F6AC0000}"/>
    <cellStyle name="Normal 519 6 2 2" xfId="33477" xr:uid="{00000000-0005-0000-0000-0000F7AC0000}"/>
    <cellStyle name="Normal 519 6 3" xfId="26461" xr:uid="{00000000-0005-0000-0000-0000F8AC0000}"/>
    <cellStyle name="Normal 519 7" xfId="12006" xr:uid="{00000000-0005-0000-0000-0000F9AC0000}"/>
    <cellStyle name="Normal 519 7 2" xfId="29688" xr:uid="{00000000-0005-0000-0000-0000FAAC0000}"/>
    <cellStyle name="Normal 519 8" xfId="23596" xr:uid="{00000000-0005-0000-0000-0000FBAC0000}"/>
    <cellStyle name="Normal 519 9" xfId="52533" xr:uid="{00000000-0005-0000-0000-0000FCAC0000}"/>
    <cellStyle name="Normal 52" xfId="2904" xr:uid="{00000000-0005-0000-0000-0000FDAC0000}"/>
    <cellStyle name="Normal 52 2" xfId="4967" xr:uid="{00000000-0005-0000-0000-0000FEAC0000}"/>
    <cellStyle name="Normal 52 3" xfId="52534" xr:uid="{00000000-0005-0000-0000-0000FFAC0000}"/>
    <cellStyle name="Normal 520" xfId="2905" xr:uid="{00000000-0005-0000-0000-000000AD0000}"/>
    <cellStyle name="Normal 520 2" xfId="4968" xr:uid="{00000000-0005-0000-0000-000001AD0000}"/>
    <cellStyle name="Normal 520 2 2" xfId="8728" xr:uid="{00000000-0005-0000-0000-000002AD0000}"/>
    <cellStyle name="Normal 520 2 2 2" xfId="16524" xr:uid="{00000000-0005-0000-0000-000003AD0000}"/>
    <cellStyle name="Normal 520 2 2 2 2" xfId="34159" xr:uid="{00000000-0005-0000-0000-000004AD0000}"/>
    <cellStyle name="Normal 520 2 2 3" xfId="27129" xr:uid="{00000000-0005-0000-0000-000005AD0000}"/>
    <cellStyle name="Normal 520 2 3" xfId="13029" xr:uid="{00000000-0005-0000-0000-000006AD0000}"/>
    <cellStyle name="Normal 520 2 3 2" xfId="30678" xr:uid="{00000000-0005-0000-0000-000007AD0000}"/>
    <cellStyle name="Normal 520 2 4" xfId="24264" xr:uid="{00000000-0005-0000-0000-000008AD0000}"/>
    <cellStyle name="Normal 520 3" xfId="5985" xr:uid="{00000000-0005-0000-0000-000009AD0000}"/>
    <cellStyle name="Normal 520 3 2" xfId="9285" xr:uid="{00000000-0005-0000-0000-00000AAD0000}"/>
    <cellStyle name="Normal 520 3 2 2" xfId="17080" xr:uid="{00000000-0005-0000-0000-00000BAD0000}"/>
    <cellStyle name="Normal 520 3 2 2 2" xfId="34716" xr:uid="{00000000-0005-0000-0000-00000CAD0000}"/>
    <cellStyle name="Normal 520 3 2 3" xfId="27673" xr:uid="{00000000-0005-0000-0000-00000DAD0000}"/>
    <cellStyle name="Normal 520 3 3" xfId="13841" xr:uid="{00000000-0005-0000-0000-00000EAD0000}"/>
    <cellStyle name="Normal 520 3 3 2" xfId="31481" xr:uid="{00000000-0005-0000-0000-00000FAD0000}"/>
    <cellStyle name="Normal 520 3 4" xfId="24808" xr:uid="{00000000-0005-0000-0000-000010AD0000}"/>
    <cellStyle name="Normal 520 4" xfId="6615" xr:uid="{00000000-0005-0000-0000-000011AD0000}"/>
    <cellStyle name="Normal 520 4 2" xfId="9825" xr:uid="{00000000-0005-0000-0000-000012AD0000}"/>
    <cellStyle name="Normal 520 4 2 2" xfId="17619" xr:uid="{00000000-0005-0000-0000-000013AD0000}"/>
    <cellStyle name="Normal 520 4 2 2 2" xfId="35256" xr:uid="{00000000-0005-0000-0000-000014AD0000}"/>
    <cellStyle name="Normal 520 4 2 3" xfId="28209" xr:uid="{00000000-0005-0000-0000-000015AD0000}"/>
    <cellStyle name="Normal 520 4 3" xfId="14404" xr:uid="{00000000-0005-0000-0000-000016AD0000}"/>
    <cellStyle name="Normal 520 4 3 2" xfId="32039" xr:uid="{00000000-0005-0000-0000-000017AD0000}"/>
    <cellStyle name="Normal 520 4 4" xfId="25345" xr:uid="{00000000-0005-0000-0000-000018AD0000}"/>
    <cellStyle name="Normal 520 5" xfId="7391" xr:uid="{00000000-0005-0000-0000-000019AD0000}"/>
    <cellStyle name="Normal 520 5 2" xfId="10379" xr:uid="{00000000-0005-0000-0000-00001AAD0000}"/>
    <cellStyle name="Normal 520 5 2 2" xfId="18172" xr:uid="{00000000-0005-0000-0000-00001BAD0000}"/>
    <cellStyle name="Normal 520 5 2 2 2" xfId="35809" xr:uid="{00000000-0005-0000-0000-00001CAD0000}"/>
    <cellStyle name="Normal 520 5 2 3" xfId="28746" xr:uid="{00000000-0005-0000-0000-00001DAD0000}"/>
    <cellStyle name="Normal 520 5 3" xfId="15179" xr:uid="{00000000-0005-0000-0000-00001EAD0000}"/>
    <cellStyle name="Normal 520 5 3 2" xfId="32814" xr:uid="{00000000-0005-0000-0000-00001FAD0000}"/>
    <cellStyle name="Normal 520 5 4" xfId="25883" xr:uid="{00000000-0005-0000-0000-000020AD0000}"/>
    <cellStyle name="Normal 520 6" xfId="8046" xr:uid="{00000000-0005-0000-0000-000021AD0000}"/>
    <cellStyle name="Normal 520 6 2" xfId="15843" xr:uid="{00000000-0005-0000-0000-000022AD0000}"/>
    <cellStyle name="Normal 520 6 2 2" xfId="33478" xr:uid="{00000000-0005-0000-0000-000023AD0000}"/>
    <cellStyle name="Normal 520 6 3" xfId="26462" xr:uid="{00000000-0005-0000-0000-000024AD0000}"/>
    <cellStyle name="Normal 520 7" xfId="12007" xr:uid="{00000000-0005-0000-0000-000025AD0000}"/>
    <cellStyle name="Normal 520 7 2" xfId="29689" xr:uid="{00000000-0005-0000-0000-000026AD0000}"/>
    <cellStyle name="Normal 520 8" xfId="23597" xr:uid="{00000000-0005-0000-0000-000027AD0000}"/>
    <cellStyle name="Normal 520 9" xfId="52535" xr:uid="{00000000-0005-0000-0000-000028AD0000}"/>
    <cellStyle name="Normal 521" xfId="2906" xr:uid="{00000000-0005-0000-0000-000029AD0000}"/>
    <cellStyle name="Normal 521 2" xfId="4969" xr:uid="{00000000-0005-0000-0000-00002AAD0000}"/>
    <cellStyle name="Normal 521 2 2" xfId="8729" xr:uid="{00000000-0005-0000-0000-00002BAD0000}"/>
    <cellStyle name="Normal 521 2 2 2" xfId="16525" xr:uid="{00000000-0005-0000-0000-00002CAD0000}"/>
    <cellStyle name="Normal 521 2 2 2 2" xfId="34160" xr:uid="{00000000-0005-0000-0000-00002DAD0000}"/>
    <cellStyle name="Normal 521 2 2 3" xfId="27130" xr:uid="{00000000-0005-0000-0000-00002EAD0000}"/>
    <cellStyle name="Normal 521 2 3" xfId="13030" xr:uid="{00000000-0005-0000-0000-00002FAD0000}"/>
    <cellStyle name="Normal 521 2 3 2" xfId="30679" xr:uid="{00000000-0005-0000-0000-000030AD0000}"/>
    <cellStyle name="Normal 521 2 4" xfId="24265" xr:uid="{00000000-0005-0000-0000-000031AD0000}"/>
    <cellStyle name="Normal 521 3" xfId="5986" xr:uid="{00000000-0005-0000-0000-000032AD0000}"/>
    <cellStyle name="Normal 521 3 2" xfId="9286" xr:uid="{00000000-0005-0000-0000-000033AD0000}"/>
    <cellStyle name="Normal 521 3 2 2" xfId="17081" xr:uid="{00000000-0005-0000-0000-000034AD0000}"/>
    <cellStyle name="Normal 521 3 2 2 2" xfId="34717" xr:uid="{00000000-0005-0000-0000-000035AD0000}"/>
    <cellStyle name="Normal 521 3 2 3" xfId="27674" xr:uid="{00000000-0005-0000-0000-000036AD0000}"/>
    <cellStyle name="Normal 521 3 3" xfId="13842" xr:uid="{00000000-0005-0000-0000-000037AD0000}"/>
    <cellStyle name="Normal 521 3 3 2" xfId="31482" xr:uid="{00000000-0005-0000-0000-000038AD0000}"/>
    <cellStyle name="Normal 521 3 4" xfId="24809" xr:uid="{00000000-0005-0000-0000-000039AD0000}"/>
    <cellStyle name="Normal 521 4" xfId="6616" xr:uid="{00000000-0005-0000-0000-00003AAD0000}"/>
    <cellStyle name="Normal 521 4 2" xfId="9826" xr:uid="{00000000-0005-0000-0000-00003BAD0000}"/>
    <cellStyle name="Normal 521 4 2 2" xfId="17620" xr:uid="{00000000-0005-0000-0000-00003CAD0000}"/>
    <cellStyle name="Normal 521 4 2 2 2" xfId="35257" xr:uid="{00000000-0005-0000-0000-00003DAD0000}"/>
    <cellStyle name="Normal 521 4 2 3" xfId="28210" xr:uid="{00000000-0005-0000-0000-00003EAD0000}"/>
    <cellStyle name="Normal 521 4 3" xfId="14405" xr:uid="{00000000-0005-0000-0000-00003FAD0000}"/>
    <cellStyle name="Normal 521 4 3 2" xfId="32040" xr:uid="{00000000-0005-0000-0000-000040AD0000}"/>
    <cellStyle name="Normal 521 4 4" xfId="25346" xr:uid="{00000000-0005-0000-0000-000041AD0000}"/>
    <cellStyle name="Normal 521 5" xfId="7392" xr:uid="{00000000-0005-0000-0000-000042AD0000}"/>
    <cellStyle name="Normal 521 5 2" xfId="10380" xr:uid="{00000000-0005-0000-0000-000043AD0000}"/>
    <cellStyle name="Normal 521 5 2 2" xfId="18173" xr:uid="{00000000-0005-0000-0000-000044AD0000}"/>
    <cellStyle name="Normal 521 5 2 2 2" xfId="35810" xr:uid="{00000000-0005-0000-0000-000045AD0000}"/>
    <cellStyle name="Normal 521 5 2 3" xfId="28747" xr:uid="{00000000-0005-0000-0000-000046AD0000}"/>
    <cellStyle name="Normal 521 5 3" xfId="15180" xr:uid="{00000000-0005-0000-0000-000047AD0000}"/>
    <cellStyle name="Normal 521 5 3 2" xfId="32815" xr:uid="{00000000-0005-0000-0000-000048AD0000}"/>
    <cellStyle name="Normal 521 5 4" xfId="25884" xr:uid="{00000000-0005-0000-0000-000049AD0000}"/>
    <cellStyle name="Normal 521 6" xfId="8047" xr:uid="{00000000-0005-0000-0000-00004AAD0000}"/>
    <cellStyle name="Normal 521 6 2" xfId="15844" xr:uid="{00000000-0005-0000-0000-00004BAD0000}"/>
    <cellStyle name="Normal 521 6 2 2" xfId="33479" xr:uid="{00000000-0005-0000-0000-00004CAD0000}"/>
    <cellStyle name="Normal 521 6 3" xfId="26463" xr:uid="{00000000-0005-0000-0000-00004DAD0000}"/>
    <cellStyle name="Normal 521 7" xfId="12008" xr:uid="{00000000-0005-0000-0000-00004EAD0000}"/>
    <cellStyle name="Normal 521 7 2" xfId="29690" xr:uid="{00000000-0005-0000-0000-00004FAD0000}"/>
    <cellStyle name="Normal 521 8" xfId="23598" xr:uid="{00000000-0005-0000-0000-000050AD0000}"/>
    <cellStyle name="Normal 521 9" xfId="52536" xr:uid="{00000000-0005-0000-0000-000051AD0000}"/>
    <cellStyle name="Normal 522" xfId="2907" xr:uid="{00000000-0005-0000-0000-000052AD0000}"/>
    <cellStyle name="Normal 522 2" xfId="4970" xr:uid="{00000000-0005-0000-0000-000053AD0000}"/>
    <cellStyle name="Normal 522 2 2" xfId="8730" xr:uid="{00000000-0005-0000-0000-000054AD0000}"/>
    <cellStyle name="Normal 522 2 2 2" xfId="16526" xr:uid="{00000000-0005-0000-0000-000055AD0000}"/>
    <cellStyle name="Normal 522 2 2 2 2" xfId="34161" xr:uid="{00000000-0005-0000-0000-000056AD0000}"/>
    <cellStyle name="Normal 522 2 2 3" xfId="27131" xr:uid="{00000000-0005-0000-0000-000057AD0000}"/>
    <cellStyle name="Normal 522 2 3" xfId="13031" xr:uid="{00000000-0005-0000-0000-000058AD0000}"/>
    <cellStyle name="Normal 522 2 3 2" xfId="30680" xr:uid="{00000000-0005-0000-0000-000059AD0000}"/>
    <cellStyle name="Normal 522 2 4" xfId="24266" xr:uid="{00000000-0005-0000-0000-00005AAD0000}"/>
    <cellStyle name="Normal 522 3" xfId="5987" xr:uid="{00000000-0005-0000-0000-00005BAD0000}"/>
    <cellStyle name="Normal 522 3 2" xfId="9287" xr:uid="{00000000-0005-0000-0000-00005CAD0000}"/>
    <cellStyle name="Normal 522 3 2 2" xfId="17082" xr:uid="{00000000-0005-0000-0000-00005DAD0000}"/>
    <cellStyle name="Normal 522 3 2 2 2" xfId="34718" xr:uid="{00000000-0005-0000-0000-00005EAD0000}"/>
    <cellStyle name="Normal 522 3 2 3" xfId="27675" xr:uid="{00000000-0005-0000-0000-00005FAD0000}"/>
    <cellStyle name="Normal 522 3 3" xfId="13843" xr:uid="{00000000-0005-0000-0000-000060AD0000}"/>
    <cellStyle name="Normal 522 3 3 2" xfId="31483" xr:uid="{00000000-0005-0000-0000-000061AD0000}"/>
    <cellStyle name="Normal 522 3 4" xfId="24810" xr:uid="{00000000-0005-0000-0000-000062AD0000}"/>
    <cellStyle name="Normal 522 4" xfId="6617" xr:uid="{00000000-0005-0000-0000-000063AD0000}"/>
    <cellStyle name="Normal 522 4 2" xfId="9827" xr:uid="{00000000-0005-0000-0000-000064AD0000}"/>
    <cellStyle name="Normal 522 4 2 2" xfId="17621" xr:uid="{00000000-0005-0000-0000-000065AD0000}"/>
    <cellStyle name="Normal 522 4 2 2 2" xfId="35258" xr:uid="{00000000-0005-0000-0000-000066AD0000}"/>
    <cellStyle name="Normal 522 4 2 3" xfId="28211" xr:uid="{00000000-0005-0000-0000-000067AD0000}"/>
    <cellStyle name="Normal 522 4 3" xfId="14406" xr:uid="{00000000-0005-0000-0000-000068AD0000}"/>
    <cellStyle name="Normal 522 4 3 2" xfId="32041" xr:uid="{00000000-0005-0000-0000-000069AD0000}"/>
    <cellStyle name="Normal 522 4 4" xfId="25347" xr:uid="{00000000-0005-0000-0000-00006AAD0000}"/>
    <cellStyle name="Normal 522 5" xfId="7393" xr:uid="{00000000-0005-0000-0000-00006BAD0000}"/>
    <cellStyle name="Normal 522 5 2" xfId="10381" xr:uid="{00000000-0005-0000-0000-00006CAD0000}"/>
    <cellStyle name="Normal 522 5 2 2" xfId="18174" xr:uid="{00000000-0005-0000-0000-00006DAD0000}"/>
    <cellStyle name="Normal 522 5 2 2 2" xfId="35811" xr:uid="{00000000-0005-0000-0000-00006EAD0000}"/>
    <cellStyle name="Normal 522 5 2 3" xfId="28748" xr:uid="{00000000-0005-0000-0000-00006FAD0000}"/>
    <cellStyle name="Normal 522 5 3" xfId="15181" xr:uid="{00000000-0005-0000-0000-000070AD0000}"/>
    <cellStyle name="Normal 522 5 3 2" xfId="32816" xr:uid="{00000000-0005-0000-0000-000071AD0000}"/>
    <cellStyle name="Normal 522 5 4" xfId="25885" xr:uid="{00000000-0005-0000-0000-000072AD0000}"/>
    <cellStyle name="Normal 522 6" xfId="8048" xr:uid="{00000000-0005-0000-0000-000073AD0000}"/>
    <cellStyle name="Normal 522 6 2" xfId="15845" xr:uid="{00000000-0005-0000-0000-000074AD0000}"/>
    <cellStyle name="Normal 522 6 2 2" xfId="33480" xr:uid="{00000000-0005-0000-0000-000075AD0000}"/>
    <cellStyle name="Normal 522 6 3" xfId="26464" xr:uid="{00000000-0005-0000-0000-000076AD0000}"/>
    <cellStyle name="Normal 522 7" xfId="12009" xr:uid="{00000000-0005-0000-0000-000077AD0000}"/>
    <cellStyle name="Normal 522 7 2" xfId="29691" xr:uid="{00000000-0005-0000-0000-000078AD0000}"/>
    <cellStyle name="Normal 522 8" xfId="23599" xr:uid="{00000000-0005-0000-0000-000079AD0000}"/>
    <cellStyle name="Normal 522 9" xfId="52537" xr:uid="{00000000-0005-0000-0000-00007AAD0000}"/>
    <cellStyle name="Normal 523" xfId="2908" xr:uid="{00000000-0005-0000-0000-00007BAD0000}"/>
    <cellStyle name="Normal 523 2" xfId="4971" xr:uid="{00000000-0005-0000-0000-00007CAD0000}"/>
    <cellStyle name="Normal 523 2 2" xfId="8731" xr:uid="{00000000-0005-0000-0000-00007DAD0000}"/>
    <cellStyle name="Normal 523 2 2 2" xfId="16527" xr:uid="{00000000-0005-0000-0000-00007EAD0000}"/>
    <cellStyle name="Normal 523 2 2 2 2" xfId="34162" xr:uid="{00000000-0005-0000-0000-00007FAD0000}"/>
    <cellStyle name="Normal 523 2 2 3" xfId="27132" xr:uid="{00000000-0005-0000-0000-000080AD0000}"/>
    <cellStyle name="Normal 523 2 3" xfId="13032" xr:uid="{00000000-0005-0000-0000-000081AD0000}"/>
    <cellStyle name="Normal 523 2 3 2" xfId="30681" xr:uid="{00000000-0005-0000-0000-000082AD0000}"/>
    <cellStyle name="Normal 523 2 4" xfId="24267" xr:uid="{00000000-0005-0000-0000-000083AD0000}"/>
    <cellStyle name="Normal 523 3" xfId="5988" xr:uid="{00000000-0005-0000-0000-000084AD0000}"/>
    <cellStyle name="Normal 523 3 2" xfId="9288" xr:uid="{00000000-0005-0000-0000-000085AD0000}"/>
    <cellStyle name="Normal 523 3 2 2" xfId="17083" xr:uid="{00000000-0005-0000-0000-000086AD0000}"/>
    <cellStyle name="Normal 523 3 2 2 2" xfId="34719" xr:uid="{00000000-0005-0000-0000-000087AD0000}"/>
    <cellStyle name="Normal 523 3 2 3" xfId="27676" xr:uid="{00000000-0005-0000-0000-000088AD0000}"/>
    <cellStyle name="Normal 523 3 3" xfId="13844" xr:uid="{00000000-0005-0000-0000-000089AD0000}"/>
    <cellStyle name="Normal 523 3 3 2" xfId="31484" xr:uid="{00000000-0005-0000-0000-00008AAD0000}"/>
    <cellStyle name="Normal 523 3 4" xfId="24811" xr:uid="{00000000-0005-0000-0000-00008BAD0000}"/>
    <cellStyle name="Normal 523 4" xfId="6618" xr:uid="{00000000-0005-0000-0000-00008CAD0000}"/>
    <cellStyle name="Normal 523 4 2" xfId="9828" xr:uid="{00000000-0005-0000-0000-00008DAD0000}"/>
    <cellStyle name="Normal 523 4 2 2" xfId="17622" xr:uid="{00000000-0005-0000-0000-00008EAD0000}"/>
    <cellStyle name="Normal 523 4 2 2 2" xfId="35259" xr:uid="{00000000-0005-0000-0000-00008FAD0000}"/>
    <cellStyle name="Normal 523 4 2 3" xfId="28212" xr:uid="{00000000-0005-0000-0000-000090AD0000}"/>
    <cellStyle name="Normal 523 4 3" xfId="14407" xr:uid="{00000000-0005-0000-0000-000091AD0000}"/>
    <cellStyle name="Normal 523 4 3 2" xfId="32042" xr:uid="{00000000-0005-0000-0000-000092AD0000}"/>
    <cellStyle name="Normal 523 4 4" xfId="25348" xr:uid="{00000000-0005-0000-0000-000093AD0000}"/>
    <cellStyle name="Normal 523 5" xfId="7394" xr:uid="{00000000-0005-0000-0000-000094AD0000}"/>
    <cellStyle name="Normal 523 5 2" xfId="10382" xr:uid="{00000000-0005-0000-0000-000095AD0000}"/>
    <cellStyle name="Normal 523 5 2 2" xfId="18175" xr:uid="{00000000-0005-0000-0000-000096AD0000}"/>
    <cellStyle name="Normal 523 5 2 2 2" xfId="35812" xr:uid="{00000000-0005-0000-0000-000097AD0000}"/>
    <cellStyle name="Normal 523 5 2 3" xfId="28749" xr:uid="{00000000-0005-0000-0000-000098AD0000}"/>
    <cellStyle name="Normal 523 5 3" xfId="15182" xr:uid="{00000000-0005-0000-0000-000099AD0000}"/>
    <cellStyle name="Normal 523 5 3 2" xfId="32817" xr:uid="{00000000-0005-0000-0000-00009AAD0000}"/>
    <cellStyle name="Normal 523 5 4" xfId="25886" xr:uid="{00000000-0005-0000-0000-00009BAD0000}"/>
    <cellStyle name="Normal 523 6" xfId="8049" xr:uid="{00000000-0005-0000-0000-00009CAD0000}"/>
    <cellStyle name="Normal 523 6 2" xfId="15846" xr:uid="{00000000-0005-0000-0000-00009DAD0000}"/>
    <cellStyle name="Normal 523 6 2 2" xfId="33481" xr:uid="{00000000-0005-0000-0000-00009EAD0000}"/>
    <cellStyle name="Normal 523 6 3" xfId="26465" xr:uid="{00000000-0005-0000-0000-00009FAD0000}"/>
    <cellStyle name="Normal 523 7" xfId="12010" xr:uid="{00000000-0005-0000-0000-0000A0AD0000}"/>
    <cellStyle name="Normal 523 7 2" xfId="29692" xr:uid="{00000000-0005-0000-0000-0000A1AD0000}"/>
    <cellStyle name="Normal 523 8" xfId="23600" xr:uid="{00000000-0005-0000-0000-0000A2AD0000}"/>
    <cellStyle name="Normal 523 9" xfId="52538" xr:uid="{00000000-0005-0000-0000-0000A3AD0000}"/>
    <cellStyle name="Normal 524" xfId="2909" xr:uid="{00000000-0005-0000-0000-0000A4AD0000}"/>
    <cellStyle name="Normal 524 2" xfId="4972" xr:uid="{00000000-0005-0000-0000-0000A5AD0000}"/>
    <cellStyle name="Normal 524 2 2" xfId="8732" xr:uid="{00000000-0005-0000-0000-0000A6AD0000}"/>
    <cellStyle name="Normal 524 2 2 2" xfId="16528" xr:uid="{00000000-0005-0000-0000-0000A7AD0000}"/>
    <cellStyle name="Normal 524 2 2 2 2" xfId="34163" xr:uid="{00000000-0005-0000-0000-0000A8AD0000}"/>
    <cellStyle name="Normal 524 2 2 3" xfId="27133" xr:uid="{00000000-0005-0000-0000-0000A9AD0000}"/>
    <cellStyle name="Normal 524 2 3" xfId="13033" xr:uid="{00000000-0005-0000-0000-0000AAAD0000}"/>
    <cellStyle name="Normal 524 2 3 2" xfId="30682" xr:uid="{00000000-0005-0000-0000-0000ABAD0000}"/>
    <cellStyle name="Normal 524 2 4" xfId="24268" xr:uid="{00000000-0005-0000-0000-0000ACAD0000}"/>
    <cellStyle name="Normal 524 3" xfId="5989" xr:uid="{00000000-0005-0000-0000-0000ADAD0000}"/>
    <cellStyle name="Normal 524 3 2" xfId="9289" xr:uid="{00000000-0005-0000-0000-0000AEAD0000}"/>
    <cellStyle name="Normal 524 3 2 2" xfId="17084" xr:uid="{00000000-0005-0000-0000-0000AFAD0000}"/>
    <cellStyle name="Normal 524 3 2 2 2" xfId="34720" xr:uid="{00000000-0005-0000-0000-0000B0AD0000}"/>
    <cellStyle name="Normal 524 3 2 3" xfId="27677" xr:uid="{00000000-0005-0000-0000-0000B1AD0000}"/>
    <cellStyle name="Normal 524 3 3" xfId="13845" xr:uid="{00000000-0005-0000-0000-0000B2AD0000}"/>
    <cellStyle name="Normal 524 3 3 2" xfId="31485" xr:uid="{00000000-0005-0000-0000-0000B3AD0000}"/>
    <cellStyle name="Normal 524 3 4" xfId="24812" xr:uid="{00000000-0005-0000-0000-0000B4AD0000}"/>
    <cellStyle name="Normal 524 4" xfId="6619" xr:uid="{00000000-0005-0000-0000-0000B5AD0000}"/>
    <cellStyle name="Normal 524 4 2" xfId="9829" xr:uid="{00000000-0005-0000-0000-0000B6AD0000}"/>
    <cellStyle name="Normal 524 4 2 2" xfId="17623" xr:uid="{00000000-0005-0000-0000-0000B7AD0000}"/>
    <cellStyle name="Normal 524 4 2 2 2" xfId="35260" xr:uid="{00000000-0005-0000-0000-0000B8AD0000}"/>
    <cellStyle name="Normal 524 4 2 3" xfId="28213" xr:uid="{00000000-0005-0000-0000-0000B9AD0000}"/>
    <cellStyle name="Normal 524 4 3" xfId="14408" xr:uid="{00000000-0005-0000-0000-0000BAAD0000}"/>
    <cellStyle name="Normal 524 4 3 2" xfId="32043" xr:uid="{00000000-0005-0000-0000-0000BBAD0000}"/>
    <cellStyle name="Normal 524 4 4" xfId="25349" xr:uid="{00000000-0005-0000-0000-0000BCAD0000}"/>
    <cellStyle name="Normal 524 5" xfId="7395" xr:uid="{00000000-0005-0000-0000-0000BDAD0000}"/>
    <cellStyle name="Normal 524 5 2" xfId="10383" xr:uid="{00000000-0005-0000-0000-0000BEAD0000}"/>
    <cellStyle name="Normal 524 5 2 2" xfId="18176" xr:uid="{00000000-0005-0000-0000-0000BFAD0000}"/>
    <cellStyle name="Normal 524 5 2 2 2" xfId="35813" xr:uid="{00000000-0005-0000-0000-0000C0AD0000}"/>
    <cellStyle name="Normal 524 5 2 3" xfId="28750" xr:uid="{00000000-0005-0000-0000-0000C1AD0000}"/>
    <cellStyle name="Normal 524 5 3" xfId="15183" xr:uid="{00000000-0005-0000-0000-0000C2AD0000}"/>
    <cellStyle name="Normal 524 5 3 2" xfId="32818" xr:uid="{00000000-0005-0000-0000-0000C3AD0000}"/>
    <cellStyle name="Normal 524 5 4" xfId="25887" xr:uid="{00000000-0005-0000-0000-0000C4AD0000}"/>
    <cellStyle name="Normal 524 6" xfId="8050" xr:uid="{00000000-0005-0000-0000-0000C5AD0000}"/>
    <cellStyle name="Normal 524 6 2" xfId="15847" xr:uid="{00000000-0005-0000-0000-0000C6AD0000}"/>
    <cellStyle name="Normal 524 6 2 2" xfId="33482" xr:uid="{00000000-0005-0000-0000-0000C7AD0000}"/>
    <cellStyle name="Normal 524 6 3" xfId="26466" xr:uid="{00000000-0005-0000-0000-0000C8AD0000}"/>
    <cellStyle name="Normal 524 7" xfId="12011" xr:uid="{00000000-0005-0000-0000-0000C9AD0000}"/>
    <cellStyle name="Normal 524 7 2" xfId="29693" xr:uid="{00000000-0005-0000-0000-0000CAAD0000}"/>
    <cellStyle name="Normal 524 8" xfId="23601" xr:uid="{00000000-0005-0000-0000-0000CBAD0000}"/>
    <cellStyle name="Normal 524 9" xfId="52539" xr:uid="{00000000-0005-0000-0000-0000CCAD0000}"/>
    <cellStyle name="Normal 525" xfId="2910" xr:uid="{00000000-0005-0000-0000-0000CDAD0000}"/>
    <cellStyle name="Normal 525 2" xfId="4973" xr:uid="{00000000-0005-0000-0000-0000CEAD0000}"/>
    <cellStyle name="Normal 525 2 2" xfId="8733" xr:uid="{00000000-0005-0000-0000-0000CFAD0000}"/>
    <cellStyle name="Normal 525 2 2 2" xfId="16529" xr:uid="{00000000-0005-0000-0000-0000D0AD0000}"/>
    <cellStyle name="Normal 525 2 2 2 2" xfId="34164" xr:uid="{00000000-0005-0000-0000-0000D1AD0000}"/>
    <cellStyle name="Normal 525 2 2 3" xfId="27134" xr:uid="{00000000-0005-0000-0000-0000D2AD0000}"/>
    <cellStyle name="Normal 525 2 3" xfId="13034" xr:uid="{00000000-0005-0000-0000-0000D3AD0000}"/>
    <cellStyle name="Normal 525 2 3 2" xfId="30683" xr:uid="{00000000-0005-0000-0000-0000D4AD0000}"/>
    <cellStyle name="Normal 525 2 4" xfId="24269" xr:uid="{00000000-0005-0000-0000-0000D5AD0000}"/>
    <cellStyle name="Normal 525 3" xfId="5990" xr:uid="{00000000-0005-0000-0000-0000D6AD0000}"/>
    <cellStyle name="Normal 525 3 2" xfId="9290" xr:uid="{00000000-0005-0000-0000-0000D7AD0000}"/>
    <cellStyle name="Normal 525 3 2 2" xfId="17085" xr:uid="{00000000-0005-0000-0000-0000D8AD0000}"/>
    <cellStyle name="Normal 525 3 2 2 2" xfId="34721" xr:uid="{00000000-0005-0000-0000-0000D9AD0000}"/>
    <cellStyle name="Normal 525 3 2 3" xfId="27678" xr:uid="{00000000-0005-0000-0000-0000DAAD0000}"/>
    <cellStyle name="Normal 525 3 3" xfId="13846" xr:uid="{00000000-0005-0000-0000-0000DBAD0000}"/>
    <cellStyle name="Normal 525 3 3 2" xfId="31486" xr:uid="{00000000-0005-0000-0000-0000DCAD0000}"/>
    <cellStyle name="Normal 525 3 4" xfId="24813" xr:uid="{00000000-0005-0000-0000-0000DDAD0000}"/>
    <cellStyle name="Normal 525 4" xfId="6620" xr:uid="{00000000-0005-0000-0000-0000DEAD0000}"/>
    <cellStyle name="Normal 525 4 2" xfId="9830" xr:uid="{00000000-0005-0000-0000-0000DFAD0000}"/>
    <cellStyle name="Normal 525 4 2 2" xfId="17624" xr:uid="{00000000-0005-0000-0000-0000E0AD0000}"/>
    <cellStyle name="Normal 525 4 2 2 2" xfId="35261" xr:uid="{00000000-0005-0000-0000-0000E1AD0000}"/>
    <cellStyle name="Normal 525 4 2 3" xfId="28214" xr:uid="{00000000-0005-0000-0000-0000E2AD0000}"/>
    <cellStyle name="Normal 525 4 3" xfId="14409" xr:uid="{00000000-0005-0000-0000-0000E3AD0000}"/>
    <cellStyle name="Normal 525 4 3 2" xfId="32044" xr:uid="{00000000-0005-0000-0000-0000E4AD0000}"/>
    <cellStyle name="Normal 525 4 4" xfId="25350" xr:uid="{00000000-0005-0000-0000-0000E5AD0000}"/>
    <cellStyle name="Normal 525 5" xfId="7396" xr:uid="{00000000-0005-0000-0000-0000E6AD0000}"/>
    <cellStyle name="Normal 525 5 2" xfId="10384" xr:uid="{00000000-0005-0000-0000-0000E7AD0000}"/>
    <cellStyle name="Normal 525 5 2 2" xfId="18177" xr:uid="{00000000-0005-0000-0000-0000E8AD0000}"/>
    <cellStyle name="Normal 525 5 2 2 2" xfId="35814" xr:uid="{00000000-0005-0000-0000-0000E9AD0000}"/>
    <cellStyle name="Normal 525 5 2 3" xfId="28751" xr:uid="{00000000-0005-0000-0000-0000EAAD0000}"/>
    <cellStyle name="Normal 525 5 3" xfId="15184" xr:uid="{00000000-0005-0000-0000-0000EBAD0000}"/>
    <cellStyle name="Normal 525 5 3 2" xfId="32819" xr:uid="{00000000-0005-0000-0000-0000ECAD0000}"/>
    <cellStyle name="Normal 525 5 4" xfId="25888" xr:uid="{00000000-0005-0000-0000-0000EDAD0000}"/>
    <cellStyle name="Normal 525 6" xfId="8051" xr:uid="{00000000-0005-0000-0000-0000EEAD0000}"/>
    <cellStyle name="Normal 525 6 2" xfId="15848" xr:uid="{00000000-0005-0000-0000-0000EFAD0000}"/>
    <cellStyle name="Normal 525 6 2 2" xfId="33483" xr:uid="{00000000-0005-0000-0000-0000F0AD0000}"/>
    <cellStyle name="Normal 525 6 3" xfId="26467" xr:uid="{00000000-0005-0000-0000-0000F1AD0000}"/>
    <cellStyle name="Normal 525 7" xfId="12012" xr:uid="{00000000-0005-0000-0000-0000F2AD0000}"/>
    <cellStyle name="Normal 525 7 2" xfId="29694" xr:uid="{00000000-0005-0000-0000-0000F3AD0000}"/>
    <cellStyle name="Normal 525 8" xfId="23602" xr:uid="{00000000-0005-0000-0000-0000F4AD0000}"/>
    <cellStyle name="Normal 525 9" xfId="52540" xr:uid="{00000000-0005-0000-0000-0000F5AD0000}"/>
    <cellStyle name="Normal 526" xfId="2911" xr:uid="{00000000-0005-0000-0000-0000F6AD0000}"/>
    <cellStyle name="Normal 526 2" xfId="4974" xr:uid="{00000000-0005-0000-0000-0000F7AD0000}"/>
    <cellStyle name="Normal 526 2 2" xfId="8734" xr:uid="{00000000-0005-0000-0000-0000F8AD0000}"/>
    <cellStyle name="Normal 526 2 2 2" xfId="16530" xr:uid="{00000000-0005-0000-0000-0000F9AD0000}"/>
    <cellStyle name="Normal 526 2 2 2 2" xfId="34165" xr:uid="{00000000-0005-0000-0000-0000FAAD0000}"/>
    <cellStyle name="Normal 526 2 2 3" xfId="27135" xr:uid="{00000000-0005-0000-0000-0000FBAD0000}"/>
    <cellStyle name="Normal 526 2 3" xfId="13035" xr:uid="{00000000-0005-0000-0000-0000FCAD0000}"/>
    <cellStyle name="Normal 526 2 3 2" xfId="30684" xr:uid="{00000000-0005-0000-0000-0000FDAD0000}"/>
    <cellStyle name="Normal 526 2 4" xfId="24270" xr:uid="{00000000-0005-0000-0000-0000FEAD0000}"/>
    <cellStyle name="Normal 526 3" xfId="5991" xr:uid="{00000000-0005-0000-0000-0000FFAD0000}"/>
    <cellStyle name="Normal 526 3 2" xfId="9291" xr:uid="{00000000-0005-0000-0000-000000AE0000}"/>
    <cellStyle name="Normal 526 3 2 2" xfId="17086" xr:uid="{00000000-0005-0000-0000-000001AE0000}"/>
    <cellStyle name="Normal 526 3 2 2 2" xfId="34722" xr:uid="{00000000-0005-0000-0000-000002AE0000}"/>
    <cellStyle name="Normal 526 3 2 3" xfId="27679" xr:uid="{00000000-0005-0000-0000-000003AE0000}"/>
    <cellStyle name="Normal 526 3 3" xfId="13847" xr:uid="{00000000-0005-0000-0000-000004AE0000}"/>
    <cellStyle name="Normal 526 3 3 2" xfId="31487" xr:uid="{00000000-0005-0000-0000-000005AE0000}"/>
    <cellStyle name="Normal 526 3 4" xfId="24814" xr:uid="{00000000-0005-0000-0000-000006AE0000}"/>
    <cellStyle name="Normal 526 4" xfId="6621" xr:uid="{00000000-0005-0000-0000-000007AE0000}"/>
    <cellStyle name="Normal 526 4 2" xfId="9831" xr:uid="{00000000-0005-0000-0000-000008AE0000}"/>
    <cellStyle name="Normal 526 4 2 2" xfId="17625" xr:uid="{00000000-0005-0000-0000-000009AE0000}"/>
    <cellStyle name="Normal 526 4 2 2 2" xfId="35262" xr:uid="{00000000-0005-0000-0000-00000AAE0000}"/>
    <cellStyle name="Normal 526 4 2 3" xfId="28215" xr:uid="{00000000-0005-0000-0000-00000BAE0000}"/>
    <cellStyle name="Normal 526 4 3" xfId="14410" xr:uid="{00000000-0005-0000-0000-00000CAE0000}"/>
    <cellStyle name="Normal 526 4 3 2" xfId="32045" xr:uid="{00000000-0005-0000-0000-00000DAE0000}"/>
    <cellStyle name="Normal 526 4 4" xfId="25351" xr:uid="{00000000-0005-0000-0000-00000EAE0000}"/>
    <cellStyle name="Normal 526 5" xfId="7397" xr:uid="{00000000-0005-0000-0000-00000FAE0000}"/>
    <cellStyle name="Normal 526 5 2" xfId="10385" xr:uid="{00000000-0005-0000-0000-000010AE0000}"/>
    <cellStyle name="Normal 526 5 2 2" xfId="18178" xr:uid="{00000000-0005-0000-0000-000011AE0000}"/>
    <cellStyle name="Normal 526 5 2 2 2" xfId="35815" xr:uid="{00000000-0005-0000-0000-000012AE0000}"/>
    <cellStyle name="Normal 526 5 2 3" xfId="28752" xr:uid="{00000000-0005-0000-0000-000013AE0000}"/>
    <cellStyle name="Normal 526 5 3" xfId="15185" xr:uid="{00000000-0005-0000-0000-000014AE0000}"/>
    <cellStyle name="Normal 526 5 3 2" xfId="32820" xr:uid="{00000000-0005-0000-0000-000015AE0000}"/>
    <cellStyle name="Normal 526 5 4" xfId="25889" xr:uid="{00000000-0005-0000-0000-000016AE0000}"/>
    <cellStyle name="Normal 526 6" xfId="8052" xr:uid="{00000000-0005-0000-0000-000017AE0000}"/>
    <cellStyle name="Normal 526 6 2" xfId="15849" xr:uid="{00000000-0005-0000-0000-000018AE0000}"/>
    <cellStyle name="Normal 526 6 2 2" xfId="33484" xr:uid="{00000000-0005-0000-0000-000019AE0000}"/>
    <cellStyle name="Normal 526 6 3" xfId="26468" xr:uid="{00000000-0005-0000-0000-00001AAE0000}"/>
    <cellStyle name="Normal 526 7" xfId="12013" xr:uid="{00000000-0005-0000-0000-00001BAE0000}"/>
    <cellStyle name="Normal 526 7 2" xfId="29695" xr:uid="{00000000-0005-0000-0000-00001CAE0000}"/>
    <cellStyle name="Normal 526 8" xfId="23603" xr:uid="{00000000-0005-0000-0000-00001DAE0000}"/>
    <cellStyle name="Normal 526 9" xfId="52541" xr:uid="{00000000-0005-0000-0000-00001EAE0000}"/>
    <cellStyle name="Normal 527" xfId="2912" xr:uid="{00000000-0005-0000-0000-00001FAE0000}"/>
    <cellStyle name="Normal 527 2" xfId="4975" xr:uid="{00000000-0005-0000-0000-000020AE0000}"/>
    <cellStyle name="Normal 527 2 2" xfId="8735" xr:uid="{00000000-0005-0000-0000-000021AE0000}"/>
    <cellStyle name="Normal 527 2 2 2" xfId="16531" xr:uid="{00000000-0005-0000-0000-000022AE0000}"/>
    <cellStyle name="Normal 527 2 2 2 2" xfId="34166" xr:uid="{00000000-0005-0000-0000-000023AE0000}"/>
    <cellStyle name="Normal 527 2 2 3" xfId="27136" xr:uid="{00000000-0005-0000-0000-000024AE0000}"/>
    <cellStyle name="Normal 527 2 3" xfId="13036" xr:uid="{00000000-0005-0000-0000-000025AE0000}"/>
    <cellStyle name="Normal 527 2 3 2" xfId="30685" xr:uid="{00000000-0005-0000-0000-000026AE0000}"/>
    <cellStyle name="Normal 527 2 4" xfId="24271" xr:uid="{00000000-0005-0000-0000-000027AE0000}"/>
    <cellStyle name="Normal 527 3" xfId="5992" xr:uid="{00000000-0005-0000-0000-000028AE0000}"/>
    <cellStyle name="Normal 527 3 2" xfId="9292" xr:uid="{00000000-0005-0000-0000-000029AE0000}"/>
    <cellStyle name="Normal 527 3 2 2" xfId="17087" xr:uid="{00000000-0005-0000-0000-00002AAE0000}"/>
    <cellStyle name="Normal 527 3 2 2 2" xfId="34723" xr:uid="{00000000-0005-0000-0000-00002BAE0000}"/>
    <cellStyle name="Normal 527 3 2 3" xfId="27680" xr:uid="{00000000-0005-0000-0000-00002CAE0000}"/>
    <cellStyle name="Normal 527 3 3" xfId="13848" xr:uid="{00000000-0005-0000-0000-00002DAE0000}"/>
    <cellStyle name="Normal 527 3 3 2" xfId="31488" xr:uid="{00000000-0005-0000-0000-00002EAE0000}"/>
    <cellStyle name="Normal 527 3 4" xfId="24815" xr:uid="{00000000-0005-0000-0000-00002FAE0000}"/>
    <cellStyle name="Normal 527 4" xfId="6622" xr:uid="{00000000-0005-0000-0000-000030AE0000}"/>
    <cellStyle name="Normal 527 4 2" xfId="9832" xr:uid="{00000000-0005-0000-0000-000031AE0000}"/>
    <cellStyle name="Normal 527 4 2 2" xfId="17626" xr:uid="{00000000-0005-0000-0000-000032AE0000}"/>
    <cellStyle name="Normal 527 4 2 2 2" xfId="35263" xr:uid="{00000000-0005-0000-0000-000033AE0000}"/>
    <cellStyle name="Normal 527 4 2 3" xfId="28216" xr:uid="{00000000-0005-0000-0000-000034AE0000}"/>
    <cellStyle name="Normal 527 4 3" xfId="14411" xr:uid="{00000000-0005-0000-0000-000035AE0000}"/>
    <cellStyle name="Normal 527 4 3 2" xfId="32046" xr:uid="{00000000-0005-0000-0000-000036AE0000}"/>
    <cellStyle name="Normal 527 4 4" xfId="25352" xr:uid="{00000000-0005-0000-0000-000037AE0000}"/>
    <cellStyle name="Normal 527 5" xfId="7398" xr:uid="{00000000-0005-0000-0000-000038AE0000}"/>
    <cellStyle name="Normal 527 5 2" xfId="10386" xr:uid="{00000000-0005-0000-0000-000039AE0000}"/>
    <cellStyle name="Normal 527 5 2 2" xfId="18179" xr:uid="{00000000-0005-0000-0000-00003AAE0000}"/>
    <cellStyle name="Normal 527 5 2 2 2" xfId="35816" xr:uid="{00000000-0005-0000-0000-00003BAE0000}"/>
    <cellStyle name="Normal 527 5 2 3" xfId="28753" xr:uid="{00000000-0005-0000-0000-00003CAE0000}"/>
    <cellStyle name="Normal 527 5 3" xfId="15186" xr:uid="{00000000-0005-0000-0000-00003DAE0000}"/>
    <cellStyle name="Normal 527 5 3 2" xfId="32821" xr:uid="{00000000-0005-0000-0000-00003EAE0000}"/>
    <cellStyle name="Normal 527 5 4" xfId="25890" xr:uid="{00000000-0005-0000-0000-00003FAE0000}"/>
    <cellStyle name="Normal 527 6" xfId="8053" xr:uid="{00000000-0005-0000-0000-000040AE0000}"/>
    <cellStyle name="Normal 527 6 2" xfId="15850" xr:uid="{00000000-0005-0000-0000-000041AE0000}"/>
    <cellStyle name="Normal 527 6 2 2" xfId="33485" xr:uid="{00000000-0005-0000-0000-000042AE0000}"/>
    <cellStyle name="Normal 527 6 3" xfId="26469" xr:uid="{00000000-0005-0000-0000-000043AE0000}"/>
    <cellStyle name="Normal 527 7" xfId="12014" xr:uid="{00000000-0005-0000-0000-000044AE0000}"/>
    <cellStyle name="Normal 527 7 2" xfId="29696" xr:uid="{00000000-0005-0000-0000-000045AE0000}"/>
    <cellStyle name="Normal 527 8" xfId="23604" xr:uid="{00000000-0005-0000-0000-000046AE0000}"/>
    <cellStyle name="Normal 527 9" xfId="52542" xr:uid="{00000000-0005-0000-0000-000047AE0000}"/>
    <cellStyle name="Normal 528" xfId="2913" xr:uid="{00000000-0005-0000-0000-000048AE0000}"/>
    <cellStyle name="Normal 528 2" xfId="4976" xr:uid="{00000000-0005-0000-0000-000049AE0000}"/>
    <cellStyle name="Normal 528 2 2" xfId="8736" xr:uid="{00000000-0005-0000-0000-00004AAE0000}"/>
    <cellStyle name="Normal 528 2 2 2" xfId="16532" xr:uid="{00000000-0005-0000-0000-00004BAE0000}"/>
    <cellStyle name="Normal 528 2 2 2 2" xfId="34167" xr:uid="{00000000-0005-0000-0000-00004CAE0000}"/>
    <cellStyle name="Normal 528 2 2 3" xfId="27137" xr:uid="{00000000-0005-0000-0000-00004DAE0000}"/>
    <cellStyle name="Normal 528 2 3" xfId="13037" xr:uid="{00000000-0005-0000-0000-00004EAE0000}"/>
    <cellStyle name="Normal 528 2 3 2" xfId="30686" xr:uid="{00000000-0005-0000-0000-00004FAE0000}"/>
    <cellStyle name="Normal 528 2 4" xfId="24272" xr:uid="{00000000-0005-0000-0000-000050AE0000}"/>
    <cellStyle name="Normal 528 3" xfId="5993" xr:uid="{00000000-0005-0000-0000-000051AE0000}"/>
    <cellStyle name="Normal 528 3 2" xfId="9293" xr:uid="{00000000-0005-0000-0000-000052AE0000}"/>
    <cellStyle name="Normal 528 3 2 2" xfId="17088" xr:uid="{00000000-0005-0000-0000-000053AE0000}"/>
    <cellStyle name="Normal 528 3 2 2 2" xfId="34724" xr:uid="{00000000-0005-0000-0000-000054AE0000}"/>
    <cellStyle name="Normal 528 3 2 3" xfId="27681" xr:uid="{00000000-0005-0000-0000-000055AE0000}"/>
    <cellStyle name="Normal 528 3 3" xfId="13849" xr:uid="{00000000-0005-0000-0000-000056AE0000}"/>
    <cellStyle name="Normal 528 3 3 2" xfId="31489" xr:uid="{00000000-0005-0000-0000-000057AE0000}"/>
    <cellStyle name="Normal 528 3 4" xfId="24816" xr:uid="{00000000-0005-0000-0000-000058AE0000}"/>
    <cellStyle name="Normal 528 4" xfId="6623" xr:uid="{00000000-0005-0000-0000-000059AE0000}"/>
    <cellStyle name="Normal 528 4 2" xfId="9833" xr:uid="{00000000-0005-0000-0000-00005AAE0000}"/>
    <cellStyle name="Normal 528 4 2 2" xfId="17627" xr:uid="{00000000-0005-0000-0000-00005BAE0000}"/>
    <cellStyle name="Normal 528 4 2 2 2" xfId="35264" xr:uid="{00000000-0005-0000-0000-00005CAE0000}"/>
    <cellStyle name="Normal 528 4 2 3" xfId="28217" xr:uid="{00000000-0005-0000-0000-00005DAE0000}"/>
    <cellStyle name="Normal 528 4 3" xfId="14412" xr:uid="{00000000-0005-0000-0000-00005EAE0000}"/>
    <cellStyle name="Normal 528 4 3 2" xfId="32047" xr:uid="{00000000-0005-0000-0000-00005FAE0000}"/>
    <cellStyle name="Normal 528 4 4" xfId="25353" xr:uid="{00000000-0005-0000-0000-000060AE0000}"/>
    <cellStyle name="Normal 528 5" xfId="7399" xr:uid="{00000000-0005-0000-0000-000061AE0000}"/>
    <cellStyle name="Normal 528 5 2" xfId="10387" xr:uid="{00000000-0005-0000-0000-000062AE0000}"/>
    <cellStyle name="Normal 528 5 2 2" xfId="18180" xr:uid="{00000000-0005-0000-0000-000063AE0000}"/>
    <cellStyle name="Normal 528 5 2 2 2" xfId="35817" xr:uid="{00000000-0005-0000-0000-000064AE0000}"/>
    <cellStyle name="Normal 528 5 2 3" xfId="28754" xr:uid="{00000000-0005-0000-0000-000065AE0000}"/>
    <cellStyle name="Normal 528 5 3" xfId="15187" xr:uid="{00000000-0005-0000-0000-000066AE0000}"/>
    <cellStyle name="Normal 528 5 3 2" xfId="32822" xr:uid="{00000000-0005-0000-0000-000067AE0000}"/>
    <cellStyle name="Normal 528 5 4" xfId="25891" xr:uid="{00000000-0005-0000-0000-000068AE0000}"/>
    <cellStyle name="Normal 528 6" xfId="8054" xr:uid="{00000000-0005-0000-0000-000069AE0000}"/>
    <cellStyle name="Normal 528 6 2" xfId="15851" xr:uid="{00000000-0005-0000-0000-00006AAE0000}"/>
    <cellStyle name="Normal 528 6 2 2" xfId="33486" xr:uid="{00000000-0005-0000-0000-00006BAE0000}"/>
    <cellStyle name="Normal 528 6 3" xfId="26470" xr:uid="{00000000-0005-0000-0000-00006CAE0000}"/>
    <cellStyle name="Normal 528 7" xfId="12015" xr:uid="{00000000-0005-0000-0000-00006DAE0000}"/>
    <cellStyle name="Normal 528 7 2" xfId="29697" xr:uid="{00000000-0005-0000-0000-00006EAE0000}"/>
    <cellStyle name="Normal 528 8" xfId="23605" xr:uid="{00000000-0005-0000-0000-00006FAE0000}"/>
    <cellStyle name="Normal 528 9" xfId="52543" xr:uid="{00000000-0005-0000-0000-000070AE0000}"/>
    <cellStyle name="Normal 529" xfId="2914" xr:uid="{00000000-0005-0000-0000-000071AE0000}"/>
    <cellStyle name="Normal 529 2" xfId="4978" xr:uid="{00000000-0005-0000-0000-000072AE0000}"/>
    <cellStyle name="Normal 529 2 2" xfId="8737" xr:uid="{00000000-0005-0000-0000-000073AE0000}"/>
    <cellStyle name="Normal 529 2 2 2" xfId="16533" xr:uid="{00000000-0005-0000-0000-000074AE0000}"/>
    <cellStyle name="Normal 529 2 2 2 2" xfId="34168" xr:uid="{00000000-0005-0000-0000-000075AE0000}"/>
    <cellStyle name="Normal 529 2 2 3" xfId="27138" xr:uid="{00000000-0005-0000-0000-000076AE0000}"/>
    <cellStyle name="Normal 529 2 3" xfId="13038" xr:uid="{00000000-0005-0000-0000-000077AE0000}"/>
    <cellStyle name="Normal 529 2 3 2" xfId="30687" xr:uid="{00000000-0005-0000-0000-000078AE0000}"/>
    <cellStyle name="Normal 529 2 4" xfId="24273" xr:uid="{00000000-0005-0000-0000-000079AE0000}"/>
    <cellStyle name="Normal 529 3" xfId="4977" xr:uid="{00000000-0005-0000-0000-00007AAE0000}"/>
    <cellStyle name="Normal 529 4" xfId="8055" xr:uid="{00000000-0005-0000-0000-00007BAE0000}"/>
    <cellStyle name="Normal 529 4 2" xfId="15852" xr:uid="{00000000-0005-0000-0000-00007CAE0000}"/>
    <cellStyle name="Normal 529 4 2 2" xfId="33487" xr:uid="{00000000-0005-0000-0000-00007DAE0000}"/>
    <cellStyle name="Normal 529 4 3" xfId="26471" xr:uid="{00000000-0005-0000-0000-00007EAE0000}"/>
    <cellStyle name="Normal 529 5" xfId="12016" xr:uid="{00000000-0005-0000-0000-00007FAE0000}"/>
    <cellStyle name="Normal 529 5 2" xfId="29698" xr:uid="{00000000-0005-0000-0000-000080AE0000}"/>
    <cellStyle name="Normal 529 6" xfId="23606" xr:uid="{00000000-0005-0000-0000-000081AE0000}"/>
    <cellStyle name="Normal 529 7" xfId="52544" xr:uid="{00000000-0005-0000-0000-000082AE0000}"/>
    <cellStyle name="Normal 53" xfId="2915" xr:uid="{00000000-0005-0000-0000-000083AE0000}"/>
    <cellStyle name="Normal 53 2" xfId="4979" xr:uid="{00000000-0005-0000-0000-000084AE0000}"/>
    <cellStyle name="Normal 53 3" xfId="52545" xr:uid="{00000000-0005-0000-0000-000085AE0000}"/>
    <cellStyle name="Normal 530" xfId="2916" xr:uid="{00000000-0005-0000-0000-000086AE0000}"/>
    <cellStyle name="Normal 530 2" xfId="4980" xr:uid="{00000000-0005-0000-0000-000087AE0000}"/>
    <cellStyle name="Normal 530 2 2" xfId="8738" xr:uid="{00000000-0005-0000-0000-000088AE0000}"/>
    <cellStyle name="Normal 530 2 2 2" xfId="16534" xr:uid="{00000000-0005-0000-0000-000089AE0000}"/>
    <cellStyle name="Normal 530 2 2 2 2" xfId="34169" xr:uid="{00000000-0005-0000-0000-00008AAE0000}"/>
    <cellStyle name="Normal 530 2 2 3" xfId="27139" xr:uid="{00000000-0005-0000-0000-00008BAE0000}"/>
    <cellStyle name="Normal 530 2 3" xfId="13039" xr:uid="{00000000-0005-0000-0000-00008CAE0000}"/>
    <cellStyle name="Normal 530 2 3 2" xfId="30688" xr:uid="{00000000-0005-0000-0000-00008DAE0000}"/>
    <cellStyle name="Normal 530 2 4" xfId="24274" xr:uid="{00000000-0005-0000-0000-00008EAE0000}"/>
    <cellStyle name="Normal 530 3" xfId="5994" xr:uid="{00000000-0005-0000-0000-00008FAE0000}"/>
    <cellStyle name="Normal 530 3 2" xfId="9294" xr:uid="{00000000-0005-0000-0000-000090AE0000}"/>
    <cellStyle name="Normal 530 3 2 2" xfId="17089" xr:uid="{00000000-0005-0000-0000-000091AE0000}"/>
    <cellStyle name="Normal 530 3 2 2 2" xfId="34725" xr:uid="{00000000-0005-0000-0000-000092AE0000}"/>
    <cellStyle name="Normal 530 3 2 3" xfId="27682" xr:uid="{00000000-0005-0000-0000-000093AE0000}"/>
    <cellStyle name="Normal 530 3 3" xfId="13850" xr:uid="{00000000-0005-0000-0000-000094AE0000}"/>
    <cellStyle name="Normal 530 3 3 2" xfId="31490" xr:uid="{00000000-0005-0000-0000-000095AE0000}"/>
    <cellStyle name="Normal 530 3 4" xfId="24817" xr:uid="{00000000-0005-0000-0000-000096AE0000}"/>
    <cellStyle name="Normal 530 4" xfId="6624" xr:uid="{00000000-0005-0000-0000-000097AE0000}"/>
    <cellStyle name="Normal 530 4 2" xfId="9834" xr:uid="{00000000-0005-0000-0000-000098AE0000}"/>
    <cellStyle name="Normal 530 4 2 2" xfId="17628" xr:uid="{00000000-0005-0000-0000-000099AE0000}"/>
    <cellStyle name="Normal 530 4 2 2 2" xfId="35265" xr:uid="{00000000-0005-0000-0000-00009AAE0000}"/>
    <cellStyle name="Normal 530 4 2 3" xfId="28218" xr:uid="{00000000-0005-0000-0000-00009BAE0000}"/>
    <cellStyle name="Normal 530 4 3" xfId="14413" xr:uid="{00000000-0005-0000-0000-00009CAE0000}"/>
    <cellStyle name="Normal 530 4 3 2" xfId="32048" xr:uid="{00000000-0005-0000-0000-00009DAE0000}"/>
    <cellStyle name="Normal 530 4 4" xfId="25354" xr:uid="{00000000-0005-0000-0000-00009EAE0000}"/>
    <cellStyle name="Normal 530 5" xfId="7400" xr:uid="{00000000-0005-0000-0000-00009FAE0000}"/>
    <cellStyle name="Normal 530 5 2" xfId="10388" xr:uid="{00000000-0005-0000-0000-0000A0AE0000}"/>
    <cellStyle name="Normal 530 5 2 2" xfId="18181" xr:uid="{00000000-0005-0000-0000-0000A1AE0000}"/>
    <cellStyle name="Normal 530 5 2 2 2" xfId="35818" xr:uid="{00000000-0005-0000-0000-0000A2AE0000}"/>
    <cellStyle name="Normal 530 5 2 3" xfId="28755" xr:uid="{00000000-0005-0000-0000-0000A3AE0000}"/>
    <cellStyle name="Normal 530 5 3" xfId="15188" xr:uid="{00000000-0005-0000-0000-0000A4AE0000}"/>
    <cellStyle name="Normal 530 5 3 2" xfId="32823" xr:uid="{00000000-0005-0000-0000-0000A5AE0000}"/>
    <cellStyle name="Normal 530 5 4" xfId="25892" xr:uid="{00000000-0005-0000-0000-0000A6AE0000}"/>
    <cellStyle name="Normal 530 6" xfId="8056" xr:uid="{00000000-0005-0000-0000-0000A7AE0000}"/>
    <cellStyle name="Normal 530 6 2" xfId="15853" xr:uid="{00000000-0005-0000-0000-0000A8AE0000}"/>
    <cellStyle name="Normal 530 6 2 2" xfId="33488" xr:uid="{00000000-0005-0000-0000-0000A9AE0000}"/>
    <cellStyle name="Normal 530 6 3" xfId="26472" xr:uid="{00000000-0005-0000-0000-0000AAAE0000}"/>
    <cellStyle name="Normal 530 7" xfId="12017" xr:uid="{00000000-0005-0000-0000-0000ABAE0000}"/>
    <cellStyle name="Normal 530 7 2" xfId="29699" xr:uid="{00000000-0005-0000-0000-0000ACAE0000}"/>
    <cellStyle name="Normal 530 8" xfId="23607" xr:uid="{00000000-0005-0000-0000-0000ADAE0000}"/>
    <cellStyle name="Normal 530 9" xfId="52546" xr:uid="{00000000-0005-0000-0000-0000AEAE0000}"/>
    <cellStyle name="Normal 531" xfId="2917" xr:uid="{00000000-0005-0000-0000-0000AFAE0000}"/>
    <cellStyle name="Normal 531 2" xfId="2918" xr:uid="{00000000-0005-0000-0000-0000B0AE0000}"/>
    <cellStyle name="Normal 531 2 2" xfId="4982" xr:uid="{00000000-0005-0000-0000-0000B1AE0000}"/>
    <cellStyle name="Normal 531 2 3" xfId="52548" xr:uid="{00000000-0005-0000-0000-0000B2AE0000}"/>
    <cellStyle name="Normal 531 3" xfId="4983" xr:uid="{00000000-0005-0000-0000-0000B3AE0000}"/>
    <cellStyle name="Normal 531 4" xfId="4981" xr:uid="{00000000-0005-0000-0000-0000B4AE0000}"/>
    <cellStyle name="Normal 531 4 2" xfId="8739" xr:uid="{00000000-0005-0000-0000-0000B5AE0000}"/>
    <cellStyle name="Normal 531 4 2 2" xfId="16535" xr:uid="{00000000-0005-0000-0000-0000B6AE0000}"/>
    <cellStyle name="Normal 531 4 2 2 2" xfId="34170" xr:uid="{00000000-0005-0000-0000-0000B7AE0000}"/>
    <cellStyle name="Normal 531 4 2 3" xfId="27140" xr:uid="{00000000-0005-0000-0000-0000B8AE0000}"/>
    <cellStyle name="Normal 531 4 3" xfId="13040" xr:uid="{00000000-0005-0000-0000-0000B9AE0000}"/>
    <cellStyle name="Normal 531 4 3 2" xfId="30689" xr:uid="{00000000-0005-0000-0000-0000BAAE0000}"/>
    <cellStyle name="Normal 531 4 4" xfId="24275" xr:uid="{00000000-0005-0000-0000-0000BBAE0000}"/>
    <cellStyle name="Normal 531 5" xfId="5995" xr:uid="{00000000-0005-0000-0000-0000BCAE0000}"/>
    <cellStyle name="Normal 531 5 2" xfId="9295" xr:uid="{00000000-0005-0000-0000-0000BDAE0000}"/>
    <cellStyle name="Normal 531 5 2 2" xfId="17090" xr:uid="{00000000-0005-0000-0000-0000BEAE0000}"/>
    <cellStyle name="Normal 531 5 2 2 2" xfId="34726" xr:uid="{00000000-0005-0000-0000-0000BFAE0000}"/>
    <cellStyle name="Normal 531 5 2 3" xfId="27683" xr:uid="{00000000-0005-0000-0000-0000C0AE0000}"/>
    <cellStyle name="Normal 531 5 3" xfId="13851" xr:uid="{00000000-0005-0000-0000-0000C1AE0000}"/>
    <cellStyle name="Normal 531 5 3 2" xfId="31491" xr:uid="{00000000-0005-0000-0000-0000C2AE0000}"/>
    <cellStyle name="Normal 531 5 4" xfId="24818" xr:uid="{00000000-0005-0000-0000-0000C3AE0000}"/>
    <cellStyle name="Normal 531 6" xfId="6625" xr:uid="{00000000-0005-0000-0000-0000C4AE0000}"/>
    <cellStyle name="Normal 531 6 2" xfId="9835" xr:uid="{00000000-0005-0000-0000-0000C5AE0000}"/>
    <cellStyle name="Normal 531 6 2 2" xfId="17629" xr:uid="{00000000-0005-0000-0000-0000C6AE0000}"/>
    <cellStyle name="Normal 531 6 2 2 2" xfId="35266" xr:uid="{00000000-0005-0000-0000-0000C7AE0000}"/>
    <cellStyle name="Normal 531 6 2 3" xfId="28219" xr:uid="{00000000-0005-0000-0000-0000C8AE0000}"/>
    <cellStyle name="Normal 531 6 3" xfId="14414" xr:uid="{00000000-0005-0000-0000-0000C9AE0000}"/>
    <cellStyle name="Normal 531 6 3 2" xfId="32049" xr:uid="{00000000-0005-0000-0000-0000CAAE0000}"/>
    <cellStyle name="Normal 531 6 4" xfId="25355" xr:uid="{00000000-0005-0000-0000-0000CBAE0000}"/>
    <cellStyle name="Normal 531 7" xfId="7401" xr:uid="{00000000-0005-0000-0000-0000CCAE0000}"/>
    <cellStyle name="Normal 531 7 2" xfId="10389" xr:uid="{00000000-0005-0000-0000-0000CDAE0000}"/>
    <cellStyle name="Normal 531 7 2 2" xfId="18182" xr:uid="{00000000-0005-0000-0000-0000CEAE0000}"/>
    <cellStyle name="Normal 531 7 2 2 2" xfId="35819" xr:uid="{00000000-0005-0000-0000-0000CFAE0000}"/>
    <cellStyle name="Normal 531 7 2 3" xfId="28756" xr:uid="{00000000-0005-0000-0000-0000D0AE0000}"/>
    <cellStyle name="Normal 531 7 3" xfId="15189" xr:uid="{00000000-0005-0000-0000-0000D1AE0000}"/>
    <cellStyle name="Normal 531 7 3 2" xfId="32824" xr:uid="{00000000-0005-0000-0000-0000D2AE0000}"/>
    <cellStyle name="Normal 531 7 4" xfId="25893" xr:uid="{00000000-0005-0000-0000-0000D3AE0000}"/>
    <cellStyle name="Normal 531 8" xfId="52547" xr:uid="{00000000-0005-0000-0000-0000D4AE0000}"/>
    <cellStyle name="Normal 532" xfId="2919" xr:uid="{00000000-0005-0000-0000-0000D5AE0000}"/>
    <cellStyle name="Normal 532 2" xfId="4984" xr:uid="{00000000-0005-0000-0000-0000D6AE0000}"/>
    <cellStyle name="Normal 532 2 2" xfId="8740" xr:uid="{00000000-0005-0000-0000-0000D7AE0000}"/>
    <cellStyle name="Normal 532 2 2 2" xfId="16536" xr:uid="{00000000-0005-0000-0000-0000D8AE0000}"/>
    <cellStyle name="Normal 532 2 2 2 2" xfId="34171" xr:uid="{00000000-0005-0000-0000-0000D9AE0000}"/>
    <cellStyle name="Normal 532 2 2 3" xfId="27141" xr:uid="{00000000-0005-0000-0000-0000DAAE0000}"/>
    <cellStyle name="Normal 532 2 3" xfId="13041" xr:uid="{00000000-0005-0000-0000-0000DBAE0000}"/>
    <cellStyle name="Normal 532 2 3 2" xfId="30690" xr:uid="{00000000-0005-0000-0000-0000DCAE0000}"/>
    <cellStyle name="Normal 532 2 4" xfId="24276" xr:uid="{00000000-0005-0000-0000-0000DDAE0000}"/>
    <cellStyle name="Normal 532 3" xfId="5996" xr:uid="{00000000-0005-0000-0000-0000DEAE0000}"/>
    <cellStyle name="Normal 532 3 2" xfId="9296" xr:uid="{00000000-0005-0000-0000-0000DFAE0000}"/>
    <cellStyle name="Normal 532 3 2 2" xfId="17091" xr:uid="{00000000-0005-0000-0000-0000E0AE0000}"/>
    <cellStyle name="Normal 532 3 2 2 2" xfId="34727" xr:uid="{00000000-0005-0000-0000-0000E1AE0000}"/>
    <cellStyle name="Normal 532 3 2 3" xfId="27684" xr:uid="{00000000-0005-0000-0000-0000E2AE0000}"/>
    <cellStyle name="Normal 532 3 3" xfId="13852" xr:uid="{00000000-0005-0000-0000-0000E3AE0000}"/>
    <cellStyle name="Normal 532 3 3 2" xfId="31492" xr:uid="{00000000-0005-0000-0000-0000E4AE0000}"/>
    <cellStyle name="Normal 532 3 4" xfId="24819" xr:uid="{00000000-0005-0000-0000-0000E5AE0000}"/>
    <cellStyle name="Normal 532 4" xfId="6626" xr:uid="{00000000-0005-0000-0000-0000E6AE0000}"/>
    <cellStyle name="Normal 532 4 2" xfId="9836" xr:uid="{00000000-0005-0000-0000-0000E7AE0000}"/>
    <cellStyle name="Normal 532 4 2 2" xfId="17630" xr:uid="{00000000-0005-0000-0000-0000E8AE0000}"/>
    <cellStyle name="Normal 532 4 2 2 2" xfId="35267" xr:uid="{00000000-0005-0000-0000-0000E9AE0000}"/>
    <cellStyle name="Normal 532 4 2 3" xfId="28220" xr:uid="{00000000-0005-0000-0000-0000EAAE0000}"/>
    <cellStyle name="Normal 532 4 3" xfId="14415" xr:uid="{00000000-0005-0000-0000-0000EBAE0000}"/>
    <cellStyle name="Normal 532 4 3 2" xfId="32050" xr:uid="{00000000-0005-0000-0000-0000ECAE0000}"/>
    <cellStyle name="Normal 532 4 4" xfId="25356" xr:uid="{00000000-0005-0000-0000-0000EDAE0000}"/>
    <cellStyle name="Normal 532 5" xfId="7402" xr:uid="{00000000-0005-0000-0000-0000EEAE0000}"/>
    <cellStyle name="Normal 532 5 2" xfId="10390" xr:uid="{00000000-0005-0000-0000-0000EFAE0000}"/>
    <cellStyle name="Normal 532 5 2 2" xfId="18183" xr:uid="{00000000-0005-0000-0000-0000F0AE0000}"/>
    <cellStyle name="Normal 532 5 2 2 2" xfId="35820" xr:uid="{00000000-0005-0000-0000-0000F1AE0000}"/>
    <cellStyle name="Normal 532 5 2 3" xfId="28757" xr:uid="{00000000-0005-0000-0000-0000F2AE0000}"/>
    <cellStyle name="Normal 532 5 3" xfId="15190" xr:uid="{00000000-0005-0000-0000-0000F3AE0000}"/>
    <cellStyle name="Normal 532 5 3 2" xfId="32825" xr:uid="{00000000-0005-0000-0000-0000F4AE0000}"/>
    <cellStyle name="Normal 532 5 4" xfId="25894" xr:uid="{00000000-0005-0000-0000-0000F5AE0000}"/>
    <cellStyle name="Normal 532 6" xfId="8057" xr:uid="{00000000-0005-0000-0000-0000F6AE0000}"/>
    <cellStyle name="Normal 532 6 2" xfId="15854" xr:uid="{00000000-0005-0000-0000-0000F7AE0000}"/>
    <cellStyle name="Normal 532 6 2 2" xfId="33489" xr:uid="{00000000-0005-0000-0000-0000F8AE0000}"/>
    <cellStyle name="Normal 532 6 3" xfId="26473" xr:uid="{00000000-0005-0000-0000-0000F9AE0000}"/>
    <cellStyle name="Normal 532 7" xfId="12019" xr:uid="{00000000-0005-0000-0000-0000FAAE0000}"/>
    <cellStyle name="Normal 532 7 2" xfId="29701" xr:uid="{00000000-0005-0000-0000-0000FBAE0000}"/>
    <cellStyle name="Normal 532 8" xfId="23608" xr:uid="{00000000-0005-0000-0000-0000FCAE0000}"/>
    <cellStyle name="Normal 532 9" xfId="52549" xr:uid="{00000000-0005-0000-0000-0000FDAE0000}"/>
    <cellStyle name="Normal 533" xfId="2920" xr:uid="{00000000-0005-0000-0000-0000FEAE0000}"/>
    <cellStyle name="Normal 533 2" xfId="4986" xr:uid="{00000000-0005-0000-0000-0000FFAE0000}"/>
    <cellStyle name="Normal 533 2 2" xfId="8741" xr:uid="{00000000-0005-0000-0000-000000AF0000}"/>
    <cellStyle name="Normal 533 2 2 2" xfId="16537" xr:uid="{00000000-0005-0000-0000-000001AF0000}"/>
    <cellStyle name="Normal 533 2 2 2 2" xfId="34172" xr:uid="{00000000-0005-0000-0000-000002AF0000}"/>
    <cellStyle name="Normal 533 2 2 3" xfId="27142" xr:uid="{00000000-0005-0000-0000-000003AF0000}"/>
    <cellStyle name="Normal 533 2 3" xfId="13042" xr:uid="{00000000-0005-0000-0000-000004AF0000}"/>
    <cellStyle name="Normal 533 2 3 2" xfId="30691" xr:uid="{00000000-0005-0000-0000-000005AF0000}"/>
    <cellStyle name="Normal 533 2 4" xfId="24277" xr:uid="{00000000-0005-0000-0000-000006AF0000}"/>
    <cellStyle name="Normal 533 3" xfId="4985" xr:uid="{00000000-0005-0000-0000-000007AF0000}"/>
    <cellStyle name="Normal 533 4" xfId="8058" xr:uid="{00000000-0005-0000-0000-000008AF0000}"/>
    <cellStyle name="Normal 533 4 2" xfId="15855" xr:uid="{00000000-0005-0000-0000-000009AF0000}"/>
    <cellStyle name="Normal 533 4 2 2" xfId="33490" xr:uid="{00000000-0005-0000-0000-00000AAF0000}"/>
    <cellStyle name="Normal 533 4 3" xfId="26474" xr:uid="{00000000-0005-0000-0000-00000BAF0000}"/>
    <cellStyle name="Normal 533 5" xfId="12020" xr:uid="{00000000-0005-0000-0000-00000CAF0000}"/>
    <cellStyle name="Normal 533 5 2" xfId="29702" xr:uid="{00000000-0005-0000-0000-00000DAF0000}"/>
    <cellStyle name="Normal 533 6" xfId="23609" xr:uid="{00000000-0005-0000-0000-00000EAF0000}"/>
    <cellStyle name="Normal 533 7" xfId="52550" xr:uid="{00000000-0005-0000-0000-00000FAF0000}"/>
    <cellStyle name="Normal 534" xfId="2921" xr:uid="{00000000-0005-0000-0000-000010AF0000}"/>
    <cellStyle name="Normal 534 2" xfId="4988" xr:uid="{00000000-0005-0000-0000-000011AF0000}"/>
    <cellStyle name="Normal 534 3" xfId="4989" xr:uid="{00000000-0005-0000-0000-000012AF0000}"/>
    <cellStyle name="Normal 534 4" xfId="4990" xr:uid="{00000000-0005-0000-0000-000013AF0000}"/>
    <cellStyle name="Normal 534 4 2" xfId="8742" xr:uid="{00000000-0005-0000-0000-000014AF0000}"/>
    <cellStyle name="Normal 534 4 2 2" xfId="16538" xr:uid="{00000000-0005-0000-0000-000015AF0000}"/>
    <cellStyle name="Normal 534 4 2 2 2" xfId="34173" xr:uid="{00000000-0005-0000-0000-000016AF0000}"/>
    <cellStyle name="Normal 534 4 2 3" xfId="27143" xr:uid="{00000000-0005-0000-0000-000017AF0000}"/>
    <cellStyle name="Normal 534 4 3" xfId="13043" xr:uid="{00000000-0005-0000-0000-000018AF0000}"/>
    <cellStyle name="Normal 534 4 3 2" xfId="30692" xr:uid="{00000000-0005-0000-0000-000019AF0000}"/>
    <cellStyle name="Normal 534 4 4" xfId="24278" xr:uid="{00000000-0005-0000-0000-00001AAF0000}"/>
    <cellStyle name="Normal 534 5" xfId="4987" xr:uid="{00000000-0005-0000-0000-00001BAF0000}"/>
    <cellStyle name="Normal 534 6" xfId="8059" xr:uid="{00000000-0005-0000-0000-00001CAF0000}"/>
    <cellStyle name="Normal 534 6 2" xfId="15856" xr:uid="{00000000-0005-0000-0000-00001DAF0000}"/>
    <cellStyle name="Normal 534 6 2 2" xfId="33491" xr:uid="{00000000-0005-0000-0000-00001EAF0000}"/>
    <cellStyle name="Normal 534 6 3" xfId="26475" xr:uid="{00000000-0005-0000-0000-00001FAF0000}"/>
    <cellStyle name="Normal 534 7" xfId="12021" xr:uid="{00000000-0005-0000-0000-000020AF0000}"/>
    <cellStyle name="Normal 534 7 2" xfId="29703" xr:uid="{00000000-0005-0000-0000-000021AF0000}"/>
    <cellStyle name="Normal 534 8" xfId="23610" xr:uid="{00000000-0005-0000-0000-000022AF0000}"/>
    <cellStyle name="Normal 534 9" xfId="52551" xr:uid="{00000000-0005-0000-0000-000023AF0000}"/>
    <cellStyle name="Normal 535" xfId="2922" xr:uid="{00000000-0005-0000-0000-000024AF0000}"/>
    <cellStyle name="Normal 535 2" xfId="4991" xr:uid="{00000000-0005-0000-0000-000025AF0000}"/>
    <cellStyle name="Normal 535 3" xfId="4992" xr:uid="{00000000-0005-0000-0000-000026AF0000}"/>
    <cellStyle name="Normal 535 4" xfId="52552" xr:uid="{00000000-0005-0000-0000-000027AF0000}"/>
    <cellStyle name="Normal 536" xfId="2923" xr:uid="{00000000-0005-0000-0000-000028AF0000}"/>
    <cellStyle name="Normal 536 2" xfId="4993" xr:uid="{00000000-0005-0000-0000-000029AF0000}"/>
    <cellStyle name="Normal 536 3" xfId="4994" xr:uid="{00000000-0005-0000-0000-00002AAF0000}"/>
    <cellStyle name="Normal 536 4" xfId="52553" xr:uid="{00000000-0005-0000-0000-00002BAF0000}"/>
    <cellStyle name="Normal 537" xfId="2924" xr:uid="{00000000-0005-0000-0000-00002CAF0000}"/>
    <cellStyle name="Normal 537 2" xfId="4995" xr:uid="{00000000-0005-0000-0000-00002DAF0000}"/>
    <cellStyle name="Normal 537 3" xfId="4996" xr:uid="{00000000-0005-0000-0000-00002EAF0000}"/>
    <cellStyle name="Normal 537 4" xfId="52554" xr:uid="{00000000-0005-0000-0000-00002FAF0000}"/>
    <cellStyle name="Normal 538" xfId="2925" xr:uid="{00000000-0005-0000-0000-000030AF0000}"/>
    <cellStyle name="Normal 538 2" xfId="4998" xr:uid="{00000000-0005-0000-0000-000031AF0000}"/>
    <cellStyle name="Normal 538 3" xfId="4999" xr:uid="{00000000-0005-0000-0000-000032AF0000}"/>
    <cellStyle name="Normal 538 4" xfId="4997" xr:uid="{00000000-0005-0000-0000-000033AF0000}"/>
    <cellStyle name="Normal 538 5" xfId="52555" xr:uid="{00000000-0005-0000-0000-000034AF0000}"/>
    <cellStyle name="Normal 539" xfId="2926" xr:uid="{00000000-0005-0000-0000-000035AF0000}"/>
    <cellStyle name="Normal 539 2" xfId="5001" xr:uid="{00000000-0005-0000-0000-000036AF0000}"/>
    <cellStyle name="Normal 539 3" xfId="5002" xr:uid="{00000000-0005-0000-0000-000037AF0000}"/>
    <cellStyle name="Normal 539 4" xfId="5000" xr:uid="{00000000-0005-0000-0000-000038AF0000}"/>
    <cellStyle name="Normal 539 5" xfId="52556" xr:uid="{00000000-0005-0000-0000-000039AF0000}"/>
    <cellStyle name="Normal 54" xfId="2927" xr:uid="{00000000-0005-0000-0000-00003AAF0000}"/>
    <cellStyle name="Normal 54 2" xfId="5003" xr:uid="{00000000-0005-0000-0000-00003BAF0000}"/>
    <cellStyle name="Normal 54 3" xfId="52557" xr:uid="{00000000-0005-0000-0000-00003CAF0000}"/>
    <cellStyle name="Normal 540" xfId="2928" xr:uid="{00000000-0005-0000-0000-00003DAF0000}"/>
    <cellStyle name="Normal 540 2" xfId="5004" xr:uid="{00000000-0005-0000-0000-00003EAF0000}"/>
    <cellStyle name="Normal 540 3" xfId="5005" xr:uid="{00000000-0005-0000-0000-00003FAF0000}"/>
    <cellStyle name="Normal 540 4" xfId="52558" xr:uid="{00000000-0005-0000-0000-000040AF0000}"/>
    <cellStyle name="Normal 541" xfId="2929" xr:uid="{00000000-0005-0000-0000-000041AF0000}"/>
    <cellStyle name="Normal 541 2" xfId="5007" xr:uid="{00000000-0005-0000-0000-000042AF0000}"/>
    <cellStyle name="Normal 541 3" xfId="5008" xr:uid="{00000000-0005-0000-0000-000043AF0000}"/>
    <cellStyle name="Normal 541 4" xfId="5006" xr:uid="{00000000-0005-0000-0000-000044AF0000}"/>
    <cellStyle name="Normal 541 5" xfId="52559" xr:uid="{00000000-0005-0000-0000-000045AF0000}"/>
    <cellStyle name="Normal 542" xfId="2930" xr:uid="{00000000-0005-0000-0000-000046AF0000}"/>
    <cellStyle name="Normal 542 2" xfId="5009" xr:uid="{00000000-0005-0000-0000-000047AF0000}"/>
    <cellStyle name="Normal 542 3" xfId="5010" xr:uid="{00000000-0005-0000-0000-000048AF0000}"/>
    <cellStyle name="Normal 542 4" xfId="52560" xr:uid="{00000000-0005-0000-0000-000049AF0000}"/>
    <cellStyle name="Normal 543" xfId="2931" xr:uid="{00000000-0005-0000-0000-00004AAF0000}"/>
    <cellStyle name="Normal 543 2" xfId="5011" xr:uid="{00000000-0005-0000-0000-00004BAF0000}"/>
    <cellStyle name="Normal 543 3" xfId="5012" xr:uid="{00000000-0005-0000-0000-00004CAF0000}"/>
    <cellStyle name="Normal 543 4" xfId="52561" xr:uid="{00000000-0005-0000-0000-00004DAF0000}"/>
    <cellStyle name="Normal 544" xfId="2932" xr:uid="{00000000-0005-0000-0000-00004EAF0000}"/>
    <cellStyle name="Normal 544 2" xfId="5014" xr:uid="{00000000-0005-0000-0000-00004FAF0000}"/>
    <cellStyle name="Normal 544 3" xfId="5015" xr:uid="{00000000-0005-0000-0000-000050AF0000}"/>
    <cellStyle name="Normal 544 4" xfId="5013" xr:uid="{00000000-0005-0000-0000-000051AF0000}"/>
    <cellStyle name="Normal 544 5" xfId="52562" xr:uid="{00000000-0005-0000-0000-000052AF0000}"/>
    <cellStyle name="Normal 545" xfId="2933" xr:uid="{00000000-0005-0000-0000-000053AF0000}"/>
    <cellStyle name="Normal 545 2" xfId="5016" xr:uid="{00000000-0005-0000-0000-000054AF0000}"/>
    <cellStyle name="Normal 545 3" xfId="5017" xr:uid="{00000000-0005-0000-0000-000055AF0000}"/>
    <cellStyle name="Normal 545 4" xfId="52563" xr:uid="{00000000-0005-0000-0000-000056AF0000}"/>
    <cellStyle name="Normal 546" xfId="2934" xr:uid="{00000000-0005-0000-0000-000057AF0000}"/>
    <cellStyle name="Normal 546 2" xfId="5019" xr:uid="{00000000-0005-0000-0000-000058AF0000}"/>
    <cellStyle name="Normal 546 3" xfId="5020" xr:uid="{00000000-0005-0000-0000-000059AF0000}"/>
    <cellStyle name="Normal 546 4" xfId="5018" xr:uid="{00000000-0005-0000-0000-00005AAF0000}"/>
    <cellStyle name="Normal 546 5" xfId="52564" xr:uid="{00000000-0005-0000-0000-00005BAF0000}"/>
    <cellStyle name="Normal 547" xfId="2935" xr:uid="{00000000-0005-0000-0000-00005CAF0000}"/>
    <cellStyle name="Normal 547 2" xfId="5021" xr:uid="{00000000-0005-0000-0000-00005DAF0000}"/>
    <cellStyle name="Normal 547 3" xfId="5022" xr:uid="{00000000-0005-0000-0000-00005EAF0000}"/>
    <cellStyle name="Normal 547 4" xfId="52565" xr:uid="{00000000-0005-0000-0000-00005FAF0000}"/>
    <cellStyle name="Normal 548" xfId="2936" xr:uid="{00000000-0005-0000-0000-000060AF0000}"/>
    <cellStyle name="Normal 548 2" xfId="5023" xr:uid="{00000000-0005-0000-0000-000061AF0000}"/>
    <cellStyle name="Normal 548 3" xfId="5024" xr:uid="{00000000-0005-0000-0000-000062AF0000}"/>
    <cellStyle name="Normal 548 4" xfId="52566" xr:uid="{00000000-0005-0000-0000-000063AF0000}"/>
    <cellStyle name="Normal 549" xfId="2937" xr:uid="{00000000-0005-0000-0000-000064AF0000}"/>
    <cellStyle name="Normal 549 2" xfId="5026" xr:uid="{00000000-0005-0000-0000-000065AF0000}"/>
    <cellStyle name="Normal 549 3" xfId="5027" xr:uid="{00000000-0005-0000-0000-000066AF0000}"/>
    <cellStyle name="Normal 549 4" xfId="5025" xr:uid="{00000000-0005-0000-0000-000067AF0000}"/>
    <cellStyle name="Normal 549 5" xfId="52567" xr:uid="{00000000-0005-0000-0000-000068AF0000}"/>
    <cellStyle name="Normal 55" xfId="2938" xr:uid="{00000000-0005-0000-0000-000069AF0000}"/>
    <cellStyle name="Normal 55 2" xfId="5028" xr:uid="{00000000-0005-0000-0000-00006AAF0000}"/>
    <cellStyle name="Normal 55 3" xfId="52568" xr:uid="{00000000-0005-0000-0000-00006BAF0000}"/>
    <cellStyle name="Normal 550" xfId="2939" xr:uid="{00000000-0005-0000-0000-00006CAF0000}"/>
    <cellStyle name="Normal 550 2" xfId="5029" xr:uid="{00000000-0005-0000-0000-00006DAF0000}"/>
    <cellStyle name="Normal 550 3" xfId="5030" xr:uid="{00000000-0005-0000-0000-00006EAF0000}"/>
    <cellStyle name="Normal 551" xfId="2940" xr:uid="{00000000-0005-0000-0000-00006FAF0000}"/>
    <cellStyle name="Normal 551 2" xfId="5031" xr:uid="{00000000-0005-0000-0000-000070AF0000}"/>
    <cellStyle name="Normal 551 3" xfId="5032" xr:uid="{00000000-0005-0000-0000-000071AF0000}"/>
    <cellStyle name="Normal 552" xfId="2941" xr:uid="{00000000-0005-0000-0000-000072AF0000}"/>
    <cellStyle name="Normal 552 2" xfId="5033" xr:uid="{00000000-0005-0000-0000-000073AF0000}"/>
    <cellStyle name="Normal 552 3" xfId="5034" xr:uid="{00000000-0005-0000-0000-000074AF0000}"/>
    <cellStyle name="Normal 553" xfId="2942" xr:uid="{00000000-0005-0000-0000-000075AF0000}"/>
    <cellStyle name="Normal 553 2" xfId="5035" xr:uid="{00000000-0005-0000-0000-000076AF0000}"/>
    <cellStyle name="Normal 553 3" xfId="5036" xr:uid="{00000000-0005-0000-0000-000077AF0000}"/>
    <cellStyle name="Normal 554" xfId="2943" xr:uid="{00000000-0005-0000-0000-000078AF0000}"/>
    <cellStyle name="Normal 554 2" xfId="5037" xr:uid="{00000000-0005-0000-0000-000079AF0000}"/>
    <cellStyle name="Normal 554 3" xfId="5038" xr:uid="{00000000-0005-0000-0000-00007AAF0000}"/>
    <cellStyle name="Normal 555" xfId="2944" xr:uid="{00000000-0005-0000-0000-00007BAF0000}"/>
    <cellStyle name="Normal 555 2" xfId="5039" xr:uid="{00000000-0005-0000-0000-00007CAF0000}"/>
    <cellStyle name="Normal 555 3" xfId="5040" xr:uid="{00000000-0005-0000-0000-00007DAF0000}"/>
    <cellStyle name="Normal 556" xfId="2945" xr:uid="{00000000-0005-0000-0000-00007EAF0000}"/>
    <cellStyle name="Normal 556 2" xfId="5041" xr:uid="{00000000-0005-0000-0000-00007FAF0000}"/>
    <cellStyle name="Normal 556 3" xfId="5042" xr:uid="{00000000-0005-0000-0000-000080AF0000}"/>
    <cellStyle name="Normal 557" xfId="2946" xr:uid="{00000000-0005-0000-0000-000081AF0000}"/>
    <cellStyle name="Normal 557 2" xfId="5043" xr:uid="{00000000-0005-0000-0000-000082AF0000}"/>
    <cellStyle name="Normal 557 3" xfId="5044" xr:uid="{00000000-0005-0000-0000-000083AF0000}"/>
    <cellStyle name="Normal 558" xfId="2947" xr:uid="{00000000-0005-0000-0000-000084AF0000}"/>
    <cellStyle name="Normal 558 2" xfId="5045" xr:uid="{00000000-0005-0000-0000-000085AF0000}"/>
    <cellStyle name="Normal 558 3" xfId="5046" xr:uid="{00000000-0005-0000-0000-000086AF0000}"/>
    <cellStyle name="Normal 559" xfId="2948" xr:uid="{00000000-0005-0000-0000-000087AF0000}"/>
    <cellStyle name="Normal 559 2" xfId="5047" xr:uid="{00000000-0005-0000-0000-000088AF0000}"/>
    <cellStyle name="Normal 559 3" xfId="5048" xr:uid="{00000000-0005-0000-0000-000089AF0000}"/>
    <cellStyle name="Normal 559 4" xfId="52569" xr:uid="{00000000-0005-0000-0000-00008AAF0000}"/>
    <cellStyle name="Normal 56" xfId="2949" xr:uid="{00000000-0005-0000-0000-00008BAF0000}"/>
    <cellStyle name="Normal 56 2" xfId="5049" xr:uid="{00000000-0005-0000-0000-00008CAF0000}"/>
    <cellStyle name="Normal 56 3" xfId="52570" xr:uid="{00000000-0005-0000-0000-00008DAF0000}"/>
    <cellStyle name="Normal 560" xfId="2950" xr:uid="{00000000-0005-0000-0000-00008EAF0000}"/>
    <cellStyle name="Normal 560 2" xfId="5051" xr:uid="{00000000-0005-0000-0000-00008FAF0000}"/>
    <cellStyle name="Normal 560 3" xfId="5052" xr:uid="{00000000-0005-0000-0000-000090AF0000}"/>
    <cellStyle name="Normal 560 4" xfId="5050" xr:uid="{00000000-0005-0000-0000-000091AF0000}"/>
    <cellStyle name="Normal 561" xfId="5053" xr:uid="{00000000-0005-0000-0000-000092AF0000}"/>
    <cellStyle name="Normal 561 2" xfId="5054" xr:uid="{00000000-0005-0000-0000-000093AF0000}"/>
    <cellStyle name="Normal 561 3" xfId="5055" xr:uid="{00000000-0005-0000-0000-000094AF0000}"/>
    <cellStyle name="Normal 562" xfId="5056" xr:uid="{00000000-0005-0000-0000-000095AF0000}"/>
    <cellStyle name="Normal 562 2" xfId="5057" xr:uid="{00000000-0005-0000-0000-000096AF0000}"/>
    <cellStyle name="Normal 562 3" xfId="5058" xr:uid="{00000000-0005-0000-0000-000097AF0000}"/>
    <cellStyle name="Normal 563" xfId="5059" xr:uid="{00000000-0005-0000-0000-000098AF0000}"/>
    <cellStyle name="Normal 563 2" xfId="5060" xr:uid="{00000000-0005-0000-0000-000099AF0000}"/>
    <cellStyle name="Normal 563 3" xfId="5061" xr:uid="{00000000-0005-0000-0000-00009AAF0000}"/>
    <cellStyle name="Normal 564" xfId="5062" xr:uid="{00000000-0005-0000-0000-00009BAF0000}"/>
    <cellStyle name="Normal 564 2" xfId="5063" xr:uid="{00000000-0005-0000-0000-00009CAF0000}"/>
    <cellStyle name="Normal 564 3" xfId="5064" xr:uid="{00000000-0005-0000-0000-00009DAF0000}"/>
    <cellStyle name="Normal 565" xfId="5065" xr:uid="{00000000-0005-0000-0000-00009EAF0000}"/>
    <cellStyle name="Normal 565 2" xfId="5066" xr:uid="{00000000-0005-0000-0000-00009FAF0000}"/>
    <cellStyle name="Normal 565 3" xfId="5067" xr:uid="{00000000-0005-0000-0000-0000A0AF0000}"/>
    <cellStyle name="Normal 566" xfId="5068" xr:uid="{00000000-0005-0000-0000-0000A1AF0000}"/>
    <cellStyle name="Normal 566 2" xfId="5069" xr:uid="{00000000-0005-0000-0000-0000A2AF0000}"/>
    <cellStyle name="Normal 566 3" xfId="5070" xr:uid="{00000000-0005-0000-0000-0000A3AF0000}"/>
    <cellStyle name="Normal 567" xfId="5071" xr:uid="{00000000-0005-0000-0000-0000A4AF0000}"/>
    <cellStyle name="Normal 567 2" xfId="5072" xr:uid="{00000000-0005-0000-0000-0000A5AF0000}"/>
    <cellStyle name="Normal 567 3" xfId="5073" xr:uid="{00000000-0005-0000-0000-0000A6AF0000}"/>
    <cellStyle name="Normal 568" xfId="2951" xr:uid="{00000000-0005-0000-0000-0000A7AF0000}"/>
    <cellStyle name="Normal 568 2" xfId="2952" xr:uid="{00000000-0005-0000-0000-0000A8AF0000}"/>
    <cellStyle name="Normal 568 2 2" xfId="5075" xr:uid="{00000000-0005-0000-0000-0000A9AF0000}"/>
    <cellStyle name="Normal 568 2 3" xfId="52572" xr:uid="{00000000-0005-0000-0000-0000AAAF0000}"/>
    <cellStyle name="Normal 568 3" xfId="5076" xr:uid="{00000000-0005-0000-0000-0000ABAF0000}"/>
    <cellStyle name="Normal 568 4" xfId="5074" xr:uid="{00000000-0005-0000-0000-0000ACAF0000}"/>
    <cellStyle name="Normal 568 5" xfId="52571" xr:uid="{00000000-0005-0000-0000-0000ADAF0000}"/>
    <cellStyle name="Normal 569" xfId="5077" xr:uid="{00000000-0005-0000-0000-0000AEAF0000}"/>
    <cellStyle name="Normal 569 2" xfId="5078" xr:uid="{00000000-0005-0000-0000-0000AFAF0000}"/>
    <cellStyle name="Normal 569 3" xfId="5079" xr:uid="{00000000-0005-0000-0000-0000B0AF0000}"/>
    <cellStyle name="Normal 57" xfId="2953" xr:uid="{00000000-0005-0000-0000-0000B1AF0000}"/>
    <cellStyle name="Normal 57 2" xfId="5080" xr:uid="{00000000-0005-0000-0000-0000B2AF0000}"/>
    <cellStyle name="Normal 57 3" xfId="52573" xr:uid="{00000000-0005-0000-0000-0000B3AF0000}"/>
    <cellStyle name="Normal 570" xfId="5081" xr:uid="{00000000-0005-0000-0000-0000B4AF0000}"/>
    <cellStyle name="Normal 570 2" xfId="5082" xr:uid="{00000000-0005-0000-0000-0000B5AF0000}"/>
    <cellStyle name="Normal 570 3" xfId="5083" xr:uid="{00000000-0005-0000-0000-0000B6AF0000}"/>
    <cellStyle name="Normal 571" xfId="5084" xr:uid="{00000000-0005-0000-0000-0000B7AF0000}"/>
    <cellStyle name="Normal 571 2" xfId="5085" xr:uid="{00000000-0005-0000-0000-0000B8AF0000}"/>
    <cellStyle name="Normal 571 3" xfId="5086" xr:uid="{00000000-0005-0000-0000-0000B9AF0000}"/>
    <cellStyle name="Normal 572" xfId="5087" xr:uid="{00000000-0005-0000-0000-0000BAAF0000}"/>
    <cellStyle name="Normal 572 2" xfId="5088" xr:uid="{00000000-0005-0000-0000-0000BBAF0000}"/>
    <cellStyle name="Normal 572 3" xfId="5089" xr:uid="{00000000-0005-0000-0000-0000BCAF0000}"/>
    <cellStyle name="Normal 573" xfId="5090" xr:uid="{00000000-0005-0000-0000-0000BDAF0000}"/>
    <cellStyle name="Normal 573 2" xfId="5091" xr:uid="{00000000-0005-0000-0000-0000BEAF0000}"/>
    <cellStyle name="Normal 573 3" xfId="5092" xr:uid="{00000000-0005-0000-0000-0000BFAF0000}"/>
    <cellStyle name="Normal 574" xfId="5093" xr:uid="{00000000-0005-0000-0000-0000C0AF0000}"/>
    <cellStyle name="Normal 574 2" xfId="5094" xr:uid="{00000000-0005-0000-0000-0000C1AF0000}"/>
    <cellStyle name="Normal 574 3" xfId="5095" xr:uid="{00000000-0005-0000-0000-0000C2AF0000}"/>
    <cellStyle name="Normal 575" xfId="5096" xr:uid="{00000000-0005-0000-0000-0000C3AF0000}"/>
    <cellStyle name="Normal 575 2" xfId="5097" xr:uid="{00000000-0005-0000-0000-0000C4AF0000}"/>
    <cellStyle name="Normal 575 3" xfId="5098" xr:uid="{00000000-0005-0000-0000-0000C5AF0000}"/>
    <cellStyle name="Normal 576" xfId="5099" xr:uid="{00000000-0005-0000-0000-0000C6AF0000}"/>
    <cellStyle name="Normal 576 2" xfId="5100" xr:uid="{00000000-0005-0000-0000-0000C7AF0000}"/>
    <cellStyle name="Normal 576 3" xfId="5101" xr:uid="{00000000-0005-0000-0000-0000C8AF0000}"/>
    <cellStyle name="Normal 577" xfId="5102" xr:uid="{00000000-0005-0000-0000-0000C9AF0000}"/>
    <cellStyle name="Normal 577 2" xfId="5103" xr:uid="{00000000-0005-0000-0000-0000CAAF0000}"/>
    <cellStyle name="Normal 577 3" xfId="5104" xr:uid="{00000000-0005-0000-0000-0000CBAF0000}"/>
    <cellStyle name="Normal 578" xfId="5105" xr:uid="{00000000-0005-0000-0000-0000CCAF0000}"/>
    <cellStyle name="Normal 578 2" xfId="5106" xr:uid="{00000000-0005-0000-0000-0000CDAF0000}"/>
    <cellStyle name="Normal 578 3" xfId="5107" xr:uid="{00000000-0005-0000-0000-0000CEAF0000}"/>
    <cellStyle name="Normal 579" xfId="5108" xr:uid="{00000000-0005-0000-0000-0000CFAF0000}"/>
    <cellStyle name="Normal 579 2" xfId="5109" xr:uid="{00000000-0005-0000-0000-0000D0AF0000}"/>
    <cellStyle name="Normal 579 3" xfId="5110" xr:uid="{00000000-0005-0000-0000-0000D1AF0000}"/>
    <cellStyle name="Normal 58" xfId="2954" xr:uid="{00000000-0005-0000-0000-0000D2AF0000}"/>
    <cellStyle name="Normal 58 2" xfId="5111" xr:uid="{00000000-0005-0000-0000-0000D3AF0000}"/>
    <cellStyle name="Normal 58 3" xfId="52574" xr:uid="{00000000-0005-0000-0000-0000D4AF0000}"/>
    <cellStyle name="Normal 580" xfId="5112" xr:uid="{00000000-0005-0000-0000-0000D5AF0000}"/>
    <cellStyle name="Normal 580 2" xfId="5113" xr:uid="{00000000-0005-0000-0000-0000D6AF0000}"/>
    <cellStyle name="Normal 580 3" xfId="5114" xr:uid="{00000000-0005-0000-0000-0000D7AF0000}"/>
    <cellStyle name="Normal 581" xfId="5115" xr:uid="{00000000-0005-0000-0000-0000D8AF0000}"/>
    <cellStyle name="Normal 581 2" xfId="5116" xr:uid="{00000000-0005-0000-0000-0000D9AF0000}"/>
    <cellStyle name="Normal 581 3" xfId="5117" xr:uid="{00000000-0005-0000-0000-0000DAAF0000}"/>
    <cellStyle name="Normal 582" xfId="5118" xr:uid="{00000000-0005-0000-0000-0000DBAF0000}"/>
    <cellStyle name="Normal 582 2" xfId="5119" xr:uid="{00000000-0005-0000-0000-0000DCAF0000}"/>
    <cellStyle name="Normal 582 3" xfId="5120" xr:uid="{00000000-0005-0000-0000-0000DDAF0000}"/>
    <cellStyle name="Normal 583" xfId="5121" xr:uid="{00000000-0005-0000-0000-0000DEAF0000}"/>
    <cellStyle name="Normal 583 2" xfId="5122" xr:uid="{00000000-0005-0000-0000-0000DFAF0000}"/>
    <cellStyle name="Normal 583 3" xfId="5123" xr:uid="{00000000-0005-0000-0000-0000E0AF0000}"/>
    <cellStyle name="Normal 584" xfId="5124" xr:uid="{00000000-0005-0000-0000-0000E1AF0000}"/>
    <cellStyle name="Normal 584 2" xfId="5125" xr:uid="{00000000-0005-0000-0000-0000E2AF0000}"/>
    <cellStyle name="Normal 584 3" xfId="5126" xr:uid="{00000000-0005-0000-0000-0000E3AF0000}"/>
    <cellStyle name="Normal 585" xfId="5127" xr:uid="{00000000-0005-0000-0000-0000E4AF0000}"/>
    <cellStyle name="Normal 585 2" xfId="5128" xr:uid="{00000000-0005-0000-0000-0000E5AF0000}"/>
    <cellStyle name="Normal 585 3" xfId="5129" xr:uid="{00000000-0005-0000-0000-0000E6AF0000}"/>
    <cellStyle name="Normal 586" xfId="5130" xr:uid="{00000000-0005-0000-0000-0000E7AF0000}"/>
    <cellStyle name="Normal 586 2" xfId="5131" xr:uid="{00000000-0005-0000-0000-0000E8AF0000}"/>
    <cellStyle name="Normal 586 3" xfId="5132" xr:uid="{00000000-0005-0000-0000-0000E9AF0000}"/>
    <cellStyle name="Normal 587" xfId="5133" xr:uid="{00000000-0005-0000-0000-0000EAAF0000}"/>
    <cellStyle name="Normal 588" xfId="5134" xr:uid="{00000000-0005-0000-0000-0000EBAF0000}"/>
    <cellStyle name="Normal 589" xfId="5135" xr:uid="{00000000-0005-0000-0000-0000ECAF0000}"/>
    <cellStyle name="Normal 59" xfId="2955" xr:uid="{00000000-0005-0000-0000-0000EDAF0000}"/>
    <cellStyle name="Normal 59 2" xfId="5136" xr:uid="{00000000-0005-0000-0000-0000EEAF0000}"/>
    <cellStyle name="Normal 59 3" xfId="52575" xr:uid="{00000000-0005-0000-0000-0000EFAF0000}"/>
    <cellStyle name="Normal 590" xfId="5137" xr:uid="{00000000-0005-0000-0000-0000F0AF0000}"/>
    <cellStyle name="Normal 591" xfId="5138" xr:uid="{00000000-0005-0000-0000-0000F1AF0000}"/>
    <cellStyle name="Normal 592" xfId="5139" xr:uid="{00000000-0005-0000-0000-0000F2AF0000}"/>
    <cellStyle name="Normal 593" xfId="5140" xr:uid="{00000000-0005-0000-0000-0000F3AF0000}"/>
    <cellStyle name="Normal 594" xfId="5141" xr:uid="{00000000-0005-0000-0000-0000F4AF0000}"/>
    <cellStyle name="Normal 595" xfId="5142" xr:uid="{00000000-0005-0000-0000-0000F5AF0000}"/>
    <cellStyle name="Normal 596" xfId="5143" xr:uid="{00000000-0005-0000-0000-0000F6AF0000}"/>
    <cellStyle name="Normal 597" xfId="5144" xr:uid="{00000000-0005-0000-0000-0000F7AF0000}"/>
    <cellStyle name="Normal 598" xfId="5145" xr:uid="{00000000-0005-0000-0000-0000F8AF0000}"/>
    <cellStyle name="Normal 599" xfId="5146" xr:uid="{00000000-0005-0000-0000-0000F9AF0000}"/>
    <cellStyle name="Normal 6" xfId="129" xr:uid="{00000000-0005-0000-0000-0000FAAF0000}"/>
    <cellStyle name="Normal 6 10" xfId="2957" xr:uid="{00000000-0005-0000-0000-0000FBAF0000}"/>
    <cellStyle name="Normal 6 10 2" xfId="2958" xr:uid="{00000000-0005-0000-0000-0000FCAF0000}"/>
    <cellStyle name="Normal 6 10 2 2" xfId="5148" xr:uid="{00000000-0005-0000-0000-0000FDAF0000}"/>
    <cellStyle name="Normal 6 10 2 3" xfId="52577" xr:uid="{00000000-0005-0000-0000-0000FEAF0000}"/>
    <cellStyle name="Normal 6 10 3" xfId="2959" xr:uid="{00000000-0005-0000-0000-0000FFAF0000}"/>
    <cellStyle name="Normal 6 10 3 2" xfId="2960" xr:uid="{00000000-0005-0000-0000-000000B00000}"/>
    <cellStyle name="Normal 6 10 3 2 2" xfId="5150" xr:uid="{00000000-0005-0000-0000-000001B00000}"/>
    <cellStyle name="Normal 6 10 3 2 3" xfId="52579" xr:uid="{00000000-0005-0000-0000-000002B00000}"/>
    <cellStyle name="Normal 6 10 3 3" xfId="5149" xr:uid="{00000000-0005-0000-0000-000003B00000}"/>
    <cellStyle name="Normal 6 10 3 4" xfId="52578" xr:uid="{00000000-0005-0000-0000-000004B00000}"/>
    <cellStyle name="Normal 6 10 4" xfId="5151" xr:uid="{00000000-0005-0000-0000-000005B00000}"/>
    <cellStyle name="Normal 6 10 5" xfId="5147" xr:uid="{00000000-0005-0000-0000-000006B00000}"/>
    <cellStyle name="Normal 6 10 6" xfId="52576" xr:uid="{00000000-0005-0000-0000-000007B00000}"/>
    <cellStyle name="Normal 6 11" xfId="2961" xr:uid="{00000000-0005-0000-0000-000008B00000}"/>
    <cellStyle name="Normal 6 11 2" xfId="5152" xr:uid="{00000000-0005-0000-0000-000009B00000}"/>
    <cellStyle name="Normal 6 11 3" xfId="52580" xr:uid="{00000000-0005-0000-0000-00000AB00000}"/>
    <cellStyle name="Normal 6 12" xfId="2962" xr:uid="{00000000-0005-0000-0000-00000BB00000}"/>
    <cellStyle name="Normal 6 12 2" xfId="2963" xr:uid="{00000000-0005-0000-0000-00000CB00000}"/>
    <cellStyle name="Normal 6 12 2 2" xfId="5154" xr:uid="{00000000-0005-0000-0000-00000DB00000}"/>
    <cellStyle name="Normal 6 12 2 3" xfId="52582" xr:uid="{00000000-0005-0000-0000-00000EB00000}"/>
    <cellStyle name="Normal 6 12 3" xfId="5153" xr:uid="{00000000-0005-0000-0000-00000FB00000}"/>
    <cellStyle name="Normal 6 12 4" xfId="52581" xr:uid="{00000000-0005-0000-0000-000010B00000}"/>
    <cellStyle name="Normal 6 13" xfId="2964" xr:uid="{00000000-0005-0000-0000-000011B00000}"/>
    <cellStyle name="Normal 6 13 2" xfId="2965" xr:uid="{00000000-0005-0000-0000-000012B00000}"/>
    <cellStyle name="Normal 6 13 2 2" xfId="5156" xr:uid="{00000000-0005-0000-0000-000013B00000}"/>
    <cellStyle name="Normal 6 13 2 3" xfId="5155" xr:uid="{00000000-0005-0000-0000-000014B00000}"/>
    <cellStyle name="Normal 6 13 3" xfId="2966" xr:uid="{00000000-0005-0000-0000-000015B00000}"/>
    <cellStyle name="Normal 6 13 3 2" xfId="2967" xr:uid="{00000000-0005-0000-0000-000016B00000}"/>
    <cellStyle name="Normal 6 13 3 2 2" xfId="5158" xr:uid="{00000000-0005-0000-0000-000017B00000}"/>
    <cellStyle name="Normal 6 13 3 2 3" xfId="52585" xr:uid="{00000000-0005-0000-0000-000018B00000}"/>
    <cellStyle name="Normal 6 13 3 3" xfId="5157" xr:uid="{00000000-0005-0000-0000-000019B00000}"/>
    <cellStyle name="Normal 6 13 3 4" xfId="52584" xr:uid="{00000000-0005-0000-0000-00001AB00000}"/>
    <cellStyle name="Normal 6 13 4" xfId="2968" xr:uid="{00000000-0005-0000-0000-00001BB00000}"/>
    <cellStyle name="Normal 6 13 4 2" xfId="5160" xr:uid="{00000000-0005-0000-0000-00001CB00000}"/>
    <cellStyle name="Normal 6 13 4 3" xfId="5159" xr:uid="{00000000-0005-0000-0000-00001DB00000}"/>
    <cellStyle name="Normal 6 13 4 4" xfId="52586" xr:uid="{00000000-0005-0000-0000-00001EB00000}"/>
    <cellStyle name="Normal 6 13 5" xfId="2969" xr:uid="{00000000-0005-0000-0000-00001FB00000}"/>
    <cellStyle name="Normal 6 13 6" xfId="52583" xr:uid="{00000000-0005-0000-0000-000020B00000}"/>
    <cellStyle name="Normal 6 14" xfId="2970" xr:uid="{00000000-0005-0000-0000-000021B00000}"/>
    <cellStyle name="Normal 6 14 2" xfId="5161" xr:uid="{00000000-0005-0000-0000-000022B00000}"/>
    <cellStyle name="Normal 6 14 3" xfId="52587" xr:uid="{00000000-0005-0000-0000-000023B00000}"/>
    <cellStyle name="Normal 6 15" xfId="2971" xr:uid="{00000000-0005-0000-0000-000024B00000}"/>
    <cellStyle name="Normal 6 15 2" xfId="5162" xr:uid="{00000000-0005-0000-0000-000025B00000}"/>
    <cellStyle name="Normal 6 15 3" xfId="52588" xr:uid="{00000000-0005-0000-0000-000026B00000}"/>
    <cellStyle name="Normal 6 16" xfId="2972" xr:uid="{00000000-0005-0000-0000-000027B00000}"/>
    <cellStyle name="Normal 6 16 2" xfId="2973" xr:uid="{00000000-0005-0000-0000-000028B00000}"/>
    <cellStyle name="Normal 6 16 2 2" xfId="5164" xr:uid="{00000000-0005-0000-0000-000029B00000}"/>
    <cellStyle name="Normal 6 16 2 3" xfId="52590" xr:uid="{00000000-0005-0000-0000-00002AB00000}"/>
    <cellStyle name="Normal 6 16 3" xfId="5165" xr:uid="{00000000-0005-0000-0000-00002BB00000}"/>
    <cellStyle name="Normal 6 16 4" xfId="5163" xr:uid="{00000000-0005-0000-0000-00002CB00000}"/>
    <cellStyle name="Normal 6 16 5" xfId="52589" xr:uid="{00000000-0005-0000-0000-00002DB00000}"/>
    <cellStyle name="Normal 6 17" xfId="5166" xr:uid="{00000000-0005-0000-0000-00002EB00000}"/>
    <cellStyle name="Normal 6 18" xfId="21956" xr:uid="{00000000-0005-0000-0000-00002FB00000}"/>
    <cellStyle name="Normal 6 18 2" xfId="38709" xr:uid="{00000000-0005-0000-0000-000030B00000}"/>
    <cellStyle name="Normal 6 19" xfId="2956" xr:uid="{00000000-0005-0000-0000-000031B00000}"/>
    <cellStyle name="Normal 6 2" xfId="130" xr:uid="{00000000-0005-0000-0000-000032B00000}"/>
    <cellStyle name="Normal 6 2 2" xfId="2975" xr:uid="{00000000-0005-0000-0000-000033B00000}"/>
    <cellStyle name="Normal 6 2 2 2" xfId="23006" xr:uid="{00000000-0005-0000-0000-000034B00000}"/>
    <cellStyle name="Normal 6 2 2 3" xfId="22707" xr:uid="{00000000-0005-0000-0000-000035B00000}"/>
    <cellStyle name="Normal 6 2 3" xfId="2976" xr:uid="{00000000-0005-0000-0000-000036B00000}"/>
    <cellStyle name="Normal 6 2 3 2" xfId="5167" xr:uid="{00000000-0005-0000-0000-000037B00000}"/>
    <cellStyle name="Normal 6 2 3 3" xfId="52591" xr:uid="{00000000-0005-0000-0000-000038B00000}"/>
    <cellStyle name="Normal 6 2 4" xfId="2974" xr:uid="{00000000-0005-0000-0000-000039B00000}"/>
    <cellStyle name="Normal 6 2_Sheet1" xfId="2977" xr:uid="{00000000-0005-0000-0000-00003AB00000}"/>
    <cellStyle name="Normal 6 3" xfId="2978" xr:uid="{00000000-0005-0000-0000-00003BB00000}"/>
    <cellStyle name="Normal 6 4" xfId="2979" xr:uid="{00000000-0005-0000-0000-00003CB00000}"/>
    <cellStyle name="Normal 6 4 2" xfId="2980" xr:uid="{00000000-0005-0000-0000-00003DB00000}"/>
    <cellStyle name="Normal 6 4 2 2" xfId="5169" xr:uid="{00000000-0005-0000-0000-00003EB00000}"/>
    <cellStyle name="Normal 6 4 2 3" xfId="52593" xr:uid="{00000000-0005-0000-0000-00003FB00000}"/>
    <cellStyle name="Normal 6 4 3" xfId="5168" xr:uid="{00000000-0005-0000-0000-000040B00000}"/>
    <cellStyle name="Normal 6 4 4" xfId="52592" xr:uid="{00000000-0005-0000-0000-000041B00000}"/>
    <cellStyle name="Normal 6 5" xfId="2981" xr:uid="{00000000-0005-0000-0000-000042B00000}"/>
    <cellStyle name="Normal 6 5 2" xfId="2982" xr:uid="{00000000-0005-0000-0000-000043B00000}"/>
    <cellStyle name="Normal 6 5 3" xfId="2983" xr:uid="{00000000-0005-0000-0000-000044B00000}"/>
    <cellStyle name="Normal 6 5 3 2" xfId="5171" xr:uid="{00000000-0005-0000-0000-000045B00000}"/>
    <cellStyle name="Normal 6 5 3 3" xfId="52595" xr:uid="{00000000-0005-0000-0000-000046B00000}"/>
    <cellStyle name="Normal 6 5 4" xfId="2984" xr:uid="{00000000-0005-0000-0000-000047B00000}"/>
    <cellStyle name="Normal 6 5 4 2" xfId="2985" xr:uid="{00000000-0005-0000-0000-000048B00000}"/>
    <cellStyle name="Normal 6 5 4 2 2" xfId="5173" xr:uid="{00000000-0005-0000-0000-000049B00000}"/>
    <cellStyle name="Normal 6 5 4 2 3" xfId="52597" xr:uid="{00000000-0005-0000-0000-00004AB00000}"/>
    <cellStyle name="Normal 6 5 4 3" xfId="5172" xr:uid="{00000000-0005-0000-0000-00004BB00000}"/>
    <cellStyle name="Normal 6 5 4 4" xfId="52596" xr:uid="{00000000-0005-0000-0000-00004CB00000}"/>
    <cellStyle name="Normal 6 5 5" xfId="5174" xr:uid="{00000000-0005-0000-0000-00004DB00000}"/>
    <cellStyle name="Normal 6 5 6" xfId="5170" xr:uid="{00000000-0005-0000-0000-00004EB00000}"/>
    <cellStyle name="Normal 6 5 7" xfId="52594" xr:uid="{00000000-0005-0000-0000-00004FB00000}"/>
    <cellStyle name="Normal 6 6" xfId="2986" xr:uid="{00000000-0005-0000-0000-000050B00000}"/>
    <cellStyle name="Normal 6 6 2" xfId="2987" xr:uid="{00000000-0005-0000-0000-000051B00000}"/>
    <cellStyle name="Normal 6 6 2 2" xfId="5176" xr:uid="{00000000-0005-0000-0000-000052B00000}"/>
    <cellStyle name="Normal 6 6 2 3" xfId="52599" xr:uid="{00000000-0005-0000-0000-000053B00000}"/>
    <cellStyle name="Normal 6 6 3" xfId="2988" xr:uid="{00000000-0005-0000-0000-000054B00000}"/>
    <cellStyle name="Normal 6 6 3 2" xfId="2989" xr:uid="{00000000-0005-0000-0000-000055B00000}"/>
    <cellStyle name="Normal 6 6 3 2 2" xfId="5178" xr:uid="{00000000-0005-0000-0000-000056B00000}"/>
    <cellStyle name="Normal 6 6 3 2 3" xfId="52601" xr:uid="{00000000-0005-0000-0000-000057B00000}"/>
    <cellStyle name="Normal 6 6 3 3" xfId="5177" xr:uid="{00000000-0005-0000-0000-000058B00000}"/>
    <cellStyle name="Normal 6 6 3 4" xfId="52600" xr:uid="{00000000-0005-0000-0000-000059B00000}"/>
    <cellStyle name="Normal 6 6 4" xfId="5179" xr:uid="{00000000-0005-0000-0000-00005AB00000}"/>
    <cellStyle name="Normal 6 6 5" xfId="5175" xr:uid="{00000000-0005-0000-0000-00005BB00000}"/>
    <cellStyle name="Normal 6 6 6" xfId="52598" xr:uid="{00000000-0005-0000-0000-00005CB00000}"/>
    <cellStyle name="Normal 6 7" xfId="2990" xr:uid="{00000000-0005-0000-0000-00005DB00000}"/>
    <cellStyle name="Normal 6 7 2" xfId="2991" xr:uid="{00000000-0005-0000-0000-00005EB00000}"/>
    <cellStyle name="Normal 6 7 2 2" xfId="5181" xr:uid="{00000000-0005-0000-0000-00005FB00000}"/>
    <cellStyle name="Normal 6 7 2 3" xfId="52603" xr:uid="{00000000-0005-0000-0000-000060B00000}"/>
    <cellStyle name="Normal 6 7 3" xfId="2992" xr:uid="{00000000-0005-0000-0000-000061B00000}"/>
    <cellStyle name="Normal 6 7 3 2" xfId="2993" xr:uid="{00000000-0005-0000-0000-000062B00000}"/>
    <cellStyle name="Normal 6 7 3 2 2" xfId="5183" xr:uid="{00000000-0005-0000-0000-000063B00000}"/>
    <cellStyle name="Normal 6 7 3 2 3" xfId="52605" xr:uid="{00000000-0005-0000-0000-000064B00000}"/>
    <cellStyle name="Normal 6 7 3 3" xfId="5182" xr:uid="{00000000-0005-0000-0000-000065B00000}"/>
    <cellStyle name="Normal 6 7 3 4" xfId="52604" xr:uid="{00000000-0005-0000-0000-000066B00000}"/>
    <cellStyle name="Normal 6 7 4" xfId="5184" xr:uid="{00000000-0005-0000-0000-000067B00000}"/>
    <cellStyle name="Normal 6 7 5" xfId="5180" xr:uid="{00000000-0005-0000-0000-000068B00000}"/>
    <cellStyle name="Normal 6 7 6" xfId="52602" xr:uid="{00000000-0005-0000-0000-000069B00000}"/>
    <cellStyle name="Normal 6 8" xfId="2994" xr:uid="{00000000-0005-0000-0000-00006AB00000}"/>
    <cellStyle name="Normal 6 8 2" xfId="2995" xr:uid="{00000000-0005-0000-0000-00006BB00000}"/>
    <cellStyle name="Normal 6 8 2 2" xfId="5186" xr:uid="{00000000-0005-0000-0000-00006CB00000}"/>
    <cellStyle name="Normal 6 8 2 3" xfId="52607" xr:uid="{00000000-0005-0000-0000-00006DB00000}"/>
    <cellStyle name="Normal 6 8 3" xfId="2996" xr:uid="{00000000-0005-0000-0000-00006EB00000}"/>
    <cellStyle name="Normal 6 8 3 2" xfId="2997" xr:uid="{00000000-0005-0000-0000-00006FB00000}"/>
    <cellStyle name="Normal 6 8 3 2 2" xfId="5188" xr:uid="{00000000-0005-0000-0000-000070B00000}"/>
    <cellStyle name="Normal 6 8 3 2 3" xfId="52609" xr:uid="{00000000-0005-0000-0000-000071B00000}"/>
    <cellStyle name="Normal 6 8 3 3" xfId="5187" xr:uid="{00000000-0005-0000-0000-000072B00000}"/>
    <cellStyle name="Normal 6 8 3 4" xfId="52608" xr:uid="{00000000-0005-0000-0000-000073B00000}"/>
    <cellStyle name="Normal 6 8 4" xfId="5189" xr:uid="{00000000-0005-0000-0000-000074B00000}"/>
    <cellStyle name="Normal 6 8 5" xfId="5185" xr:uid="{00000000-0005-0000-0000-000075B00000}"/>
    <cellStyle name="Normal 6 8 6" xfId="52606" xr:uid="{00000000-0005-0000-0000-000076B00000}"/>
    <cellStyle name="Normal 6 9" xfId="2998" xr:uid="{00000000-0005-0000-0000-000077B00000}"/>
    <cellStyle name="Normal 6 9 2" xfId="5190" xr:uid="{00000000-0005-0000-0000-000078B00000}"/>
    <cellStyle name="Normal 6 9 3" xfId="52610" xr:uid="{00000000-0005-0000-0000-000079B00000}"/>
    <cellStyle name="Normal 6_Sheet1" xfId="2999" xr:uid="{00000000-0005-0000-0000-00007AB00000}"/>
    <cellStyle name="Normal 60" xfId="3000" xr:uid="{00000000-0005-0000-0000-00007BB00000}"/>
    <cellStyle name="Normal 60 2" xfId="5191" xr:uid="{00000000-0005-0000-0000-00007CB00000}"/>
    <cellStyle name="Normal 60 3" xfId="52611" xr:uid="{00000000-0005-0000-0000-00007DB00000}"/>
    <cellStyle name="Normal 600" xfId="5192" xr:uid="{00000000-0005-0000-0000-00007EB00000}"/>
    <cellStyle name="Normal 601" xfId="5193" xr:uid="{00000000-0005-0000-0000-00007FB00000}"/>
    <cellStyle name="Normal 602" xfId="5194" xr:uid="{00000000-0005-0000-0000-000080B00000}"/>
    <cellStyle name="Normal 603" xfId="5195" xr:uid="{00000000-0005-0000-0000-000081B00000}"/>
    <cellStyle name="Normal 604" xfId="5196" xr:uid="{00000000-0005-0000-0000-000082B00000}"/>
    <cellStyle name="Normal 605" xfId="5197" xr:uid="{00000000-0005-0000-0000-000083B00000}"/>
    <cellStyle name="Normal 606" xfId="5198" xr:uid="{00000000-0005-0000-0000-000084B00000}"/>
    <cellStyle name="Normal 607" xfId="5199" xr:uid="{00000000-0005-0000-0000-000085B00000}"/>
    <cellStyle name="Normal 608" xfId="5200" xr:uid="{00000000-0005-0000-0000-000086B00000}"/>
    <cellStyle name="Normal 609" xfId="5201" xr:uid="{00000000-0005-0000-0000-000087B00000}"/>
    <cellStyle name="Normal 61" xfId="3001" xr:uid="{00000000-0005-0000-0000-000088B00000}"/>
    <cellStyle name="Normal 61 2" xfId="5202" xr:uid="{00000000-0005-0000-0000-000089B00000}"/>
    <cellStyle name="Normal 61 3" xfId="52612" xr:uid="{00000000-0005-0000-0000-00008AB00000}"/>
    <cellStyle name="Normal 610" xfId="5203" xr:uid="{00000000-0005-0000-0000-00008BB00000}"/>
    <cellStyle name="Normal 611" xfId="5204" xr:uid="{00000000-0005-0000-0000-00008CB00000}"/>
    <cellStyle name="Normal 611 2" xfId="5997" xr:uid="{00000000-0005-0000-0000-00008DB00000}"/>
    <cellStyle name="Normal 611 2 2" xfId="9297" xr:uid="{00000000-0005-0000-0000-00008EB00000}"/>
    <cellStyle name="Normal 611 2 2 2" xfId="17092" xr:uid="{00000000-0005-0000-0000-00008FB00000}"/>
    <cellStyle name="Normal 611 2 2 2 2" xfId="34728" xr:uid="{00000000-0005-0000-0000-000090B00000}"/>
    <cellStyle name="Normal 611 2 2 3" xfId="27685" xr:uid="{00000000-0005-0000-0000-000091B00000}"/>
    <cellStyle name="Normal 611 2 3" xfId="13853" xr:uid="{00000000-0005-0000-0000-000092B00000}"/>
    <cellStyle name="Normal 611 2 3 2" xfId="31493" xr:uid="{00000000-0005-0000-0000-000093B00000}"/>
    <cellStyle name="Normal 611 2 4" xfId="24820" xr:uid="{00000000-0005-0000-0000-000094B00000}"/>
    <cellStyle name="Normal 611 3" xfId="6627" xr:uid="{00000000-0005-0000-0000-000095B00000}"/>
    <cellStyle name="Normal 611 3 2" xfId="9837" xr:uid="{00000000-0005-0000-0000-000096B00000}"/>
    <cellStyle name="Normal 611 3 2 2" xfId="17631" xr:uid="{00000000-0005-0000-0000-000097B00000}"/>
    <cellStyle name="Normal 611 3 2 2 2" xfId="35268" xr:uid="{00000000-0005-0000-0000-000098B00000}"/>
    <cellStyle name="Normal 611 3 2 3" xfId="28221" xr:uid="{00000000-0005-0000-0000-000099B00000}"/>
    <cellStyle name="Normal 611 3 3" xfId="14416" xr:uid="{00000000-0005-0000-0000-00009AB00000}"/>
    <cellStyle name="Normal 611 3 3 2" xfId="32051" xr:uid="{00000000-0005-0000-0000-00009BB00000}"/>
    <cellStyle name="Normal 611 3 4" xfId="25357" xr:uid="{00000000-0005-0000-0000-00009CB00000}"/>
    <cellStyle name="Normal 611 4" xfId="7403" xr:uid="{00000000-0005-0000-0000-00009DB00000}"/>
    <cellStyle name="Normal 611 4 2" xfId="10391" xr:uid="{00000000-0005-0000-0000-00009EB00000}"/>
    <cellStyle name="Normal 611 4 2 2" xfId="18184" xr:uid="{00000000-0005-0000-0000-00009FB00000}"/>
    <cellStyle name="Normal 611 4 2 2 2" xfId="35821" xr:uid="{00000000-0005-0000-0000-0000A0B00000}"/>
    <cellStyle name="Normal 611 4 2 3" xfId="28758" xr:uid="{00000000-0005-0000-0000-0000A1B00000}"/>
    <cellStyle name="Normal 611 4 3" xfId="15191" xr:uid="{00000000-0005-0000-0000-0000A2B00000}"/>
    <cellStyle name="Normal 611 4 3 2" xfId="32826" xr:uid="{00000000-0005-0000-0000-0000A3B00000}"/>
    <cellStyle name="Normal 611 4 4" xfId="25895" xr:uid="{00000000-0005-0000-0000-0000A4B00000}"/>
    <cellStyle name="Normal 611 5" xfId="8743" xr:uid="{00000000-0005-0000-0000-0000A5B00000}"/>
    <cellStyle name="Normal 611 5 2" xfId="16539" xr:uid="{00000000-0005-0000-0000-0000A6B00000}"/>
    <cellStyle name="Normal 611 5 2 2" xfId="34174" xr:uid="{00000000-0005-0000-0000-0000A7B00000}"/>
    <cellStyle name="Normal 611 5 3" xfId="27144" xr:uid="{00000000-0005-0000-0000-0000A8B00000}"/>
    <cellStyle name="Normal 611 6" xfId="13203" xr:uid="{00000000-0005-0000-0000-0000A9B00000}"/>
    <cellStyle name="Normal 611 6 2" xfId="30848" xr:uid="{00000000-0005-0000-0000-0000AAB00000}"/>
    <cellStyle name="Normal 611 7" xfId="24279" xr:uid="{00000000-0005-0000-0000-0000ABB00000}"/>
    <cellStyle name="Normal 612" xfId="5205" xr:uid="{00000000-0005-0000-0000-0000ACB00000}"/>
    <cellStyle name="Normal 612 2" xfId="5998" xr:uid="{00000000-0005-0000-0000-0000ADB00000}"/>
    <cellStyle name="Normal 612 2 2" xfId="9298" xr:uid="{00000000-0005-0000-0000-0000AEB00000}"/>
    <cellStyle name="Normal 612 2 2 2" xfId="17093" xr:uid="{00000000-0005-0000-0000-0000AFB00000}"/>
    <cellStyle name="Normal 612 2 2 2 2" xfId="34729" xr:uid="{00000000-0005-0000-0000-0000B0B00000}"/>
    <cellStyle name="Normal 612 2 2 3" xfId="27686" xr:uid="{00000000-0005-0000-0000-0000B1B00000}"/>
    <cellStyle name="Normal 612 2 3" xfId="13854" xr:uid="{00000000-0005-0000-0000-0000B2B00000}"/>
    <cellStyle name="Normal 612 2 3 2" xfId="31494" xr:uid="{00000000-0005-0000-0000-0000B3B00000}"/>
    <cellStyle name="Normal 612 2 4" xfId="24821" xr:uid="{00000000-0005-0000-0000-0000B4B00000}"/>
    <cellStyle name="Normal 612 3" xfId="6628" xr:uid="{00000000-0005-0000-0000-0000B5B00000}"/>
    <cellStyle name="Normal 612 3 2" xfId="9838" xr:uid="{00000000-0005-0000-0000-0000B6B00000}"/>
    <cellStyle name="Normal 612 3 2 2" xfId="17632" xr:uid="{00000000-0005-0000-0000-0000B7B00000}"/>
    <cellStyle name="Normal 612 3 2 2 2" xfId="35269" xr:uid="{00000000-0005-0000-0000-0000B8B00000}"/>
    <cellStyle name="Normal 612 3 2 3" xfId="28222" xr:uid="{00000000-0005-0000-0000-0000B9B00000}"/>
    <cellStyle name="Normal 612 3 3" xfId="14417" xr:uid="{00000000-0005-0000-0000-0000BAB00000}"/>
    <cellStyle name="Normal 612 3 3 2" xfId="32052" xr:uid="{00000000-0005-0000-0000-0000BBB00000}"/>
    <cellStyle name="Normal 612 3 4" xfId="25358" xr:uid="{00000000-0005-0000-0000-0000BCB00000}"/>
    <cellStyle name="Normal 612 4" xfId="7404" xr:uid="{00000000-0005-0000-0000-0000BDB00000}"/>
    <cellStyle name="Normal 612 4 2" xfId="10392" xr:uid="{00000000-0005-0000-0000-0000BEB00000}"/>
    <cellStyle name="Normal 612 4 2 2" xfId="18185" xr:uid="{00000000-0005-0000-0000-0000BFB00000}"/>
    <cellStyle name="Normal 612 4 2 2 2" xfId="35822" xr:uid="{00000000-0005-0000-0000-0000C0B00000}"/>
    <cellStyle name="Normal 612 4 2 3" xfId="28759" xr:uid="{00000000-0005-0000-0000-0000C1B00000}"/>
    <cellStyle name="Normal 612 4 3" xfId="15192" xr:uid="{00000000-0005-0000-0000-0000C2B00000}"/>
    <cellStyle name="Normal 612 4 3 2" xfId="32827" xr:uid="{00000000-0005-0000-0000-0000C3B00000}"/>
    <cellStyle name="Normal 612 4 4" xfId="25896" xr:uid="{00000000-0005-0000-0000-0000C4B00000}"/>
    <cellStyle name="Normal 612 5" xfId="8744" xr:uid="{00000000-0005-0000-0000-0000C5B00000}"/>
    <cellStyle name="Normal 612 5 2" xfId="16540" xr:uid="{00000000-0005-0000-0000-0000C6B00000}"/>
    <cellStyle name="Normal 612 5 2 2" xfId="34175" xr:uid="{00000000-0005-0000-0000-0000C7B00000}"/>
    <cellStyle name="Normal 612 5 3" xfId="27145" xr:uid="{00000000-0005-0000-0000-0000C8B00000}"/>
    <cellStyle name="Normal 612 6" xfId="13204" xr:uid="{00000000-0005-0000-0000-0000C9B00000}"/>
    <cellStyle name="Normal 612 6 2" xfId="30849" xr:uid="{00000000-0005-0000-0000-0000CAB00000}"/>
    <cellStyle name="Normal 612 7" xfId="24280" xr:uid="{00000000-0005-0000-0000-0000CBB00000}"/>
    <cellStyle name="Normal 613" xfId="5206" xr:uid="{00000000-0005-0000-0000-0000CCB00000}"/>
    <cellStyle name="Normal 613 2" xfId="5999" xr:uid="{00000000-0005-0000-0000-0000CDB00000}"/>
    <cellStyle name="Normal 613 2 2" xfId="9299" xr:uid="{00000000-0005-0000-0000-0000CEB00000}"/>
    <cellStyle name="Normal 613 2 2 2" xfId="17094" xr:uid="{00000000-0005-0000-0000-0000CFB00000}"/>
    <cellStyle name="Normal 613 2 2 2 2" xfId="34730" xr:uid="{00000000-0005-0000-0000-0000D0B00000}"/>
    <cellStyle name="Normal 613 2 2 3" xfId="27687" xr:uid="{00000000-0005-0000-0000-0000D1B00000}"/>
    <cellStyle name="Normal 613 2 3" xfId="13855" xr:uid="{00000000-0005-0000-0000-0000D2B00000}"/>
    <cellStyle name="Normal 613 2 3 2" xfId="31495" xr:uid="{00000000-0005-0000-0000-0000D3B00000}"/>
    <cellStyle name="Normal 613 2 4" xfId="24822" xr:uid="{00000000-0005-0000-0000-0000D4B00000}"/>
    <cellStyle name="Normal 613 3" xfId="6629" xr:uid="{00000000-0005-0000-0000-0000D5B00000}"/>
    <cellStyle name="Normal 613 3 2" xfId="9839" xr:uid="{00000000-0005-0000-0000-0000D6B00000}"/>
    <cellStyle name="Normal 613 3 2 2" xfId="17633" xr:uid="{00000000-0005-0000-0000-0000D7B00000}"/>
    <cellStyle name="Normal 613 3 2 2 2" xfId="35270" xr:uid="{00000000-0005-0000-0000-0000D8B00000}"/>
    <cellStyle name="Normal 613 3 2 3" xfId="28223" xr:uid="{00000000-0005-0000-0000-0000D9B00000}"/>
    <cellStyle name="Normal 613 3 3" xfId="14418" xr:uid="{00000000-0005-0000-0000-0000DAB00000}"/>
    <cellStyle name="Normal 613 3 3 2" xfId="32053" xr:uid="{00000000-0005-0000-0000-0000DBB00000}"/>
    <cellStyle name="Normal 613 3 4" xfId="25359" xr:uid="{00000000-0005-0000-0000-0000DCB00000}"/>
    <cellStyle name="Normal 613 4" xfId="7405" xr:uid="{00000000-0005-0000-0000-0000DDB00000}"/>
    <cellStyle name="Normal 613 4 2" xfId="10393" xr:uid="{00000000-0005-0000-0000-0000DEB00000}"/>
    <cellStyle name="Normal 613 4 2 2" xfId="18186" xr:uid="{00000000-0005-0000-0000-0000DFB00000}"/>
    <cellStyle name="Normal 613 4 2 2 2" xfId="35823" xr:uid="{00000000-0005-0000-0000-0000E0B00000}"/>
    <cellStyle name="Normal 613 4 2 3" xfId="28760" xr:uid="{00000000-0005-0000-0000-0000E1B00000}"/>
    <cellStyle name="Normal 613 4 3" xfId="15193" xr:uid="{00000000-0005-0000-0000-0000E2B00000}"/>
    <cellStyle name="Normal 613 4 3 2" xfId="32828" xr:uid="{00000000-0005-0000-0000-0000E3B00000}"/>
    <cellStyle name="Normal 613 4 4" xfId="25897" xr:uid="{00000000-0005-0000-0000-0000E4B00000}"/>
    <cellStyle name="Normal 613 5" xfId="8745" xr:uid="{00000000-0005-0000-0000-0000E5B00000}"/>
    <cellStyle name="Normal 613 5 2" xfId="16541" xr:uid="{00000000-0005-0000-0000-0000E6B00000}"/>
    <cellStyle name="Normal 613 5 2 2" xfId="34176" xr:uid="{00000000-0005-0000-0000-0000E7B00000}"/>
    <cellStyle name="Normal 613 5 3" xfId="27146" xr:uid="{00000000-0005-0000-0000-0000E8B00000}"/>
    <cellStyle name="Normal 613 6" xfId="13205" xr:uid="{00000000-0005-0000-0000-0000E9B00000}"/>
    <cellStyle name="Normal 613 6 2" xfId="30850" xr:uid="{00000000-0005-0000-0000-0000EAB00000}"/>
    <cellStyle name="Normal 613 7" xfId="24281" xr:uid="{00000000-0005-0000-0000-0000EBB00000}"/>
    <cellStyle name="Normal 614" xfId="5207" xr:uid="{00000000-0005-0000-0000-0000ECB00000}"/>
    <cellStyle name="Normal 614 2" xfId="6000" xr:uid="{00000000-0005-0000-0000-0000EDB00000}"/>
    <cellStyle name="Normal 614 2 2" xfId="9300" xr:uid="{00000000-0005-0000-0000-0000EEB00000}"/>
    <cellStyle name="Normal 614 2 2 2" xfId="17095" xr:uid="{00000000-0005-0000-0000-0000EFB00000}"/>
    <cellStyle name="Normal 614 2 2 2 2" xfId="34731" xr:uid="{00000000-0005-0000-0000-0000F0B00000}"/>
    <cellStyle name="Normal 614 2 2 3" xfId="27688" xr:uid="{00000000-0005-0000-0000-0000F1B00000}"/>
    <cellStyle name="Normal 614 2 3" xfId="13856" xr:uid="{00000000-0005-0000-0000-0000F2B00000}"/>
    <cellStyle name="Normal 614 2 3 2" xfId="31496" xr:uid="{00000000-0005-0000-0000-0000F3B00000}"/>
    <cellStyle name="Normal 614 2 4" xfId="24823" xr:uid="{00000000-0005-0000-0000-0000F4B00000}"/>
    <cellStyle name="Normal 614 3" xfId="6630" xr:uid="{00000000-0005-0000-0000-0000F5B00000}"/>
    <cellStyle name="Normal 614 3 2" xfId="9840" xr:uid="{00000000-0005-0000-0000-0000F6B00000}"/>
    <cellStyle name="Normal 614 3 2 2" xfId="17634" xr:uid="{00000000-0005-0000-0000-0000F7B00000}"/>
    <cellStyle name="Normal 614 3 2 2 2" xfId="35271" xr:uid="{00000000-0005-0000-0000-0000F8B00000}"/>
    <cellStyle name="Normal 614 3 2 3" xfId="28224" xr:uid="{00000000-0005-0000-0000-0000F9B00000}"/>
    <cellStyle name="Normal 614 3 3" xfId="14419" xr:uid="{00000000-0005-0000-0000-0000FAB00000}"/>
    <cellStyle name="Normal 614 3 3 2" xfId="32054" xr:uid="{00000000-0005-0000-0000-0000FBB00000}"/>
    <cellStyle name="Normal 614 3 4" xfId="25360" xr:uid="{00000000-0005-0000-0000-0000FCB00000}"/>
    <cellStyle name="Normal 614 4" xfId="7406" xr:uid="{00000000-0005-0000-0000-0000FDB00000}"/>
    <cellStyle name="Normal 614 4 2" xfId="10394" xr:uid="{00000000-0005-0000-0000-0000FEB00000}"/>
    <cellStyle name="Normal 614 4 2 2" xfId="18187" xr:uid="{00000000-0005-0000-0000-0000FFB00000}"/>
    <cellStyle name="Normal 614 4 2 2 2" xfId="35824" xr:uid="{00000000-0005-0000-0000-000000B10000}"/>
    <cellStyle name="Normal 614 4 2 3" xfId="28761" xr:uid="{00000000-0005-0000-0000-000001B10000}"/>
    <cellStyle name="Normal 614 4 3" xfId="15194" xr:uid="{00000000-0005-0000-0000-000002B10000}"/>
    <cellStyle name="Normal 614 4 3 2" xfId="32829" xr:uid="{00000000-0005-0000-0000-000003B10000}"/>
    <cellStyle name="Normal 614 4 4" xfId="25898" xr:uid="{00000000-0005-0000-0000-000004B10000}"/>
    <cellStyle name="Normal 614 5" xfId="8746" xr:uid="{00000000-0005-0000-0000-000005B10000}"/>
    <cellStyle name="Normal 614 5 2" xfId="16542" xr:uid="{00000000-0005-0000-0000-000006B10000}"/>
    <cellStyle name="Normal 614 5 2 2" xfId="34177" xr:uid="{00000000-0005-0000-0000-000007B10000}"/>
    <cellStyle name="Normal 614 5 3" xfId="27147" xr:uid="{00000000-0005-0000-0000-000008B10000}"/>
    <cellStyle name="Normal 614 6" xfId="13206" xr:uid="{00000000-0005-0000-0000-000009B10000}"/>
    <cellStyle name="Normal 614 6 2" xfId="30851" xr:uid="{00000000-0005-0000-0000-00000AB10000}"/>
    <cellStyle name="Normal 614 7" xfId="24282" xr:uid="{00000000-0005-0000-0000-00000BB10000}"/>
    <cellStyle name="Normal 615" xfId="5208" xr:uid="{00000000-0005-0000-0000-00000CB10000}"/>
    <cellStyle name="Normal 615 2" xfId="6001" xr:uid="{00000000-0005-0000-0000-00000DB10000}"/>
    <cellStyle name="Normal 615 2 2" xfId="9301" xr:uid="{00000000-0005-0000-0000-00000EB10000}"/>
    <cellStyle name="Normal 615 2 2 2" xfId="17096" xr:uid="{00000000-0005-0000-0000-00000FB10000}"/>
    <cellStyle name="Normal 615 2 2 2 2" xfId="34732" xr:uid="{00000000-0005-0000-0000-000010B10000}"/>
    <cellStyle name="Normal 615 2 2 3" xfId="27689" xr:uid="{00000000-0005-0000-0000-000011B10000}"/>
    <cellStyle name="Normal 615 2 3" xfId="13857" xr:uid="{00000000-0005-0000-0000-000012B10000}"/>
    <cellStyle name="Normal 615 2 3 2" xfId="31497" xr:uid="{00000000-0005-0000-0000-000013B10000}"/>
    <cellStyle name="Normal 615 2 4" xfId="24824" xr:uid="{00000000-0005-0000-0000-000014B10000}"/>
    <cellStyle name="Normal 615 3" xfId="6631" xr:uid="{00000000-0005-0000-0000-000015B10000}"/>
    <cellStyle name="Normal 615 3 2" xfId="9841" xr:uid="{00000000-0005-0000-0000-000016B10000}"/>
    <cellStyle name="Normal 615 3 2 2" xfId="17635" xr:uid="{00000000-0005-0000-0000-000017B10000}"/>
    <cellStyle name="Normal 615 3 2 2 2" xfId="35272" xr:uid="{00000000-0005-0000-0000-000018B10000}"/>
    <cellStyle name="Normal 615 3 2 3" xfId="28225" xr:uid="{00000000-0005-0000-0000-000019B10000}"/>
    <cellStyle name="Normal 615 3 3" xfId="14420" xr:uid="{00000000-0005-0000-0000-00001AB10000}"/>
    <cellStyle name="Normal 615 3 3 2" xfId="32055" xr:uid="{00000000-0005-0000-0000-00001BB10000}"/>
    <cellStyle name="Normal 615 3 4" xfId="25361" xr:uid="{00000000-0005-0000-0000-00001CB10000}"/>
    <cellStyle name="Normal 615 4" xfId="7407" xr:uid="{00000000-0005-0000-0000-00001DB10000}"/>
    <cellStyle name="Normal 615 4 2" xfId="10395" xr:uid="{00000000-0005-0000-0000-00001EB10000}"/>
    <cellStyle name="Normal 615 4 2 2" xfId="18188" xr:uid="{00000000-0005-0000-0000-00001FB10000}"/>
    <cellStyle name="Normal 615 4 2 2 2" xfId="35825" xr:uid="{00000000-0005-0000-0000-000020B10000}"/>
    <cellStyle name="Normal 615 4 2 3" xfId="28762" xr:uid="{00000000-0005-0000-0000-000021B10000}"/>
    <cellStyle name="Normal 615 4 3" xfId="15195" xr:uid="{00000000-0005-0000-0000-000022B10000}"/>
    <cellStyle name="Normal 615 4 3 2" xfId="32830" xr:uid="{00000000-0005-0000-0000-000023B10000}"/>
    <cellStyle name="Normal 615 4 4" xfId="25899" xr:uid="{00000000-0005-0000-0000-000024B10000}"/>
    <cellStyle name="Normal 615 5" xfId="8747" xr:uid="{00000000-0005-0000-0000-000025B10000}"/>
    <cellStyle name="Normal 615 5 2" xfId="16543" xr:uid="{00000000-0005-0000-0000-000026B10000}"/>
    <cellStyle name="Normal 615 5 2 2" xfId="34178" xr:uid="{00000000-0005-0000-0000-000027B10000}"/>
    <cellStyle name="Normal 615 5 3" xfId="27148" xr:uid="{00000000-0005-0000-0000-000028B10000}"/>
    <cellStyle name="Normal 615 6" xfId="13207" xr:uid="{00000000-0005-0000-0000-000029B10000}"/>
    <cellStyle name="Normal 615 6 2" xfId="30852" xr:uid="{00000000-0005-0000-0000-00002AB10000}"/>
    <cellStyle name="Normal 615 7" xfId="24283" xr:uid="{00000000-0005-0000-0000-00002BB10000}"/>
    <cellStyle name="Normal 616" xfId="5209" xr:uid="{00000000-0005-0000-0000-00002CB10000}"/>
    <cellStyle name="Normal 616 2" xfId="6002" xr:uid="{00000000-0005-0000-0000-00002DB10000}"/>
    <cellStyle name="Normal 616 2 2" xfId="9302" xr:uid="{00000000-0005-0000-0000-00002EB10000}"/>
    <cellStyle name="Normal 616 2 2 2" xfId="17097" xr:uid="{00000000-0005-0000-0000-00002FB10000}"/>
    <cellStyle name="Normal 616 2 2 2 2" xfId="34733" xr:uid="{00000000-0005-0000-0000-000030B10000}"/>
    <cellStyle name="Normal 616 2 2 3" xfId="27690" xr:uid="{00000000-0005-0000-0000-000031B10000}"/>
    <cellStyle name="Normal 616 2 3" xfId="13858" xr:uid="{00000000-0005-0000-0000-000032B10000}"/>
    <cellStyle name="Normal 616 2 3 2" xfId="31498" xr:uid="{00000000-0005-0000-0000-000033B10000}"/>
    <cellStyle name="Normal 616 2 4" xfId="24825" xr:uid="{00000000-0005-0000-0000-000034B10000}"/>
    <cellStyle name="Normal 616 3" xfId="6632" xr:uid="{00000000-0005-0000-0000-000035B10000}"/>
    <cellStyle name="Normal 616 3 2" xfId="9842" xr:uid="{00000000-0005-0000-0000-000036B10000}"/>
    <cellStyle name="Normal 616 3 2 2" xfId="17636" xr:uid="{00000000-0005-0000-0000-000037B10000}"/>
    <cellStyle name="Normal 616 3 2 2 2" xfId="35273" xr:uid="{00000000-0005-0000-0000-000038B10000}"/>
    <cellStyle name="Normal 616 3 2 3" xfId="28226" xr:uid="{00000000-0005-0000-0000-000039B10000}"/>
    <cellStyle name="Normal 616 3 3" xfId="14421" xr:uid="{00000000-0005-0000-0000-00003AB10000}"/>
    <cellStyle name="Normal 616 3 3 2" xfId="32056" xr:uid="{00000000-0005-0000-0000-00003BB10000}"/>
    <cellStyle name="Normal 616 3 4" xfId="25362" xr:uid="{00000000-0005-0000-0000-00003CB10000}"/>
    <cellStyle name="Normal 616 4" xfId="7408" xr:uid="{00000000-0005-0000-0000-00003DB10000}"/>
    <cellStyle name="Normal 616 4 2" xfId="10396" xr:uid="{00000000-0005-0000-0000-00003EB10000}"/>
    <cellStyle name="Normal 616 4 2 2" xfId="18189" xr:uid="{00000000-0005-0000-0000-00003FB10000}"/>
    <cellStyle name="Normal 616 4 2 2 2" xfId="35826" xr:uid="{00000000-0005-0000-0000-000040B10000}"/>
    <cellStyle name="Normal 616 4 2 3" xfId="28763" xr:uid="{00000000-0005-0000-0000-000041B10000}"/>
    <cellStyle name="Normal 616 4 3" xfId="15196" xr:uid="{00000000-0005-0000-0000-000042B10000}"/>
    <cellStyle name="Normal 616 4 3 2" xfId="32831" xr:uid="{00000000-0005-0000-0000-000043B10000}"/>
    <cellStyle name="Normal 616 4 4" xfId="25900" xr:uid="{00000000-0005-0000-0000-000044B10000}"/>
    <cellStyle name="Normal 616 5" xfId="8748" xr:uid="{00000000-0005-0000-0000-000045B10000}"/>
    <cellStyle name="Normal 616 5 2" xfId="16544" xr:uid="{00000000-0005-0000-0000-000046B10000}"/>
    <cellStyle name="Normal 616 5 2 2" xfId="34179" xr:uid="{00000000-0005-0000-0000-000047B10000}"/>
    <cellStyle name="Normal 616 5 3" xfId="27149" xr:uid="{00000000-0005-0000-0000-000048B10000}"/>
    <cellStyle name="Normal 616 6" xfId="13208" xr:uid="{00000000-0005-0000-0000-000049B10000}"/>
    <cellStyle name="Normal 616 6 2" xfId="30853" xr:uid="{00000000-0005-0000-0000-00004AB10000}"/>
    <cellStyle name="Normal 616 7" xfId="24284" xr:uid="{00000000-0005-0000-0000-00004BB10000}"/>
    <cellStyle name="Normal 617" xfId="5210" xr:uid="{00000000-0005-0000-0000-00004CB10000}"/>
    <cellStyle name="Normal 617 2" xfId="6003" xr:uid="{00000000-0005-0000-0000-00004DB10000}"/>
    <cellStyle name="Normal 617 2 2" xfId="9303" xr:uid="{00000000-0005-0000-0000-00004EB10000}"/>
    <cellStyle name="Normal 617 2 2 2" xfId="17098" xr:uid="{00000000-0005-0000-0000-00004FB10000}"/>
    <cellStyle name="Normal 617 2 2 2 2" xfId="34734" xr:uid="{00000000-0005-0000-0000-000050B10000}"/>
    <cellStyle name="Normal 617 2 2 3" xfId="27691" xr:uid="{00000000-0005-0000-0000-000051B10000}"/>
    <cellStyle name="Normal 617 2 3" xfId="13859" xr:uid="{00000000-0005-0000-0000-000052B10000}"/>
    <cellStyle name="Normal 617 2 3 2" xfId="31499" xr:uid="{00000000-0005-0000-0000-000053B10000}"/>
    <cellStyle name="Normal 617 2 4" xfId="24826" xr:uid="{00000000-0005-0000-0000-000054B10000}"/>
    <cellStyle name="Normal 617 3" xfId="6633" xr:uid="{00000000-0005-0000-0000-000055B10000}"/>
    <cellStyle name="Normal 617 3 2" xfId="9843" xr:uid="{00000000-0005-0000-0000-000056B10000}"/>
    <cellStyle name="Normal 617 3 2 2" xfId="17637" xr:uid="{00000000-0005-0000-0000-000057B10000}"/>
    <cellStyle name="Normal 617 3 2 2 2" xfId="35274" xr:uid="{00000000-0005-0000-0000-000058B10000}"/>
    <cellStyle name="Normal 617 3 2 3" xfId="28227" xr:uid="{00000000-0005-0000-0000-000059B10000}"/>
    <cellStyle name="Normal 617 3 3" xfId="14422" xr:uid="{00000000-0005-0000-0000-00005AB10000}"/>
    <cellStyle name="Normal 617 3 3 2" xfId="32057" xr:uid="{00000000-0005-0000-0000-00005BB10000}"/>
    <cellStyle name="Normal 617 3 4" xfId="25363" xr:uid="{00000000-0005-0000-0000-00005CB10000}"/>
    <cellStyle name="Normal 617 4" xfId="7409" xr:uid="{00000000-0005-0000-0000-00005DB10000}"/>
    <cellStyle name="Normal 617 4 2" xfId="10397" xr:uid="{00000000-0005-0000-0000-00005EB10000}"/>
    <cellStyle name="Normal 617 4 2 2" xfId="18190" xr:uid="{00000000-0005-0000-0000-00005FB10000}"/>
    <cellStyle name="Normal 617 4 2 2 2" xfId="35827" xr:uid="{00000000-0005-0000-0000-000060B10000}"/>
    <cellStyle name="Normal 617 4 2 3" xfId="28764" xr:uid="{00000000-0005-0000-0000-000061B10000}"/>
    <cellStyle name="Normal 617 4 3" xfId="15197" xr:uid="{00000000-0005-0000-0000-000062B10000}"/>
    <cellStyle name="Normal 617 4 3 2" xfId="32832" xr:uid="{00000000-0005-0000-0000-000063B10000}"/>
    <cellStyle name="Normal 617 4 4" xfId="25901" xr:uid="{00000000-0005-0000-0000-000064B10000}"/>
    <cellStyle name="Normal 617 5" xfId="8749" xr:uid="{00000000-0005-0000-0000-000065B10000}"/>
    <cellStyle name="Normal 617 5 2" xfId="16545" xr:uid="{00000000-0005-0000-0000-000066B10000}"/>
    <cellStyle name="Normal 617 5 2 2" xfId="34180" xr:uid="{00000000-0005-0000-0000-000067B10000}"/>
    <cellStyle name="Normal 617 5 3" xfId="27150" xr:uid="{00000000-0005-0000-0000-000068B10000}"/>
    <cellStyle name="Normal 617 6" xfId="13209" xr:uid="{00000000-0005-0000-0000-000069B10000}"/>
    <cellStyle name="Normal 617 6 2" xfId="30854" xr:uid="{00000000-0005-0000-0000-00006AB10000}"/>
    <cellStyle name="Normal 617 7" xfId="24285" xr:uid="{00000000-0005-0000-0000-00006BB10000}"/>
    <cellStyle name="Normal 618" xfId="5211" xr:uid="{00000000-0005-0000-0000-00006CB10000}"/>
    <cellStyle name="Normal 618 2" xfId="6004" xr:uid="{00000000-0005-0000-0000-00006DB10000}"/>
    <cellStyle name="Normal 618 2 2" xfId="9304" xr:uid="{00000000-0005-0000-0000-00006EB10000}"/>
    <cellStyle name="Normal 618 2 2 2" xfId="17099" xr:uid="{00000000-0005-0000-0000-00006FB10000}"/>
    <cellStyle name="Normal 618 2 2 2 2" xfId="34735" xr:uid="{00000000-0005-0000-0000-000070B10000}"/>
    <cellStyle name="Normal 618 2 2 3" xfId="27692" xr:uid="{00000000-0005-0000-0000-000071B10000}"/>
    <cellStyle name="Normal 618 2 3" xfId="13860" xr:uid="{00000000-0005-0000-0000-000072B10000}"/>
    <cellStyle name="Normal 618 2 3 2" xfId="31500" xr:uid="{00000000-0005-0000-0000-000073B10000}"/>
    <cellStyle name="Normal 618 2 4" xfId="24827" xr:uid="{00000000-0005-0000-0000-000074B10000}"/>
    <cellStyle name="Normal 618 3" xfId="6634" xr:uid="{00000000-0005-0000-0000-000075B10000}"/>
    <cellStyle name="Normal 618 3 2" xfId="9844" xr:uid="{00000000-0005-0000-0000-000076B10000}"/>
    <cellStyle name="Normal 618 3 2 2" xfId="17638" xr:uid="{00000000-0005-0000-0000-000077B10000}"/>
    <cellStyle name="Normal 618 3 2 2 2" xfId="35275" xr:uid="{00000000-0005-0000-0000-000078B10000}"/>
    <cellStyle name="Normal 618 3 2 3" xfId="28228" xr:uid="{00000000-0005-0000-0000-000079B10000}"/>
    <cellStyle name="Normal 618 3 3" xfId="14423" xr:uid="{00000000-0005-0000-0000-00007AB10000}"/>
    <cellStyle name="Normal 618 3 3 2" xfId="32058" xr:uid="{00000000-0005-0000-0000-00007BB10000}"/>
    <cellStyle name="Normal 618 3 4" xfId="25364" xr:uid="{00000000-0005-0000-0000-00007CB10000}"/>
    <cellStyle name="Normal 618 4" xfId="7410" xr:uid="{00000000-0005-0000-0000-00007DB10000}"/>
    <cellStyle name="Normal 618 4 2" xfId="10398" xr:uid="{00000000-0005-0000-0000-00007EB10000}"/>
    <cellStyle name="Normal 618 4 2 2" xfId="18191" xr:uid="{00000000-0005-0000-0000-00007FB10000}"/>
    <cellStyle name="Normal 618 4 2 2 2" xfId="35828" xr:uid="{00000000-0005-0000-0000-000080B10000}"/>
    <cellStyle name="Normal 618 4 2 3" xfId="28765" xr:uid="{00000000-0005-0000-0000-000081B10000}"/>
    <cellStyle name="Normal 618 4 3" xfId="15198" xr:uid="{00000000-0005-0000-0000-000082B10000}"/>
    <cellStyle name="Normal 618 4 3 2" xfId="32833" xr:uid="{00000000-0005-0000-0000-000083B10000}"/>
    <cellStyle name="Normal 618 4 4" xfId="25902" xr:uid="{00000000-0005-0000-0000-000084B10000}"/>
    <cellStyle name="Normal 618 5" xfId="8750" xr:uid="{00000000-0005-0000-0000-000085B10000}"/>
    <cellStyle name="Normal 618 5 2" xfId="16546" xr:uid="{00000000-0005-0000-0000-000086B10000}"/>
    <cellStyle name="Normal 618 5 2 2" xfId="34181" xr:uid="{00000000-0005-0000-0000-000087B10000}"/>
    <cellStyle name="Normal 618 5 3" xfId="27151" xr:uid="{00000000-0005-0000-0000-000088B10000}"/>
    <cellStyle name="Normal 618 6" xfId="13210" xr:uid="{00000000-0005-0000-0000-000089B10000}"/>
    <cellStyle name="Normal 618 6 2" xfId="30855" xr:uid="{00000000-0005-0000-0000-00008AB10000}"/>
    <cellStyle name="Normal 618 7" xfId="24286" xr:uid="{00000000-0005-0000-0000-00008BB10000}"/>
    <cellStyle name="Normal 619" xfId="5212" xr:uid="{00000000-0005-0000-0000-00008CB10000}"/>
    <cellStyle name="Normal 619 2" xfId="6005" xr:uid="{00000000-0005-0000-0000-00008DB10000}"/>
    <cellStyle name="Normal 619 2 2" xfId="9305" xr:uid="{00000000-0005-0000-0000-00008EB10000}"/>
    <cellStyle name="Normal 619 2 2 2" xfId="17100" xr:uid="{00000000-0005-0000-0000-00008FB10000}"/>
    <cellStyle name="Normal 619 2 2 2 2" xfId="34736" xr:uid="{00000000-0005-0000-0000-000090B10000}"/>
    <cellStyle name="Normal 619 2 2 3" xfId="27693" xr:uid="{00000000-0005-0000-0000-000091B10000}"/>
    <cellStyle name="Normal 619 2 3" xfId="13861" xr:uid="{00000000-0005-0000-0000-000092B10000}"/>
    <cellStyle name="Normal 619 2 3 2" xfId="31501" xr:uid="{00000000-0005-0000-0000-000093B10000}"/>
    <cellStyle name="Normal 619 2 4" xfId="24828" xr:uid="{00000000-0005-0000-0000-000094B10000}"/>
    <cellStyle name="Normal 619 3" xfId="6635" xr:uid="{00000000-0005-0000-0000-000095B10000}"/>
    <cellStyle name="Normal 619 3 2" xfId="9845" xr:uid="{00000000-0005-0000-0000-000096B10000}"/>
    <cellStyle name="Normal 619 3 2 2" xfId="17639" xr:uid="{00000000-0005-0000-0000-000097B10000}"/>
    <cellStyle name="Normal 619 3 2 2 2" xfId="35276" xr:uid="{00000000-0005-0000-0000-000098B10000}"/>
    <cellStyle name="Normal 619 3 2 3" xfId="28229" xr:uid="{00000000-0005-0000-0000-000099B10000}"/>
    <cellStyle name="Normal 619 3 3" xfId="14424" xr:uid="{00000000-0005-0000-0000-00009AB10000}"/>
    <cellStyle name="Normal 619 3 3 2" xfId="32059" xr:uid="{00000000-0005-0000-0000-00009BB10000}"/>
    <cellStyle name="Normal 619 3 4" xfId="25365" xr:uid="{00000000-0005-0000-0000-00009CB10000}"/>
    <cellStyle name="Normal 619 4" xfId="7411" xr:uid="{00000000-0005-0000-0000-00009DB10000}"/>
    <cellStyle name="Normal 619 4 2" xfId="10399" xr:uid="{00000000-0005-0000-0000-00009EB10000}"/>
    <cellStyle name="Normal 619 4 2 2" xfId="18192" xr:uid="{00000000-0005-0000-0000-00009FB10000}"/>
    <cellStyle name="Normal 619 4 2 2 2" xfId="35829" xr:uid="{00000000-0005-0000-0000-0000A0B10000}"/>
    <cellStyle name="Normal 619 4 2 3" xfId="28766" xr:uid="{00000000-0005-0000-0000-0000A1B10000}"/>
    <cellStyle name="Normal 619 4 3" xfId="15199" xr:uid="{00000000-0005-0000-0000-0000A2B10000}"/>
    <cellStyle name="Normal 619 4 3 2" xfId="32834" xr:uid="{00000000-0005-0000-0000-0000A3B10000}"/>
    <cellStyle name="Normal 619 4 4" xfId="25903" xr:uid="{00000000-0005-0000-0000-0000A4B10000}"/>
    <cellStyle name="Normal 619 5" xfId="8751" xr:uid="{00000000-0005-0000-0000-0000A5B10000}"/>
    <cellStyle name="Normal 619 5 2" xfId="16547" xr:uid="{00000000-0005-0000-0000-0000A6B10000}"/>
    <cellStyle name="Normal 619 5 2 2" xfId="34182" xr:uid="{00000000-0005-0000-0000-0000A7B10000}"/>
    <cellStyle name="Normal 619 5 3" xfId="27152" xr:uid="{00000000-0005-0000-0000-0000A8B10000}"/>
    <cellStyle name="Normal 619 6" xfId="13211" xr:uid="{00000000-0005-0000-0000-0000A9B10000}"/>
    <cellStyle name="Normal 619 6 2" xfId="30856" xr:uid="{00000000-0005-0000-0000-0000AAB10000}"/>
    <cellStyle name="Normal 619 7" xfId="24287" xr:uid="{00000000-0005-0000-0000-0000ABB10000}"/>
    <cellStyle name="Normal 62" xfId="3002" xr:uid="{00000000-0005-0000-0000-0000ACB10000}"/>
    <cellStyle name="Normal 62 2" xfId="5213" xr:uid="{00000000-0005-0000-0000-0000ADB10000}"/>
    <cellStyle name="Normal 62 3" xfId="52613" xr:uid="{00000000-0005-0000-0000-0000AEB10000}"/>
    <cellStyle name="Normal 620" xfId="5214" xr:uid="{00000000-0005-0000-0000-0000AFB10000}"/>
    <cellStyle name="Normal 620 2" xfId="6006" xr:uid="{00000000-0005-0000-0000-0000B0B10000}"/>
    <cellStyle name="Normal 620 2 2" xfId="9306" xr:uid="{00000000-0005-0000-0000-0000B1B10000}"/>
    <cellStyle name="Normal 620 2 2 2" xfId="17101" xr:uid="{00000000-0005-0000-0000-0000B2B10000}"/>
    <cellStyle name="Normal 620 2 2 2 2" xfId="34737" xr:uid="{00000000-0005-0000-0000-0000B3B10000}"/>
    <cellStyle name="Normal 620 2 2 3" xfId="27694" xr:uid="{00000000-0005-0000-0000-0000B4B10000}"/>
    <cellStyle name="Normal 620 2 3" xfId="13862" xr:uid="{00000000-0005-0000-0000-0000B5B10000}"/>
    <cellStyle name="Normal 620 2 3 2" xfId="31502" xr:uid="{00000000-0005-0000-0000-0000B6B10000}"/>
    <cellStyle name="Normal 620 2 4" xfId="24829" xr:uid="{00000000-0005-0000-0000-0000B7B10000}"/>
    <cellStyle name="Normal 620 3" xfId="6636" xr:uid="{00000000-0005-0000-0000-0000B8B10000}"/>
    <cellStyle name="Normal 620 3 2" xfId="9846" xr:uid="{00000000-0005-0000-0000-0000B9B10000}"/>
    <cellStyle name="Normal 620 3 2 2" xfId="17640" xr:uid="{00000000-0005-0000-0000-0000BAB10000}"/>
    <cellStyle name="Normal 620 3 2 2 2" xfId="35277" xr:uid="{00000000-0005-0000-0000-0000BBB10000}"/>
    <cellStyle name="Normal 620 3 2 3" xfId="28230" xr:uid="{00000000-0005-0000-0000-0000BCB10000}"/>
    <cellStyle name="Normal 620 3 3" xfId="14425" xr:uid="{00000000-0005-0000-0000-0000BDB10000}"/>
    <cellStyle name="Normal 620 3 3 2" xfId="32060" xr:uid="{00000000-0005-0000-0000-0000BEB10000}"/>
    <cellStyle name="Normal 620 3 4" xfId="25366" xr:uid="{00000000-0005-0000-0000-0000BFB10000}"/>
    <cellStyle name="Normal 620 4" xfId="7412" xr:uid="{00000000-0005-0000-0000-0000C0B10000}"/>
    <cellStyle name="Normal 620 4 2" xfId="10400" xr:uid="{00000000-0005-0000-0000-0000C1B10000}"/>
    <cellStyle name="Normal 620 4 2 2" xfId="18193" xr:uid="{00000000-0005-0000-0000-0000C2B10000}"/>
    <cellStyle name="Normal 620 4 2 2 2" xfId="35830" xr:uid="{00000000-0005-0000-0000-0000C3B10000}"/>
    <cellStyle name="Normal 620 4 2 3" xfId="28767" xr:uid="{00000000-0005-0000-0000-0000C4B10000}"/>
    <cellStyle name="Normal 620 4 3" xfId="15200" xr:uid="{00000000-0005-0000-0000-0000C5B10000}"/>
    <cellStyle name="Normal 620 4 3 2" xfId="32835" xr:uid="{00000000-0005-0000-0000-0000C6B10000}"/>
    <cellStyle name="Normal 620 4 4" xfId="25904" xr:uid="{00000000-0005-0000-0000-0000C7B10000}"/>
    <cellStyle name="Normal 620 5" xfId="8752" xr:uid="{00000000-0005-0000-0000-0000C8B10000}"/>
    <cellStyle name="Normal 620 5 2" xfId="16548" xr:uid="{00000000-0005-0000-0000-0000C9B10000}"/>
    <cellStyle name="Normal 620 5 2 2" xfId="34183" xr:uid="{00000000-0005-0000-0000-0000CAB10000}"/>
    <cellStyle name="Normal 620 5 3" xfId="27153" xr:uid="{00000000-0005-0000-0000-0000CBB10000}"/>
    <cellStyle name="Normal 620 6" xfId="13212" xr:uid="{00000000-0005-0000-0000-0000CCB10000}"/>
    <cellStyle name="Normal 620 6 2" xfId="30857" xr:uid="{00000000-0005-0000-0000-0000CDB10000}"/>
    <cellStyle name="Normal 620 7" xfId="24288" xr:uid="{00000000-0005-0000-0000-0000CEB10000}"/>
    <cellStyle name="Normal 621" xfId="5215" xr:uid="{00000000-0005-0000-0000-0000CFB10000}"/>
    <cellStyle name="Normal 621 2" xfId="6007" xr:uid="{00000000-0005-0000-0000-0000D0B10000}"/>
    <cellStyle name="Normal 621 2 2" xfId="9307" xr:uid="{00000000-0005-0000-0000-0000D1B10000}"/>
    <cellStyle name="Normal 621 2 2 2" xfId="17102" xr:uid="{00000000-0005-0000-0000-0000D2B10000}"/>
    <cellStyle name="Normal 621 2 2 2 2" xfId="34738" xr:uid="{00000000-0005-0000-0000-0000D3B10000}"/>
    <cellStyle name="Normal 621 2 2 3" xfId="27695" xr:uid="{00000000-0005-0000-0000-0000D4B10000}"/>
    <cellStyle name="Normal 621 2 3" xfId="13863" xr:uid="{00000000-0005-0000-0000-0000D5B10000}"/>
    <cellStyle name="Normal 621 2 3 2" xfId="31503" xr:uid="{00000000-0005-0000-0000-0000D6B10000}"/>
    <cellStyle name="Normal 621 2 4" xfId="24830" xr:uid="{00000000-0005-0000-0000-0000D7B10000}"/>
    <cellStyle name="Normal 621 3" xfId="6637" xr:uid="{00000000-0005-0000-0000-0000D8B10000}"/>
    <cellStyle name="Normal 621 3 2" xfId="9847" xr:uid="{00000000-0005-0000-0000-0000D9B10000}"/>
    <cellStyle name="Normal 621 3 2 2" xfId="17641" xr:uid="{00000000-0005-0000-0000-0000DAB10000}"/>
    <cellStyle name="Normal 621 3 2 2 2" xfId="35278" xr:uid="{00000000-0005-0000-0000-0000DBB10000}"/>
    <cellStyle name="Normal 621 3 2 3" xfId="28231" xr:uid="{00000000-0005-0000-0000-0000DCB10000}"/>
    <cellStyle name="Normal 621 3 3" xfId="14426" xr:uid="{00000000-0005-0000-0000-0000DDB10000}"/>
    <cellStyle name="Normal 621 3 3 2" xfId="32061" xr:uid="{00000000-0005-0000-0000-0000DEB10000}"/>
    <cellStyle name="Normal 621 3 4" xfId="25367" xr:uid="{00000000-0005-0000-0000-0000DFB10000}"/>
    <cellStyle name="Normal 621 4" xfId="7413" xr:uid="{00000000-0005-0000-0000-0000E0B10000}"/>
    <cellStyle name="Normal 621 4 2" xfId="10401" xr:uid="{00000000-0005-0000-0000-0000E1B10000}"/>
    <cellStyle name="Normal 621 4 2 2" xfId="18194" xr:uid="{00000000-0005-0000-0000-0000E2B10000}"/>
    <cellStyle name="Normal 621 4 2 2 2" xfId="35831" xr:uid="{00000000-0005-0000-0000-0000E3B10000}"/>
    <cellStyle name="Normal 621 4 2 3" xfId="28768" xr:uid="{00000000-0005-0000-0000-0000E4B10000}"/>
    <cellStyle name="Normal 621 4 3" xfId="15201" xr:uid="{00000000-0005-0000-0000-0000E5B10000}"/>
    <cellStyle name="Normal 621 4 3 2" xfId="32836" xr:uid="{00000000-0005-0000-0000-0000E6B10000}"/>
    <cellStyle name="Normal 621 4 4" xfId="25905" xr:uid="{00000000-0005-0000-0000-0000E7B10000}"/>
    <cellStyle name="Normal 621 5" xfId="8753" xr:uid="{00000000-0005-0000-0000-0000E8B10000}"/>
    <cellStyle name="Normal 621 5 2" xfId="16549" xr:uid="{00000000-0005-0000-0000-0000E9B10000}"/>
    <cellStyle name="Normal 621 5 2 2" xfId="34184" xr:uid="{00000000-0005-0000-0000-0000EAB10000}"/>
    <cellStyle name="Normal 621 5 3" xfId="27154" xr:uid="{00000000-0005-0000-0000-0000EBB10000}"/>
    <cellStyle name="Normal 621 6" xfId="13213" xr:uid="{00000000-0005-0000-0000-0000ECB10000}"/>
    <cellStyle name="Normal 621 6 2" xfId="30858" xr:uid="{00000000-0005-0000-0000-0000EDB10000}"/>
    <cellStyle name="Normal 621 7" xfId="24289" xr:uid="{00000000-0005-0000-0000-0000EEB10000}"/>
    <cellStyle name="Normal 622" xfId="5216" xr:uid="{00000000-0005-0000-0000-0000EFB10000}"/>
    <cellStyle name="Normal 622 2" xfId="6008" xr:uid="{00000000-0005-0000-0000-0000F0B10000}"/>
    <cellStyle name="Normal 622 2 2" xfId="9308" xr:uid="{00000000-0005-0000-0000-0000F1B10000}"/>
    <cellStyle name="Normal 622 2 2 2" xfId="17103" xr:uid="{00000000-0005-0000-0000-0000F2B10000}"/>
    <cellStyle name="Normal 622 2 2 2 2" xfId="34739" xr:uid="{00000000-0005-0000-0000-0000F3B10000}"/>
    <cellStyle name="Normal 622 2 2 3" xfId="27696" xr:uid="{00000000-0005-0000-0000-0000F4B10000}"/>
    <cellStyle name="Normal 622 2 3" xfId="13864" xr:uid="{00000000-0005-0000-0000-0000F5B10000}"/>
    <cellStyle name="Normal 622 2 3 2" xfId="31504" xr:uid="{00000000-0005-0000-0000-0000F6B10000}"/>
    <cellStyle name="Normal 622 2 4" xfId="24831" xr:uid="{00000000-0005-0000-0000-0000F7B10000}"/>
    <cellStyle name="Normal 622 3" xfId="6638" xr:uid="{00000000-0005-0000-0000-0000F8B10000}"/>
    <cellStyle name="Normal 622 3 2" xfId="9848" xr:uid="{00000000-0005-0000-0000-0000F9B10000}"/>
    <cellStyle name="Normal 622 3 2 2" xfId="17642" xr:uid="{00000000-0005-0000-0000-0000FAB10000}"/>
    <cellStyle name="Normal 622 3 2 2 2" xfId="35279" xr:uid="{00000000-0005-0000-0000-0000FBB10000}"/>
    <cellStyle name="Normal 622 3 2 3" xfId="28232" xr:uid="{00000000-0005-0000-0000-0000FCB10000}"/>
    <cellStyle name="Normal 622 3 3" xfId="14427" xr:uid="{00000000-0005-0000-0000-0000FDB10000}"/>
    <cellStyle name="Normal 622 3 3 2" xfId="32062" xr:uid="{00000000-0005-0000-0000-0000FEB10000}"/>
    <cellStyle name="Normal 622 3 4" xfId="25368" xr:uid="{00000000-0005-0000-0000-0000FFB10000}"/>
    <cellStyle name="Normal 622 4" xfId="7414" xr:uid="{00000000-0005-0000-0000-000000B20000}"/>
    <cellStyle name="Normal 622 4 2" xfId="10402" xr:uid="{00000000-0005-0000-0000-000001B20000}"/>
    <cellStyle name="Normal 622 4 2 2" xfId="18195" xr:uid="{00000000-0005-0000-0000-000002B20000}"/>
    <cellStyle name="Normal 622 4 2 2 2" xfId="35832" xr:uid="{00000000-0005-0000-0000-000003B20000}"/>
    <cellStyle name="Normal 622 4 2 3" xfId="28769" xr:uid="{00000000-0005-0000-0000-000004B20000}"/>
    <cellStyle name="Normal 622 4 3" xfId="15202" xr:uid="{00000000-0005-0000-0000-000005B20000}"/>
    <cellStyle name="Normal 622 4 3 2" xfId="32837" xr:uid="{00000000-0005-0000-0000-000006B20000}"/>
    <cellStyle name="Normal 622 4 4" xfId="25906" xr:uid="{00000000-0005-0000-0000-000007B20000}"/>
    <cellStyle name="Normal 622 5" xfId="8754" xr:uid="{00000000-0005-0000-0000-000008B20000}"/>
    <cellStyle name="Normal 622 5 2" xfId="16550" xr:uid="{00000000-0005-0000-0000-000009B20000}"/>
    <cellStyle name="Normal 622 5 2 2" xfId="34185" xr:uid="{00000000-0005-0000-0000-00000AB20000}"/>
    <cellStyle name="Normal 622 5 3" xfId="27155" xr:uid="{00000000-0005-0000-0000-00000BB20000}"/>
    <cellStyle name="Normal 622 6" xfId="13214" xr:uid="{00000000-0005-0000-0000-00000CB20000}"/>
    <cellStyle name="Normal 622 6 2" xfId="30859" xr:uid="{00000000-0005-0000-0000-00000DB20000}"/>
    <cellStyle name="Normal 622 7" xfId="24290" xr:uid="{00000000-0005-0000-0000-00000EB20000}"/>
    <cellStyle name="Normal 623" xfId="5217" xr:uid="{00000000-0005-0000-0000-00000FB20000}"/>
    <cellStyle name="Normal 623 2" xfId="6009" xr:uid="{00000000-0005-0000-0000-000010B20000}"/>
    <cellStyle name="Normal 623 2 2" xfId="9309" xr:uid="{00000000-0005-0000-0000-000011B20000}"/>
    <cellStyle name="Normal 623 2 2 2" xfId="17104" xr:uid="{00000000-0005-0000-0000-000012B20000}"/>
    <cellStyle name="Normal 623 2 2 2 2" xfId="34740" xr:uid="{00000000-0005-0000-0000-000013B20000}"/>
    <cellStyle name="Normal 623 2 2 3" xfId="27697" xr:uid="{00000000-0005-0000-0000-000014B20000}"/>
    <cellStyle name="Normal 623 2 3" xfId="13865" xr:uid="{00000000-0005-0000-0000-000015B20000}"/>
    <cellStyle name="Normal 623 2 3 2" xfId="31505" xr:uid="{00000000-0005-0000-0000-000016B20000}"/>
    <cellStyle name="Normal 623 2 4" xfId="24832" xr:uid="{00000000-0005-0000-0000-000017B20000}"/>
    <cellStyle name="Normal 623 3" xfId="6639" xr:uid="{00000000-0005-0000-0000-000018B20000}"/>
    <cellStyle name="Normal 623 3 2" xfId="9849" xr:uid="{00000000-0005-0000-0000-000019B20000}"/>
    <cellStyle name="Normal 623 3 2 2" xfId="17643" xr:uid="{00000000-0005-0000-0000-00001AB20000}"/>
    <cellStyle name="Normal 623 3 2 2 2" xfId="35280" xr:uid="{00000000-0005-0000-0000-00001BB20000}"/>
    <cellStyle name="Normal 623 3 2 3" xfId="28233" xr:uid="{00000000-0005-0000-0000-00001CB20000}"/>
    <cellStyle name="Normal 623 3 3" xfId="14428" xr:uid="{00000000-0005-0000-0000-00001DB20000}"/>
    <cellStyle name="Normal 623 3 3 2" xfId="32063" xr:uid="{00000000-0005-0000-0000-00001EB20000}"/>
    <cellStyle name="Normal 623 3 4" xfId="25369" xr:uid="{00000000-0005-0000-0000-00001FB20000}"/>
    <cellStyle name="Normal 623 4" xfId="7415" xr:uid="{00000000-0005-0000-0000-000020B20000}"/>
    <cellStyle name="Normal 623 4 2" xfId="10403" xr:uid="{00000000-0005-0000-0000-000021B20000}"/>
    <cellStyle name="Normal 623 4 2 2" xfId="18196" xr:uid="{00000000-0005-0000-0000-000022B20000}"/>
    <cellStyle name="Normal 623 4 2 2 2" xfId="35833" xr:uid="{00000000-0005-0000-0000-000023B20000}"/>
    <cellStyle name="Normal 623 4 2 3" xfId="28770" xr:uid="{00000000-0005-0000-0000-000024B20000}"/>
    <cellStyle name="Normal 623 4 3" xfId="15203" xr:uid="{00000000-0005-0000-0000-000025B20000}"/>
    <cellStyle name="Normal 623 4 3 2" xfId="32838" xr:uid="{00000000-0005-0000-0000-000026B20000}"/>
    <cellStyle name="Normal 623 4 4" xfId="25907" xr:uid="{00000000-0005-0000-0000-000027B20000}"/>
    <cellStyle name="Normal 623 5" xfId="8755" xr:uid="{00000000-0005-0000-0000-000028B20000}"/>
    <cellStyle name="Normal 623 5 2" xfId="16551" xr:uid="{00000000-0005-0000-0000-000029B20000}"/>
    <cellStyle name="Normal 623 5 2 2" xfId="34186" xr:uid="{00000000-0005-0000-0000-00002AB20000}"/>
    <cellStyle name="Normal 623 5 3" xfId="27156" xr:uid="{00000000-0005-0000-0000-00002BB20000}"/>
    <cellStyle name="Normal 623 6" xfId="13215" xr:uid="{00000000-0005-0000-0000-00002CB20000}"/>
    <cellStyle name="Normal 623 6 2" xfId="30860" xr:uid="{00000000-0005-0000-0000-00002DB20000}"/>
    <cellStyle name="Normal 623 7" xfId="24291" xr:uid="{00000000-0005-0000-0000-00002EB20000}"/>
    <cellStyle name="Normal 624" xfId="5218" xr:uid="{00000000-0005-0000-0000-00002FB20000}"/>
    <cellStyle name="Normal 624 2" xfId="6010" xr:uid="{00000000-0005-0000-0000-000030B20000}"/>
    <cellStyle name="Normal 624 2 2" xfId="9310" xr:uid="{00000000-0005-0000-0000-000031B20000}"/>
    <cellStyle name="Normal 624 2 2 2" xfId="17105" xr:uid="{00000000-0005-0000-0000-000032B20000}"/>
    <cellStyle name="Normal 624 2 2 2 2" xfId="34741" xr:uid="{00000000-0005-0000-0000-000033B20000}"/>
    <cellStyle name="Normal 624 2 2 3" xfId="27698" xr:uid="{00000000-0005-0000-0000-000034B20000}"/>
    <cellStyle name="Normal 624 2 3" xfId="13866" xr:uid="{00000000-0005-0000-0000-000035B20000}"/>
    <cellStyle name="Normal 624 2 3 2" xfId="31506" xr:uid="{00000000-0005-0000-0000-000036B20000}"/>
    <cellStyle name="Normal 624 2 4" xfId="24833" xr:uid="{00000000-0005-0000-0000-000037B20000}"/>
    <cellStyle name="Normal 624 3" xfId="6640" xr:uid="{00000000-0005-0000-0000-000038B20000}"/>
    <cellStyle name="Normal 624 3 2" xfId="9850" xr:uid="{00000000-0005-0000-0000-000039B20000}"/>
    <cellStyle name="Normal 624 3 2 2" xfId="17644" xr:uid="{00000000-0005-0000-0000-00003AB20000}"/>
    <cellStyle name="Normal 624 3 2 2 2" xfId="35281" xr:uid="{00000000-0005-0000-0000-00003BB20000}"/>
    <cellStyle name="Normal 624 3 2 3" xfId="28234" xr:uid="{00000000-0005-0000-0000-00003CB20000}"/>
    <cellStyle name="Normal 624 3 3" xfId="14429" xr:uid="{00000000-0005-0000-0000-00003DB20000}"/>
    <cellStyle name="Normal 624 3 3 2" xfId="32064" xr:uid="{00000000-0005-0000-0000-00003EB20000}"/>
    <cellStyle name="Normal 624 3 4" xfId="25370" xr:uid="{00000000-0005-0000-0000-00003FB20000}"/>
    <cellStyle name="Normal 624 4" xfId="7416" xr:uid="{00000000-0005-0000-0000-000040B20000}"/>
    <cellStyle name="Normal 624 4 2" xfId="10404" xr:uid="{00000000-0005-0000-0000-000041B20000}"/>
    <cellStyle name="Normal 624 4 2 2" xfId="18197" xr:uid="{00000000-0005-0000-0000-000042B20000}"/>
    <cellStyle name="Normal 624 4 2 2 2" xfId="35834" xr:uid="{00000000-0005-0000-0000-000043B20000}"/>
    <cellStyle name="Normal 624 4 2 3" xfId="28771" xr:uid="{00000000-0005-0000-0000-000044B20000}"/>
    <cellStyle name="Normal 624 4 3" xfId="15204" xr:uid="{00000000-0005-0000-0000-000045B20000}"/>
    <cellStyle name="Normal 624 4 3 2" xfId="32839" xr:uid="{00000000-0005-0000-0000-000046B20000}"/>
    <cellStyle name="Normal 624 4 4" xfId="25908" xr:uid="{00000000-0005-0000-0000-000047B20000}"/>
    <cellStyle name="Normal 624 5" xfId="8756" xr:uid="{00000000-0005-0000-0000-000048B20000}"/>
    <cellStyle name="Normal 624 5 2" xfId="16552" xr:uid="{00000000-0005-0000-0000-000049B20000}"/>
    <cellStyle name="Normal 624 5 2 2" xfId="34187" xr:uid="{00000000-0005-0000-0000-00004AB20000}"/>
    <cellStyle name="Normal 624 5 3" xfId="27157" xr:uid="{00000000-0005-0000-0000-00004BB20000}"/>
    <cellStyle name="Normal 624 6" xfId="13216" xr:uid="{00000000-0005-0000-0000-00004CB20000}"/>
    <cellStyle name="Normal 624 6 2" xfId="30861" xr:uid="{00000000-0005-0000-0000-00004DB20000}"/>
    <cellStyle name="Normal 624 7" xfId="24292" xr:uid="{00000000-0005-0000-0000-00004EB20000}"/>
    <cellStyle name="Normal 625" xfId="5219" xr:uid="{00000000-0005-0000-0000-00004FB20000}"/>
    <cellStyle name="Normal 625 2" xfId="6011" xr:uid="{00000000-0005-0000-0000-000050B20000}"/>
    <cellStyle name="Normal 625 2 2" xfId="9311" xr:uid="{00000000-0005-0000-0000-000051B20000}"/>
    <cellStyle name="Normal 625 2 2 2" xfId="17106" xr:uid="{00000000-0005-0000-0000-000052B20000}"/>
    <cellStyle name="Normal 625 2 2 2 2" xfId="34742" xr:uid="{00000000-0005-0000-0000-000053B20000}"/>
    <cellStyle name="Normal 625 2 2 3" xfId="27699" xr:uid="{00000000-0005-0000-0000-000054B20000}"/>
    <cellStyle name="Normal 625 2 3" xfId="13867" xr:uid="{00000000-0005-0000-0000-000055B20000}"/>
    <cellStyle name="Normal 625 2 3 2" xfId="31507" xr:uid="{00000000-0005-0000-0000-000056B20000}"/>
    <cellStyle name="Normal 625 2 4" xfId="24834" xr:uid="{00000000-0005-0000-0000-000057B20000}"/>
    <cellStyle name="Normal 625 3" xfId="6641" xr:uid="{00000000-0005-0000-0000-000058B20000}"/>
    <cellStyle name="Normal 625 3 2" xfId="9851" xr:uid="{00000000-0005-0000-0000-000059B20000}"/>
    <cellStyle name="Normal 625 3 2 2" xfId="17645" xr:uid="{00000000-0005-0000-0000-00005AB20000}"/>
    <cellStyle name="Normal 625 3 2 2 2" xfId="35282" xr:uid="{00000000-0005-0000-0000-00005BB20000}"/>
    <cellStyle name="Normal 625 3 2 3" xfId="28235" xr:uid="{00000000-0005-0000-0000-00005CB20000}"/>
    <cellStyle name="Normal 625 3 3" xfId="14430" xr:uid="{00000000-0005-0000-0000-00005DB20000}"/>
    <cellStyle name="Normal 625 3 3 2" xfId="32065" xr:uid="{00000000-0005-0000-0000-00005EB20000}"/>
    <cellStyle name="Normal 625 3 4" xfId="25371" xr:uid="{00000000-0005-0000-0000-00005FB20000}"/>
    <cellStyle name="Normal 625 4" xfId="7417" xr:uid="{00000000-0005-0000-0000-000060B20000}"/>
    <cellStyle name="Normal 625 4 2" xfId="10405" xr:uid="{00000000-0005-0000-0000-000061B20000}"/>
    <cellStyle name="Normal 625 4 2 2" xfId="18198" xr:uid="{00000000-0005-0000-0000-000062B20000}"/>
    <cellStyle name="Normal 625 4 2 2 2" xfId="35835" xr:uid="{00000000-0005-0000-0000-000063B20000}"/>
    <cellStyle name="Normal 625 4 2 3" xfId="28772" xr:uid="{00000000-0005-0000-0000-000064B20000}"/>
    <cellStyle name="Normal 625 4 3" xfId="15205" xr:uid="{00000000-0005-0000-0000-000065B20000}"/>
    <cellStyle name="Normal 625 4 3 2" xfId="32840" xr:uid="{00000000-0005-0000-0000-000066B20000}"/>
    <cellStyle name="Normal 625 4 4" xfId="25909" xr:uid="{00000000-0005-0000-0000-000067B20000}"/>
    <cellStyle name="Normal 625 5" xfId="8757" xr:uid="{00000000-0005-0000-0000-000068B20000}"/>
    <cellStyle name="Normal 625 5 2" xfId="16553" xr:uid="{00000000-0005-0000-0000-000069B20000}"/>
    <cellStyle name="Normal 625 5 2 2" xfId="34188" xr:uid="{00000000-0005-0000-0000-00006AB20000}"/>
    <cellStyle name="Normal 625 5 3" xfId="27158" xr:uid="{00000000-0005-0000-0000-00006BB20000}"/>
    <cellStyle name="Normal 625 6" xfId="13217" xr:uid="{00000000-0005-0000-0000-00006CB20000}"/>
    <cellStyle name="Normal 625 6 2" xfId="30862" xr:uid="{00000000-0005-0000-0000-00006DB20000}"/>
    <cellStyle name="Normal 625 7" xfId="24293" xr:uid="{00000000-0005-0000-0000-00006EB20000}"/>
    <cellStyle name="Normal 626" xfId="5220" xr:uid="{00000000-0005-0000-0000-00006FB20000}"/>
    <cellStyle name="Normal 626 2" xfId="6012" xr:uid="{00000000-0005-0000-0000-000070B20000}"/>
    <cellStyle name="Normal 626 2 2" xfId="9312" xr:uid="{00000000-0005-0000-0000-000071B20000}"/>
    <cellStyle name="Normal 626 2 2 2" xfId="17107" xr:uid="{00000000-0005-0000-0000-000072B20000}"/>
    <cellStyle name="Normal 626 2 2 2 2" xfId="34743" xr:uid="{00000000-0005-0000-0000-000073B20000}"/>
    <cellStyle name="Normal 626 2 2 3" xfId="27700" xr:uid="{00000000-0005-0000-0000-000074B20000}"/>
    <cellStyle name="Normal 626 2 3" xfId="13868" xr:uid="{00000000-0005-0000-0000-000075B20000}"/>
    <cellStyle name="Normal 626 2 3 2" xfId="31508" xr:uid="{00000000-0005-0000-0000-000076B20000}"/>
    <cellStyle name="Normal 626 2 4" xfId="24835" xr:uid="{00000000-0005-0000-0000-000077B20000}"/>
    <cellStyle name="Normal 626 3" xfId="6642" xr:uid="{00000000-0005-0000-0000-000078B20000}"/>
    <cellStyle name="Normal 626 3 2" xfId="9852" xr:uid="{00000000-0005-0000-0000-000079B20000}"/>
    <cellStyle name="Normal 626 3 2 2" xfId="17646" xr:uid="{00000000-0005-0000-0000-00007AB20000}"/>
    <cellStyle name="Normal 626 3 2 2 2" xfId="35283" xr:uid="{00000000-0005-0000-0000-00007BB20000}"/>
    <cellStyle name="Normal 626 3 2 3" xfId="28236" xr:uid="{00000000-0005-0000-0000-00007CB20000}"/>
    <cellStyle name="Normal 626 3 3" xfId="14431" xr:uid="{00000000-0005-0000-0000-00007DB20000}"/>
    <cellStyle name="Normal 626 3 3 2" xfId="32066" xr:uid="{00000000-0005-0000-0000-00007EB20000}"/>
    <cellStyle name="Normal 626 3 4" xfId="25372" xr:uid="{00000000-0005-0000-0000-00007FB20000}"/>
    <cellStyle name="Normal 626 4" xfId="7418" xr:uid="{00000000-0005-0000-0000-000080B20000}"/>
    <cellStyle name="Normal 626 4 2" xfId="10406" xr:uid="{00000000-0005-0000-0000-000081B20000}"/>
    <cellStyle name="Normal 626 4 2 2" xfId="18199" xr:uid="{00000000-0005-0000-0000-000082B20000}"/>
    <cellStyle name="Normal 626 4 2 2 2" xfId="35836" xr:uid="{00000000-0005-0000-0000-000083B20000}"/>
    <cellStyle name="Normal 626 4 2 3" xfId="28773" xr:uid="{00000000-0005-0000-0000-000084B20000}"/>
    <cellStyle name="Normal 626 4 3" xfId="15206" xr:uid="{00000000-0005-0000-0000-000085B20000}"/>
    <cellStyle name="Normal 626 4 3 2" xfId="32841" xr:uid="{00000000-0005-0000-0000-000086B20000}"/>
    <cellStyle name="Normal 626 4 4" xfId="25910" xr:uid="{00000000-0005-0000-0000-000087B20000}"/>
    <cellStyle name="Normal 626 5" xfId="8758" xr:uid="{00000000-0005-0000-0000-000088B20000}"/>
    <cellStyle name="Normal 626 5 2" xfId="16554" xr:uid="{00000000-0005-0000-0000-000089B20000}"/>
    <cellStyle name="Normal 626 5 2 2" xfId="34189" xr:uid="{00000000-0005-0000-0000-00008AB20000}"/>
    <cellStyle name="Normal 626 5 3" xfId="27159" xr:uid="{00000000-0005-0000-0000-00008BB20000}"/>
    <cellStyle name="Normal 626 6" xfId="13218" xr:uid="{00000000-0005-0000-0000-00008CB20000}"/>
    <cellStyle name="Normal 626 6 2" xfId="30863" xr:uid="{00000000-0005-0000-0000-00008DB20000}"/>
    <cellStyle name="Normal 626 7" xfId="24294" xr:uid="{00000000-0005-0000-0000-00008EB20000}"/>
    <cellStyle name="Normal 627" xfId="5221" xr:uid="{00000000-0005-0000-0000-00008FB20000}"/>
    <cellStyle name="Normal 627 2" xfId="6013" xr:uid="{00000000-0005-0000-0000-000090B20000}"/>
    <cellStyle name="Normal 627 2 2" xfId="9313" xr:uid="{00000000-0005-0000-0000-000091B20000}"/>
    <cellStyle name="Normal 627 2 2 2" xfId="17108" xr:uid="{00000000-0005-0000-0000-000092B20000}"/>
    <cellStyle name="Normal 627 2 2 2 2" xfId="34744" xr:uid="{00000000-0005-0000-0000-000093B20000}"/>
    <cellStyle name="Normal 627 2 2 3" xfId="27701" xr:uid="{00000000-0005-0000-0000-000094B20000}"/>
    <cellStyle name="Normal 627 2 3" xfId="13869" xr:uid="{00000000-0005-0000-0000-000095B20000}"/>
    <cellStyle name="Normal 627 2 3 2" xfId="31509" xr:uid="{00000000-0005-0000-0000-000096B20000}"/>
    <cellStyle name="Normal 627 2 4" xfId="24836" xr:uid="{00000000-0005-0000-0000-000097B20000}"/>
    <cellStyle name="Normal 627 3" xfId="6643" xr:uid="{00000000-0005-0000-0000-000098B20000}"/>
    <cellStyle name="Normal 627 3 2" xfId="9853" xr:uid="{00000000-0005-0000-0000-000099B20000}"/>
    <cellStyle name="Normal 627 3 2 2" xfId="17647" xr:uid="{00000000-0005-0000-0000-00009AB20000}"/>
    <cellStyle name="Normal 627 3 2 2 2" xfId="35284" xr:uid="{00000000-0005-0000-0000-00009BB20000}"/>
    <cellStyle name="Normal 627 3 2 3" xfId="28237" xr:uid="{00000000-0005-0000-0000-00009CB20000}"/>
    <cellStyle name="Normal 627 3 3" xfId="14432" xr:uid="{00000000-0005-0000-0000-00009DB20000}"/>
    <cellStyle name="Normal 627 3 3 2" xfId="32067" xr:uid="{00000000-0005-0000-0000-00009EB20000}"/>
    <cellStyle name="Normal 627 3 4" xfId="25373" xr:uid="{00000000-0005-0000-0000-00009FB20000}"/>
    <cellStyle name="Normal 627 4" xfId="7419" xr:uid="{00000000-0005-0000-0000-0000A0B20000}"/>
    <cellStyle name="Normal 627 4 2" xfId="10407" xr:uid="{00000000-0005-0000-0000-0000A1B20000}"/>
    <cellStyle name="Normal 627 4 2 2" xfId="18200" xr:uid="{00000000-0005-0000-0000-0000A2B20000}"/>
    <cellStyle name="Normal 627 4 2 2 2" xfId="35837" xr:uid="{00000000-0005-0000-0000-0000A3B20000}"/>
    <cellStyle name="Normal 627 4 2 3" xfId="28774" xr:uid="{00000000-0005-0000-0000-0000A4B20000}"/>
    <cellStyle name="Normal 627 4 3" xfId="15207" xr:uid="{00000000-0005-0000-0000-0000A5B20000}"/>
    <cellStyle name="Normal 627 4 3 2" xfId="32842" xr:uid="{00000000-0005-0000-0000-0000A6B20000}"/>
    <cellStyle name="Normal 627 4 4" xfId="25911" xr:uid="{00000000-0005-0000-0000-0000A7B20000}"/>
    <cellStyle name="Normal 627 5" xfId="8759" xr:uid="{00000000-0005-0000-0000-0000A8B20000}"/>
    <cellStyle name="Normal 627 5 2" xfId="16555" xr:uid="{00000000-0005-0000-0000-0000A9B20000}"/>
    <cellStyle name="Normal 627 5 2 2" xfId="34190" xr:uid="{00000000-0005-0000-0000-0000AAB20000}"/>
    <cellStyle name="Normal 627 5 3" xfId="27160" xr:uid="{00000000-0005-0000-0000-0000ABB20000}"/>
    <cellStyle name="Normal 627 6" xfId="13219" xr:uid="{00000000-0005-0000-0000-0000ACB20000}"/>
    <cellStyle name="Normal 627 6 2" xfId="30864" xr:uid="{00000000-0005-0000-0000-0000ADB20000}"/>
    <cellStyle name="Normal 627 7" xfId="24295" xr:uid="{00000000-0005-0000-0000-0000AEB20000}"/>
    <cellStyle name="Normal 628" xfId="5222" xr:uid="{00000000-0005-0000-0000-0000AFB20000}"/>
    <cellStyle name="Normal 628 2" xfId="6014" xr:uid="{00000000-0005-0000-0000-0000B0B20000}"/>
    <cellStyle name="Normal 628 2 2" xfId="9314" xr:uid="{00000000-0005-0000-0000-0000B1B20000}"/>
    <cellStyle name="Normal 628 2 2 2" xfId="17109" xr:uid="{00000000-0005-0000-0000-0000B2B20000}"/>
    <cellStyle name="Normal 628 2 2 2 2" xfId="34745" xr:uid="{00000000-0005-0000-0000-0000B3B20000}"/>
    <cellStyle name="Normal 628 2 2 3" xfId="27702" xr:uid="{00000000-0005-0000-0000-0000B4B20000}"/>
    <cellStyle name="Normal 628 2 3" xfId="13870" xr:uid="{00000000-0005-0000-0000-0000B5B20000}"/>
    <cellStyle name="Normal 628 2 3 2" xfId="31510" xr:uid="{00000000-0005-0000-0000-0000B6B20000}"/>
    <cellStyle name="Normal 628 2 4" xfId="24837" xr:uid="{00000000-0005-0000-0000-0000B7B20000}"/>
    <cellStyle name="Normal 628 3" xfId="6644" xr:uid="{00000000-0005-0000-0000-0000B8B20000}"/>
    <cellStyle name="Normal 628 3 2" xfId="9854" xr:uid="{00000000-0005-0000-0000-0000B9B20000}"/>
    <cellStyle name="Normal 628 3 2 2" xfId="17648" xr:uid="{00000000-0005-0000-0000-0000BAB20000}"/>
    <cellStyle name="Normal 628 3 2 2 2" xfId="35285" xr:uid="{00000000-0005-0000-0000-0000BBB20000}"/>
    <cellStyle name="Normal 628 3 2 3" xfId="28238" xr:uid="{00000000-0005-0000-0000-0000BCB20000}"/>
    <cellStyle name="Normal 628 3 3" xfId="14433" xr:uid="{00000000-0005-0000-0000-0000BDB20000}"/>
    <cellStyle name="Normal 628 3 3 2" xfId="32068" xr:uid="{00000000-0005-0000-0000-0000BEB20000}"/>
    <cellStyle name="Normal 628 3 4" xfId="25374" xr:uid="{00000000-0005-0000-0000-0000BFB20000}"/>
    <cellStyle name="Normal 628 4" xfId="7420" xr:uid="{00000000-0005-0000-0000-0000C0B20000}"/>
    <cellStyle name="Normal 628 4 2" xfId="10408" xr:uid="{00000000-0005-0000-0000-0000C1B20000}"/>
    <cellStyle name="Normal 628 4 2 2" xfId="18201" xr:uid="{00000000-0005-0000-0000-0000C2B20000}"/>
    <cellStyle name="Normal 628 4 2 2 2" xfId="35838" xr:uid="{00000000-0005-0000-0000-0000C3B20000}"/>
    <cellStyle name="Normal 628 4 2 3" xfId="28775" xr:uid="{00000000-0005-0000-0000-0000C4B20000}"/>
    <cellStyle name="Normal 628 4 3" xfId="15208" xr:uid="{00000000-0005-0000-0000-0000C5B20000}"/>
    <cellStyle name="Normal 628 4 3 2" xfId="32843" xr:uid="{00000000-0005-0000-0000-0000C6B20000}"/>
    <cellStyle name="Normal 628 4 4" xfId="25912" xr:uid="{00000000-0005-0000-0000-0000C7B20000}"/>
    <cellStyle name="Normal 628 5" xfId="8760" xr:uid="{00000000-0005-0000-0000-0000C8B20000}"/>
    <cellStyle name="Normal 628 5 2" xfId="16556" xr:uid="{00000000-0005-0000-0000-0000C9B20000}"/>
    <cellStyle name="Normal 628 5 2 2" xfId="34191" xr:uid="{00000000-0005-0000-0000-0000CAB20000}"/>
    <cellStyle name="Normal 628 5 3" xfId="27161" xr:uid="{00000000-0005-0000-0000-0000CBB20000}"/>
    <cellStyle name="Normal 628 6" xfId="13220" xr:uid="{00000000-0005-0000-0000-0000CCB20000}"/>
    <cellStyle name="Normal 628 6 2" xfId="30865" xr:uid="{00000000-0005-0000-0000-0000CDB20000}"/>
    <cellStyle name="Normal 628 7" xfId="24296" xr:uid="{00000000-0005-0000-0000-0000CEB20000}"/>
    <cellStyle name="Normal 629" xfId="5223" xr:uid="{00000000-0005-0000-0000-0000CFB20000}"/>
    <cellStyle name="Normal 629 2" xfId="6015" xr:uid="{00000000-0005-0000-0000-0000D0B20000}"/>
    <cellStyle name="Normal 629 2 2" xfId="9315" xr:uid="{00000000-0005-0000-0000-0000D1B20000}"/>
    <cellStyle name="Normal 629 2 2 2" xfId="17110" xr:uid="{00000000-0005-0000-0000-0000D2B20000}"/>
    <cellStyle name="Normal 629 2 2 2 2" xfId="34746" xr:uid="{00000000-0005-0000-0000-0000D3B20000}"/>
    <cellStyle name="Normal 629 2 2 3" xfId="27703" xr:uid="{00000000-0005-0000-0000-0000D4B20000}"/>
    <cellStyle name="Normal 629 2 3" xfId="13871" xr:uid="{00000000-0005-0000-0000-0000D5B20000}"/>
    <cellStyle name="Normal 629 2 3 2" xfId="31511" xr:uid="{00000000-0005-0000-0000-0000D6B20000}"/>
    <cellStyle name="Normal 629 2 4" xfId="24838" xr:uid="{00000000-0005-0000-0000-0000D7B20000}"/>
    <cellStyle name="Normal 629 3" xfId="6645" xr:uid="{00000000-0005-0000-0000-0000D8B20000}"/>
    <cellStyle name="Normal 629 3 2" xfId="9855" xr:uid="{00000000-0005-0000-0000-0000D9B20000}"/>
    <cellStyle name="Normal 629 3 2 2" xfId="17649" xr:uid="{00000000-0005-0000-0000-0000DAB20000}"/>
    <cellStyle name="Normal 629 3 2 2 2" xfId="35286" xr:uid="{00000000-0005-0000-0000-0000DBB20000}"/>
    <cellStyle name="Normal 629 3 2 3" xfId="28239" xr:uid="{00000000-0005-0000-0000-0000DCB20000}"/>
    <cellStyle name="Normal 629 3 3" xfId="14434" xr:uid="{00000000-0005-0000-0000-0000DDB20000}"/>
    <cellStyle name="Normal 629 3 3 2" xfId="32069" xr:uid="{00000000-0005-0000-0000-0000DEB20000}"/>
    <cellStyle name="Normal 629 3 4" xfId="25375" xr:uid="{00000000-0005-0000-0000-0000DFB20000}"/>
    <cellStyle name="Normal 629 4" xfId="7421" xr:uid="{00000000-0005-0000-0000-0000E0B20000}"/>
    <cellStyle name="Normal 629 4 2" xfId="10409" xr:uid="{00000000-0005-0000-0000-0000E1B20000}"/>
    <cellStyle name="Normal 629 4 2 2" xfId="18202" xr:uid="{00000000-0005-0000-0000-0000E2B20000}"/>
    <cellStyle name="Normal 629 4 2 2 2" xfId="35839" xr:uid="{00000000-0005-0000-0000-0000E3B20000}"/>
    <cellStyle name="Normal 629 4 2 3" xfId="28776" xr:uid="{00000000-0005-0000-0000-0000E4B20000}"/>
    <cellStyle name="Normal 629 4 3" xfId="15209" xr:uid="{00000000-0005-0000-0000-0000E5B20000}"/>
    <cellStyle name="Normal 629 4 3 2" xfId="32844" xr:uid="{00000000-0005-0000-0000-0000E6B20000}"/>
    <cellStyle name="Normal 629 4 4" xfId="25913" xr:uid="{00000000-0005-0000-0000-0000E7B20000}"/>
    <cellStyle name="Normal 629 5" xfId="8761" xr:uid="{00000000-0005-0000-0000-0000E8B20000}"/>
    <cellStyle name="Normal 629 5 2" xfId="16557" xr:uid="{00000000-0005-0000-0000-0000E9B20000}"/>
    <cellStyle name="Normal 629 5 2 2" xfId="34192" xr:uid="{00000000-0005-0000-0000-0000EAB20000}"/>
    <cellStyle name="Normal 629 5 3" xfId="27162" xr:uid="{00000000-0005-0000-0000-0000EBB20000}"/>
    <cellStyle name="Normal 629 6" xfId="13221" xr:uid="{00000000-0005-0000-0000-0000ECB20000}"/>
    <cellStyle name="Normal 629 6 2" xfId="30866" xr:uid="{00000000-0005-0000-0000-0000EDB20000}"/>
    <cellStyle name="Normal 629 7" xfId="24297" xr:uid="{00000000-0005-0000-0000-0000EEB20000}"/>
    <cellStyle name="Normal 63" xfId="3003" xr:uid="{00000000-0005-0000-0000-0000EFB20000}"/>
    <cellStyle name="Normal 63 2" xfId="5224" xr:uid="{00000000-0005-0000-0000-0000F0B20000}"/>
    <cellStyle name="Normal 63 3" xfId="52614" xr:uid="{00000000-0005-0000-0000-0000F1B20000}"/>
    <cellStyle name="Normal 630" xfId="5225" xr:uid="{00000000-0005-0000-0000-0000F2B20000}"/>
    <cellStyle name="Normal 630 2" xfId="6016" xr:uid="{00000000-0005-0000-0000-0000F3B20000}"/>
    <cellStyle name="Normal 630 2 2" xfId="9316" xr:uid="{00000000-0005-0000-0000-0000F4B20000}"/>
    <cellStyle name="Normal 630 2 2 2" xfId="17111" xr:uid="{00000000-0005-0000-0000-0000F5B20000}"/>
    <cellStyle name="Normal 630 2 2 2 2" xfId="34747" xr:uid="{00000000-0005-0000-0000-0000F6B20000}"/>
    <cellStyle name="Normal 630 2 2 3" xfId="27704" xr:uid="{00000000-0005-0000-0000-0000F7B20000}"/>
    <cellStyle name="Normal 630 2 3" xfId="13872" xr:uid="{00000000-0005-0000-0000-0000F8B20000}"/>
    <cellStyle name="Normal 630 2 3 2" xfId="31512" xr:uid="{00000000-0005-0000-0000-0000F9B20000}"/>
    <cellStyle name="Normal 630 2 4" xfId="24839" xr:uid="{00000000-0005-0000-0000-0000FAB20000}"/>
    <cellStyle name="Normal 630 3" xfId="6646" xr:uid="{00000000-0005-0000-0000-0000FBB20000}"/>
    <cellStyle name="Normal 630 3 2" xfId="9856" xr:uid="{00000000-0005-0000-0000-0000FCB20000}"/>
    <cellStyle name="Normal 630 3 2 2" xfId="17650" xr:uid="{00000000-0005-0000-0000-0000FDB20000}"/>
    <cellStyle name="Normal 630 3 2 2 2" xfId="35287" xr:uid="{00000000-0005-0000-0000-0000FEB20000}"/>
    <cellStyle name="Normal 630 3 2 3" xfId="28240" xr:uid="{00000000-0005-0000-0000-0000FFB20000}"/>
    <cellStyle name="Normal 630 3 3" xfId="14435" xr:uid="{00000000-0005-0000-0000-000000B30000}"/>
    <cellStyle name="Normal 630 3 3 2" xfId="32070" xr:uid="{00000000-0005-0000-0000-000001B30000}"/>
    <cellStyle name="Normal 630 3 4" xfId="25376" xr:uid="{00000000-0005-0000-0000-000002B30000}"/>
    <cellStyle name="Normal 630 4" xfId="7422" xr:uid="{00000000-0005-0000-0000-000003B30000}"/>
    <cellStyle name="Normal 630 4 2" xfId="10410" xr:uid="{00000000-0005-0000-0000-000004B30000}"/>
    <cellStyle name="Normal 630 4 2 2" xfId="18203" xr:uid="{00000000-0005-0000-0000-000005B30000}"/>
    <cellStyle name="Normal 630 4 2 2 2" xfId="35840" xr:uid="{00000000-0005-0000-0000-000006B30000}"/>
    <cellStyle name="Normal 630 4 2 3" xfId="28777" xr:uid="{00000000-0005-0000-0000-000007B30000}"/>
    <cellStyle name="Normal 630 4 3" xfId="15210" xr:uid="{00000000-0005-0000-0000-000008B30000}"/>
    <cellStyle name="Normal 630 4 3 2" xfId="32845" xr:uid="{00000000-0005-0000-0000-000009B30000}"/>
    <cellStyle name="Normal 630 4 4" xfId="25914" xr:uid="{00000000-0005-0000-0000-00000AB30000}"/>
    <cellStyle name="Normal 630 5" xfId="8762" xr:uid="{00000000-0005-0000-0000-00000BB30000}"/>
    <cellStyle name="Normal 630 5 2" xfId="16558" xr:uid="{00000000-0005-0000-0000-00000CB30000}"/>
    <cellStyle name="Normal 630 5 2 2" xfId="34193" xr:uid="{00000000-0005-0000-0000-00000DB30000}"/>
    <cellStyle name="Normal 630 5 3" xfId="27163" xr:uid="{00000000-0005-0000-0000-00000EB30000}"/>
    <cellStyle name="Normal 630 6" xfId="13222" xr:uid="{00000000-0005-0000-0000-00000FB30000}"/>
    <cellStyle name="Normal 630 6 2" xfId="30867" xr:uid="{00000000-0005-0000-0000-000010B30000}"/>
    <cellStyle name="Normal 630 7" xfId="24298" xr:uid="{00000000-0005-0000-0000-000011B30000}"/>
    <cellStyle name="Normal 631" xfId="5226" xr:uid="{00000000-0005-0000-0000-000012B30000}"/>
    <cellStyle name="Normal 631 2" xfId="6017" xr:uid="{00000000-0005-0000-0000-000013B30000}"/>
    <cellStyle name="Normal 631 2 2" xfId="9317" xr:uid="{00000000-0005-0000-0000-000014B30000}"/>
    <cellStyle name="Normal 631 2 2 2" xfId="17112" xr:uid="{00000000-0005-0000-0000-000015B30000}"/>
    <cellStyle name="Normal 631 2 2 2 2" xfId="34748" xr:uid="{00000000-0005-0000-0000-000016B30000}"/>
    <cellStyle name="Normal 631 2 2 3" xfId="27705" xr:uid="{00000000-0005-0000-0000-000017B30000}"/>
    <cellStyle name="Normal 631 2 3" xfId="13873" xr:uid="{00000000-0005-0000-0000-000018B30000}"/>
    <cellStyle name="Normal 631 2 3 2" xfId="31513" xr:uid="{00000000-0005-0000-0000-000019B30000}"/>
    <cellStyle name="Normal 631 2 4" xfId="24840" xr:uid="{00000000-0005-0000-0000-00001AB30000}"/>
    <cellStyle name="Normal 631 3" xfId="6647" xr:uid="{00000000-0005-0000-0000-00001BB30000}"/>
    <cellStyle name="Normal 631 3 2" xfId="9857" xr:uid="{00000000-0005-0000-0000-00001CB30000}"/>
    <cellStyle name="Normal 631 3 2 2" xfId="17651" xr:uid="{00000000-0005-0000-0000-00001DB30000}"/>
    <cellStyle name="Normal 631 3 2 2 2" xfId="35288" xr:uid="{00000000-0005-0000-0000-00001EB30000}"/>
    <cellStyle name="Normal 631 3 2 3" xfId="28241" xr:uid="{00000000-0005-0000-0000-00001FB30000}"/>
    <cellStyle name="Normal 631 3 3" xfId="14436" xr:uid="{00000000-0005-0000-0000-000020B30000}"/>
    <cellStyle name="Normal 631 3 3 2" xfId="32071" xr:uid="{00000000-0005-0000-0000-000021B30000}"/>
    <cellStyle name="Normal 631 3 4" xfId="25377" xr:uid="{00000000-0005-0000-0000-000022B30000}"/>
    <cellStyle name="Normal 631 4" xfId="7423" xr:uid="{00000000-0005-0000-0000-000023B30000}"/>
    <cellStyle name="Normal 631 4 2" xfId="10411" xr:uid="{00000000-0005-0000-0000-000024B30000}"/>
    <cellStyle name="Normal 631 4 2 2" xfId="18204" xr:uid="{00000000-0005-0000-0000-000025B30000}"/>
    <cellStyle name="Normal 631 4 2 2 2" xfId="35841" xr:uid="{00000000-0005-0000-0000-000026B30000}"/>
    <cellStyle name="Normal 631 4 2 3" xfId="28778" xr:uid="{00000000-0005-0000-0000-000027B30000}"/>
    <cellStyle name="Normal 631 4 3" xfId="15211" xr:uid="{00000000-0005-0000-0000-000028B30000}"/>
    <cellStyle name="Normal 631 4 3 2" xfId="32846" xr:uid="{00000000-0005-0000-0000-000029B30000}"/>
    <cellStyle name="Normal 631 4 4" xfId="25915" xr:uid="{00000000-0005-0000-0000-00002AB30000}"/>
    <cellStyle name="Normal 631 5" xfId="8763" xr:uid="{00000000-0005-0000-0000-00002BB30000}"/>
    <cellStyle name="Normal 631 5 2" xfId="16559" xr:uid="{00000000-0005-0000-0000-00002CB30000}"/>
    <cellStyle name="Normal 631 5 2 2" xfId="34194" xr:uid="{00000000-0005-0000-0000-00002DB30000}"/>
    <cellStyle name="Normal 631 5 3" xfId="27164" xr:uid="{00000000-0005-0000-0000-00002EB30000}"/>
    <cellStyle name="Normal 631 6" xfId="13223" xr:uid="{00000000-0005-0000-0000-00002FB30000}"/>
    <cellStyle name="Normal 631 6 2" xfId="30868" xr:uid="{00000000-0005-0000-0000-000030B30000}"/>
    <cellStyle name="Normal 631 7" xfId="24299" xr:uid="{00000000-0005-0000-0000-000031B30000}"/>
    <cellStyle name="Normal 632" xfId="5227" xr:uid="{00000000-0005-0000-0000-000032B30000}"/>
    <cellStyle name="Normal 632 2" xfId="6018" xr:uid="{00000000-0005-0000-0000-000033B30000}"/>
    <cellStyle name="Normal 632 2 2" xfId="9318" xr:uid="{00000000-0005-0000-0000-000034B30000}"/>
    <cellStyle name="Normal 632 2 2 2" xfId="17113" xr:uid="{00000000-0005-0000-0000-000035B30000}"/>
    <cellStyle name="Normal 632 2 2 2 2" xfId="34749" xr:uid="{00000000-0005-0000-0000-000036B30000}"/>
    <cellStyle name="Normal 632 2 2 3" xfId="27706" xr:uid="{00000000-0005-0000-0000-000037B30000}"/>
    <cellStyle name="Normal 632 2 3" xfId="13874" xr:uid="{00000000-0005-0000-0000-000038B30000}"/>
    <cellStyle name="Normal 632 2 3 2" xfId="31514" xr:uid="{00000000-0005-0000-0000-000039B30000}"/>
    <cellStyle name="Normal 632 2 4" xfId="24841" xr:uid="{00000000-0005-0000-0000-00003AB30000}"/>
    <cellStyle name="Normal 632 3" xfId="6648" xr:uid="{00000000-0005-0000-0000-00003BB30000}"/>
    <cellStyle name="Normal 632 3 2" xfId="9858" xr:uid="{00000000-0005-0000-0000-00003CB30000}"/>
    <cellStyle name="Normal 632 3 2 2" xfId="17652" xr:uid="{00000000-0005-0000-0000-00003DB30000}"/>
    <cellStyle name="Normal 632 3 2 2 2" xfId="35289" xr:uid="{00000000-0005-0000-0000-00003EB30000}"/>
    <cellStyle name="Normal 632 3 2 3" xfId="28242" xr:uid="{00000000-0005-0000-0000-00003FB30000}"/>
    <cellStyle name="Normal 632 3 3" xfId="14437" xr:uid="{00000000-0005-0000-0000-000040B30000}"/>
    <cellStyle name="Normal 632 3 3 2" xfId="32072" xr:uid="{00000000-0005-0000-0000-000041B30000}"/>
    <cellStyle name="Normal 632 3 4" xfId="25378" xr:uid="{00000000-0005-0000-0000-000042B30000}"/>
    <cellStyle name="Normal 632 4" xfId="7424" xr:uid="{00000000-0005-0000-0000-000043B30000}"/>
    <cellStyle name="Normal 632 4 2" xfId="10412" xr:uid="{00000000-0005-0000-0000-000044B30000}"/>
    <cellStyle name="Normal 632 4 2 2" xfId="18205" xr:uid="{00000000-0005-0000-0000-000045B30000}"/>
    <cellStyle name="Normal 632 4 2 2 2" xfId="35842" xr:uid="{00000000-0005-0000-0000-000046B30000}"/>
    <cellStyle name="Normal 632 4 2 3" xfId="28779" xr:uid="{00000000-0005-0000-0000-000047B30000}"/>
    <cellStyle name="Normal 632 4 3" xfId="15212" xr:uid="{00000000-0005-0000-0000-000048B30000}"/>
    <cellStyle name="Normal 632 4 3 2" xfId="32847" xr:uid="{00000000-0005-0000-0000-000049B30000}"/>
    <cellStyle name="Normal 632 4 4" xfId="25916" xr:uid="{00000000-0005-0000-0000-00004AB30000}"/>
    <cellStyle name="Normal 632 5" xfId="8764" xr:uid="{00000000-0005-0000-0000-00004BB30000}"/>
    <cellStyle name="Normal 632 5 2" xfId="16560" xr:uid="{00000000-0005-0000-0000-00004CB30000}"/>
    <cellStyle name="Normal 632 5 2 2" xfId="34195" xr:uid="{00000000-0005-0000-0000-00004DB30000}"/>
    <cellStyle name="Normal 632 5 3" xfId="27165" xr:uid="{00000000-0005-0000-0000-00004EB30000}"/>
    <cellStyle name="Normal 632 6" xfId="13224" xr:uid="{00000000-0005-0000-0000-00004FB30000}"/>
    <cellStyle name="Normal 632 6 2" xfId="30869" xr:uid="{00000000-0005-0000-0000-000050B30000}"/>
    <cellStyle name="Normal 632 7" xfId="24300" xr:uid="{00000000-0005-0000-0000-000051B30000}"/>
    <cellStyle name="Normal 633" xfId="5228" xr:uid="{00000000-0005-0000-0000-000052B30000}"/>
    <cellStyle name="Normal 633 2" xfId="6019" xr:uid="{00000000-0005-0000-0000-000053B30000}"/>
    <cellStyle name="Normal 633 2 2" xfId="9319" xr:uid="{00000000-0005-0000-0000-000054B30000}"/>
    <cellStyle name="Normal 633 2 2 2" xfId="17114" xr:uid="{00000000-0005-0000-0000-000055B30000}"/>
    <cellStyle name="Normal 633 2 2 2 2" xfId="34750" xr:uid="{00000000-0005-0000-0000-000056B30000}"/>
    <cellStyle name="Normal 633 2 2 3" xfId="27707" xr:uid="{00000000-0005-0000-0000-000057B30000}"/>
    <cellStyle name="Normal 633 2 3" xfId="13875" xr:uid="{00000000-0005-0000-0000-000058B30000}"/>
    <cellStyle name="Normal 633 2 3 2" xfId="31515" xr:uid="{00000000-0005-0000-0000-000059B30000}"/>
    <cellStyle name="Normal 633 2 4" xfId="24842" xr:uid="{00000000-0005-0000-0000-00005AB30000}"/>
    <cellStyle name="Normal 633 3" xfId="6649" xr:uid="{00000000-0005-0000-0000-00005BB30000}"/>
    <cellStyle name="Normal 633 3 2" xfId="9859" xr:uid="{00000000-0005-0000-0000-00005CB30000}"/>
    <cellStyle name="Normal 633 3 2 2" xfId="17653" xr:uid="{00000000-0005-0000-0000-00005DB30000}"/>
    <cellStyle name="Normal 633 3 2 2 2" xfId="35290" xr:uid="{00000000-0005-0000-0000-00005EB30000}"/>
    <cellStyle name="Normal 633 3 2 3" xfId="28243" xr:uid="{00000000-0005-0000-0000-00005FB30000}"/>
    <cellStyle name="Normal 633 3 3" xfId="14438" xr:uid="{00000000-0005-0000-0000-000060B30000}"/>
    <cellStyle name="Normal 633 3 3 2" xfId="32073" xr:uid="{00000000-0005-0000-0000-000061B30000}"/>
    <cellStyle name="Normal 633 3 4" xfId="25379" xr:uid="{00000000-0005-0000-0000-000062B30000}"/>
    <cellStyle name="Normal 633 4" xfId="7425" xr:uid="{00000000-0005-0000-0000-000063B30000}"/>
    <cellStyle name="Normal 633 4 2" xfId="10413" xr:uid="{00000000-0005-0000-0000-000064B30000}"/>
    <cellStyle name="Normal 633 4 2 2" xfId="18206" xr:uid="{00000000-0005-0000-0000-000065B30000}"/>
    <cellStyle name="Normal 633 4 2 2 2" xfId="35843" xr:uid="{00000000-0005-0000-0000-000066B30000}"/>
    <cellStyle name="Normal 633 4 2 3" xfId="28780" xr:uid="{00000000-0005-0000-0000-000067B30000}"/>
    <cellStyle name="Normal 633 4 3" xfId="15213" xr:uid="{00000000-0005-0000-0000-000068B30000}"/>
    <cellStyle name="Normal 633 4 3 2" xfId="32848" xr:uid="{00000000-0005-0000-0000-000069B30000}"/>
    <cellStyle name="Normal 633 4 4" xfId="25917" xr:uid="{00000000-0005-0000-0000-00006AB30000}"/>
    <cellStyle name="Normal 633 5" xfId="8765" xr:uid="{00000000-0005-0000-0000-00006BB30000}"/>
    <cellStyle name="Normal 633 5 2" xfId="16561" xr:uid="{00000000-0005-0000-0000-00006CB30000}"/>
    <cellStyle name="Normal 633 5 2 2" xfId="34196" xr:uid="{00000000-0005-0000-0000-00006DB30000}"/>
    <cellStyle name="Normal 633 5 3" xfId="27166" xr:uid="{00000000-0005-0000-0000-00006EB30000}"/>
    <cellStyle name="Normal 633 6" xfId="13225" xr:uid="{00000000-0005-0000-0000-00006FB30000}"/>
    <cellStyle name="Normal 633 6 2" xfId="30870" xr:uid="{00000000-0005-0000-0000-000070B30000}"/>
    <cellStyle name="Normal 633 7" xfId="24301" xr:uid="{00000000-0005-0000-0000-000071B30000}"/>
    <cellStyle name="Normal 634" xfId="5229" xr:uid="{00000000-0005-0000-0000-000072B30000}"/>
    <cellStyle name="Normal 634 2" xfId="6020" xr:uid="{00000000-0005-0000-0000-000073B30000}"/>
    <cellStyle name="Normal 634 2 2" xfId="9320" xr:uid="{00000000-0005-0000-0000-000074B30000}"/>
    <cellStyle name="Normal 634 2 2 2" xfId="17115" xr:uid="{00000000-0005-0000-0000-000075B30000}"/>
    <cellStyle name="Normal 634 2 2 2 2" xfId="34751" xr:uid="{00000000-0005-0000-0000-000076B30000}"/>
    <cellStyle name="Normal 634 2 2 3" xfId="27708" xr:uid="{00000000-0005-0000-0000-000077B30000}"/>
    <cellStyle name="Normal 634 2 3" xfId="13876" xr:uid="{00000000-0005-0000-0000-000078B30000}"/>
    <cellStyle name="Normal 634 2 3 2" xfId="31516" xr:uid="{00000000-0005-0000-0000-000079B30000}"/>
    <cellStyle name="Normal 634 2 4" xfId="24843" xr:uid="{00000000-0005-0000-0000-00007AB30000}"/>
    <cellStyle name="Normal 634 3" xfId="6650" xr:uid="{00000000-0005-0000-0000-00007BB30000}"/>
    <cellStyle name="Normal 634 3 2" xfId="9860" xr:uid="{00000000-0005-0000-0000-00007CB30000}"/>
    <cellStyle name="Normal 634 3 2 2" xfId="17654" xr:uid="{00000000-0005-0000-0000-00007DB30000}"/>
    <cellStyle name="Normal 634 3 2 2 2" xfId="35291" xr:uid="{00000000-0005-0000-0000-00007EB30000}"/>
    <cellStyle name="Normal 634 3 2 3" xfId="28244" xr:uid="{00000000-0005-0000-0000-00007FB30000}"/>
    <cellStyle name="Normal 634 3 3" xfId="14439" xr:uid="{00000000-0005-0000-0000-000080B30000}"/>
    <cellStyle name="Normal 634 3 3 2" xfId="32074" xr:uid="{00000000-0005-0000-0000-000081B30000}"/>
    <cellStyle name="Normal 634 3 4" xfId="25380" xr:uid="{00000000-0005-0000-0000-000082B30000}"/>
    <cellStyle name="Normal 634 4" xfId="7426" xr:uid="{00000000-0005-0000-0000-000083B30000}"/>
    <cellStyle name="Normal 634 4 2" xfId="10414" xr:uid="{00000000-0005-0000-0000-000084B30000}"/>
    <cellStyle name="Normal 634 4 2 2" xfId="18207" xr:uid="{00000000-0005-0000-0000-000085B30000}"/>
    <cellStyle name="Normal 634 4 2 2 2" xfId="35844" xr:uid="{00000000-0005-0000-0000-000086B30000}"/>
    <cellStyle name="Normal 634 4 2 3" xfId="28781" xr:uid="{00000000-0005-0000-0000-000087B30000}"/>
    <cellStyle name="Normal 634 4 3" xfId="15214" xr:uid="{00000000-0005-0000-0000-000088B30000}"/>
    <cellStyle name="Normal 634 4 3 2" xfId="32849" xr:uid="{00000000-0005-0000-0000-000089B30000}"/>
    <cellStyle name="Normal 634 4 4" xfId="25918" xr:uid="{00000000-0005-0000-0000-00008AB30000}"/>
    <cellStyle name="Normal 634 5" xfId="8766" xr:uid="{00000000-0005-0000-0000-00008BB30000}"/>
    <cellStyle name="Normal 634 5 2" xfId="16562" xr:uid="{00000000-0005-0000-0000-00008CB30000}"/>
    <cellStyle name="Normal 634 5 2 2" xfId="34197" xr:uid="{00000000-0005-0000-0000-00008DB30000}"/>
    <cellStyle name="Normal 634 5 3" xfId="27167" xr:uid="{00000000-0005-0000-0000-00008EB30000}"/>
    <cellStyle name="Normal 634 6" xfId="13226" xr:uid="{00000000-0005-0000-0000-00008FB30000}"/>
    <cellStyle name="Normal 634 6 2" xfId="30871" xr:uid="{00000000-0005-0000-0000-000090B30000}"/>
    <cellStyle name="Normal 634 7" xfId="24302" xr:uid="{00000000-0005-0000-0000-000091B30000}"/>
    <cellStyle name="Normal 635" xfId="5230" xr:uid="{00000000-0005-0000-0000-000092B30000}"/>
    <cellStyle name="Normal 635 2" xfId="6021" xr:uid="{00000000-0005-0000-0000-000093B30000}"/>
    <cellStyle name="Normal 635 2 2" xfId="9321" xr:uid="{00000000-0005-0000-0000-000094B30000}"/>
    <cellStyle name="Normal 635 2 2 2" xfId="17116" xr:uid="{00000000-0005-0000-0000-000095B30000}"/>
    <cellStyle name="Normal 635 2 2 2 2" xfId="34752" xr:uid="{00000000-0005-0000-0000-000096B30000}"/>
    <cellStyle name="Normal 635 2 2 3" xfId="27709" xr:uid="{00000000-0005-0000-0000-000097B30000}"/>
    <cellStyle name="Normal 635 2 3" xfId="13877" xr:uid="{00000000-0005-0000-0000-000098B30000}"/>
    <cellStyle name="Normal 635 2 3 2" xfId="31517" xr:uid="{00000000-0005-0000-0000-000099B30000}"/>
    <cellStyle name="Normal 635 2 4" xfId="24844" xr:uid="{00000000-0005-0000-0000-00009AB30000}"/>
    <cellStyle name="Normal 635 3" xfId="6651" xr:uid="{00000000-0005-0000-0000-00009BB30000}"/>
    <cellStyle name="Normal 635 3 2" xfId="9861" xr:uid="{00000000-0005-0000-0000-00009CB30000}"/>
    <cellStyle name="Normal 635 3 2 2" xfId="17655" xr:uid="{00000000-0005-0000-0000-00009DB30000}"/>
    <cellStyle name="Normal 635 3 2 2 2" xfId="35292" xr:uid="{00000000-0005-0000-0000-00009EB30000}"/>
    <cellStyle name="Normal 635 3 2 3" xfId="28245" xr:uid="{00000000-0005-0000-0000-00009FB30000}"/>
    <cellStyle name="Normal 635 3 3" xfId="14440" xr:uid="{00000000-0005-0000-0000-0000A0B30000}"/>
    <cellStyle name="Normal 635 3 3 2" xfId="32075" xr:uid="{00000000-0005-0000-0000-0000A1B30000}"/>
    <cellStyle name="Normal 635 3 4" xfId="25381" xr:uid="{00000000-0005-0000-0000-0000A2B30000}"/>
    <cellStyle name="Normal 635 4" xfId="7427" xr:uid="{00000000-0005-0000-0000-0000A3B30000}"/>
    <cellStyle name="Normal 635 4 2" xfId="10415" xr:uid="{00000000-0005-0000-0000-0000A4B30000}"/>
    <cellStyle name="Normal 635 4 2 2" xfId="18208" xr:uid="{00000000-0005-0000-0000-0000A5B30000}"/>
    <cellStyle name="Normal 635 4 2 2 2" xfId="35845" xr:uid="{00000000-0005-0000-0000-0000A6B30000}"/>
    <cellStyle name="Normal 635 4 2 3" xfId="28782" xr:uid="{00000000-0005-0000-0000-0000A7B30000}"/>
    <cellStyle name="Normal 635 4 3" xfId="15215" xr:uid="{00000000-0005-0000-0000-0000A8B30000}"/>
    <cellStyle name="Normal 635 4 3 2" xfId="32850" xr:uid="{00000000-0005-0000-0000-0000A9B30000}"/>
    <cellStyle name="Normal 635 4 4" xfId="25919" xr:uid="{00000000-0005-0000-0000-0000AAB30000}"/>
    <cellStyle name="Normal 635 5" xfId="8767" xr:uid="{00000000-0005-0000-0000-0000ABB30000}"/>
    <cellStyle name="Normal 635 5 2" xfId="16563" xr:uid="{00000000-0005-0000-0000-0000ACB30000}"/>
    <cellStyle name="Normal 635 5 2 2" xfId="34198" xr:uid="{00000000-0005-0000-0000-0000ADB30000}"/>
    <cellStyle name="Normal 635 5 3" xfId="27168" xr:uid="{00000000-0005-0000-0000-0000AEB30000}"/>
    <cellStyle name="Normal 635 6" xfId="13227" xr:uid="{00000000-0005-0000-0000-0000AFB30000}"/>
    <cellStyle name="Normal 635 6 2" xfId="30872" xr:uid="{00000000-0005-0000-0000-0000B0B30000}"/>
    <cellStyle name="Normal 635 7" xfId="24303" xr:uid="{00000000-0005-0000-0000-0000B1B30000}"/>
    <cellStyle name="Normal 636" xfId="5231" xr:uid="{00000000-0005-0000-0000-0000B2B30000}"/>
    <cellStyle name="Normal 636 2" xfId="6022" xr:uid="{00000000-0005-0000-0000-0000B3B30000}"/>
    <cellStyle name="Normal 636 2 2" xfId="9322" xr:uid="{00000000-0005-0000-0000-0000B4B30000}"/>
    <cellStyle name="Normal 636 2 2 2" xfId="17117" xr:uid="{00000000-0005-0000-0000-0000B5B30000}"/>
    <cellStyle name="Normal 636 2 2 2 2" xfId="34753" xr:uid="{00000000-0005-0000-0000-0000B6B30000}"/>
    <cellStyle name="Normal 636 2 2 3" xfId="27710" xr:uid="{00000000-0005-0000-0000-0000B7B30000}"/>
    <cellStyle name="Normal 636 2 3" xfId="13878" xr:uid="{00000000-0005-0000-0000-0000B8B30000}"/>
    <cellStyle name="Normal 636 2 3 2" xfId="31518" xr:uid="{00000000-0005-0000-0000-0000B9B30000}"/>
    <cellStyle name="Normal 636 2 4" xfId="24845" xr:uid="{00000000-0005-0000-0000-0000BAB30000}"/>
    <cellStyle name="Normal 636 3" xfId="6652" xr:uid="{00000000-0005-0000-0000-0000BBB30000}"/>
    <cellStyle name="Normal 636 3 2" xfId="9862" xr:uid="{00000000-0005-0000-0000-0000BCB30000}"/>
    <cellStyle name="Normal 636 3 2 2" xfId="17656" xr:uid="{00000000-0005-0000-0000-0000BDB30000}"/>
    <cellStyle name="Normal 636 3 2 2 2" xfId="35293" xr:uid="{00000000-0005-0000-0000-0000BEB30000}"/>
    <cellStyle name="Normal 636 3 2 3" xfId="28246" xr:uid="{00000000-0005-0000-0000-0000BFB30000}"/>
    <cellStyle name="Normal 636 3 3" xfId="14441" xr:uid="{00000000-0005-0000-0000-0000C0B30000}"/>
    <cellStyle name="Normal 636 3 3 2" xfId="32076" xr:uid="{00000000-0005-0000-0000-0000C1B30000}"/>
    <cellStyle name="Normal 636 3 4" xfId="25382" xr:uid="{00000000-0005-0000-0000-0000C2B30000}"/>
    <cellStyle name="Normal 636 4" xfId="7428" xr:uid="{00000000-0005-0000-0000-0000C3B30000}"/>
    <cellStyle name="Normal 636 4 2" xfId="10416" xr:uid="{00000000-0005-0000-0000-0000C4B30000}"/>
    <cellStyle name="Normal 636 4 2 2" xfId="18209" xr:uid="{00000000-0005-0000-0000-0000C5B30000}"/>
    <cellStyle name="Normal 636 4 2 2 2" xfId="35846" xr:uid="{00000000-0005-0000-0000-0000C6B30000}"/>
    <cellStyle name="Normal 636 4 2 3" xfId="28783" xr:uid="{00000000-0005-0000-0000-0000C7B30000}"/>
    <cellStyle name="Normal 636 4 3" xfId="15216" xr:uid="{00000000-0005-0000-0000-0000C8B30000}"/>
    <cellStyle name="Normal 636 4 3 2" xfId="32851" xr:uid="{00000000-0005-0000-0000-0000C9B30000}"/>
    <cellStyle name="Normal 636 4 4" xfId="25920" xr:uid="{00000000-0005-0000-0000-0000CAB30000}"/>
    <cellStyle name="Normal 636 5" xfId="8768" xr:uid="{00000000-0005-0000-0000-0000CBB30000}"/>
    <cellStyle name="Normal 636 5 2" xfId="16564" xr:uid="{00000000-0005-0000-0000-0000CCB30000}"/>
    <cellStyle name="Normal 636 5 2 2" xfId="34199" xr:uid="{00000000-0005-0000-0000-0000CDB30000}"/>
    <cellStyle name="Normal 636 5 3" xfId="27169" xr:uid="{00000000-0005-0000-0000-0000CEB30000}"/>
    <cellStyle name="Normal 636 6" xfId="13228" xr:uid="{00000000-0005-0000-0000-0000CFB30000}"/>
    <cellStyle name="Normal 636 6 2" xfId="30873" xr:uid="{00000000-0005-0000-0000-0000D0B30000}"/>
    <cellStyle name="Normal 636 7" xfId="24304" xr:uid="{00000000-0005-0000-0000-0000D1B30000}"/>
    <cellStyle name="Normal 637" xfId="5232" xr:uid="{00000000-0005-0000-0000-0000D2B30000}"/>
    <cellStyle name="Normal 637 2" xfId="6023" xr:uid="{00000000-0005-0000-0000-0000D3B30000}"/>
    <cellStyle name="Normal 637 2 2" xfId="9323" xr:uid="{00000000-0005-0000-0000-0000D4B30000}"/>
    <cellStyle name="Normal 637 2 2 2" xfId="17118" xr:uid="{00000000-0005-0000-0000-0000D5B30000}"/>
    <cellStyle name="Normal 637 2 2 2 2" xfId="34754" xr:uid="{00000000-0005-0000-0000-0000D6B30000}"/>
    <cellStyle name="Normal 637 2 2 3" xfId="27711" xr:uid="{00000000-0005-0000-0000-0000D7B30000}"/>
    <cellStyle name="Normal 637 2 3" xfId="13879" xr:uid="{00000000-0005-0000-0000-0000D8B30000}"/>
    <cellStyle name="Normal 637 2 3 2" xfId="31519" xr:uid="{00000000-0005-0000-0000-0000D9B30000}"/>
    <cellStyle name="Normal 637 2 4" xfId="24846" xr:uid="{00000000-0005-0000-0000-0000DAB30000}"/>
    <cellStyle name="Normal 637 3" xfId="6653" xr:uid="{00000000-0005-0000-0000-0000DBB30000}"/>
    <cellStyle name="Normal 637 3 2" xfId="9863" xr:uid="{00000000-0005-0000-0000-0000DCB30000}"/>
    <cellStyle name="Normal 637 3 2 2" xfId="17657" xr:uid="{00000000-0005-0000-0000-0000DDB30000}"/>
    <cellStyle name="Normal 637 3 2 2 2" xfId="35294" xr:uid="{00000000-0005-0000-0000-0000DEB30000}"/>
    <cellStyle name="Normal 637 3 2 3" xfId="28247" xr:uid="{00000000-0005-0000-0000-0000DFB30000}"/>
    <cellStyle name="Normal 637 3 3" xfId="14442" xr:uid="{00000000-0005-0000-0000-0000E0B30000}"/>
    <cellStyle name="Normal 637 3 3 2" xfId="32077" xr:uid="{00000000-0005-0000-0000-0000E1B30000}"/>
    <cellStyle name="Normal 637 3 4" xfId="25383" xr:uid="{00000000-0005-0000-0000-0000E2B30000}"/>
    <cellStyle name="Normal 637 4" xfId="7429" xr:uid="{00000000-0005-0000-0000-0000E3B30000}"/>
    <cellStyle name="Normal 637 4 2" xfId="10417" xr:uid="{00000000-0005-0000-0000-0000E4B30000}"/>
    <cellStyle name="Normal 637 4 2 2" xfId="18210" xr:uid="{00000000-0005-0000-0000-0000E5B30000}"/>
    <cellStyle name="Normal 637 4 2 2 2" xfId="35847" xr:uid="{00000000-0005-0000-0000-0000E6B30000}"/>
    <cellStyle name="Normal 637 4 2 3" xfId="28784" xr:uid="{00000000-0005-0000-0000-0000E7B30000}"/>
    <cellStyle name="Normal 637 4 3" xfId="15217" xr:uid="{00000000-0005-0000-0000-0000E8B30000}"/>
    <cellStyle name="Normal 637 4 3 2" xfId="32852" xr:uid="{00000000-0005-0000-0000-0000E9B30000}"/>
    <cellStyle name="Normal 637 4 4" xfId="25921" xr:uid="{00000000-0005-0000-0000-0000EAB30000}"/>
    <cellStyle name="Normal 637 5" xfId="8769" xr:uid="{00000000-0005-0000-0000-0000EBB30000}"/>
    <cellStyle name="Normal 637 5 2" xfId="16565" xr:uid="{00000000-0005-0000-0000-0000ECB30000}"/>
    <cellStyle name="Normal 637 5 2 2" xfId="34200" xr:uid="{00000000-0005-0000-0000-0000EDB30000}"/>
    <cellStyle name="Normal 637 5 3" xfId="27170" xr:uid="{00000000-0005-0000-0000-0000EEB30000}"/>
    <cellStyle name="Normal 637 6" xfId="13229" xr:uid="{00000000-0005-0000-0000-0000EFB30000}"/>
    <cellStyle name="Normal 637 6 2" xfId="30874" xr:uid="{00000000-0005-0000-0000-0000F0B30000}"/>
    <cellStyle name="Normal 637 7" xfId="24305" xr:uid="{00000000-0005-0000-0000-0000F1B30000}"/>
    <cellStyle name="Normal 638" xfId="5233" xr:uid="{00000000-0005-0000-0000-0000F2B30000}"/>
    <cellStyle name="Normal 638 2" xfId="6024" xr:uid="{00000000-0005-0000-0000-0000F3B30000}"/>
    <cellStyle name="Normal 638 2 2" xfId="9324" xr:uid="{00000000-0005-0000-0000-0000F4B30000}"/>
    <cellStyle name="Normal 638 2 2 2" xfId="17119" xr:uid="{00000000-0005-0000-0000-0000F5B30000}"/>
    <cellStyle name="Normal 638 2 2 2 2" xfId="34755" xr:uid="{00000000-0005-0000-0000-0000F6B30000}"/>
    <cellStyle name="Normal 638 2 2 3" xfId="27712" xr:uid="{00000000-0005-0000-0000-0000F7B30000}"/>
    <cellStyle name="Normal 638 2 3" xfId="13880" xr:uid="{00000000-0005-0000-0000-0000F8B30000}"/>
    <cellStyle name="Normal 638 2 3 2" xfId="31520" xr:uid="{00000000-0005-0000-0000-0000F9B30000}"/>
    <cellStyle name="Normal 638 2 4" xfId="24847" xr:uid="{00000000-0005-0000-0000-0000FAB30000}"/>
    <cellStyle name="Normal 638 3" xfId="6654" xr:uid="{00000000-0005-0000-0000-0000FBB30000}"/>
    <cellStyle name="Normal 638 3 2" xfId="9864" xr:uid="{00000000-0005-0000-0000-0000FCB30000}"/>
    <cellStyle name="Normal 638 3 2 2" xfId="17658" xr:uid="{00000000-0005-0000-0000-0000FDB30000}"/>
    <cellStyle name="Normal 638 3 2 2 2" xfId="35295" xr:uid="{00000000-0005-0000-0000-0000FEB30000}"/>
    <cellStyle name="Normal 638 3 2 3" xfId="28248" xr:uid="{00000000-0005-0000-0000-0000FFB30000}"/>
    <cellStyle name="Normal 638 3 3" xfId="14443" xr:uid="{00000000-0005-0000-0000-000000B40000}"/>
    <cellStyle name="Normal 638 3 3 2" xfId="32078" xr:uid="{00000000-0005-0000-0000-000001B40000}"/>
    <cellStyle name="Normal 638 3 4" xfId="25384" xr:uid="{00000000-0005-0000-0000-000002B40000}"/>
    <cellStyle name="Normal 638 4" xfId="7430" xr:uid="{00000000-0005-0000-0000-000003B40000}"/>
    <cellStyle name="Normal 638 4 2" xfId="10418" xr:uid="{00000000-0005-0000-0000-000004B40000}"/>
    <cellStyle name="Normal 638 4 2 2" xfId="18211" xr:uid="{00000000-0005-0000-0000-000005B40000}"/>
    <cellStyle name="Normal 638 4 2 2 2" xfId="35848" xr:uid="{00000000-0005-0000-0000-000006B40000}"/>
    <cellStyle name="Normal 638 4 2 3" xfId="28785" xr:uid="{00000000-0005-0000-0000-000007B40000}"/>
    <cellStyle name="Normal 638 4 3" xfId="15218" xr:uid="{00000000-0005-0000-0000-000008B40000}"/>
    <cellStyle name="Normal 638 4 3 2" xfId="32853" xr:uid="{00000000-0005-0000-0000-000009B40000}"/>
    <cellStyle name="Normal 638 4 4" xfId="25922" xr:uid="{00000000-0005-0000-0000-00000AB40000}"/>
    <cellStyle name="Normal 638 5" xfId="8770" xr:uid="{00000000-0005-0000-0000-00000BB40000}"/>
    <cellStyle name="Normal 638 5 2" xfId="16566" xr:uid="{00000000-0005-0000-0000-00000CB40000}"/>
    <cellStyle name="Normal 638 5 2 2" xfId="34201" xr:uid="{00000000-0005-0000-0000-00000DB40000}"/>
    <cellStyle name="Normal 638 5 3" xfId="27171" xr:uid="{00000000-0005-0000-0000-00000EB40000}"/>
    <cellStyle name="Normal 638 6" xfId="13230" xr:uid="{00000000-0005-0000-0000-00000FB40000}"/>
    <cellStyle name="Normal 638 6 2" xfId="30875" xr:uid="{00000000-0005-0000-0000-000010B40000}"/>
    <cellStyle name="Normal 638 7" xfId="24306" xr:uid="{00000000-0005-0000-0000-000011B40000}"/>
    <cellStyle name="Normal 639" xfId="5234" xr:uid="{00000000-0005-0000-0000-000012B40000}"/>
    <cellStyle name="Normal 639 2" xfId="6025" xr:uid="{00000000-0005-0000-0000-000013B40000}"/>
    <cellStyle name="Normal 639 2 2" xfId="9325" xr:uid="{00000000-0005-0000-0000-000014B40000}"/>
    <cellStyle name="Normal 639 2 2 2" xfId="17120" xr:uid="{00000000-0005-0000-0000-000015B40000}"/>
    <cellStyle name="Normal 639 2 2 2 2" xfId="34756" xr:uid="{00000000-0005-0000-0000-000016B40000}"/>
    <cellStyle name="Normal 639 2 2 3" xfId="27713" xr:uid="{00000000-0005-0000-0000-000017B40000}"/>
    <cellStyle name="Normal 639 2 3" xfId="13881" xr:uid="{00000000-0005-0000-0000-000018B40000}"/>
    <cellStyle name="Normal 639 2 3 2" xfId="31521" xr:uid="{00000000-0005-0000-0000-000019B40000}"/>
    <cellStyle name="Normal 639 2 4" xfId="24848" xr:uid="{00000000-0005-0000-0000-00001AB40000}"/>
    <cellStyle name="Normal 639 3" xfId="6655" xr:uid="{00000000-0005-0000-0000-00001BB40000}"/>
    <cellStyle name="Normal 639 3 2" xfId="9865" xr:uid="{00000000-0005-0000-0000-00001CB40000}"/>
    <cellStyle name="Normal 639 3 2 2" xfId="17659" xr:uid="{00000000-0005-0000-0000-00001DB40000}"/>
    <cellStyle name="Normal 639 3 2 2 2" xfId="35296" xr:uid="{00000000-0005-0000-0000-00001EB40000}"/>
    <cellStyle name="Normal 639 3 2 3" xfId="28249" xr:uid="{00000000-0005-0000-0000-00001FB40000}"/>
    <cellStyle name="Normal 639 3 3" xfId="14444" xr:uid="{00000000-0005-0000-0000-000020B40000}"/>
    <cellStyle name="Normal 639 3 3 2" xfId="32079" xr:uid="{00000000-0005-0000-0000-000021B40000}"/>
    <cellStyle name="Normal 639 3 4" xfId="25385" xr:uid="{00000000-0005-0000-0000-000022B40000}"/>
    <cellStyle name="Normal 639 4" xfId="7431" xr:uid="{00000000-0005-0000-0000-000023B40000}"/>
    <cellStyle name="Normal 639 4 2" xfId="10419" xr:uid="{00000000-0005-0000-0000-000024B40000}"/>
    <cellStyle name="Normal 639 4 2 2" xfId="18212" xr:uid="{00000000-0005-0000-0000-000025B40000}"/>
    <cellStyle name="Normal 639 4 2 2 2" xfId="35849" xr:uid="{00000000-0005-0000-0000-000026B40000}"/>
    <cellStyle name="Normal 639 4 2 3" xfId="28786" xr:uid="{00000000-0005-0000-0000-000027B40000}"/>
    <cellStyle name="Normal 639 4 3" xfId="15219" xr:uid="{00000000-0005-0000-0000-000028B40000}"/>
    <cellStyle name="Normal 639 4 3 2" xfId="32854" xr:uid="{00000000-0005-0000-0000-000029B40000}"/>
    <cellStyle name="Normal 639 4 4" xfId="25923" xr:uid="{00000000-0005-0000-0000-00002AB40000}"/>
    <cellStyle name="Normal 639 5" xfId="8771" xr:uid="{00000000-0005-0000-0000-00002BB40000}"/>
    <cellStyle name="Normal 639 5 2" xfId="16567" xr:uid="{00000000-0005-0000-0000-00002CB40000}"/>
    <cellStyle name="Normal 639 5 2 2" xfId="34202" xr:uid="{00000000-0005-0000-0000-00002DB40000}"/>
    <cellStyle name="Normal 639 5 3" xfId="27172" xr:uid="{00000000-0005-0000-0000-00002EB40000}"/>
    <cellStyle name="Normal 639 6" xfId="13231" xr:uid="{00000000-0005-0000-0000-00002FB40000}"/>
    <cellStyle name="Normal 639 6 2" xfId="30876" xr:uid="{00000000-0005-0000-0000-000030B40000}"/>
    <cellStyle name="Normal 639 7" xfId="24307" xr:uid="{00000000-0005-0000-0000-000031B40000}"/>
    <cellStyle name="Normal 64" xfId="3004" xr:uid="{00000000-0005-0000-0000-000032B40000}"/>
    <cellStyle name="Normal 64 2" xfId="3005" xr:uid="{00000000-0005-0000-0000-000033B40000}"/>
    <cellStyle name="Normal 64 2 10" xfId="52615" xr:uid="{00000000-0005-0000-0000-000034B40000}"/>
    <cellStyle name="Normal 64 2 2" xfId="5235" xr:uid="{00000000-0005-0000-0000-000035B40000}"/>
    <cellStyle name="Normal 64 2 2 2" xfId="8772" xr:uid="{00000000-0005-0000-0000-000036B40000}"/>
    <cellStyle name="Normal 64 2 2 2 2" xfId="16568" xr:uid="{00000000-0005-0000-0000-000037B40000}"/>
    <cellStyle name="Normal 64 2 2 2 2 2" xfId="34203" xr:uid="{00000000-0005-0000-0000-000038B40000}"/>
    <cellStyle name="Normal 64 2 2 2 3" xfId="27173" xr:uid="{00000000-0005-0000-0000-000039B40000}"/>
    <cellStyle name="Normal 64 2 2 3" xfId="13232" xr:uid="{00000000-0005-0000-0000-00003AB40000}"/>
    <cellStyle name="Normal 64 2 2 3 2" xfId="30877" xr:uid="{00000000-0005-0000-0000-00003BB40000}"/>
    <cellStyle name="Normal 64 2 2 4" xfId="24308" xr:uid="{00000000-0005-0000-0000-00003CB40000}"/>
    <cellStyle name="Normal 64 2 3" xfId="6026" xr:uid="{00000000-0005-0000-0000-00003DB40000}"/>
    <cellStyle name="Normal 64 2 3 2" xfId="9326" xr:uid="{00000000-0005-0000-0000-00003EB40000}"/>
    <cellStyle name="Normal 64 2 3 2 2" xfId="17121" xr:uid="{00000000-0005-0000-0000-00003FB40000}"/>
    <cellStyle name="Normal 64 2 3 2 2 2" xfId="34757" xr:uid="{00000000-0005-0000-0000-000040B40000}"/>
    <cellStyle name="Normal 64 2 3 2 3" xfId="27714" xr:uid="{00000000-0005-0000-0000-000041B40000}"/>
    <cellStyle name="Normal 64 2 3 3" xfId="13882" xr:uid="{00000000-0005-0000-0000-000042B40000}"/>
    <cellStyle name="Normal 64 2 3 3 2" xfId="31522" xr:uid="{00000000-0005-0000-0000-000043B40000}"/>
    <cellStyle name="Normal 64 2 3 4" xfId="24849" xr:uid="{00000000-0005-0000-0000-000044B40000}"/>
    <cellStyle name="Normal 64 2 4" xfId="6656" xr:uid="{00000000-0005-0000-0000-000045B40000}"/>
    <cellStyle name="Normal 64 2 4 2" xfId="9866" xr:uid="{00000000-0005-0000-0000-000046B40000}"/>
    <cellStyle name="Normal 64 2 4 2 2" xfId="17660" xr:uid="{00000000-0005-0000-0000-000047B40000}"/>
    <cellStyle name="Normal 64 2 4 2 2 2" xfId="35297" xr:uid="{00000000-0005-0000-0000-000048B40000}"/>
    <cellStyle name="Normal 64 2 4 2 3" xfId="28250" xr:uid="{00000000-0005-0000-0000-000049B40000}"/>
    <cellStyle name="Normal 64 2 4 3" xfId="14445" xr:uid="{00000000-0005-0000-0000-00004AB40000}"/>
    <cellStyle name="Normal 64 2 4 3 2" xfId="32080" xr:uid="{00000000-0005-0000-0000-00004BB40000}"/>
    <cellStyle name="Normal 64 2 4 4" xfId="25386" xr:uid="{00000000-0005-0000-0000-00004CB40000}"/>
    <cellStyle name="Normal 64 2 5" xfId="7432" xr:uid="{00000000-0005-0000-0000-00004DB40000}"/>
    <cellStyle name="Normal 64 2 5 2" xfId="10420" xr:uid="{00000000-0005-0000-0000-00004EB40000}"/>
    <cellStyle name="Normal 64 2 5 2 2" xfId="18213" xr:uid="{00000000-0005-0000-0000-00004FB40000}"/>
    <cellStyle name="Normal 64 2 5 2 2 2" xfId="35850" xr:uid="{00000000-0005-0000-0000-000050B40000}"/>
    <cellStyle name="Normal 64 2 5 2 3" xfId="28787" xr:uid="{00000000-0005-0000-0000-000051B40000}"/>
    <cellStyle name="Normal 64 2 5 3" xfId="15220" xr:uid="{00000000-0005-0000-0000-000052B40000}"/>
    <cellStyle name="Normal 64 2 5 3 2" xfId="32855" xr:uid="{00000000-0005-0000-0000-000053B40000}"/>
    <cellStyle name="Normal 64 2 5 4" xfId="25924" xr:uid="{00000000-0005-0000-0000-000054B40000}"/>
    <cellStyle name="Normal 64 2 6" xfId="8060" xr:uid="{00000000-0005-0000-0000-000055B40000}"/>
    <cellStyle name="Normal 64 2 6 2" xfId="15857" xr:uid="{00000000-0005-0000-0000-000056B40000}"/>
    <cellStyle name="Normal 64 2 6 2 2" xfId="33492" xr:uid="{00000000-0005-0000-0000-000057B40000}"/>
    <cellStyle name="Normal 64 2 6 3" xfId="26476" xr:uid="{00000000-0005-0000-0000-000058B40000}"/>
    <cellStyle name="Normal 64 2 7" xfId="12034" xr:uid="{00000000-0005-0000-0000-000059B40000}"/>
    <cellStyle name="Normal 64 2 7 2" xfId="29713" xr:uid="{00000000-0005-0000-0000-00005AB40000}"/>
    <cellStyle name="Normal 64 2 8" xfId="21994" xr:uid="{00000000-0005-0000-0000-00005BB40000}"/>
    <cellStyle name="Normal 64 2 8 2" xfId="38738" xr:uid="{00000000-0005-0000-0000-00005CB40000}"/>
    <cellStyle name="Normal 64 2 9" xfId="23611" xr:uid="{00000000-0005-0000-0000-00005DB40000}"/>
    <cellStyle name="Normal 64 3" xfId="3006" xr:uid="{00000000-0005-0000-0000-00005EB40000}"/>
    <cellStyle name="Normal 64 3 2" xfId="3007" xr:uid="{00000000-0005-0000-0000-00005FB40000}"/>
    <cellStyle name="Normal 64 3_Sheet1" xfId="3008" xr:uid="{00000000-0005-0000-0000-000060B40000}"/>
    <cellStyle name="Normal 64 4" xfId="3009" xr:uid="{00000000-0005-0000-0000-000061B40000}"/>
    <cellStyle name="Normal 64 5" xfId="23007" xr:uid="{00000000-0005-0000-0000-000062B40000}"/>
    <cellStyle name="Normal 64 6" xfId="22580" xr:uid="{00000000-0005-0000-0000-000063B40000}"/>
    <cellStyle name="Normal 64 7" xfId="22896" xr:uid="{00000000-0005-0000-0000-000064B40000}"/>
    <cellStyle name="Normal 64_Sheet1" xfId="3010" xr:uid="{00000000-0005-0000-0000-000065B40000}"/>
    <cellStyle name="Normal 640" xfId="5236" xr:uid="{00000000-0005-0000-0000-000066B40000}"/>
    <cellStyle name="Normal 640 2" xfId="6027" xr:uid="{00000000-0005-0000-0000-000067B40000}"/>
    <cellStyle name="Normal 640 2 2" xfId="9327" xr:uid="{00000000-0005-0000-0000-000068B40000}"/>
    <cellStyle name="Normal 640 2 2 2" xfId="17122" xr:uid="{00000000-0005-0000-0000-000069B40000}"/>
    <cellStyle name="Normal 640 2 2 2 2" xfId="34758" xr:uid="{00000000-0005-0000-0000-00006AB40000}"/>
    <cellStyle name="Normal 640 2 2 3" xfId="27715" xr:uid="{00000000-0005-0000-0000-00006BB40000}"/>
    <cellStyle name="Normal 640 2 3" xfId="13883" xr:uid="{00000000-0005-0000-0000-00006CB40000}"/>
    <cellStyle name="Normal 640 2 3 2" xfId="31523" xr:uid="{00000000-0005-0000-0000-00006DB40000}"/>
    <cellStyle name="Normal 640 2 4" xfId="24850" xr:uid="{00000000-0005-0000-0000-00006EB40000}"/>
    <cellStyle name="Normal 640 3" xfId="6657" xr:uid="{00000000-0005-0000-0000-00006FB40000}"/>
    <cellStyle name="Normal 640 3 2" xfId="9867" xr:uid="{00000000-0005-0000-0000-000070B40000}"/>
    <cellStyle name="Normal 640 3 2 2" xfId="17661" xr:uid="{00000000-0005-0000-0000-000071B40000}"/>
    <cellStyle name="Normal 640 3 2 2 2" xfId="35298" xr:uid="{00000000-0005-0000-0000-000072B40000}"/>
    <cellStyle name="Normal 640 3 2 3" xfId="28251" xr:uid="{00000000-0005-0000-0000-000073B40000}"/>
    <cellStyle name="Normal 640 3 3" xfId="14446" xr:uid="{00000000-0005-0000-0000-000074B40000}"/>
    <cellStyle name="Normal 640 3 3 2" xfId="32081" xr:uid="{00000000-0005-0000-0000-000075B40000}"/>
    <cellStyle name="Normal 640 3 4" xfId="25387" xr:uid="{00000000-0005-0000-0000-000076B40000}"/>
    <cellStyle name="Normal 640 4" xfId="7433" xr:uid="{00000000-0005-0000-0000-000077B40000}"/>
    <cellStyle name="Normal 640 4 2" xfId="10421" xr:uid="{00000000-0005-0000-0000-000078B40000}"/>
    <cellStyle name="Normal 640 4 2 2" xfId="18214" xr:uid="{00000000-0005-0000-0000-000079B40000}"/>
    <cellStyle name="Normal 640 4 2 2 2" xfId="35851" xr:uid="{00000000-0005-0000-0000-00007AB40000}"/>
    <cellStyle name="Normal 640 4 2 3" xfId="28788" xr:uid="{00000000-0005-0000-0000-00007BB40000}"/>
    <cellStyle name="Normal 640 4 3" xfId="15221" xr:uid="{00000000-0005-0000-0000-00007CB40000}"/>
    <cellStyle name="Normal 640 4 3 2" xfId="32856" xr:uid="{00000000-0005-0000-0000-00007DB40000}"/>
    <cellStyle name="Normal 640 4 4" xfId="25925" xr:uid="{00000000-0005-0000-0000-00007EB40000}"/>
    <cellStyle name="Normal 640 5" xfId="8773" xr:uid="{00000000-0005-0000-0000-00007FB40000}"/>
    <cellStyle name="Normal 640 5 2" xfId="16569" xr:uid="{00000000-0005-0000-0000-000080B40000}"/>
    <cellStyle name="Normal 640 5 2 2" xfId="34204" xr:uid="{00000000-0005-0000-0000-000081B40000}"/>
    <cellStyle name="Normal 640 5 3" xfId="27174" xr:uid="{00000000-0005-0000-0000-000082B40000}"/>
    <cellStyle name="Normal 640 6" xfId="13233" xr:uid="{00000000-0005-0000-0000-000083B40000}"/>
    <cellStyle name="Normal 640 6 2" xfId="30878" xr:uid="{00000000-0005-0000-0000-000084B40000}"/>
    <cellStyle name="Normal 640 7" xfId="24309" xr:uid="{00000000-0005-0000-0000-000085B40000}"/>
    <cellStyle name="Normal 641" xfId="5237" xr:uid="{00000000-0005-0000-0000-000086B40000}"/>
    <cellStyle name="Normal 641 2" xfId="6028" xr:uid="{00000000-0005-0000-0000-000087B40000}"/>
    <cellStyle name="Normal 641 2 2" xfId="9328" xr:uid="{00000000-0005-0000-0000-000088B40000}"/>
    <cellStyle name="Normal 641 2 2 2" xfId="17123" xr:uid="{00000000-0005-0000-0000-000089B40000}"/>
    <cellStyle name="Normal 641 2 2 2 2" xfId="34759" xr:uid="{00000000-0005-0000-0000-00008AB40000}"/>
    <cellStyle name="Normal 641 2 2 3" xfId="27716" xr:uid="{00000000-0005-0000-0000-00008BB40000}"/>
    <cellStyle name="Normal 641 2 3" xfId="13884" xr:uid="{00000000-0005-0000-0000-00008CB40000}"/>
    <cellStyle name="Normal 641 2 3 2" xfId="31524" xr:uid="{00000000-0005-0000-0000-00008DB40000}"/>
    <cellStyle name="Normal 641 2 4" xfId="24851" xr:uid="{00000000-0005-0000-0000-00008EB40000}"/>
    <cellStyle name="Normal 641 3" xfId="6658" xr:uid="{00000000-0005-0000-0000-00008FB40000}"/>
    <cellStyle name="Normal 641 3 2" xfId="9868" xr:uid="{00000000-0005-0000-0000-000090B40000}"/>
    <cellStyle name="Normal 641 3 2 2" xfId="17662" xr:uid="{00000000-0005-0000-0000-000091B40000}"/>
    <cellStyle name="Normal 641 3 2 2 2" xfId="35299" xr:uid="{00000000-0005-0000-0000-000092B40000}"/>
    <cellStyle name="Normal 641 3 2 3" xfId="28252" xr:uid="{00000000-0005-0000-0000-000093B40000}"/>
    <cellStyle name="Normal 641 3 3" xfId="14447" xr:uid="{00000000-0005-0000-0000-000094B40000}"/>
    <cellStyle name="Normal 641 3 3 2" xfId="32082" xr:uid="{00000000-0005-0000-0000-000095B40000}"/>
    <cellStyle name="Normal 641 3 4" xfId="25388" xr:uid="{00000000-0005-0000-0000-000096B40000}"/>
    <cellStyle name="Normal 641 4" xfId="7434" xr:uid="{00000000-0005-0000-0000-000097B40000}"/>
    <cellStyle name="Normal 641 4 2" xfId="10422" xr:uid="{00000000-0005-0000-0000-000098B40000}"/>
    <cellStyle name="Normal 641 4 2 2" xfId="18215" xr:uid="{00000000-0005-0000-0000-000099B40000}"/>
    <cellStyle name="Normal 641 4 2 2 2" xfId="35852" xr:uid="{00000000-0005-0000-0000-00009AB40000}"/>
    <cellStyle name="Normal 641 4 2 3" xfId="28789" xr:uid="{00000000-0005-0000-0000-00009BB40000}"/>
    <cellStyle name="Normal 641 4 3" xfId="15222" xr:uid="{00000000-0005-0000-0000-00009CB40000}"/>
    <cellStyle name="Normal 641 4 3 2" xfId="32857" xr:uid="{00000000-0005-0000-0000-00009DB40000}"/>
    <cellStyle name="Normal 641 4 4" xfId="25926" xr:uid="{00000000-0005-0000-0000-00009EB40000}"/>
    <cellStyle name="Normal 641 5" xfId="8774" xr:uid="{00000000-0005-0000-0000-00009FB40000}"/>
    <cellStyle name="Normal 641 5 2" xfId="16570" xr:uid="{00000000-0005-0000-0000-0000A0B40000}"/>
    <cellStyle name="Normal 641 5 2 2" xfId="34205" xr:uid="{00000000-0005-0000-0000-0000A1B40000}"/>
    <cellStyle name="Normal 641 5 3" xfId="27175" xr:uid="{00000000-0005-0000-0000-0000A2B40000}"/>
    <cellStyle name="Normal 641 6" xfId="13234" xr:uid="{00000000-0005-0000-0000-0000A3B40000}"/>
    <cellStyle name="Normal 641 6 2" xfId="30879" xr:uid="{00000000-0005-0000-0000-0000A4B40000}"/>
    <cellStyle name="Normal 641 7" xfId="24310" xr:uid="{00000000-0005-0000-0000-0000A5B40000}"/>
    <cellStyle name="Normal 642" xfId="5238" xr:uid="{00000000-0005-0000-0000-0000A6B40000}"/>
    <cellStyle name="Normal 642 2" xfId="6029" xr:uid="{00000000-0005-0000-0000-0000A7B40000}"/>
    <cellStyle name="Normal 642 2 2" xfId="9329" xr:uid="{00000000-0005-0000-0000-0000A8B40000}"/>
    <cellStyle name="Normal 642 2 2 2" xfId="17124" xr:uid="{00000000-0005-0000-0000-0000A9B40000}"/>
    <cellStyle name="Normal 642 2 2 2 2" xfId="34760" xr:uid="{00000000-0005-0000-0000-0000AAB40000}"/>
    <cellStyle name="Normal 642 2 2 3" xfId="27717" xr:uid="{00000000-0005-0000-0000-0000ABB40000}"/>
    <cellStyle name="Normal 642 2 3" xfId="13885" xr:uid="{00000000-0005-0000-0000-0000ACB40000}"/>
    <cellStyle name="Normal 642 2 3 2" xfId="31525" xr:uid="{00000000-0005-0000-0000-0000ADB40000}"/>
    <cellStyle name="Normal 642 2 4" xfId="24852" xr:uid="{00000000-0005-0000-0000-0000AEB40000}"/>
    <cellStyle name="Normal 642 3" xfId="6659" xr:uid="{00000000-0005-0000-0000-0000AFB40000}"/>
    <cellStyle name="Normal 642 3 2" xfId="9869" xr:uid="{00000000-0005-0000-0000-0000B0B40000}"/>
    <cellStyle name="Normal 642 3 2 2" xfId="17663" xr:uid="{00000000-0005-0000-0000-0000B1B40000}"/>
    <cellStyle name="Normal 642 3 2 2 2" xfId="35300" xr:uid="{00000000-0005-0000-0000-0000B2B40000}"/>
    <cellStyle name="Normal 642 3 2 3" xfId="28253" xr:uid="{00000000-0005-0000-0000-0000B3B40000}"/>
    <cellStyle name="Normal 642 3 3" xfId="14448" xr:uid="{00000000-0005-0000-0000-0000B4B40000}"/>
    <cellStyle name="Normal 642 3 3 2" xfId="32083" xr:uid="{00000000-0005-0000-0000-0000B5B40000}"/>
    <cellStyle name="Normal 642 3 4" xfId="25389" xr:uid="{00000000-0005-0000-0000-0000B6B40000}"/>
    <cellStyle name="Normal 642 4" xfId="7435" xr:uid="{00000000-0005-0000-0000-0000B7B40000}"/>
    <cellStyle name="Normal 642 4 2" xfId="10423" xr:uid="{00000000-0005-0000-0000-0000B8B40000}"/>
    <cellStyle name="Normal 642 4 2 2" xfId="18216" xr:uid="{00000000-0005-0000-0000-0000B9B40000}"/>
    <cellStyle name="Normal 642 4 2 2 2" xfId="35853" xr:uid="{00000000-0005-0000-0000-0000BAB40000}"/>
    <cellStyle name="Normal 642 4 2 3" xfId="28790" xr:uid="{00000000-0005-0000-0000-0000BBB40000}"/>
    <cellStyle name="Normal 642 4 3" xfId="15223" xr:uid="{00000000-0005-0000-0000-0000BCB40000}"/>
    <cellStyle name="Normal 642 4 3 2" xfId="32858" xr:uid="{00000000-0005-0000-0000-0000BDB40000}"/>
    <cellStyle name="Normal 642 4 4" xfId="25927" xr:uid="{00000000-0005-0000-0000-0000BEB40000}"/>
    <cellStyle name="Normal 642 5" xfId="8775" xr:uid="{00000000-0005-0000-0000-0000BFB40000}"/>
    <cellStyle name="Normal 642 5 2" xfId="16571" xr:uid="{00000000-0005-0000-0000-0000C0B40000}"/>
    <cellStyle name="Normal 642 5 2 2" xfId="34206" xr:uid="{00000000-0005-0000-0000-0000C1B40000}"/>
    <cellStyle name="Normal 642 5 3" xfId="27176" xr:uid="{00000000-0005-0000-0000-0000C2B40000}"/>
    <cellStyle name="Normal 642 6" xfId="13235" xr:uid="{00000000-0005-0000-0000-0000C3B40000}"/>
    <cellStyle name="Normal 642 6 2" xfId="30880" xr:uid="{00000000-0005-0000-0000-0000C4B40000}"/>
    <cellStyle name="Normal 642 7" xfId="24311" xr:uid="{00000000-0005-0000-0000-0000C5B40000}"/>
    <cellStyle name="Normal 643" xfId="5239" xr:uid="{00000000-0005-0000-0000-0000C6B40000}"/>
    <cellStyle name="Normal 643 2" xfId="6030" xr:uid="{00000000-0005-0000-0000-0000C7B40000}"/>
    <cellStyle name="Normal 643 2 2" xfId="9330" xr:uid="{00000000-0005-0000-0000-0000C8B40000}"/>
    <cellStyle name="Normal 643 2 2 2" xfId="17125" xr:uid="{00000000-0005-0000-0000-0000C9B40000}"/>
    <cellStyle name="Normal 643 2 2 2 2" xfId="34761" xr:uid="{00000000-0005-0000-0000-0000CAB40000}"/>
    <cellStyle name="Normal 643 2 2 3" xfId="27718" xr:uid="{00000000-0005-0000-0000-0000CBB40000}"/>
    <cellStyle name="Normal 643 2 3" xfId="13886" xr:uid="{00000000-0005-0000-0000-0000CCB40000}"/>
    <cellStyle name="Normal 643 2 3 2" xfId="31526" xr:uid="{00000000-0005-0000-0000-0000CDB40000}"/>
    <cellStyle name="Normal 643 2 4" xfId="24853" xr:uid="{00000000-0005-0000-0000-0000CEB40000}"/>
    <cellStyle name="Normal 643 3" xfId="6660" xr:uid="{00000000-0005-0000-0000-0000CFB40000}"/>
    <cellStyle name="Normal 643 3 2" xfId="9870" xr:uid="{00000000-0005-0000-0000-0000D0B40000}"/>
    <cellStyle name="Normal 643 3 2 2" xfId="17664" xr:uid="{00000000-0005-0000-0000-0000D1B40000}"/>
    <cellStyle name="Normal 643 3 2 2 2" xfId="35301" xr:uid="{00000000-0005-0000-0000-0000D2B40000}"/>
    <cellStyle name="Normal 643 3 2 3" xfId="28254" xr:uid="{00000000-0005-0000-0000-0000D3B40000}"/>
    <cellStyle name="Normal 643 3 3" xfId="14449" xr:uid="{00000000-0005-0000-0000-0000D4B40000}"/>
    <cellStyle name="Normal 643 3 3 2" xfId="32084" xr:uid="{00000000-0005-0000-0000-0000D5B40000}"/>
    <cellStyle name="Normal 643 3 4" xfId="25390" xr:uid="{00000000-0005-0000-0000-0000D6B40000}"/>
    <cellStyle name="Normal 643 4" xfId="7436" xr:uid="{00000000-0005-0000-0000-0000D7B40000}"/>
    <cellStyle name="Normal 643 4 2" xfId="10424" xr:uid="{00000000-0005-0000-0000-0000D8B40000}"/>
    <cellStyle name="Normal 643 4 2 2" xfId="18217" xr:uid="{00000000-0005-0000-0000-0000D9B40000}"/>
    <cellStyle name="Normal 643 4 2 2 2" xfId="35854" xr:uid="{00000000-0005-0000-0000-0000DAB40000}"/>
    <cellStyle name="Normal 643 4 2 3" xfId="28791" xr:uid="{00000000-0005-0000-0000-0000DBB40000}"/>
    <cellStyle name="Normal 643 4 3" xfId="15224" xr:uid="{00000000-0005-0000-0000-0000DCB40000}"/>
    <cellStyle name="Normal 643 4 3 2" xfId="32859" xr:uid="{00000000-0005-0000-0000-0000DDB40000}"/>
    <cellStyle name="Normal 643 4 4" xfId="25928" xr:uid="{00000000-0005-0000-0000-0000DEB40000}"/>
    <cellStyle name="Normal 643 5" xfId="8776" xr:uid="{00000000-0005-0000-0000-0000DFB40000}"/>
    <cellStyle name="Normal 643 5 2" xfId="16572" xr:uid="{00000000-0005-0000-0000-0000E0B40000}"/>
    <cellStyle name="Normal 643 5 2 2" xfId="34207" xr:uid="{00000000-0005-0000-0000-0000E1B40000}"/>
    <cellStyle name="Normal 643 5 3" xfId="27177" xr:uid="{00000000-0005-0000-0000-0000E2B40000}"/>
    <cellStyle name="Normal 643 6" xfId="13236" xr:uid="{00000000-0005-0000-0000-0000E3B40000}"/>
    <cellStyle name="Normal 643 6 2" xfId="30881" xr:uid="{00000000-0005-0000-0000-0000E4B40000}"/>
    <cellStyle name="Normal 643 7" xfId="24312" xr:uid="{00000000-0005-0000-0000-0000E5B40000}"/>
    <cellStyle name="Normal 644" xfId="5240" xr:uid="{00000000-0005-0000-0000-0000E6B40000}"/>
    <cellStyle name="Normal 644 2" xfId="6031" xr:uid="{00000000-0005-0000-0000-0000E7B40000}"/>
    <cellStyle name="Normal 644 2 2" xfId="9331" xr:uid="{00000000-0005-0000-0000-0000E8B40000}"/>
    <cellStyle name="Normal 644 2 2 2" xfId="17126" xr:uid="{00000000-0005-0000-0000-0000E9B40000}"/>
    <cellStyle name="Normal 644 2 2 2 2" xfId="34762" xr:uid="{00000000-0005-0000-0000-0000EAB40000}"/>
    <cellStyle name="Normal 644 2 2 3" xfId="27719" xr:uid="{00000000-0005-0000-0000-0000EBB40000}"/>
    <cellStyle name="Normal 644 2 3" xfId="13887" xr:uid="{00000000-0005-0000-0000-0000ECB40000}"/>
    <cellStyle name="Normal 644 2 3 2" xfId="31527" xr:uid="{00000000-0005-0000-0000-0000EDB40000}"/>
    <cellStyle name="Normal 644 2 4" xfId="24854" xr:uid="{00000000-0005-0000-0000-0000EEB40000}"/>
    <cellStyle name="Normal 644 3" xfId="6661" xr:uid="{00000000-0005-0000-0000-0000EFB40000}"/>
    <cellStyle name="Normal 644 3 2" xfId="9871" xr:uid="{00000000-0005-0000-0000-0000F0B40000}"/>
    <cellStyle name="Normal 644 3 2 2" xfId="17665" xr:uid="{00000000-0005-0000-0000-0000F1B40000}"/>
    <cellStyle name="Normal 644 3 2 2 2" xfId="35302" xr:uid="{00000000-0005-0000-0000-0000F2B40000}"/>
    <cellStyle name="Normal 644 3 2 3" xfId="28255" xr:uid="{00000000-0005-0000-0000-0000F3B40000}"/>
    <cellStyle name="Normal 644 3 3" xfId="14450" xr:uid="{00000000-0005-0000-0000-0000F4B40000}"/>
    <cellStyle name="Normal 644 3 3 2" xfId="32085" xr:uid="{00000000-0005-0000-0000-0000F5B40000}"/>
    <cellStyle name="Normal 644 3 4" xfId="25391" xr:uid="{00000000-0005-0000-0000-0000F6B40000}"/>
    <cellStyle name="Normal 644 4" xfId="7437" xr:uid="{00000000-0005-0000-0000-0000F7B40000}"/>
    <cellStyle name="Normal 644 4 2" xfId="10425" xr:uid="{00000000-0005-0000-0000-0000F8B40000}"/>
    <cellStyle name="Normal 644 4 2 2" xfId="18218" xr:uid="{00000000-0005-0000-0000-0000F9B40000}"/>
    <cellStyle name="Normal 644 4 2 2 2" xfId="35855" xr:uid="{00000000-0005-0000-0000-0000FAB40000}"/>
    <cellStyle name="Normal 644 4 2 3" xfId="28792" xr:uid="{00000000-0005-0000-0000-0000FBB40000}"/>
    <cellStyle name="Normal 644 4 3" xfId="15225" xr:uid="{00000000-0005-0000-0000-0000FCB40000}"/>
    <cellStyle name="Normal 644 4 3 2" xfId="32860" xr:uid="{00000000-0005-0000-0000-0000FDB40000}"/>
    <cellStyle name="Normal 644 4 4" xfId="25929" xr:uid="{00000000-0005-0000-0000-0000FEB40000}"/>
    <cellStyle name="Normal 644 5" xfId="8777" xr:uid="{00000000-0005-0000-0000-0000FFB40000}"/>
    <cellStyle name="Normal 644 5 2" xfId="16573" xr:uid="{00000000-0005-0000-0000-000000B50000}"/>
    <cellStyle name="Normal 644 5 2 2" xfId="34208" xr:uid="{00000000-0005-0000-0000-000001B50000}"/>
    <cellStyle name="Normal 644 5 3" xfId="27178" xr:uid="{00000000-0005-0000-0000-000002B50000}"/>
    <cellStyle name="Normal 644 6" xfId="13237" xr:uid="{00000000-0005-0000-0000-000003B50000}"/>
    <cellStyle name="Normal 644 6 2" xfId="30882" xr:uid="{00000000-0005-0000-0000-000004B50000}"/>
    <cellStyle name="Normal 644 7" xfId="24313" xr:uid="{00000000-0005-0000-0000-000005B50000}"/>
    <cellStyle name="Normal 645" xfId="5241" xr:uid="{00000000-0005-0000-0000-000006B50000}"/>
    <cellStyle name="Normal 645 2" xfId="6032" xr:uid="{00000000-0005-0000-0000-000007B50000}"/>
    <cellStyle name="Normal 645 2 2" xfId="9332" xr:uid="{00000000-0005-0000-0000-000008B50000}"/>
    <cellStyle name="Normal 645 2 2 2" xfId="17127" xr:uid="{00000000-0005-0000-0000-000009B50000}"/>
    <cellStyle name="Normal 645 2 2 2 2" xfId="34763" xr:uid="{00000000-0005-0000-0000-00000AB50000}"/>
    <cellStyle name="Normal 645 2 2 3" xfId="27720" xr:uid="{00000000-0005-0000-0000-00000BB50000}"/>
    <cellStyle name="Normal 645 2 3" xfId="13888" xr:uid="{00000000-0005-0000-0000-00000CB50000}"/>
    <cellStyle name="Normal 645 2 3 2" xfId="31528" xr:uid="{00000000-0005-0000-0000-00000DB50000}"/>
    <cellStyle name="Normal 645 2 4" xfId="24855" xr:uid="{00000000-0005-0000-0000-00000EB50000}"/>
    <cellStyle name="Normal 645 3" xfId="6662" xr:uid="{00000000-0005-0000-0000-00000FB50000}"/>
    <cellStyle name="Normal 645 3 2" xfId="9872" xr:uid="{00000000-0005-0000-0000-000010B50000}"/>
    <cellStyle name="Normal 645 3 2 2" xfId="17666" xr:uid="{00000000-0005-0000-0000-000011B50000}"/>
    <cellStyle name="Normal 645 3 2 2 2" xfId="35303" xr:uid="{00000000-0005-0000-0000-000012B50000}"/>
    <cellStyle name="Normal 645 3 2 3" xfId="28256" xr:uid="{00000000-0005-0000-0000-000013B50000}"/>
    <cellStyle name="Normal 645 3 3" xfId="14451" xr:uid="{00000000-0005-0000-0000-000014B50000}"/>
    <cellStyle name="Normal 645 3 3 2" xfId="32086" xr:uid="{00000000-0005-0000-0000-000015B50000}"/>
    <cellStyle name="Normal 645 3 4" xfId="25392" xr:uid="{00000000-0005-0000-0000-000016B50000}"/>
    <cellStyle name="Normal 645 4" xfId="7438" xr:uid="{00000000-0005-0000-0000-000017B50000}"/>
    <cellStyle name="Normal 645 4 2" xfId="10426" xr:uid="{00000000-0005-0000-0000-000018B50000}"/>
    <cellStyle name="Normal 645 4 2 2" xfId="18219" xr:uid="{00000000-0005-0000-0000-000019B50000}"/>
    <cellStyle name="Normal 645 4 2 2 2" xfId="35856" xr:uid="{00000000-0005-0000-0000-00001AB50000}"/>
    <cellStyle name="Normal 645 4 2 3" xfId="28793" xr:uid="{00000000-0005-0000-0000-00001BB50000}"/>
    <cellStyle name="Normal 645 4 3" xfId="15226" xr:uid="{00000000-0005-0000-0000-00001CB50000}"/>
    <cellStyle name="Normal 645 4 3 2" xfId="32861" xr:uid="{00000000-0005-0000-0000-00001DB50000}"/>
    <cellStyle name="Normal 645 4 4" xfId="25930" xr:uid="{00000000-0005-0000-0000-00001EB50000}"/>
    <cellStyle name="Normal 645 5" xfId="8778" xr:uid="{00000000-0005-0000-0000-00001FB50000}"/>
    <cellStyle name="Normal 645 5 2" xfId="16574" xr:uid="{00000000-0005-0000-0000-000020B50000}"/>
    <cellStyle name="Normal 645 5 2 2" xfId="34209" xr:uid="{00000000-0005-0000-0000-000021B50000}"/>
    <cellStyle name="Normal 645 5 3" xfId="27179" xr:uid="{00000000-0005-0000-0000-000022B50000}"/>
    <cellStyle name="Normal 645 6" xfId="13238" xr:uid="{00000000-0005-0000-0000-000023B50000}"/>
    <cellStyle name="Normal 645 6 2" xfId="30883" xr:uid="{00000000-0005-0000-0000-000024B50000}"/>
    <cellStyle name="Normal 645 7" xfId="24314" xr:uid="{00000000-0005-0000-0000-000025B50000}"/>
    <cellStyle name="Normal 646" xfId="5242" xr:uid="{00000000-0005-0000-0000-000026B50000}"/>
    <cellStyle name="Normal 646 2" xfId="5243" xr:uid="{00000000-0005-0000-0000-000027B50000}"/>
    <cellStyle name="Normal 646 3" xfId="5244" xr:uid="{00000000-0005-0000-0000-000028B50000}"/>
    <cellStyle name="Normal 646 4" xfId="8779" xr:uid="{00000000-0005-0000-0000-000029B50000}"/>
    <cellStyle name="Normal 646 4 2" xfId="16575" xr:uid="{00000000-0005-0000-0000-00002AB50000}"/>
    <cellStyle name="Normal 646 4 2 2" xfId="34210" xr:uid="{00000000-0005-0000-0000-00002BB50000}"/>
    <cellStyle name="Normal 646 4 3" xfId="27180" xr:uid="{00000000-0005-0000-0000-00002CB50000}"/>
    <cellStyle name="Normal 646 5" xfId="13239" xr:uid="{00000000-0005-0000-0000-00002DB50000}"/>
    <cellStyle name="Normal 646 5 2" xfId="30884" xr:uid="{00000000-0005-0000-0000-00002EB50000}"/>
    <cellStyle name="Normal 646 6" xfId="24315" xr:uid="{00000000-0005-0000-0000-00002FB50000}"/>
    <cellStyle name="Normal 647" xfId="5245" xr:uid="{00000000-0005-0000-0000-000030B50000}"/>
    <cellStyle name="Normal 647 2" xfId="8780" xr:uid="{00000000-0005-0000-0000-000031B50000}"/>
    <cellStyle name="Normal 647 2 2" xfId="16576" xr:uid="{00000000-0005-0000-0000-000032B50000}"/>
    <cellStyle name="Normal 647 2 2 2" xfId="34211" xr:uid="{00000000-0005-0000-0000-000033B50000}"/>
    <cellStyle name="Normal 647 2 3" xfId="27181" xr:uid="{00000000-0005-0000-0000-000034B50000}"/>
    <cellStyle name="Normal 647 3" xfId="13240" xr:uid="{00000000-0005-0000-0000-000035B50000}"/>
    <cellStyle name="Normal 647 3 2" xfId="30885" xr:uid="{00000000-0005-0000-0000-000036B50000}"/>
    <cellStyle name="Normal 647 4" xfId="24316" xr:uid="{00000000-0005-0000-0000-000037B50000}"/>
    <cellStyle name="Normal 648" xfId="5246" xr:uid="{00000000-0005-0000-0000-000038B50000}"/>
    <cellStyle name="Normal 648 2" xfId="8781" xr:uid="{00000000-0005-0000-0000-000039B50000}"/>
    <cellStyle name="Normal 648 2 2" xfId="16577" xr:uid="{00000000-0005-0000-0000-00003AB50000}"/>
    <cellStyle name="Normal 648 2 2 2" xfId="34212" xr:uid="{00000000-0005-0000-0000-00003BB50000}"/>
    <cellStyle name="Normal 648 2 3" xfId="27182" xr:uid="{00000000-0005-0000-0000-00003CB50000}"/>
    <cellStyle name="Normal 648 3" xfId="13241" xr:uid="{00000000-0005-0000-0000-00003DB50000}"/>
    <cellStyle name="Normal 648 3 2" xfId="30886" xr:uid="{00000000-0005-0000-0000-00003EB50000}"/>
    <cellStyle name="Normal 648 4" xfId="24317" xr:uid="{00000000-0005-0000-0000-00003FB50000}"/>
    <cellStyle name="Normal 649" xfId="5247" xr:uid="{00000000-0005-0000-0000-000040B50000}"/>
    <cellStyle name="Normal 65" xfId="3011" xr:uid="{00000000-0005-0000-0000-000041B50000}"/>
    <cellStyle name="Normal 65 2" xfId="5248" xr:uid="{00000000-0005-0000-0000-000042B50000}"/>
    <cellStyle name="Normal 65 3" xfId="52616" xr:uid="{00000000-0005-0000-0000-000043B50000}"/>
    <cellStyle name="Normal 650" xfId="5249" xr:uid="{00000000-0005-0000-0000-000044B50000}"/>
    <cellStyle name="Normal 650 2" xfId="8782" xr:uid="{00000000-0005-0000-0000-000045B50000}"/>
    <cellStyle name="Normal 650 2 2" xfId="16578" xr:uid="{00000000-0005-0000-0000-000046B50000}"/>
    <cellStyle name="Normal 650 2 2 2" xfId="34213" xr:uid="{00000000-0005-0000-0000-000047B50000}"/>
    <cellStyle name="Normal 650 2 3" xfId="27183" xr:uid="{00000000-0005-0000-0000-000048B50000}"/>
    <cellStyle name="Normal 650 3" xfId="13242" xr:uid="{00000000-0005-0000-0000-000049B50000}"/>
    <cellStyle name="Normal 650 3 2" xfId="30887" xr:uid="{00000000-0005-0000-0000-00004AB50000}"/>
    <cellStyle name="Normal 650 4" xfId="24318" xr:uid="{00000000-0005-0000-0000-00004BB50000}"/>
    <cellStyle name="Normal 651" xfId="3452" xr:uid="{00000000-0005-0000-0000-00004CB50000}"/>
    <cellStyle name="Normal 652" xfId="3448" xr:uid="{00000000-0005-0000-0000-00004DB50000}"/>
    <cellStyle name="Normal 652 2" xfId="8074" xr:uid="{00000000-0005-0000-0000-00004EB50000}"/>
    <cellStyle name="Normal 652 2 2" xfId="15870" xr:uid="{00000000-0005-0000-0000-00004FB50000}"/>
    <cellStyle name="Normal 652 2 2 2" xfId="33505" xr:uid="{00000000-0005-0000-0000-000050B50000}"/>
    <cellStyle name="Normal 652 2 3" xfId="26488" xr:uid="{00000000-0005-0000-0000-000051B50000}"/>
    <cellStyle name="Normal 652 3" xfId="12182" xr:uid="{00000000-0005-0000-0000-000052B50000}"/>
    <cellStyle name="Normal 652 3 2" xfId="29854" xr:uid="{00000000-0005-0000-0000-000053B50000}"/>
    <cellStyle name="Normal 652 4" xfId="23623" xr:uid="{00000000-0005-0000-0000-000054B50000}"/>
    <cellStyle name="Normal 653" xfId="5507" xr:uid="{00000000-0005-0000-0000-000055B50000}"/>
    <cellStyle name="Normal 654" xfId="6136" xr:uid="{00000000-0005-0000-0000-000056B50000}"/>
    <cellStyle name="Normal 655" xfId="6674" xr:uid="{00000000-0005-0000-0000-000057B50000}"/>
    <cellStyle name="Normal 656" xfId="7513" xr:uid="{00000000-0005-0000-0000-000058B50000}"/>
    <cellStyle name="Normal 657" xfId="8073" xr:uid="{00000000-0005-0000-0000-000059B50000}"/>
    <cellStyle name="Normal 658" xfId="7512" xr:uid="{00000000-0005-0000-0000-00005AB50000}"/>
    <cellStyle name="Normal 659" xfId="7507" xr:uid="{00000000-0005-0000-0000-00005BB50000}"/>
    <cellStyle name="Normal 659 2" xfId="15306" xr:uid="{00000000-0005-0000-0000-00005CB50000}"/>
    <cellStyle name="Normal 659 2 2" xfId="32941" xr:uid="{00000000-0005-0000-0000-00005DB50000}"/>
    <cellStyle name="Normal 659 3" xfId="25942" xr:uid="{00000000-0005-0000-0000-00005EB50000}"/>
    <cellStyle name="Normal 66" xfId="3012" xr:uid="{00000000-0005-0000-0000-00005FB50000}"/>
    <cellStyle name="Normal 66 2" xfId="5250" xr:uid="{00000000-0005-0000-0000-000060B50000}"/>
    <cellStyle name="Normal 66 3" xfId="52617" xr:uid="{00000000-0005-0000-0000-000061B50000}"/>
    <cellStyle name="Normal 660" xfId="18868" xr:uid="{00000000-0005-0000-0000-000062B50000}"/>
    <cellStyle name="Normal 660 2" xfId="36505" xr:uid="{00000000-0005-0000-0000-000063B50000}"/>
    <cellStyle name="Normal 661" xfId="21934" xr:uid="{00000000-0005-0000-0000-000064B50000}"/>
    <cellStyle name="Normal 661 2" xfId="38687" xr:uid="{00000000-0005-0000-0000-000065B50000}"/>
    <cellStyle name="Normal 662" xfId="22662" xr:uid="{00000000-0005-0000-0000-000066B50000}"/>
    <cellStyle name="Normal 662 2" xfId="38899" xr:uid="{00000000-0005-0000-0000-000067B50000}"/>
    <cellStyle name="Normal 663" xfId="21945" xr:uid="{00000000-0005-0000-0000-000068B50000}"/>
    <cellStyle name="Normal 663 2" xfId="38698" xr:uid="{00000000-0005-0000-0000-000069B50000}"/>
    <cellStyle name="Normal 664" xfId="23056" xr:uid="{00000000-0005-0000-0000-00006AB50000}"/>
    <cellStyle name="Normal 664 2" xfId="39053" xr:uid="{00000000-0005-0000-0000-00006BB50000}"/>
    <cellStyle name="Normal 665" xfId="22877" xr:uid="{00000000-0005-0000-0000-00006CB50000}"/>
    <cellStyle name="Normal 665 2" xfId="39030" xr:uid="{00000000-0005-0000-0000-00006DB50000}"/>
    <cellStyle name="Normal 666" xfId="23081" xr:uid="{00000000-0005-0000-0000-00006EB50000}"/>
    <cellStyle name="Normal 667" xfId="23080" xr:uid="{00000000-0005-0000-0000-00006FB50000}"/>
    <cellStyle name="Normal 668" xfId="22025" xr:uid="{00000000-0005-0000-0000-000070B50000}"/>
    <cellStyle name="Normal 669" xfId="47479" xr:uid="{00000000-0005-0000-0000-000071B50000}"/>
    <cellStyle name="Normal 67" xfId="3013" xr:uid="{00000000-0005-0000-0000-000072B50000}"/>
    <cellStyle name="Normal 67 2" xfId="5251" xr:uid="{00000000-0005-0000-0000-000073B50000}"/>
    <cellStyle name="Normal 67 3" xfId="52618" xr:uid="{00000000-0005-0000-0000-000074B50000}"/>
    <cellStyle name="Normal 670" xfId="23068" xr:uid="{00000000-0005-0000-0000-000075B50000}"/>
    <cellStyle name="Normal 671" xfId="51479" xr:uid="{00000000-0005-0000-0000-000076B50000}"/>
    <cellStyle name="Normal 672" xfId="51492" xr:uid="{00000000-0005-0000-0000-000077B50000}"/>
    <cellStyle name="Normal 673" xfId="51505" xr:uid="{00000000-0005-0000-0000-000078B50000}"/>
    <cellStyle name="Normal 674" xfId="51518" xr:uid="{00000000-0005-0000-0000-000079B50000}"/>
    <cellStyle name="Normal 675" xfId="51519" xr:uid="{00000000-0005-0000-0000-00007AB50000}"/>
    <cellStyle name="Normal 676" xfId="51520" xr:uid="{00000000-0005-0000-0000-00007BB50000}"/>
    <cellStyle name="Normal 677" xfId="51521" xr:uid="{00000000-0005-0000-0000-00007CB50000}"/>
    <cellStyle name="Normal 678" xfId="51522" xr:uid="{00000000-0005-0000-0000-00007DB50000}"/>
    <cellStyle name="Normal 679" xfId="51523" xr:uid="{00000000-0005-0000-0000-00007EB50000}"/>
    <cellStyle name="Normal 68" xfId="3014" xr:uid="{00000000-0005-0000-0000-00007FB50000}"/>
    <cellStyle name="Normal 68 2" xfId="5252" xr:uid="{00000000-0005-0000-0000-000080B50000}"/>
    <cellStyle name="Normal 68 3" xfId="52619" xr:uid="{00000000-0005-0000-0000-000081B50000}"/>
    <cellStyle name="Normal 680" xfId="51524" xr:uid="{00000000-0005-0000-0000-000082B50000}"/>
    <cellStyle name="Normal 681" xfId="51525" xr:uid="{00000000-0005-0000-0000-000083B50000}"/>
    <cellStyle name="Normal 682" xfId="51526" xr:uid="{00000000-0005-0000-0000-000084B50000}"/>
    <cellStyle name="Normal 683" xfId="51527" xr:uid="{00000000-0005-0000-0000-000085B50000}"/>
    <cellStyle name="Normal 684" xfId="51528" xr:uid="{00000000-0005-0000-0000-000086B50000}"/>
    <cellStyle name="Normal 685" xfId="51529" xr:uid="{00000000-0005-0000-0000-000087B50000}"/>
    <cellStyle name="Normal 686" xfId="51530" xr:uid="{00000000-0005-0000-0000-000088B50000}"/>
    <cellStyle name="Normal 687" xfId="51531" xr:uid="{00000000-0005-0000-0000-000089B50000}"/>
    <cellStyle name="Normal 688" xfId="51532" xr:uid="{00000000-0005-0000-0000-00008AB50000}"/>
    <cellStyle name="Normal 689" xfId="51533" xr:uid="{00000000-0005-0000-0000-00008BB50000}"/>
    <cellStyle name="Normal 69" xfId="3015" xr:uid="{00000000-0005-0000-0000-00008CB50000}"/>
    <cellStyle name="Normal 69 2" xfId="3016" xr:uid="{00000000-0005-0000-0000-00008DB50000}"/>
    <cellStyle name="Normal 69 2 2" xfId="5253" xr:uid="{00000000-0005-0000-0000-00008EB50000}"/>
    <cellStyle name="Normal 69 2 3" xfId="52620" xr:uid="{00000000-0005-0000-0000-00008FB50000}"/>
    <cellStyle name="Normal 69 3" xfId="3017" xr:uid="{00000000-0005-0000-0000-000090B50000}"/>
    <cellStyle name="Normal 69 3 2" xfId="3018" xr:uid="{00000000-0005-0000-0000-000091B50000}"/>
    <cellStyle name="Normal 69 3_Sheet1" xfId="3019" xr:uid="{00000000-0005-0000-0000-000092B50000}"/>
    <cellStyle name="Normal 69 4" xfId="3020" xr:uid="{00000000-0005-0000-0000-000093B50000}"/>
    <cellStyle name="Normal 69 5" xfId="23008" xr:uid="{00000000-0005-0000-0000-000094B50000}"/>
    <cellStyle name="Normal 69_Sheet1" xfId="3021" xr:uid="{00000000-0005-0000-0000-000095B50000}"/>
    <cellStyle name="Normal 690" xfId="51534" xr:uid="{00000000-0005-0000-0000-000096B50000}"/>
    <cellStyle name="Normal 691" xfId="51535" xr:uid="{00000000-0005-0000-0000-000097B50000}"/>
    <cellStyle name="Normal 692" xfId="51536" xr:uid="{00000000-0005-0000-0000-000098B50000}"/>
    <cellStyle name="Normal 693" xfId="51537" xr:uid="{00000000-0005-0000-0000-000099B50000}"/>
    <cellStyle name="Normal 694" xfId="51538" xr:uid="{00000000-0005-0000-0000-00009AB50000}"/>
    <cellStyle name="Normal 695" xfId="51539" xr:uid="{00000000-0005-0000-0000-00009BB50000}"/>
    <cellStyle name="Normal 696" xfId="51540" xr:uid="{00000000-0005-0000-0000-00009CB50000}"/>
    <cellStyle name="Normal 697" xfId="51541" xr:uid="{00000000-0005-0000-0000-00009DB50000}"/>
    <cellStyle name="Normal 698" xfId="51542" xr:uid="{00000000-0005-0000-0000-00009EB50000}"/>
    <cellStyle name="Normal 699" xfId="51543" xr:uid="{00000000-0005-0000-0000-00009FB50000}"/>
    <cellStyle name="Normal 7" xfId="131" xr:uid="{00000000-0005-0000-0000-0000A0B50000}"/>
    <cellStyle name="Normal 7 2" xfId="3023" xr:uid="{00000000-0005-0000-0000-0000A1B50000}"/>
    <cellStyle name="Normal 7 2 2" xfId="3024" xr:uid="{00000000-0005-0000-0000-0000A2B50000}"/>
    <cellStyle name="Normal 7 2_Sheet1" xfId="3025" xr:uid="{00000000-0005-0000-0000-0000A3B50000}"/>
    <cellStyle name="Normal 7 3" xfId="3026" xr:uid="{00000000-0005-0000-0000-0000A4B50000}"/>
    <cellStyle name="Normal 7 4" xfId="22581" xr:uid="{00000000-0005-0000-0000-0000A5B50000}"/>
    <cellStyle name="Normal 7 5" xfId="22895" xr:uid="{00000000-0005-0000-0000-0000A6B50000}"/>
    <cellStyle name="Normal 7 6" xfId="3022" xr:uid="{00000000-0005-0000-0000-0000A7B50000}"/>
    <cellStyle name="Normal 7_Sheet1" xfId="3027" xr:uid="{00000000-0005-0000-0000-0000A8B50000}"/>
    <cellStyle name="Normal 70" xfId="3028" xr:uid="{00000000-0005-0000-0000-0000A9B50000}"/>
    <cellStyle name="Normal 70 2" xfId="5254" xr:uid="{00000000-0005-0000-0000-0000AAB50000}"/>
    <cellStyle name="Normal 70 3" xfId="52621" xr:uid="{00000000-0005-0000-0000-0000ABB50000}"/>
    <cellStyle name="Normal 700" xfId="51544" xr:uid="{00000000-0005-0000-0000-0000ACB50000}"/>
    <cellStyle name="Normal 701" xfId="51545" xr:uid="{00000000-0005-0000-0000-0000ADB50000}"/>
    <cellStyle name="Normal 702" xfId="51546" xr:uid="{00000000-0005-0000-0000-0000AEB50000}"/>
    <cellStyle name="Normal 703" xfId="51547" xr:uid="{00000000-0005-0000-0000-0000AFB50000}"/>
    <cellStyle name="Normal 704" xfId="51548" xr:uid="{00000000-0005-0000-0000-0000B0B50000}"/>
    <cellStyle name="Normal 705" xfId="51549" xr:uid="{00000000-0005-0000-0000-0000B1B50000}"/>
    <cellStyle name="Normal 706" xfId="51550" xr:uid="{00000000-0005-0000-0000-0000B2B50000}"/>
    <cellStyle name="Normal 707" xfId="51551" xr:uid="{00000000-0005-0000-0000-0000B3B50000}"/>
    <cellStyle name="Normal 708" xfId="51552" xr:uid="{00000000-0005-0000-0000-0000B4B50000}"/>
    <cellStyle name="Normal 709" xfId="51553" xr:uid="{00000000-0005-0000-0000-0000B5B50000}"/>
    <cellStyle name="Normal 71" xfId="3029" xr:uid="{00000000-0005-0000-0000-0000B6B50000}"/>
    <cellStyle name="Normal 71 2" xfId="5255" xr:uid="{00000000-0005-0000-0000-0000B7B50000}"/>
    <cellStyle name="Normal 71 3" xfId="52622" xr:uid="{00000000-0005-0000-0000-0000B8B50000}"/>
    <cellStyle name="Normal 710" xfId="51554" xr:uid="{00000000-0005-0000-0000-0000B9B50000}"/>
    <cellStyle name="Normal 711" xfId="51555" xr:uid="{00000000-0005-0000-0000-0000BAB50000}"/>
    <cellStyle name="Normal 712" xfId="51556" xr:uid="{00000000-0005-0000-0000-0000BBB50000}"/>
    <cellStyle name="Normal 713" xfId="51557" xr:uid="{00000000-0005-0000-0000-0000BCB50000}"/>
    <cellStyle name="Normal 714" xfId="51558" xr:uid="{00000000-0005-0000-0000-0000BDB50000}"/>
    <cellStyle name="Normal 715" xfId="51559" xr:uid="{00000000-0005-0000-0000-0000BEB50000}"/>
    <cellStyle name="Normal 716" xfId="51560" xr:uid="{00000000-0005-0000-0000-0000BFB50000}"/>
    <cellStyle name="Normal 717" xfId="51561" xr:uid="{00000000-0005-0000-0000-0000C0B50000}"/>
    <cellStyle name="Normal 718" xfId="51562" xr:uid="{00000000-0005-0000-0000-0000C1B50000}"/>
    <cellStyle name="Normal 719" xfId="51563" xr:uid="{00000000-0005-0000-0000-0000C2B50000}"/>
    <cellStyle name="Normal 72" xfId="3030" xr:uid="{00000000-0005-0000-0000-0000C3B50000}"/>
    <cellStyle name="Normal 72 10" xfId="52623" xr:uid="{00000000-0005-0000-0000-0000C4B50000}"/>
    <cellStyle name="Normal 72 2" xfId="5256" xr:uid="{00000000-0005-0000-0000-0000C5B50000}"/>
    <cellStyle name="Normal 72 2 2" xfId="8783" xr:uid="{00000000-0005-0000-0000-0000C6B50000}"/>
    <cellStyle name="Normal 72 2 2 2" xfId="16579" xr:uid="{00000000-0005-0000-0000-0000C7B50000}"/>
    <cellStyle name="Normal 72 2 2 2 2" xfId="34214" xr:uid="{00000000-0005-0000-0000-0000C8B50000}"/>
    <cellStyle name="Normal 72 2 2 3" xfId="27184" xr:uid="{00000000-0005-0000-0000-0000C9B50000}"/>
    <cellStyle name="Normal 72 2 3" xfId="13247" xr:uid="{00000000-0005-0000-0000-0000CAB50000}"/>
    <cellStyle name="Normal 72 2 3 2" xfId="30892" xr:uid="{00000000-0005-0000-0000-0000CBB50000}"/>
    <cellStyle name="Normal 72 2 4" xfId="23009" xr:uid="{00000000-0005-0000-0000-0000CCB50000}"/>
    <cellStyle name="Normal 72 2 4 2" xfId="39052" xr:uid="{00000000-0005-0000-0000-0000CDB50000}"/>
    <cellStyle name="Normal 72 2 5" xfId="24319" xr:uid="{00000000-0005-0000-0000-0000CEB50000}"/>
    <cellStyle name="Normal 72 3" xfId="6033" xr:uid="{00000000-0005-0000-0000-0000CFB50000}"/>
    <cellStyle name="Normal 72 3 2" xfId="9333" xr:uid="{00000000-0005-0000-0000-0000D0B50000}"/>
    <cellStyle name="Normal 72 3 2 2" xfId="17128" xr:uid="{00000000-0005-0000-0000-0000D1B50000}"/>
    <cellStyle name="Normal 72 3 2 2 2" xfId="34764" xr:uid="{00000000-0005-0000-0000-0000D2B50000}"/>
    <cellStyle name="Normal 72 3 2 3" xfId="27721" xr:uid="{00000000-0005-0000-0000-0000D3B50000}"/>
    <cellStyle name="Normal 72 3 3" xfId="13889" xr:uid="{00000000-0005-0000-0000-0000D4B50000}"/>
    <cellStyle name="Normal 72 3 3 2" xfId="31529" xr:uid="{00000000-0005-0000-0000-0000D5B50000}"/>
    <cellStyle name="Normal 72 3 4" xfId="22582" xr:uid="{00000000-0005-0000-0000-0000D6B50000}"/>
    <cellStyle name="Normal 72 3 5" xfId="24856" xr:uid="{00000000-0005-0000-0000-0000D7B50000}"/>
    <cellStyle name="Normal 72 4" xfId="6663" xr:uid="{00000000-0005-0000-0000-0000D8B50000}"/>
    <cellStyle name="Normal 72 4 2" xfId="9873" xr:uid="{00000000-0005-0000-0000-0000D9B50000}"/>
    <cellStyle name="Normal 72 4 2 2" xfId="17667" xr:uid="{00000000-0005-0000-0000-0000DAB50000}"/>
    <cellStyle name="Normal 72 4 2 2 2" xfId="35304" xr:uid="{00000000-0005-0000-0000-0000DBB50000}"/>
    <cellStyle name="Normal 72 4 2 3" xfId="28257" xr:uid="{00000000-0005-0000-0000-0000DCB50000}"/>
    <cellStyle name="Normal 72 4 3" xfId="14452" xr:uid="{00000000-0005-0000-0000-0000DDB50000}"/>
    <cellStyle name="Normal 72 4 3 2" xfId="32087" xr:uid="{00000000-0005-0000-0000-0000DEB50000}"/>
    <cellStyle name="Normal 72 4 4" xfId="25393" xr:uid="{00000000-0005-0000-0000-0000DFB50000}"/>
    <cellStyle name="Normal 72 5" xfId="7439" xr:uid="{00000000-0005-0000-0000-0000E0B50000}"/>
    <cellStyle name="Normal 72 5 2" xfId="10427" xr:uid="{00000000-0005-0000-0000-0000E1B50000}"/>
    <cellStyle name="Normal 72 5 2 2" xfId="18220" xr:uid="{00000000-0005-0000-0000-0000E2B50000}"/>
    <cellStyle name="Normal 72 5 2 2 2" xfId="35857" xr:uid="{00000000-0005-0000-0000-0000E3B50000}"/>
    <cellStyle name="Normal 72 5 2 3" xfId="28794" xr:uid="{00000000-0005-0000-0000-0000E4B50000}"/>
    <cellStyle name="Normal 72 5 3" xfId="15227" xr:uid="{00000000-0005-0000-0000-0000E5B50000}"/>
    <cellStyle name="Normal 72 5 3 2" xfId="32862" xr:uid="{00000000-0005-0000-0000-0000E6B50000}"/>
    <cellStyle name="Normal 72 5 4" xfId="25931" xr:uid="{00000000-0005-0000-0000-0000E7B50000}"/>
    <cellStyle name="Normal 72 6" xfId="8061" xr:uid="{00000000-0005-0000-0000-0000E8B50000}"/>
    <cellStyle name="Normal 72 6 2" xfId="15858" xr:uid="{00000000-0005-0000-0000-0000E9B50000}"/>
    <cellStyle name="Normal 72 6 2 2" xfId="33493" xr:uid="{00000000-0005-0000-0000-0000EAB50000}"/>
    <cellStyle name="Normal 72 6 3" xfId="26477" xr:uid="{00000000-0005-0000-0000-0000EBB50000}"/>
    <cellStyle name="Normal 72 7" xfId="12048" xr:uid="{00000000-0005-0000-0000-0000ECB50000}"/>
    <cellStyle name="Normal 72 7 2" xfId="29727" xr:uid="{00000000-0005-0000-0000-0000EDB50000}"/>
    <cellStyle name="Normal 72 8" xfId="21995" xr:uid="{00000000-0005-0000-0000-0000EEB50000}"/>
    <cellStyle name="Normal 72 8 2" xfId="38739" xr:uid="{00000000-0005-0000-0000-0000EFB50000}"/>
    <cellStyle name="Normal 72 9" xfId="23612" xr:uid="{00000000-0005-0000-0000-0000F0B50000}"/>
    <cellStyle name="Normal 720" xfId="51564" xr:uid="{00000000-0005-0000-0000-0000F1B50000}"/>
    <cellStyle name="Normal 721" xfId="51565" xr:uid="{00000000-0005-0000-0000-0000F2B50000}"/>
    <cellStyle name="Normal 722" xfId="51566" xr:uid="{00000000-0005-0000-0000-0000F3B50000}"/>
    <cellStyle name="Normal 723" xfId="51567" xr:uid="{00000000-0005-0000-0000-0000F4B50000}"/>
    <cellStyle name="Normal 724" xfId="51568" xr:uid="{00000000-0005-0000-0000-0000F5B50000}"/>
    <cellStyle name="Normal 725" xfId="51569" xr:uid="{00000000-0005-0000-0000-0000F6B50000}"/>
    <cellStyle name="Normal 726" xfId="51570" xr:uid="{00000000-0005-0000-0000-0000F7B50000}"/>
    <cellStyle name="Normal 727" xfId="51571" xr:uid="{00000000-0005-0000-0000-0000F8B50000}"/>
    <cellStyle name="Normal 728" xfId="51572" xr:uid="{00000000-0005-0000-0000-0000F9B50000}"/>
    <cellStyle name="Normal 729" xfId="51573" xr:uid="{00000000-0005-0000-0000-0000FAB50000}"/>
    <cellStyle name="Normal 73" xfId="3031" xr:uid="{00000000-0005-0000-0000-0000FBB50000}"/>
    <cellStyle name="Normal 73 2" xfId="5257" xr:uid="{00000000-0005-0000-0000-0000FCB50000}"/>
    <cellStyle name="Normal 73 3" xfId="52624" xr:uid="{00000000-0005-0000-0000-0000FDB50000}"/>
    <cellStyle name="Normal 730" xfId="51574" xr:uid="{00000000-0005-0000-0000-0000FEB50000}"/>
    <cellStyle name="Normal 731" xfId="51575" xr:uid="{00000000-0005-0000-0000-0000FFB50000}"/>
    <cellStyle name="Normal 732" xfId="51576" xr:uid="{00000000-0005-0000-0000-000000B60000}"/>
    <cellStyle name="Normal 733" xfId="51577" xr:uid="{00000000-0005-0000-0000-000001B60000}"/>
    <cellStyle name="Normal 734" xfId="51578" xr:uid="{00000000-0005-0000-0000-000002B60000}"/>
    <cellStyle name="Normal 735" xfId="51579" xr:uid="{00000000-0005-0000-0000-000003B60000}"/>
    <cellStyle name="Normal 736" xfId="51580" xr:uid="{00000000-0005-0000-0000-000004B60000}"/>
    <cellStyle name="Normal 737" xfId="51581" xr:uid="{00000000-0005-0000-0000-000005B60000}"/>
    <cellStyle name="Normal 738" xfId="51582" xr:uid="{00000000-0005-0000-0000-000006B60000}"/>
    <cellStyle name="Normal 739" xfId="51583" xr:uid="{00000000-0005-0000-0000-000007B60000}"/>
    <cellStyle name="Normal 74" xfId="3032" xr:uid="{00000000-0005-0000-0000-000008B60000}"/>
    <cellStyle name="Normal 74 2" xfId="5258" xr:uid="{00000000-0005-0000-0000-000009B60000}"/>
    <cellStyle name="Normal 74 3" xfId="52625" xr:uid="{00000000-0005-0000-0000-00000AB60000}"/>
    <cellStyle name="Normal 740" xfId="51584" xr:uid="{00000000-0005-0000-0000-00000BB60000}"/>
    <cellStyle name="Normal 741" xfId="51585" xr:uid="{00000000-0005-0000-0000-00000CB60000}"/>
    <cellStyle name="Normal 742" xfId="51586" xr:uid="{00000000-0005-0000-0000-00000DB60000}"/>
    <cellStyle name="Normal 743" xfId="51587" xr:uid="{00000000-0005-0000-0000-00000EB60000}"/>
    <cellStyle name="Normal 744" xfId="51588" xr:uid="{00000000-0005-0000-0000-00000FB60000}"/>
    <cellStyle name="Normal 745" xfId="51589" xr:uid="{00000000-0005-0000-0000-000010B60000}"/>
    <cellStyle name="Normal 746" xfId="51590" xr:uid="{00000000-0005-0000-0000-000011B60000}"/>
    <cellStyle name="Normal 747" xfId="51591" xr:uid="{00000000-0005-0000-0000-000012B60000}"/>
    <cellStyle name="Normal 748" xfId="51592" xr:uid="{00000000-0005-0000-0000-000013B60000}"/>
    <cellStyle name="Normal 749" xfId="51593" xr:uid="{00000000-0005-0000-0000-000014B60000}"/>
    <cellStyle name="Normal 75" xfId="3033" xr:uid="{00000000-0005-0000-0000-000015B60000}"/>
    <cellStyle name="Normal 75 2" xfId="3034" xr:uid="{00000000-0005-0000-0000-000016B60000}"/>
    <cellStyle name="Normal 75 2 2" xfId="3035" xr:uid="{00000000-0005-0000-0000-000017B60000}"/>
    <cellStyle name="Normal 75 2 2 2" xfId="5261" xr:uid="{00000000-0005-0000-0000-000018B60000}"/>
    <cellStyle name="Normal 75 2 2 3" xfId="52628" xr:uid="{00000000-0005-0000-0000-000019B60000}"/>
    <cellStyle name="Normal 75 2 3" xfId="5260" xr:uid="{00000000-0005-0000-0000-00001AB60000}"/>
    <cellStyle name="Normal 75 2 4" xfId="52627" xr:uid="{00000000-0005-0000-0000-00001BB60000}"/>
    <cellStyle name="Normal 75 2_BallGrid" xfId="3036" xr:uid="{00000000-0005-0000-0000-00001CB60000}"/>
    <cellStyle name="Normal 75 3" xfId="5259" xr:uid="{00000000-0005-0000-0000-00001DB60000}"/>
    <cellStyle name="Normal 75 4" xfId="52626" xr:uid="{00000000-0005-0000-0000-00001EB60000}"/>
    <cellStyle name="Normal 75_BallGrid" xfId="3037" xr:uid="{00000000-0005-0000-0000-00001FB60000}"/>
    <cellStyle name="Normal 750" xfId="51594" xr:uid="{00000000-0005-0000-0000-000020B60000}"/>
    <cellStyle name="Normal 751" xfId="51595" xr:uid="{00000000-0005-0000-0000-000021B60000}"/>
    <cellStyle name="Normal 752" xfId="51596" xr:uid="{00000000-0005-0000-0000-000022B60000}"/>
    <cellStyle name="Normal 753" xfId="51597" xr:uid="{00000000-0005-0000-0000-000023B60000}"/>
    <cellStyle name="Normal 754" xfId="51598" xr:uid="{00000000-0005-0000-0000-000024B60000}"/>
    <cellStyle name="Normal 755" xfId="51599" xr:uid="{00000000-0005-0000-0000-000025B60000}"/>
    <cellStyle name="Normal 756" xfId="51600" xr:uid="{00000000-0005-0000-0000-000026B60000}"/>
    <cellStyle name="Normal 757" xfId="51601" xr:uid="{00000000-0005-0000-0000-000027B60000}"/>
    <cellStyle name="Normal 758" xfId="51602" xr:uid="{00000000-0005-0000-0000-000028B60000}"/>
    <cellStyle name="Normal 759" xfId="51603" xr:uid="{00000000-0005-0000-0000-000029B60000}"/>
    <cellStyle name="Normal 76" xfId="3038" xr:uid="{00000000-0005-0000-0000-00002AB60000}"/>
    <cellStyle name="Normal 76 2" xfId="3039" xr:uid="{00000000-0005-0000-0000-00002BB60000}"/>
    <cellStyle name="Normal 76 2 10" xfId="52629" xr:uid="{00000000-0005-0000-0000-00002CB60000}"/>
    <cellStyle name="Normal 76 2 2" xfId="5262" xr:uid="{00000000-0005-0000-0000-00002DB60000}"/>
    <cellStyle name="Normal 76 2 2 2" xfId="8784" xr:uid="{00000000-0005-0000-0000-00002EB60000}"/>
    <cellStyle name="Normal 76 2 2 2 2" xfId="16580" xr:uid="{00000000-0005-0000-0000-00002FB60000}"/>
    <cellStyle name="Normal 76 2 2 2 2 2" xfId="34215" xr:uid="{00000000-0005-0000-0000-000030B60000}"/>
    <cellStyle name="Normal 76 2 2 2 3" xfId="27185" xr:uid="{00000000-0005-0000-0000-000031B60000}"/>
    <cellStyle name="Normal 76 2 2 3" xfId="13252" xr:uid="{00000000-0005-0000-0000-000032B60000}"/>
    <cellStyle name="Normal 76 2 2 3 2" xfId="30897" xr:uid="{00000000-0005-0000-0000-000033B60000}"/>
    <cellStyle name="Normal 76 2 2 4" xfId="24320" xr:uid="{00000000-0005-0000-0000-000034B60000}"/>
    <cellStyle name="Normal 76 2 3" xfId="6034" xr:uid="{00000000-0005-0000-0000-000035B60000}"/>
    <cellStyle name="Normal 76 2 3 2" xfId="9334" xr:uid="{00000000-0005-0000-0000-000036B60000}"/>
    <cellStyle name="Normal 76 2 3 2 2" xfId="17129" xr:uid="{00000000-0005-0000-0000-000037B60000}"/>
    <cellStyle name="Normal 76 2 3 2 2 2" xfId="34765" xr:uid="{00000000-0005-0000-0000-000038B60000}"/>
    <cellStyle name="Normal 76 2 3 2 3" xfId="27722" xr:uid="{00000000-0005-0000-0000-000039B60000}"/>
    <cellStyle name="Normal 76 2 3 3" xfId="13890" xr:uid="{00000000-0005-0000-0000-00003AB60000}"/>
    <cellStyle name="Normal 76 2 3 3 2" xfId="31530" xr:uid="{00000000-0005-0000-0000-00003BB60000}"/>
    <cellStyle name="Normal 76 2 3 4" xfId="24857" xr:uid="{00000000-0005-0000-0000-00003CB60000}"/>
    <cellStyle name="Normal 76 2 4" xfId="6664" xr:uid="{00000000-0005-0000-0000-00003DB60000}"/>
    <cellStyle name="Normal 76 2 4 2" xfId="9874" xr:uid="{00000000-0005-0000-0000-00003EB60000}"/>
    <cellStyle name="Normal 76 2 4 2 2" xfId="17668" xr:uid="{00000000-0005-0000-0000-00003FB60000}"/>
    <cellStyle name="Normal 76 2 4 2 2 2" xfId="35305" xr:uid="{00000000-0005-0000-0000-000040B60000}"/>
    <cellStyle name="Normal 76 2 4 2 3" xfId="28258" xr:uid="{00000000-0005-0000-0000-000041B60000}"/>
    <cellStyle name="Normal 76 2 4 3" xfId="14453" xr:uid="{00000000-0005-0000-0000-000042B60000}"/>
    <cellStyle name="Normal 76 2 4 3 2" xfId="32088" xr:uid="{00000000-0005-0000-0000-000043B60000}"/>
    <cellStyle name="Normal 76 2 4 4" xfId="25394" xr:uid="{00000000-0005-0000-0000-000044B60000}"/>
    <cellStyle name="Normal 76 2 5" xfId="7440" xr:uid="{00000000-0005-0000-0000-000045B60000}"/>
    <cellStyle name="Normal 76 2 5 2" xfId="10428" xr:uid="{00000000-0005-0000-0000-000046B60000}"/>
    <cellStyle name="Normal 76 2 5 2 2" xfId="18221" xr:uid="{00000000-0005-0000-0000-000047B60000}"/>
    <cellStyle name="Normal 76 2 5 2 2 2" xfId="35858" xr:uid="{00000000-0005-0000-0000-000048B60000}"/>
    <cellStyle name="Normal 76 2 5 2 3" xfId="28795" xr:uid="{00000000-0005-0000-0000-000049B60000}"/>
    <cellStyle name="Normal 76 2 5 3" xfId="15228" xr:uid="{00000000-0005-0000-0000-00004AB60000}"/>
    <cellStyle name="Normal 76 2 5 3 2" xfId="32863" xr:uid="{00000000-0005-0000-0000-00004BB60000}"/>
    <cellStyle name="Normal 76 2 5 4" xfId="25932" xr:uid="{00000000-0005-0000-0000-00004CB60000}"/>
    <cellStyle name="Normal 76 2 6" xfId="8062" xr:uid="{00000000-0005-0000-0000-00004DB60000}"/>
    <cellStyle name="Normal 76 2 6 2" xfId="15859" xr:uid="{00000000-0005-0000-0000-00004EB60000}"/>
    <cellStyle name="Normal 76 2 6 2 2" xfId="33494" xr:uid="{00000000-0005-0000-0000-00004FB60000}"/>
    <cellStyle name="Normal 76 2 6 3" xfId="26478" xr:uid="{00000000-0005-0000-0000-000050B60000}"/>
    <cellStyle name="Normal 76 2 7" xfId="12056" xr:uid="{00000000-0005-0000-0000-000051B60000}"/>
    <cellStyle name="Normal 76 2 7 2" xfId="29735" xr:uid="{00000000-0005-0000-0000-000052B60000}"/>
    <cellStyle name="Normal 76 2 8" xfId="21996" xr:uid="{00000000-0005-0000-0000-000053B60000}"/>
    <cellStyle name="Normal 76 2 8 2" xfId="38740" xr:uid="{00000000-0005-0000-0000-000054B60000}"/>
    <cellStyle name="Normal 76 2 9" xfId="23613" xr:uid="{00000000-0005-0000-0000-000055B60000}"/>
    <cellStyle name="Normal 76 3" xfId="3040" xr:uid="{00000000-0005-0000-0000-000056B60000}"/>
    <cellStyle name="Normal 76 3 2" xfId="3041" xr:uid="{00000000-0005-0000-0000-000057B60000}"/>
    <cellStyle name="Normal 76 3_Sheet1" xfId="3042" xr:uid="{00000000-0005-0000-0000-000058B60000}"/>
    <cellStyle name="Normal 76 4" xfId="3043" xr:uid="{00000000-0005-0000-0000-000059B60000}"/>
    <cellStyle name="Normal 76 5" xfId="23010" xr:uid="{00000000-0005-0000-0000-00005AB60000}"/>
    <cellStyle name="Normal 76 6" xfId="22583" xr:uid="{00000000-0005-0000-0000-00005BB60000}"/>
    <cellStyle name="Normal 76 7" xfId="22294" xr:uid="{00000000-0005-0000-0000-00005CB60000}"/>
    <cellStyle name="Normal 76_Sheet1" xfId="3044" xr:uid="{00000000-0005-0000-0000-00005DB60000}"/>
    <cellStyle name="Normal 760" xfId="51604" xr:uid="{00000000-0005-0000-0000-00005EB60000}"/>
    <cellStyle name="Normal 761" xfId="51605" xr:uid="{00000000-0005-0000-0000-00005FB60000}"/>
    <cellStyle name="Normal 762" xfId="51606" xr:uid="{00000000-0005-0000-0000-000060B60000}"/>
    <cellStyle name="Normal 763" xfId="51607" xr:uid="{00000000-0005-0000-0000-000061B60000}"/>
    <cellStyle name="Normal 764" xfId="51608" xr:uid="{00000000-0005-0000-0000-000062B60000}"/>
    <cellStyle name="Normal 765" xfId="51609" xr:uid="{00000000-0005-0000-0000-000063B60000}"/>
    <cellStyle name="Normal 766" xfId="51610" xr:uid="{00000000-0005-0000-0000-000064B60000}"/>
    <cellStyle name="Normal 767" xfId="51611" xr:uid="{00000000-0005-0000-0000-000065B60000}"/>
    <cellStyle name="Normal 768" xfId="51612" xr:uid="{00000000-0005-0000-0000-000066B60000}"/>
    <cellStyle name="Normal 769" xfId="51613" xr:uid="{00000000-0005-0000-0000-000067B60000}"/>
    <cellStyle name="Normal 77" xfId="132" xr:uid="{00000000-0005-0000-0000-000068B60000}"/>
    <cellStyle name="Normal 77 2" xfId="3045" xr:uid="{00000000-0005-0000-0000-000069B60000}"/>
    <cellStyle name="Normal 77 2 2" xfId="3046" xr:uid="{00000000-0005-0000-0000-00006AB60000}"/>
    <cellStyle name="Normal 77 2 2 2" xfId="5265" xr:uid="{00000000-0005-0000-0000-00006BB60000}"/>
    <cellStyle name="Normal 77 2 2 3" xfId="52632" xr:uid="{00000000-0005-0000-0000-00006CB60000}"/>
    <cellStyle name="Normal 77 2 3" xfId="5264" xr:uid="{00000000-0005-0000-0000-00006DB60000}"/>
    <cellStyle name="Normal 77 2 4" xfId="52631" xr:uid="{00000000-0005-0000-0000-00006EB60000}"/>
    <cellStyle name="Normal 77 2_BallGrid" xfId="3047" xr:uid="{00000000-0005-0000-0000-00006FB60000}"/>
    <cellStyle name="Normal 77 3" xfId="5263" xr:uid="{00000000-0005-0000-0000-000070B60000}"/>
    <cellStyle name="Normal 77 4" xfId="52630" xr:uid="{00000000-0005-0000-0000-000071B60000}"/>
    <cellStyle name="Normal 77_BallGrid" xfId="3048" xr:uid="{00000000-0005-0000-0000-000072B60000}"/>
    <cellStyle name="Normal 770" xfId="51614" xr:uid="{00000000-0005-0000-0000-000073B60000}"/>
    <cellStyle name="Normal 771" xfId="51615" xr:uid="{00000000-0005-0000-0000-000074B60000}"/>
    <cellStyle name="Normal 772" xfId="51616" xr:uid="{00000000-0005-0000-0000-000075B60000}"/>
    <cellStyle name="Normal 773" xfId="51617" xr:uid="{00000000-0005-0000-0000-000076B60000}"/>
    <cellStyle name="Normal 774" xfId="51618" xr:uid="{00000000-0005-0000-0000-000077B60000}"/>
    <cellStyle name="Normal 775" xfId="51619" xr:uid="{00000000-0005-0000-0000-000078B60000}"/>
    <cellStyle name="Normal 776" xfId="51620" xr:uid="{00000000-0005-0000-0000-000079B60000}"/>
    <cellStyle name="Normal 777" xfId="51621" xr:uid="{00000000-0005-0000-0000-00007AB60000}"/>
    <cellStyle name="Normal 778" xfId="51622" xr:uid="{00000000-0005-0000-0000-00007BB60000}"/>
    <cellStyle name="Normal 779" xfId="51623" xr:uid="{00000000-0005-0000-0000-00007CB60000}"/>
    <cellStyle name="Normal 78" xfId="3049" xr:uid="{00000000-0005-0000-0000-00007DB60000}"/>
    <cellStyle name="Normal 78 2" xfId="3050" xr:uid="{00000000-0005-0000-0000-00007EB60000}"/>
    <cellStyle name="Normal 78 2 10" xfId="52633" xr:uid="{00000000-0005-0000-0000-00007FB60000}"/>
    <cellStyle name="Normal 78 2 2" xfId="5266" xr:uid="{00000000-0005-0000-0000-000080B60000}"/>
    <cellStyle name="Normal 78 2 2 2" xfId="8785" xr:uid="{00000000-0005-0000-0000-000081B60000}"/>
    <cellStyle name="Normal 78 2 2 2 2" xfId="16581" xr:uid="{00000000-0005-0000-0000-000082B60000}"/>
    <cellStyle name="Normal 78 2 2 2 2 2" xfId="34216" xr:uid="{00000000-0005-0000-0000-000083B60000}"/>
    <cellStyle name="Normal 78 2 2 2 3" xfId="27186" xr:uid="{00000000-0005-0000-0000-000084B60000}"/>
    <cellStyle name="Normal 78 2 2 3" xfId="13253" xr:uid="{00000000-0005-0000-0000-000085B60000}"/>
    <cellStyle name="Normal 78 2 2 3 2" xfId="30898" xr:uid="{00000000-0005-0000-0000-000086B60000}"/>
    <cellStyle name="Normal 78 2 2 4" xfId="24321" xr:uid="{00000000-0005-0000-0000-000087B60000}"/>
    <cellStyle name="Normal 78 2 3" xfId="6035" xr:uid="{00000000-0005-0000-0000-000088B60000}"/>
    <cellStyle name="Normal 78 2 3 2" xfId="9335" xr:uid="{00000000-0005-0000-0000-000089B60000}"/>
    <cellStyle name="Normal 78 2 3 2 2" xfId="17130" xr:uid="{00000000-0005-0000-0000-00008AB60000}"/>
    <cellStyle name="Normal 78 2 3 2 2 2" xfId="34766" xr:uid="{00000000-0005-0000-0000-00008BB60000}"/>
    <cellStyle name="Normal 78 2 3 2 3" xfId="27723" xr:uid="{00000000-0005-0000-0000-00008CB60000}"/>
    <cellStyle name="Normal 78 2 3 3" xfId="13891" xr:uid="{00000000-0005-0000-0000-00008DB60000}"/>
    <cellStyle name="Normal 78 2 3 3 2" xfId="31531" xr:uid="{00000000-0005-0000-0000-00008EB60000}"/>
    <cellStyle name="Normal 78 2 3 4" xfId="24858" xr:uid="{00000000-0005-0000-0000-00008FB60000}"/>
    <cellStyle name="Normal 78 2 4" xfId="6665" xr:uid="{00000000-0005-0000-0000-000090B60000}"/>
    <cellStyle name="Normal 78 2 4 2" xfId="9875" xr:uid="{00000000-0005-0000-0000-000091B60000}"/>
    <cellStyle name="Normal 78 2 4 2 2" xfId="17669" xr:uid="{00000000-0005-0000-0000-000092B60000}"/>
    <cellStyle name="Normal 78 2 4 2 2 2" xfId="35306" xr:uid="{00000000-0005-0000-0000-000093B60000}"/>
    <cellStyle name="Normal 78 2 4 2 3" xfId="28259" xr:uid="{00000000-0005-0000-0000-000094B60000}"/>
    <cellStyle name="Normal 78 2 4 3" xfId="14454" xr:uid="{00000000-0005-0000-0000-000095B60000}"/>
    <cellStyle name="Normal 78 2 4 3 2" xfId="32089" xr:uid="{00000000-0005-0000-0000-000096B60000}"/>
    <cellStyle name="Normal 78 2 4 4" xfId="25395" xr:uid="{00000000-0005-0000-0000-000097B60000}"/>
    <cellStyle name="Normal 78 2 5" xfId="7441" xr:uid="{00000000-0005-0000-0000-000098B60000}"/>
    <cellStyle name="Normal 78 2 5 2" xfId="10429" xr:uid="{00000000-0005-0000-0000-000099B60000}"/>
    <cellStyle name="Normal 78 2 5 2 2" xfId="18222" xr:uid="{00000000-0005-0000-0000-00009AB60000}"/>
    <cellStyle name="Normal 78 2 5 2 2 2" xfId="35859" xr:uid="{00000000-0005-0000-0000-00009BB60000}"/>
    <cellStyle name="Normal 78 2 5 2 3" xfId="28796" xr:uid="{00000000-0005-0000-0000-00009CB60000}"/>
    <cellStyle name="Normal 78 2 5 3" xfId="15229" xr:uid="{00000000-0005-0000-0000-00009DB60000}"/>
    <cellStyle name="Normal 78 2 5 3 2" xfId="32864" xr:uid="{00000000-0005-0000-0000-00009EB60000}"/>
    <cellStyle name="Normal 78 2 5 4" xfId="25933" xr:uid="{00000000-0005-0000-0000-00009FB60000}"/>
    <cellStyle name="Normal 78 2 6" xfId="8063" xr:uid="{00000000-0005-0000-0000-0000A0B60000}"/>
    <cellStyle name="Normal 78 2 6 2" xfId="15860" xr:uid="{00000000-0005-0000-0000-0000A1B60000}"/>
    <cellStyle name="Normal 78 2 6 2 2" xfId="33495" xr:uid="{00000000-0005-0000-0000-0000A2B60000}"/>
    <cellStyle name="Normal 78 2 6 3" xfId="26479" xr:uid="{00000000-0005-0000-0000-0000A3B60000}"/>
    <cellStyle name="Normal 78 2 7" xfId="12061" xr:uid="{00000000-0005-0000-0000-0000A4B60000}"/>
    <cellStyle name="Normal 78 2 7 2" xfId="29740" xr:uid="{00000000-0005-0000-0000-0000A5B60000}"/>
    <cellStyle name="Normal 78 2 8" xfId="21997" xr:uid="{00000000-0005-0000-0000-0000A6B60000}"/>
    <cellStyle name="Normal 78 2 8 2" xfId="38741" xr:uid="{00000000-0005-0000-0000-0000A7B60000}"/>
    <cellStyle name="Normal 78 2 9" xfId="23614" xr:uid="{00000000-0005-0000-0000-0000A8B60000}"/>
    <cellStyle name="Normal 78 3" xfId="3051" xr:uid="{00000000-0005-0000-0000-0000A9B60000}"/>
    <cellStyle name="Normal 78 3 2" xfId="3052" xr:uid="{00000000-0005-0000-0000-0000AAB60000}"/>
    <cellStyle name="Normal 78 3_Sheet1" xfId="3053" xr:uid="{00000000-0005-0000-0000-0000ABB60000}"/>
    <cellStyle name="Normal 78 4" xfId="3054" xr:uid="{00000000-0005-0000-0000-0000ACB60000}"/>
    <cellStyle name="Normal 78 5" xfId="23011" xr:uid="{00000000-0005-0000-0000-0000ADB60000}"/>
    <cellStyle name="Normal 78 6" xfId="22584" xr:uid="{00000000-0005-0000-0000-0000AEB60000}"/>
    <cellStyle name="Normal 78 7" xfId="22892" xr:uid="{00000000-0005-0000-0000-0000AFB60000}"/>
    <cellStyle name="Normal 78_Sheet1" xfId="3055" xr:uid="{00000000-0005-0000-0000-0000B0B60000}"/>
    <cellStyle name="Normal 780" xfId="51624" xr:uid="{00000000-0005-0000-0000-0000B1B60000}"/>
    <cellStyle name="Normal 781" xfId="51625" xr:uid="{00000000-0005-0000-0000-0000B2B60000}"/>
    <cellStyle name="Normal 782" xfId="51626" xr:uid="{00000000-0005-0000-0000-0000B3B60000}"/>
    <cellStyle name="Normal 783" xfId="51627" xr:uid="{00000000-0005-0000-0000-0000B4B60000}"/>
    <cellStyle name="Normal 784" xfId="51628" xr:uid="{00000000-0005-0000-0000-0000B5B60000}"/>
    <cellStyle name="Normal 785" xfId="51629" xr:uid="{00000000-0005-0000-0000-0000B6B60000}"/>
    <cellStyle name="Normal 786" xfId="51630" xr:uid="{00000000-0005-0000-0000-0000B7B60000}"/>
    <cellStyle name="Normal 787" xfId="51631" xr:uid="{00000000-0005-0000-0000-0000B8B60000}"/>
    <cellStyle name="Normal 788" xfId="51632" xr:uid="{00000000-0005-0000-0000-0000B9B60000}"/>
    <cellStyle name="Normal 789" xfId="51633" xr:uid="{00000000-0005-0000-0000-0000BAB60000}"/>
    <cellStyle name="Normal 79" xfId="3056" xr:uid="{00000000-0005-0000-0000-0000BBB60000}"/>
    <cellStyle name="Normal 79 2" xfId="3057" xr:uid="{00000000-0005-0000-0000-0000BCB60000}"/>
    <cellStyle name="Normal 79 2 2" xfId="5268" xr:uid="{00000000-0005-0000-0000-0000BDB60000}"/>
    <cellStyle name="Normal 79 2 3" xfId="52635" xr:uid="{00000000-0005-0000-0000-0000BEB60000}"/>
    <cellStyle name="Normal 79 3" xfId="5267" xr:uid="{00000000-0005-0000-0000-0000BFB60000}"/>
    <cellStyle name="Normal 79 4" xfId="52634" xr:uid="{00000000-0005-0000-0000-0000C0B60000}"/>
    <cellStyle name="Normal 79_BallGrid" xfId="3058" xr:uid="{00000000-0005-0000-0000-0000C1B60000}"/>
    <cellStyle name="Normal 790" xfId="51634" xr:uid="{00000000-0005-0000-0000-0000C2B60000}"/>
    <cellStyle name="Normal 791" xfId="3447" xr:uid="{00000000-0005-0000-0000-0000C3B60000}"/>
    <cellStyle name="Normal 792" xfId="51635" xr:uid="{00000000-0005-0000-0000-0000C4B60000}"/>
    <cellStyle name="Normal 793" xfId="214" xr:uid="{00000000-0005-0000-0000-0000C5B60000}"/>
    <cellStyle name="Normal 794" xfId="52906" xr:uid="{00000000-0005-0000-0000-0000C6B60000}"/>
    <cellStyle name="Normal 8" xfId="189" xr:uid="{00000000-0005-0000-0000-0000C7B60000}"/>
    <cellStyle name="Normal 8 2" xfId="207" xr:uid="{00000000-0005-0000-0000-0000C8B60000}"/>
    <cellStyle name="Normal 8 2 2" xfId="3061" xr:uid="{00000000-0005-0000-0000-0000C9B60000}"/>
    <cellStyle name="Normal 8 2 3" xfId="3060" xr:uid="{00000000-0005-0000-0000-0000CAB60000}"/>
    <cellStyle name="Normal 8 2_Sheet1" xfId="3062" xr:uid="{00000000-0005-0000-0000-0000CBB60000}"/>
    <cellStyle name="Normal 8 3" xfId="200" xr:uid="{00000000-0005-0000-0000-0000CCB60000}"/>
    <cellStyle name="Normal 8 3 2" xfId="3063" xr:uid="{00000000-0005-0000-0000-0000CDB60000}"/>
    <cellStyle name="Normal 8 4" xfId="23012" xr:uid="{00000000-0005-0000-0000-0000CEB60000}"/>
    <cellStyle name="Normal 8 5" xfId="22585" xr:uid="{00000000-0005-0000-0000-0000CFB60000}"/>
    <cellStyle name="Normal 8 6" xfId="22891" xr:uid="{00000000-0005-0000-0000-0000D0B60000}"/>
    <cellStyle name="Normal 8 7" xfId="3059" xr:uid="{00000000-0005-0000-0000-0000D1B60000}"/>
    <cellStyle name="Normal 8 8" xfId="53259" xr:uid="{00000000-0005-0000-0000-0000D2B60000}"/>
    <cellStyle name="Normal 8 9" xfId="53368" xr:uid="{00000000-0005-0000-0000-0000D3B60000}"/>
    <cellStyle name="Normal 8_Sheet1" xfId="3064" xr:uid="{00000000-0005-0000-0000-0000D4B60000}"/>
    <cellStyle name="Normal 80" xfId="3065" xr:uid="{00000000-0005-0000-0000-0000D5B60000}"/>
    <cellStyle name="Normal 80 2" xfId="3066" xr:uid="{00000000-0005-0000-0000-0000D6B60000}"/>
    <cellStyle name="Normal 80 2 2" xfId="5270" xr:uid="{00000000-0005-0000-0000-0000D7B60000}"/>
    <cellStyle name="Normal 80 2 3" xfId="52637" xr:uid="{00000000-0005-0000-0000-0000D8B60000}"/>
    <cellStyle name="Normal 80 3" xfId="5269" xr:uid="{00000000-0005-0000-0000-0000D9B60000}"/>
    <cellStyle name="Normal 80 4" xfId="52636" xr:uid="{00000000-0005-0000-0000-0000DAB60000}"/>
    <cellStyle name="Normal 80_BallGrid" xfId="3067" xr:uid="{00000000-0005-0000-0000-0000DBB60000}"/>
    <cellStyle name="Normal 81" xfId="3068" xr:uid="{00000000-0005-0000-0000-0000DCB60000}"/>
    <cellStyle name="Normal 81 2" xfId="3069" xr:uid="{00000000-0005-0000-0000-0000DDB60000}"/>
    <cellStyle name="Normal 81 2 2" xfId="5272" xr:uid="{00000000-0005-0000-0000-0000DEB60000}"/>
    <cellStyle name="Normal 81 2 3" xfId="52639" xr:uid="{00000000-0005-0000-0000-0000DFB60000}"/>
    <cellStyle name="Normal 81 3" xfId="5271" xr:uid="{00000000-0005-0000-0000-0000E0B60000}"/>
    <cellStyle name="Normal 81 4" xfId="52638" xr:uid="{00000000-0005-0000-0000-0000E1B60000}"/>
    <cellStyle name="Normal 81_BallGrid" xfId="3070" xr:uid="{00000000-0005-0000-0000-0000E2B60000}"/>
    <cellStyle name="Normal 82" xfId="3071" xr:uid="{00000000-0005-0000-0000-0000E3B60000}"/>
    <cellStyle name="Normal 82 2" xfId="3072" xr:uid="{00000000-0005-0000-0000-0000E4B60000}"/>
    <cellStyle name="Normal 82 2 10" xfId="52640" xr:uid="{00000000-0005-0000-0000-0000E5B60000}"/>
    <cellStyle name="Normal 82 2 2" xfId="5273" xr:uid="{00000000-0005-0000-0000-0000E6B60000}"/>
    <cellStyle name="Normal 82 2 2 2" xfId="8786" xr:uid="{00000000-0005-0000-0000-0000E7B60000}"/>
    <cellStyle name="Normal 82 2 2 2 2" xfId="16582" xr:uid="{00000000-0005-0000-0000-0000E8B60000}"/>
    <cellStyle name="Normal 82 2 2 2 2 2" xfId="34217" xr:uid="{00000000-0005-0000-0000-0000E9B60000}"/>
    <cellStyle name="Normal 82 2 2 2 3" xfId="27187" xr:uid="{00000000-0005-0000-0000-0000EAB60000}"/>
    <cellStyle name="Normal 82 2 2 3" xfId="13255" xr:uid="{00000000-0005-0000-0000-0000EBB60000}"/>
    <cellStyle name="Normal 82 2 2 3 2" xfId="30900" xr:uid="{00000000-0005-0000-0000-0000ECB60000}"/>
    <cellStyle name="Normal 82 2 2 4" xfId="24322" xr:uid="{00000000-0005-0000-0000-0000EDB60000}"/>
    <cellStyle name="Normal 82 2 3" xfId="6036" xr:uid="{00000000-0005-0000-0000-0000EEB60000}"/>
    <cellStyle name="Normal 82 2 3 2" xfId="9336" xr:uid="{00000000-0005-0000-0000-0000EFB60000}"/>
    <cellStyle name="Normal 82 2 3 2 2" xfId="17131" xr:uid="{00000000-0005-0000-0000-0000F0B60000}"/>
    <cellStyle name="Normal 82 2 3 2 2 2" xfId="34767" xr:uid="{00000000-0005-0000-0000-0000F1B60000}"/>
    <cellStyle name="Normal 82 2 3 2 3" xfId="27724" xr:uid="{00000000-0005-0000-0000-0000F2B60000}"/>
    <cellStyle name="Normal 82 2 3 3" xfId="13892" xr:uid="{00000000-0005-0000-0000-0000F3B60000}"/>
    <cellStyle name="Normal 82 2 3 3 2" xfId="31532" xr:uid="{00000000-0005-0000-0000-0000F4B60000}"/>
    <cellStyle name="Normal 82 2 3 4" xfId="24859" xr:uid="{00000000-0005-0000-0000-0000F5B60000}"/>
    <cellStyle name="Normal 82 2 4" xfId="6666" xr:uid="{00000000-0005-0000-0000-0000F6B60000}"/>
    <cellStyle name="Normal 82 2 4 2" xfId="9876" xr:uid="{00000000-0005-0000-0000-0000F7B60000}"/>
    <cellStyle name="Normal 82 2 4 2 2" xfId="17670" xr:uid="{00000000-0005-0000-0000-0000F8B60000}"/>
    <cellStyle name="Normal 82 2 4 2 2 2" xfId="35307" xr:uid="{00000000-0005-0000-0000-0000F9B60000}"/>
    <cellStyle name="Normal 82 2 4 2 3" xfId="28260" xr:uid="{00000000-0005-0000-0000-0000FAB60000}"/>
    <cellStyle name="Normal 82 2 4 3" xfId="14455" xr:uid="{00000000-0005-0000-0000-0000FBB60000}"/>
    <cellStyle name="Normal 82 2 4 3 2" xfId="32090" xr:uid="{00000000-0005-0000-0000-0000FCB60000}"/>
    <cellStyle name="Normal 82 2 4 4" xfId="25396" xr:uid="{00000000-0005-0000-0000-0000FDB60000}"/>
    <cellStyle name="Normal 82 2 5" xfId="7442" xr:uid="{00000000-0005-0000-0000-0000FEB60000}"/>
    <cellStyle name="Normal 82 2 5 2" xfId="10430" xr:uid="{00000000-0005-0000-0000-0000FFB60000}"/>
    <cellStyle name="Normal 82 2 5 2 2" xfId="18223" xr:uid="{00000000-0005-0000-0000-000000B70000}"/>
    <cellStyle name="Normal 82 2 5 2 2 2" xfId="35860" xr:uid="{00000000-0005-0000-0000-000001B70000}"/>
    <cellStyle name="Normal 82 2 5 2 3" xfId="28797" xr:uid="{00000000-0005-0000-0000-000002B70000}"/>
    <cellStyle name="Normal 82 2 5 3" xfId="15230" xr:uid="{00000000-0005-0000-0000-000003B70000}"/>
    <cellStyle name="Normal 82 2 5 3 2" xfId="32865" xr:uid="{00000000-0005-0000-0000-000004B70000}"/>
    <cellStyle name="Normal 82 2 5 4" xfId="25934" xr:uid="{00000000-0005-0000-0000-000005B70000}"/>
    <cellStyle name="Normal 82 2 6" xfId="8064" xr:uid="{00000000-0005-0000-0000-000006B70000}"/>
    <cellStyle name="Normal 82 2 6 2" xfId="15861" xr:uid="{00000000-0005-0000-0000-000007B70000}"/>
    <cellStyle name="Normal 82 2 6 2 2" xfId="33496" xr:uid="{00000000-0005-0000-0000-000008B70000}"/>
    <cellStyle name="Normal 82 2 6 3" xfId="26480" xr:uid="{00000000-0005-0000-0000-000009B70000}"/>
    <cellStyle name="Normal 82 2 7" xfId="12065" xr:uid="{00000000-0005-0000-0000-00000AB70000}"/>
    <cellStyle name="Normal 82 2 7 2" xfId="29743" xr:uid="{00000000-0005-0000-0000-00000BB70000}"/>
    <cellStyle name="Normal 82 2 8" xfId="21998" xr:uid="{00000000-0005-0000-0000-00000CB70000}"/>
    <cellStyle name="Normal 82 2 8 2" xfId="38742" xr:uid="{00000000-0005-0000-0000-00000DB70000}"/>
    <cellStyle name="Normal 82 2 9" xfId="23615" xr:uid="{00000000-0005-0000-0000-00000EB70000}"/>
    <cellStyle name="Normal 82 3" xfId="3073" xr:uid="{00000000-0005-0000-0000-00000FB70000}"/>
    <cellStyle name="Normal 82 3 2" xfId="3074" xr:uid="{00000000-0005-0000-0000-000010B70000}"/>
    <cellStyle name="Normal 82 3_Sheet1" xfId="3075" xr:uid="{00000000-0005-0000-0000-000011B70000}"/>
    <cellStyle name="Normal 82 4" xfId="3076" xr:uid="{00000000-0005-0000-0000-000012B70000}"/>
    <cellStyle name="Normal 82 5" xfId="23013" xr:uid="{00000000-0005-0000-0000-000013B70000}"/>
    <cellStyle name="Normal 82 6" xfId="22586" xr:uid="{00000000-0005-0000-0000-000014B70000}"/>
    <cellStyle name="Normal 82 7" xfId="22890" xr:uid="{00000000-0005-0000-0000-000015B70000}"/>
    <cellStyle name="Normal 82_Sheet1" xfId="3077" xr:uid="{00000000-0005-0000-0000-000016B70000}"/>
    <cellStyle name="Normal 83" xfId="3078" xr:uid="{00000000-0005-0000-0000-000017B70000}"/>
    <cellStyle name="Normal 83 2" xfId="3079" xr:uid="{00000000-0005-0000-0000-000018B70000}"/>
    <cellStyle name="Normal 83 2 10" xfId="52641" xr:uid="{00000000-0005-0000-0000-000019B70000}"/>
    <cellStyle name="Normal 83 2 2" xfId="5274" xr:uid="{00000000-0005-0000-0000-00001AB70000}"/>
    <cellStyle name="Normal 83 2 2 2" xfId="8787" xr:uid="{00000000-0005-0000-0000-00001BB70000}"/>
    <cellStyle name="Normal 83 2 2 2 2" xfId="16583" xr:uid="{00000000-0005-0000-0000-00001CB70000}"/>
    <cellStyle name="Normal 83 2 2 2 2 2" xfId="34218" xr:uid="{00000000-0005-0000-0000-00001DB70000}"/>
    <cellStyle name="Normal 83 2 2 2 3" xfId="27188" xr:uid="{00000000-0005-0000-0000-00001EB70000}"/>
    <cellStyle name="Normal 83 2 2 3" xfId="13256" xr:uid="{00000000-0005-0000-0000-00001FB70000}"/>
    <cellStyle name="Normal 83 2 2 3 2" xfId="30901" xr:uid="{00000000-0005-0000-0000-000020B70000}"/>
    <cellStyle name="Normal 83 2 2 4" xfId="24323" xr:uid="{00000000-0005-0000-0000-000021B70000}"/>
    <cellStyle name="Normal 83 2 3" xfId="6037" xr:uid="{00000000-0005-0000-0000-000022B70000}"/>
    <cellStyle name="Normal 83 2 3 2" xfId="9337" xr:uid="{00000000-0005-0000-0000-000023B70000}"/>
    <cellStyle name="Normal 83 2 3 2 2" xfId="17132" xr:uid="{00000000-0005-0000-0000-000024B70000}"/>
    <cellStyle name="Normal 83 2 3 2 2 2" xfId="34768" xr:uid="{00000000-0005-0000-0000-000025B70000}"/>
    <cellStyle name="Normal 83 2 3 2 3" xfId="27725" xr:uid="{00000000-0005-0000-0000-000026B70000}"/>
    <cellStyle name="Normal 83 2 3 3" xfId="13893" xr:uid="{00000000-0005-0000-0000-000027B70000}"/>
    <cellStyle name="Normal 83 2 3 3 2" xfId="31533" xr:uid="{00000000-0005-0000-0000-000028B70000}"/>
    <cellStyle name="Normal 83 2 3 4" xfId="24860" xr:uid="{00000000-0005-0000-0000-000029B70000}"/>
    <cellStyle name="Normal 83 2 4" xfId="6667" xr:uid="{00000000-0005-0000-0000-00002AB70000}"/>
    <cellStyle name="Normal 83 2 4 2" xfId="9877" xr:uid="{00000000-0005-0000-0000-00002BB70000}"/>
    <cellStyle name="Normal 83 2 4 2 2" xfId="17671" xr:uid="{00000000-0005-0000-0000-00002CB70000}"/>
    <cellStyle name="Normal 83 2 4 2 2 2" xfId="35308" xr:uid="{00000000-0005-0000-0000-00002DB70000}"/>
    <cellStyle name="Normal 83 2 4 2 3" xfId="28261" xr:uid="{00000000-0005-0000-0000-00002EB70000}"/>
    <cellStyle name="Normal 83 2 4 3" xfId="14456" xr:uid="{00000000-0005-0000-0000-00002FB70000}"/>
    <cellStyle name="Normal 83 2 4 3 2" xfId="32091" xr:uid="{00000000-0005-0000-0000-000030B70000}"/>
    <cellStyle name="Normal 83 2 4 4" xfId="25397" xr:uid="{00000000-0005-0000-0000-000031B70000}"/>
    <cellStyle name="Normal 83 2 5" xfId="7443" xr:uid="{00000000-0005-0000-0000-000032B70000}"/>
    <cellStyle name="Normal 83 2 5 2" xfId="10431" xr:uid="{00000000-0005-0000-0000-000033B70000}"/>
    <cellStyle name="Normal 83 2 5 2 2" xfId="18224" xr:uid="{00000000-0005-0000-0000-000034B70000}"/>
    <cellStyle name="Normal 83 2 5 2 2 2" xfId="35861" xr:uid="{00000000-0005-0000-0000-000035B70000}"/>
    <cellStyle name="Normal 83 2 5 2 3" xfId="28798" xr:uid="{00000000-0005-0000-0000-000036B70000}"/>
    <cellStyle name="Normal 83 2 5 3" xfId="15231" xr:uid="{00000000-0005-0000-0000-000037B70000}"/>
    <cellStyle name="Normal 83 2 5 3 2" xfId="32866" xr:uid="{00000000-0005-0000-0000-000038B70000}"/>
    <cellStyle name="Normal 83 2 5 4" xfId="25935" xr:uid="{00000000-0005-0000-0000-000039B70000}"/>
    <cellStyle name="Normal 83 2 6" xfId="8065" xr:uid="{00000000-0005-0000-0000-00003AB70000}"/>
    <cellStyle name="Normal 83 2 6 2" xfId="15862" xr:uid="{00000000-0005-0000-0000-00003BB70000}"/>
    <cellStyle name="Normal 83 2 6 2 2" xfId="33497" xr:uid="{00000000-0005-0000-0000-00003CB70000}"/>
    <cellStyle name="Normal 83 2 6 3" xfId="26481" xr:uid="{00000000-0005-0000-0000-00003DB70000}"/>
    <cellStyle name="Normal 83 2 7" xfId="12066" xr:uid="{00000000-0005-0000-0000-00003EB70000}"/>
    <cellStyle name="Normal 83 2 7 2" xfId="29744" xr:uid="{00000000-0005-0000-0000-00003FB70000}"/>
    <cellStyle name="Normal 83 2 8" xfId="21999" xr:uid="{00000000-0005-0000-0000-000040B70000}"/>
    <cellStyle name="Normal 83 2 8 2" xfId="38743" xr:uid="{00000000-0005-0000-0000-000041B70000}"/>
    <cellStyle name="Normal 83 2 9" xfId="23616" xr:uid="{00000000-0005-0000-0000-000042B70000}"/>
    <cellStyle name="Normal 83 3" xfId="3080" xr:uid="{00000000-0005-0000-0000-000043B70000}"/>
    <cellStyle name="Normal 83 3 2" xfId="3081" xr:uid="{00000000-0005-0000-0000-000044B70000}"/>
    <cellStyle name="Normal 83 3_Sheet1" xfId="3082" xr:uid="{00000000-0005-0000-0000-000045B70000}"/>
    <cellStyle name="Normal 83 4" xfId="3083" xr:uid="{00000000-0005-0000-0000-000046B70000}"/>
    <cellStyle name="Normal 83 5" xfId="23014" xr:uid="{00000000-0005-0000-0000-000047B70000}"/>
    <cellStyle name="Normal 83 6" xfId="22587" xr:uid="{00000000-0005-0000-0000-000048B70000}"/>
    <cellStyle name="Normal 83 7" xfId="22889" xr:uid="{00000000-0005-0000-0000-000049B70000}"/>
    <cellStyle name="Normal 83_Sheet1" xfId="3084" xr:uid="{00000000-0005-0000-0000-00004AB70000}"/>
    <cellStyle name="Normal 84" xfId="3085" xr:uid="{00000000-0005-0000-0000-00004BB70000}"/>
    <cellStyle name="Normal 84 2" xfId="3086" xr:uid="{00000000-0005-0000-0000-00004CB70000}"/>
    <cellStyle name="Normal 84 2 10" xfId="52642" xr:uid="{00000000-0005-0000-0000-00004DB70000}"/>
    <cellStyle name="Normal 84 2 2" xfId="5275" xr:uid="{00000000-0005-0000-0000-00004EB70000}"/>
    <cellStyle name="Normal 84 2 2 2" xfId="8788" xr:uid="{00000000-0005-0000-0000-00004FB70000}"/>
    <cellStyle name="Normal 84 2 2 2 2" xfId="16584" xr:uid="{00000000-0005-0000-0000-000050B70000}"/>
    <cellStyle name="Normal 84 2 2 2 2 2" xfId="34219" xr:uid="{00000000-0005-0000-0000-000051B70000}"/>
    <cellStyle name="Normal 84 2 2 2 3" xfId="27189" xr:uid="{00000000-0005-0000-0000-000052B70000}"/>
    <cellStyle name="Normal 84 2 2 3" xfId="13257" xr:uid="{00000000-0005-0000-0000-000053B70000}"/>
    <cellStyle name="Normal 84 2 2 3 2" xfId="30902" xr:uid="{00000000-0005-0000-0000-000054B70000}"/>
    <cellStyle name="Normal 84 2 2 4" xfId="24324" xr:uid="{00000000-0005-0000-0000-000055B70000}"/>
    <cellStyle name="Normal 84 2 3" xfId="6038" xr:uid="{00000000-0005-0000-0000-000056B70000}"/>
    <cellStyle name="Normal 84 2 3 2" xfId="9338" xr:uid="{00000000-0005-0000-0000-000057B70000}"/>
    <cellStyle name="Normal 84 2 3 2 2" xfId="17133" xr:uid="{00000000-0005-0000-0000-000058B70000}"/>
    <cellStyle name="Normal 84 2 3 2 2 2" xfId="34769" xr:uid="{00000000-0005-0000-0000-000059B70000}"/>
    <cellStyle name="Normal 84 2 3 2 3" xfId="27726" xr:uid="{00000000-0005-0000-0000-00005AB70000}"/>
    <cellStyle name="Normal 84 2 3 3" xfId="13894" xr:uid="{00000000-0005-0000-0000-00005BB70000}"/>
    <cellStyle name="Normal 84 2 3 3 2" xfId="31534" xr:uid="{00000000-0005-0000-0000-00005CB70000}"/>
    <cellStyle name="Normal 84 2 3 4" xfId="24861" xr:uid="{00000000-0005-0000-0000-00005DB70000}"/>
    <cellStyle name="Normal 84 2 4" xfId="6668" xr:uid="{00000000-0005-0000-0000-00005EB70000}"/>
    <cellStyle name="Normal 84 2 4 2" xfId="9878" xr:uid="{00000000-0005-0000-0000-00005FB70000}"/>
    <cellStyle name="Normal 84 2 4 2 2" xfId="17672" xr:uid="{00000000-0005-0000-0000-000060B70000}"/>
    <cellStyle name="Normal 84 2 4 2 2 2" xfId="35309" xr:uid="{00000000-0005-0000-0000-000061B70000}"/>
    <cellStyle name="Normal 84 2 4 2 3" xfId="28262" xr:uid="{00000000-0005-0000-0000-000062B70000}"/>
    <cellStyle name="Normal 84 2 4 3" xfId="14457" xr:uid="{00000000-0005-0000-0000-000063B70000}"/>
    <cellStyle name="Normal 84 2 4 3 2" xfId="32092" xr:uid="{00000000-0005-0000-0000-000064B70000}"/>
    <cellStyle name="Normal 84 2 4 4" xfId="25398" xr:uid="{00000000-0005-0000-0000-000065B70000}"/>
    <cellStyle name="Normal 84 2 5" xfId="7444" xr:uid="{00000000-0005-0000-0000-000066B70000}"/>
    <cellStyle name="Normal 84 2 5 2" xfId="10432" xr:uid="{00000000-0005-0000-0000-000067B70000}"/>
    <cellStyle name="Normal 84 2 5 2 2" xfId="18225" xr:uid="{00000000-0005-0000-0000-000068B70000}"/>
    <cellStyle name="Normal 84 2 5 2 2 2" xfId="35862" xr:uid="{00000000-0005-0000-0000-000069B70000}"/>
    <cellStyle name="Normal 84 2 5 2 3" xfId="28799" xr:uid="{00000000-0005-0000-0000-00006AB70000}"/>
    <cellStyle name="Normal 84 2 5 3" xfId="15232" xr:uid="{00000000-0005-0000-0000-00006BB70000}"/>
    <cellStyle name="Normal 84 2 5 3 2" xfId="32867" xr:uid="{00000000-0005-0000-0000-00006CB70000}"/>
    <cellStyle name="Normal 84 2 5 4" xfId="25936" xr:uid="{00000000-0005-0000-0000-00006DB70000}"/>
    <cellStyle name="Normal 84 2 6" xfId="8066" xr:uid="{00000000-0005-0000-0000-00006EB70000}"/>
    <cellStyle name="Normal 84 2 6 2" xfId="15863" xr:uid="{00000000-0005-0000-0000-00006FB70000}"/>
    <cellStyle name="Normal 84 2 6 2 2" xfId="33498" xr:uid="{00000000-0005-0000-0000-000070B70000}"/>
    <cellStyle name="Normal 84 2 6 3" xfId="26482" xr:uid="{00000000-0005-0000-0000-000071B70000}"/>
    <cellStyle name="Normal 84 2 7" xfId="12068" xr:uid="{00000000-0005-0000-0000-000072B70000}"/>
    <cellStyle name="Normal 84 2 7 2" xfId="29746" xr:uid="{00000000-0005-0000-0000-000073B70000}"/>
    <cellStyle name="Normal 84 2 8" xfId="22000" xr:uid="{00000000-0005-0000-0000-000074B70000}"/>
    <cellStyle name="Normal 84 2 8 2" xfId="38744" xr:uid="{00000000-0005-0000-0000-000075B70000}"/>
    <cellStyle name="Normal 84 2 9" xfId="23617" xr:uid="{00000000-0005-0000-0000-000076B70000}"/>
    <cellStyle name="Normal 84 3" xfId="3087" xr:uid="{00000000-0005-0000-0000-000077B70000}"/>
    <cellStyle name="Normal 84 3 2" xfId="3088" xr:uid="{00000000-0005-0000-0000-000078B70000}"/>
    <cellStyle name="Normal 84 3_Sheet1" xfId="3089" xr:uid="{00000000-0005-0000-0000-000079B70000}"/>
    <cellStyle name="Normal 84 4" xfId="3090" xr:uid="{00000000-0005-0000-0000-00007AB70000}"/>
    <cellStyle name="Normal 84 5" xfId="23015" xr:uid="{00000000-0005-0000-0000-00007BB70000}"/>
    <cellStyle name="Normal 84 6" xfId="22588" xr:uid="{00000000-0005-0000-0000-00007CB70000}"/>
    <cellStyle name="Normal 84 7" xfId="22888" xr:uid="{00000000-0005-0000-0000-00007DB70000}"/>
    <cellStyle name="Normal 84_Sheet1" xfId="3091" xr:uid="{00000000-0005-0000-0000-00007EB70000}"/>
    <cellStyle name="Normal 85" xfId="3092" xr:uid="{00000000-0005-0000-0000-00007FB70000}"/>
    <cellStyle name="Normal 85 2" xfId="3093" xr:uid="{00000000-0005-0000-0000-000080B70000}"/>
    <cellStyle name="Normal 85 2 10" xfId="52643" xr:uid="{00000000-0005-0000-0000-000081B70000}"/>
    <cellStyle name="Normal 85 2 2" xfId="5276" xr:uid="{00000000-0005-0000-0000-000082B70000}"/>
    <cellStyle name="Normal 85 2 2 2" xfId="8789" xr:uid="{00000000-0005-0000-0000-000083B70000}"/>
    <cellStyle name="Normal 85 2 2 2 2" xfId="16585" xr:uid="{00000000-0005-0000-0000-000084B70000}"/>
    <cellStyle name="Normal 85 2 2 2 2 2" xfId="34220" xr:uid="{00000000-0005-0000-0000-000085B70000}"/>
    <cellStyle name="Normal 85 2 2 2 3" xfId="27190" xr:uid="{00000000-0005-0000-0000-000086B70000}"/>
    <cellStyle name="Normal 85 2 2 3" xfId="13258" xr:uid="{00000000-0005-0000-0000-000087B70000}"/>
    <cellStyle name="Normal 85 2 2 3 2" xfId="30903" xr:uid="{00000000-0005-0000-0000-000088B70000}"/>
    <cellStyle name="Normal 85 2 2 4" xfId="24325" xr:uid="{00000000-0005-0000-0000-000089B70000}"/>
    <cellStyle name="Normal 85 2 3" xfId="6039" xr:uid="{00000000-0005-0000-0000-00008AB70000}"/>
    <cellStyle name="Normal 85 2 3 2" xfId="9339" xr:uid="{00000000-0005-0000-0000-00008BB70000}"/>
    <cellStyle name="Normal 85 2 3 2 2" xfId="17134" xr:uid="{00000000-0005-0000-0000-00008CB70000}"/>
    <cellStyle name="Normal 85 2 3 2 2 2" xfId="34770" xr:uid="{00000000-0005-0000-0000-00008DB70000}"/>
    <cellStyle name="Normal 85 2 3 2 3" xfId="27727" xr:uid="{00000000-0005-0000-0000-00008EB70000}"/>
    <cellStyle name="Normal 85 2 3 3" xfId="13895" xr:uid="{00000000-0005-0000-0000-00008FB70000}"/>
    <cellStyle name="Normal 85 2 3 3 2" xfId="31535" xr:uid="{00000000-0005-0000-0000-000090B70000}"/>
    <cellStyle name="Normal 85 2 3 4" xfId="24862" xr:uid="{00000000-0005-0000-0000-000091B70000}"/>
    <cellStyle name="Normal 85 2 4" xfId="6669" xr:uid="{00000000-0005-0000-0000-000092B70000}"/>
    <cellStyle name="Normal 85 2 4 2" xfId="9879" xr:uid="{00000000-0005-0000-0000-000093B70000}"/>
    <cellStyle name="Normal 85 2 4 2 2" xfId="17673" xr:uid="{00000000-0005-0000-0000-000094B70000}"/>
    <cellStyle name="Normal 85 2 4 2 2 2" xfId="35310" xr:uid="{00000000-0005-0000-0000-000095B70000}"/>
    <cellStyle name="Normal 85 2 4 2 3" xfId="28263" xr:uid="{00000000-0005-0000-0000-000096B70000}"/>
    <cellStyle name="Normal 85 2 4 3" xfId="14458" xr:uid="{00000000-0005-0000-0000-000097B70000}"/>
    <cellStyle name="Normal 85 2 4 3 2" xfId="32093" xr:uid="{00000000-0005-0000-0000-000098B70000}"/>
    <cellStyle name="Normal 85 2 4 4" xfId="25399" xr:uid="{00000000-0005-0000-0000-000099B70000}"/>
    <cellStyle name="Normal 85 2 5" xfId="7445" xr:uid="{00000000-0005-0000-0000-00009AB70000}"/>
    <cellStyle name="Normal 85 2 5 2" xfId="10433" xr:uid="{00000000-0005-0000-0000-00009BB70000}"/>
    <cellStyle name="Normal 85 2 5 2 2" xfId="18226" xr:uid="{00000000-0005-0000-0000-00009CB70000}"/>
    <cellStyle name="Normal 85 2 5 2 2 2" xfId="35863" xr:uid="{00000000-0005-0000-0000-00009DB70000}"/>
    <cellStyle name="Normal 85 2 5 2 3" xfId="28800" xr:uid="{00000000-0005-0000-0000-00009EB70000}"/>
    <cellStyle name="Normal 85 2 5 3" xfId="15233" xr:uid="{00000000-0005-0000-0000-00009FB70000}"/>
    <cellStyle name="Normal 85 2 5 3 2" xfId="32868" xr:uid="{00000000-0005-0000-0000-0000A0B70000}"/>
    <cellStyle name="Normal 85 2 5 4" xfId="25937" xr:uid="{00000000-0005-0000-0000-0000A1B70000}"/>
    <cellStyle name="Normal 85 2 6" xfId="8067" xr:uid="{00000000-0005-0000-0000-0000A2B70000}"/>
    <cellStyle name="Normal 85 2 6 2" xfId="15864" xr:uid="{00000000-0005-0000-0000-0000A3B70000}"/>
    <cellStyle name="Normal 85 2 6 2 2" xfId="33499" xr:uid="{00000000-0005-0000-0000-0000A4B70000}"/>
    <cellStyle name="Normal 85 2 6 3" xfId="26483" xr:uid="{00000000-0005-0000-0000-0000A5B70000}"/>
    <cellStyle name="Normal 85 2 7" xfId="12070" xr:uid="{00000000-0005-0000-0000-0000A6B70000}"/>
    <cellStyle name="Normal 85 2 7 2" xfId="29748" xr:uid="{00000000-0005-0000-0000-0000A7B70000}"/>
    <cellStyle name="Normal 85 2 8" xfId="22001" xr:uid="{00000000-0005-0000-0000-0000A8B70000}"/>
    <cellStyle name="Normal 85 2 8 2" xfId="38745" xr:uid="{00000000-0005-0000-0000-0000A9B70000}"/>
    <cellStyle name="Normal 85 2 9" xfId="23618" xr:uid="{00000000-0005-0000-0000-0000AAB70000}"/>
    <cellStyle name="Normal 85 3" xfId="3094" xr:uid="{00000000-0005-0000-0000-0000ABB70000}"/>
    <cellStyle name="Normal 85 3 2" xfId="3095" xr:uid="{00000000-0005-0000-0000-0000ACB70000}"/>
    <cellStyle name="Normal 85 3_Sheet1" xfId="3096" xr:uid="{00000000-0005-0000-0000-0000ADB70000}"/>
    <cellStyle name="Normal 85 4" xfId="3097" xr:uid="{00000000-0005-0000-0000-0000AEB70000}"/>
    <cellStyle name="Normal 85 5" xfId="23016" xr:uid="{00000000-0005-0000-0000-0000AFB70000}"/>
    <cellStyle name="Normal 85 6" xfId="22589" xr:uid="{00000000-0005-0000-0000-0000B0B70000}"/>
    <cellStyle name="Normal 85 7" xfId="22887" xr:uid="{00000000-0005-0000-0000-0000B1B70000}"/>
    <cellStyle name="Normal 85_Sheet1" xfId="3098" xr:uid="{00000000-0005-0000-0000-0000B2B70000}"/>
    <cellStyle name="Normal 86" xfId="3099" xr:uid="{00000000-0005-0000-0000-0000B3B70000}"/>
    <cellStyle name="Normal 86 2" xfId="3100" xr:uid="{00000000-0005-0000-0000-0000B4B70000}"/>
    <cellStyle name="Normal 86 2 10" xfId="52644" xr:uid="{00000000-0005-0000-0000-0000B5B70000}"/>
    <cellStyle name="Normal 86 2 2" xfId="5277" xr:uid="{00000000-0005-0000-0000-0000B6B70000}"/>
    <cellStyle name="Normal 86 2 2 2" xfId="8790" xr:uid="{00000000-0005-0000-0000-0000B7B70000}"/>
    <cellStyle name="Normal 86 2 2 2 2" xfId="16586" xr:uid="{00000000-0005-0000-0000-0000B8B70000}"/>
    <cellStyle name="Normal 86 2 2 2 2 2" xfId="34221" xr:uid="{00000000-0005-0000-0000-0000B9B70000}"/>
    <cellStyle name="Normal 86 2 2 2 3" xfId="27191" xr:uid="{00000000-0005-0000-0000-0000BAB70000}"/>
    <cellStyle name="Normal 86 2 2 3" xfId="13259" xr:uid="{00000000-0005-0000-0000-0000BBB70000}"/>
    <cellStyle name="Normal 86 2 2 3 2" xfId="30904" xr:uid="{00000000-0005-0000-0000-0000BCB70000}"/>
    <cellStyle name="Normal 86 2 2 4" xfId="24326" xr:uid="{00000000-0005-0000-0000-0000BDB70000}"/>
    <cellStyle name="Normal 86 2 3" xfId="6040" xr:uid="{00000000-0005-0000-0000-0000BEB70000}"/>
    <cellStyle name="Normal 86 2 3 2" xfId="9340" xr:uid="{00000000-0005-0000-0000-0000BFB70000}"/>
    <cellStyle name="Normal 86 2 3 2 2" xfId="17135" xr:uid="{00000000-0005-0000-0000-0000C0B70000}"/>
    <cellStyle name="Normal 86 2 3 2 2 2" xfId="34771" xr:uid="{00000000-0005-0000-0000-0000C1B70000}"/>
    <cellStyle name="Normal 86 2 3 2 3" xfId="27728" xr:uid="{00000000-0005-0000-0000-0000C2B70000}"/>
    <cellStyle name="Normal 86 2 3 3" xfId="13896" xr:uid="{00000000-0005-0000-0000-0000C3B70000}"/>
    <cellStyle name="Normal 86 2 3 3 2" xfId="31536" xr:uid="{00000000-0005-0000-0000-0000C4B70000}"/>
    <cellStyle name="Normal 86 2 3 4" xfId="24863" xr:uid="{00000000-0005-0000-0000-0000C5B70000}"/>
    <cellStyle name="Normal 86 2 4" xfId="6670" xr:uid="{00000000-0005-0000-0000-0000C6B70000}"/>
    <cellStyle name="Normal 86 2 4 2" xfId="9880" xr:uid="{00000000-0005-0000-0000-0000C7B70000}"/>
    <cellStyle name="Normal 86 2 4 2 2" xfId="17674" xr:uid="{00000000-0005-0000-0000-0000C8B70000}"/>
    <cellStyle name="Normal 86 2 4 2 2 2" xfId="35311" xr:uid="{00000000-0005-0000-0000-0000C9B70000}"/>
    <cellStyle name="Normal 86 2 4 2 3" xfId="28264" xr:uid="{00000000-0005-0000-0000-0000CAB70000}"/>
    <cellStyle name="Normal 86 2 4 3" xfId="14459" xr:uid="{00000000-0005-0000-0000-0000CBB70000}"/>
    <cellStyle name="Normal 86 2 4 3 2" xfId="32094" xr:uid="{00000000-0005-0000-0000-0000CCB70000}"/>
    <cellStyle name="Normal 86 2 4 4" xfId="25400" xr:uid="{00000000-0005-0000-0000-0000CDB70000}"/>
    <cellStyle name="Normal 86 2 5" xfId="7446" xr:uid="{00000000-0005-0000-0000-0000CEB70000}"/>
    <cellStyle name="Normal 86 2 5 2" xfId="10434" xr:uid="{00000000-0005-0000-0000-0000CFB70000}"/>
    <cellStyle name="Normal 86 2 5 2 2" xfId="18227" xr:uid="{00000000-0005-0000-0000-0000D0B70000}"/>
    <cellStyle name="Normal 86 2 5 2 2 2" xfId="35864" xr:uid="{00000000-0005-0000-0000-0000D1B70000}"/>
    <cellStyle name="Normal 86 2 5 2 3" xfId="28801" xr:uid="{00000000-0005-0000-0000-0000D2B70000}"/>
    <cellStyle name="Normal 86 2 5 3" xfId="15234" xr:uid="{00000000-0005-0000-0000-0000D3B70000}"/>
    <cellStyle name="Normal 86 2 5 3 2" xfId="32869" xr:uid="{00000000-0005-0000-0000-0000D4B70000}"/>
    <cellStyle name="Normal 86 2 5 4" xfId="25938" xr:uid="{00000000-0005-0000-0000-0000D5B70000}"/>
    <cellStyle name="Normal 86 2 6" xfId="8068" xr:uid="{00000000-0005-0000-0000-0000D6B70000}"/>
    <cellStyle name="Normal 86 2 6 2" xfId="15865" xr:uid="{00000000-0005-0000-0000-0000D7B70000}"/>
    <cellStyle name="Normal 86 2 6 2 2" xfId="33500" xr:uid="{00000000-0005-0000-0000-0000D8B70000}"/>
    <cellStyle name="Normal 86 2 6 3" xfId="26484" xr:uid="{00000000-0005-0000-0000-0000D9B70000}"/>
    <cellStyle name="Normal 86 2 7" xfId="12072" xr:uid="{00000000-0005-0000-0000-0000DAB70000}"/>
    <cellStyle name="Normal 86 2 7 2" xfId="29750" xr:uid="{00000000-0005-0000-0000-0000DBB70000}"/>
    <cellStyle name="Normal 86 2 8" xfId="22002" xr:uid="{00000000-0005-0000-0000-0000DCB70000}"/>
    <cellStyle name="Normal 86 2 8 2" xfId="38746" xr:uid="{00000000-0005-0000-0000-0000DDB70000}"/>
    <cellStyle name="Normal 86 2 9" xfId="23619" xr:uid="{00000000-0005-0000-0000-0000DEB70000}"/>
    <cellStyle name="Normal 86 3" xfId="3101" xr:uid="{00000000-0005-0000-0000-0000DFB70000}"/>
    <cellStyle name="Normal 86 3 2" xfId="3102" xr:uid="{00000000-0005-0000-0000-0000E0B70000}"/>
    <cellStyle name="Normal 86 3_Sheet1" xfId="3103" xr:uid="{00000000-0005-0000-0000-0000E1B70000}"/>
    <cellStyle name="Normal 86 4" xfId="3104" xr:uid="{00000000-0005-0000-0000-0000E2B70000}"/>
    <cellStyle name="Normal 86 5" xfId="23017" xr:uid="{00000000-0005-0000-0000-0000E3B70000}"/>
    <cellStyle name="Normal 86_Sheet1" xfId="3105" xr:uid="{00000000-0005-0000-0000-0000E4B70000}"/>
    <cellStyle name="Normal 87" xfId="3106" xr:uid="{00000000-0005-0000-0000-0000E5B70000}"/>
    <cellStyle name="Normal 87 2" xfId="3107" xr:uid="{00000000-0005-0000-0000-0000E6B70000}"/>
    <cellStyle name="Normal 87 2 10" xfId="52645" xr:uid="{00000000-0005-0000-0000-0000E7B70000}"/>
    <cellStyle name="Normal 87 2 2" xfId="5278" xr:uid="{00000000-0005-0000-0000-0000E8B70000}"/>
    <cellStyle name="Normal 87 2 2 2" xfId="8791" xr:uid="{00000000-0005-0000-0000-0000E9B70000}"/>
    <cellStyle name="Normal 87 2 2 2 2" xfId="16587" xr:uid="{00000000-0005-0000-0000-0000EAB70000}"/>
    <cellStyle name="Normal 87 2 2 2 2 2" xfId="34222" xr:uid="{00000000-0005-0000-0000-0000EBB70000}"/>
    <cellStyle name="Normal 87 2 2 2 3" xfId="27192" xr:uid="{00000000-0005-0000-0000-0000ECB70000}"/>
    <cellStyle name="Normal 87 2 2 3" xfId="13260" xr:uid="{00000000-0005-0000-0000-0000EDB70000}"/>
    <cellStyle name="Normal 87 2 2 3 2" xfId="30905" xr:uid="{00000000-0005-0000-0000-0000EEB70000}"/>
    <cellStyle name="Normal 87 2 2 4" xfId="24327" xr:uid="{00000000-0005-0000-0000-0000EFB70000}"/>
    <cellStyle name="Normal 87 2 3" xfId="6041" xr:uid="{00000000-0005-0000-0000-0000F0B70000}"/>
    <cellStyle name="Normal 87 2 3 2" xfId="9341" xr:uid="{00000000-0005-0000-0000-0000F1B70000}"/>
    <cellStyle name="Normal 87 2 3 2 2" xfId="17136" xr:uid="{00000000-0005-0000-0000-0000F2B70000}"/>
    <cellStyle name="Normal 87 2 3 2 2 2" xfId="34772" xr:uid="{00000000-0005-0000-0000-0000F3B70000}"/>
    <cellStyle name="Normal 87 2 3 2 3" xfId="27729" xr:uid="{00000000-0005-0000-0000-0000F4B70000}"/>
    <cellStyle name="Normal 87 2 3 3" xfId="13897" xr:uid="{00000000-0005-0000-0000-0000F5B70000}"/>
    <cellStyle name="Normal 87 2 3 3 2" xfId="31537" xr:uid="{00000000-0005-0000-0000-0000F6B70000}"/>
    <cellStyle name="Normal 87 2 3 4" xfId="24864" xr:uid="{00000000-0005-0000-0000-0000F7B70000}"/>
    <cellStyle name="Normal 87 2 4" xfId="6671" xr:uid="{00000000-0005-0000-0000-0000F8B70000}"/>
    <cellStyle name="Normal 87 2 4 2" xfId="9881" xr:uid="{00000000-0005-0000-0000-0000F9B70000}"/>
    <cellStyle name="Normal 87 2 4 2 2" xfId="17675" xr:uid="{00000000-0005-0000-0000-0000FAB70000}"/>
    <cellStyle name="Normal 87 2 4 2 2 2" xfId="35312" xr:uid="{00000000-0005-0000-0000-0000FBB70000}"/>
    <cellStyle name="Normal 87 2 4 2 3" xfId="28265" xr:uid="{00000000-0005-0000-0000-0000FCB70000}"/>
    <cellStyle name="Normal 87 2 4 3" xfId="14460" xr:uid="{00000000-0005-0000-0000-0000FDB70000}"/>
    <cellStyle name="Normal 87 2 4 3 2" xfId="32095" xr:uid="{00000000-0005-0000-0000-0000FEB70000}"/>
    <cellStyle name="Normal 87 2 4 4" xfId="25401" xr:uid="{00000000-0005-0000-0000-0000FFB70000}"/>
    <cellStyle name="Normal 87 2 5" xfId="7447" xr:uid="{00000000-0005-0000-0000-000000B80000}"/>
    <cellStyle name="Normal 87 2 5 2" xfId="10435" xr:uid="{00000000-0005-0000-0000-000001B80000}"/>
    <cellStyle name="Normal 87 2 5 2 2" xfId="18228" xr:uid="{00000000-0005-0000-0000-000002B80000}"/>
    <cellStyle name="Normal 87 2 5 2 2 2" xfId="35865" xr:uid="{00000000-0005-0000-0000-000003B80000}"/>
    <cellStyle name="Normal 87 2 5 2 3" xfId="28802" xr:uid="{00000000-0005-0000-0000-000004B80000}"/>
    <cellStyle name="Normal 87 2 5 3" xfId="15235" xr:uid="{00000000-0005-0000-0000-000005B80000}"/>
    <cellStyle name="Normal 87 2 5 3 2" xfId="32870" xr:uid="{00000000-0005-0000-0000-000006B80000}"/>
    <cellStyle name="Normal 87 2 5 4" xfId="25939" xr:uid="{00000000-0005-0000-0000-000007B80000}"/>
    <cellStyle name="Normal 87 2 6" xfId="8069" xr:uid="{00000000-0005-0000-0000-000008B80000}"/>
    <cellStyle name="Normal 87 2 6 2" xfId="15866" xr:uid="{00000000-0005-0000-0000-000009B80000}"/>
    <cellStyle name="Normal 87 2 6 2 2" xfId="33501" xr:uid="{00000000-0005-0000-0000-00000AB80000}"/>
    <cellStyle name="Normal 87 2 6 3" xfId="26485" xr:uid="{00000000-0005-0000-0000-00000BB80000}"/>
    <cellStyle name="Normal 87 2 7" xfId="12074" xr:uid="{00000000-0005-0000-0000-00000CB80000}"/>
    <cellStyle name="Normal 87 2 7 2" xfId="29752" xr:uid="{00000000-0005-0000-0000-00000DB80000}"/>
    <cellStyle name="Normal 87 2 8" xfId="22003" xr:uid="{00000000-0005-0000-0000-00000EB80000}"/>
    <cellStyle name="Normal 87 2 8 2" xfId="38747" xr:uid="{00000000-0005-0000-0000-00000FB80000}"/>
    <cellStyle name="Normal 87 2 9" xfId="23620" xr:uid="{00000000-0005-0000-0000-000010B80000}"/>
    <cellStyle name="Normal 87 3" xfId="3108" xr:uid="{00000000-0005-0000-0000-000011B80000}"/>
    <cellStyle name="Normal 87 3 2" xfId="3109" xr:uid="{00000000-0005-0000-0000-000012B80000}"/>
    <cellStyle name="Normal 87 3_Sheet1" xfId="3110" xr:uid="{00000000-0005-0000-0000-000013B80000}"/>
    <cellStyle name="Normal 87 4" xfId="3111" xr:uid="{00000000-0005-0000-0000-000014B80000}"/>
    <cellStyle name="Normal 87 5" xfId="23018" xr:uid="{00000000-0005-0000-0000-000015B80000}"/>
    <cellStyle name="Normal 87_Sheet1" xfId="3112" xr:uid="{00000000-0005-0000-0000-000016B80000}"/>
    <cellStyle name="Normal 88" xfId="3113" xr:uid="{00000000-0005-0000-0000-000017B80000}"/>
    <cellStyle name="Normal 88 2" xfId="3114" xr:uid="{00000000-0005-0000-0000-000018B80000}"/>
    <cellStyle name="Normal 88 2 2" xfId="5280" xr:uid="{00000000-0005-0000-0000-000019B80000}"/>
    <cellStyle name="Normal 88 2 3" xfId="22789" xr:uid="{00000000-0005-0000-0000-00001AB80000}"/>
    <cellStyle name="Normal 88 2 3 2" xfId="38996" xr:uid="{00000000-0005-0000-0000-00001BB80000}"/>
    <cellStyle name="Normal 88 2 4" xfId="52647" xr:uid="{00000000-0005-0000-0000-00001CB80000}"/>
    <cellStyle name="Normal 88 3" xfId="5279" xr:uid="{00000000-0005-0000-0000-00001DB80000}"/>
    <cellStyle name="Normal 88 4" xfId="22590" xr:uid="{00000000-0005-0000-0000-00001EB80000}"/>
    <cellStyle name="Normal 88 4 2" xfId="38891" xr:uid="{00000000-0005-0000-0000-00001FB80000}"/>
    <cellStyle name="Normal 88 5" xfId="52646" xr:uid="{00000000-0005-0000-0000-000020B80000}"/>
    <cellStyle name="Normal 88_BallGrid" xfId="3115" xr:uid="{00000000-0005-0000-0000-000021B80000}"/>
    <cellStyle name="Normal 89" xfId="3116" xr:uid="{00000000-0005-0000-0000-000022B80000}"/>
    <cellStyle name="Normal 89 2" xfId="3117" xr:uid="{00000000-0005-0000-0000-000023B80000}"/>
    <cellStyle name="Normal 89 2 10" xfId="52648" xr:uid="{00000000-0005-0000-0000-000024B80000}"/>
    <cellStyle name="Normal 89 2 2" xfId="5281" xr:uid="{00000000-0005-0000-0000-000025B80000}"/>
    <cellStyle name="Normal 89 2 2 2" xfId="8792" xr:uid="{00000000-0005-0000-0000-000026B80000}"/>
    <cellStyle name="Normal 89 2 2 2 2" xfId="16588" xr:uid="{00000000-0005-0000-0000-000027B80000}"/>
    <cellStyle name="Normal 89 2 2 2 2 2" xfId="34223" xr:uid="{00000000-0005-0000-0000-000028B80000}"/>
    <cellStyle name="Normal 89 2 2 2 3" xfId="27193" xr:uid="{00000000-0005-0000-0000-000029B80000}"/>
    <cellStyle name="Normal 89 2 2 3" xfId="13262" xr:uid="{00000000-0005-0000-0000-00002AB80000}"/>
    <cellStyle name="Normal 89 2 2 3 2" xfId="30907" xr:uid="{00000000-0005-0000-0000-00002BB80000}"/>
    <cellStyle name="Normal 89 2 2 4" xfId="24328" xr:uid="{00000000-0005-0000-0000-00002CB80000}"/>
    <cellStyle name="Normal 89 2 3" xfId="6042" xr:uid="{00000000-0005-0000-0000-00002DB80000}"/>
    <cellStyle name="Normal 89 2 3 2" xfId="9342" xr:uid="{00000000-0005-0000-0000-00002EB80000}"/>
    <cellStyle name="Normal 89 2 3 2 2" xfId="17137" xr:uid="{00000000-0005-0000-0000-00002FB80000}"/>
    <cellStyle name="Normal 89 2 3 2 2 2" xfId="34773" xr:uid="{00000000-0005-0000-0000-000030B80000}"/>
    <cellStyle name="Normal 89 2 3 2 3" xfId="27730" xr:uid="{00000000-0005-0000-0000-000031B80000}"/>
    <cellStyle name="Normal 89 2 3 3" xfId="13898" xr:uid="{00000000-0005-0000-0000-000032B80000}"/>
    <cellStyle name="Normal 89 2 3 3 2" xfId="31538" xr:uid="{00000000-0005-0000-0000-000033B80000}"/>
    <cellStyle name="Normal 89 2 3 4" xfId="24865" xr:uid="{00000000-0005-0000-0000-000034B80000}"/>
    <cellStyle name="Normal 89 2 4" xfId="6672" xr:uid="{00000000-0005-0000-0000-000035B80000}"/>
    <cellStyle name="Normal 89 2 4 2" xfId="9882" xr:uid="{00000000-0005-0000-0000-000036B80000}"/>
    <cellStyle name="Normal 89 2 4 2 2" xfId="17676" xr:uid="{00000000-0005-0000-0000-000037B80000}"/>
    <cellStyle name="Normal 89 2 4 2 2 2" xfId="35313" xr:uid="{00000000-0005-0000-0000-000038B80000}"/>
    <cellStyle name="Normal 89 2 4 2 3" xfId="28266" xr:uid="{00000000-0005-0000-0000-000039B80000}"/>
    <cellStyle name="Normal 89 2 4 3" xfId="14461" xr:uid="{00000000-0005-0000-0000-00003AB80000}"/>
    <cellStyle name="Normal 89 2 4 3 2" xfId="32096" xr:uid="{00000000-0005-0000-0000-00003BB80000}"/>
    <cellStyle name="Normal 89 2 4 4" xfId="25402" xr:uid="{00000000-0005-0000-0000-00003CB80000}"/>
    <cellStyle name="Normal 89 2 5" xfId="7448" xr:uid="{00000000-0005-0000-0000-00003DB80000}"/>
    <cellStyle name="Normal 89 2 5 2" xfId="10436" xr:uid="{00000000-0005-0000-0000-00003EB80000}"/>
    <cellStyle name="Normal 89 2 5 2 2" xfId="18229" xr:uid="{00000000-0005-0000-0000-00003FB80000}"/>
    <cellStyle name="Normal 89 2 5 2 2 2" xfId="35866" xr:uid="{00000000-0005-0000-0000-000040B80000}"/>
    <cellStyle name="Normal 89 2 5 2 3" xfId="28803" xr:uid="{00000000-0005-0000-0000-000041B80000}"/>
    <cellStyle name="Normal 89 2 5 3" xfId="15236" xr:uid="{00000000-0005-0000-0000-000042B80000}"/>
    <cellStyle name="Normal 89 2 5 3 2" xfId="32871" xr:uid="{00000000-0005-0000-0000-000043B80000}"/>
    <cellStyle name="Normal 89 2 5 4" xfId="25940" xr:uid="{00000000-0005-0000-0000-000044B80000}"/>
    <cellStyle name="Normal 89 2 6" xfId="8070" xr:uid="{00000000-0005-0000-0000-000045B80000}"/>
    <cellStyle name="Normal 89 2 6 2" xfId="15867" xr:uid="{00000000-0005-0000-0000-000046B80000}"/>
    <cellStyle name="Normal 89 2 6 2 2" xfId="33502" xr:uid="{00000000-0005-0000-0000-000047B80000}"/>
    <cellStyle name="Normal 89 2 6 3" xfId="26486" xr:uid="{00000000-0005-0000-0000-000048B80000}"/>
    <cellStyle name="Normal 89 2 7" xfId="12075" xr:uid="{00000000-0005-0000-0000-000049B80000}"/>
    <cellStyle name="Normal 89 2 7 2" xfId="29753" xr:uid="{00000000-0005-0000-0000-00004AB80000}"/>
    <cellStyle name="Normal 89 2 8" xfId="22004" xr:uid="{00000000-0005-0000-0000-00004BB80000}"/>
    <cellStyle name="Normal 89 2 8 2" xfId="38748" xr:uid="{00000000-0005-0000-0000-00004CB80000}"/>
    <cellStyle name="Normal 89 2 9" xfId="23621" xr:uid="{00000000-0005-0000-0000-00004DB80000}"/>
    <cellStyle name="Normal 89 3" xfId="3118" xr:uid="{00000000-0005-0000-0000-00004EB80000}"/>
    <cellStyle name="Normal 89 3 2" xfId="3119" xr:uid="{00000000-0005-0000-0000-00004FB80000}"/>
    <cellStyle name="Normal 89 3_Sheet1" xfId="3120" xr:uid="{00000000-0005-0000-0000-000050B80000}"/>
    <cellStyle name="Normal 89 4" xfId="3121" xr:uid="{00000000-0005-0000-0000-000051B80000}"/>
    <cellStyle name="Normal 89 5" xfId="23019" xr:uid="{00000000-0005-0000-0000-000052B80000}"/>
    <cellStyle name="Normal 89_Sheet1" xfId="3122" xr:uid="{00000000-0005-0000-0000-000053B80000}"/>
    <cellStyle name="Normal 9" xfId="190" xr:uid="{00000000-0005-0000-0000-000054B80000}"/>
    <cellStyle name="Normal 9 2" xfId="208" xr:uid="{00000000-0005-0000-0000-000055B80000}"/>
    <cellStyle name="Normal 9 2 2" xfId="3125" xr:uid="{00000000-0005-0000-0000-000056B80000}"/>
    <cellStyle name="Normal 9 2 3" xfId="3124" xr:uid="{00000000-0005-0000-0000-000057B80000}"/>
    <cellStyle name="Normal 9 2_Sheet1" xfId="3126" xr:uid="{00000000-0005-0000-0000-000058B80000}"/>
    <cellStyle name="Normal 9 3" xfId="201" xr:uid="{00000000-0005-0000-0000-000059B80000}"/>
    <cellStyle name="Normal 9 3 2" xfId="3127" xr:uid="{00000000-0005-0000-0000-00005AB80000}"/>
    <cellStyle name="Normal 9 4" xfId="23020" xr:uid="{00000000-0005-0000-0000-00005BB80000}"/>
    <cellStyle name="Normal 9 5" xfId="22591" xr:uid="{00000000-0005-0000-0000-00005CB80000}"/>
    <cellStyle name="Normal 9 6" xfId="22279" xr:uid="{00000000-0005-0000-0000-00005DB80000}"/>
    <cellStyle name="Normal 9 7" xfId="3123" xr:uid="{00000000-0005-0000-0000-00005EB80000}"/>
    <cellStyle name="Normal 9 8" xfId="53260" xr:uid="{00000000-0005-0000-0000-00005FB80000}"/>
    <cellStyle name="Normal 9 9" xfId="53369" xr:uid="{00000000-0005-0000-0000-000060B80000}"/>
    <cellStyle name="Normal 9_Sheet1" xfId="3128" xr:uid="{00000000-0005-0000-0000-000061B80000}"/>
    <cellStyle name="Normal 90" xfId="3129" xr:uid="{00000000-0005-0000-0000-000062B80000}"/>
    <cellStyle name="Normal 90 10" xfId="52649" xr:uid="{00000000-0005-0000-0000-000063B80000}"/>
    <cellStyle name="Normal 90 2" xfId="5282" xr:uid="{00000000-0005-0000-0000-000064B80000}"/>
    <cellStyle name="Normal 90 2 2" xfId="8793" xr:uid="{00000000-0005-0000-0000-000065B80000}"/>
    <cellStyle name="Normal 90 2 2 2" xfId="16589" xr:uid="{00000000-0005-0000-0000-000066B80000}"/>
    <cellStyle name="Normal 90 2 2 2 2" xfId="34224" xr:uid="{00000000-0005-0000-0000-000067B80000}"/>
    <cellStyle name="Normal 90 2 2 3" xfId="27194" xr:uid="{00000000-0005-0000-0000-000068B80000}"/>
    <cellStyle name="Normal 90 2 3" xfId="13263" xr:uid="{00000000-0005-0000-0000-000069B80000}"/>
    <cellStyle name="Normal 90 2 3 2" xfId="30908" xr:uid="{00000000-0005-0000-0000-00006AB80000}"/>
    <cellStyle name="Normal 90 2 4" xfId="22790" xr:uid="{00000000-0005-0000-0000-00006BB80000}"/>
    <cellStyle name="Normal 90 2 4 2" xfId="38997" xr:uid="{00000000-0005-0000-0000-00006CB80000}"/>
    <cellStyle name="Normal 90 2 5" xfId="24329" xr:uid="{00000000-0005-0000-0000-00006DB80000}"/>
    <cellStyle name="Normal 90 3" xfId="6043" xr:uid="{00000000-0005-0000-0000-00006EB80000}"/>
    <cellStyle name="Normal 90 3 2" xfId="9343" xr:uid="{00000000-0005-0000-0000-00006FB80000}"/>
    <cellStyle name="Normal 90 3 2 2" xfId="17138" xr:uid="{00000000-0005-0000-0000-000070B80000}"/>
    <cellStyle name="Normal 90 3 2 2 2" xfId="34774" xr:uid="{00000000-0005-0000-0000-000071B80000}"/>
    <cellStyle name="Normal 90 3 2 3" xfId="27731" xr:uid="{00000000-0005-0000-0000-000072B80000}"/>
    <cellStyle name="Normal 90 3 3" xfId="13899" xr:uid="{00000000-0005-0000-0000-000073B80000}"/>
    <cellStyle name="Normal 90 3 3 2" xfId="31539" xr:uid="{00000000-0005-0000-0000-000074B80000}"/>
    <cellStyle name="Normal 90 3 4" xfId="24866" xr:uid="{00000000-0005-0000-0000-000075B80000}"/>
    <cellStyle name="Normal 90 4" xfId="6673" xr:uid="{00000000-0005-0000-0000-000076B80000}"/>
    <cellStyle name="Normal 90 4 2" xfId="9883" xr:uid="{00000000-0005-0000-0000-000077B80000}"/>
    <cellStyle name="Normal 90 4 2 2" xfId="17677" xr:uid="{00000000-0005-0000-0000-000078B80000}"/>
    <cellStyle name="Normal 90 4 2 2 2" xfId="35314" xr:uid="{00000000-0005-0000-0000-000079B80000}"/>
    <cellStyle name="Normal 90 4 2 3" xfId="28267" xr:uid="{00000000-0005-0000-0000-00007AB80000}"/>
    <cellStyle name="Normal 90 4 3" xfId="14462" xr:uid="{00000000-0005-0000-0000-00007BB80000}"/>
    <cellStyle name="Normal 90 4 3 2" xfId="32097" xr:uid="{00000000-0005-0000-0000-00007CB80000}"/>
    <cellStyle name="Normal 90 4 4" xfId="25403" xr:uid="{00000000-0005-0000-0000-00007DB80000}"/>
    <cellStyle name="Normal 90 5" xfId="7449" xr:uid="{00000000-0005-0000-0000-00007EB80000}"/>
    <cellStyle name="Normal 90 5 2" xfId="10437" xr:uid="{00000000-0005-0000-0000-00007FB80000}"/>
    <cellStyle name="Normal 90 5 2 2" xfId="18230" xr:uid="{00000000-0005-0000-0000-000080B80000}"/>
    <cellStyle name="Normal 90 5 2 2 2" xfId="35867" xr:uid="{00000000-0005-0000-0000-000081B80000}"/>
    <cellStyle name="Normal 90 5 2 3" xfId="28804" xr:uid="{00000000-0005-0000-0000-000082B80000}"/>
    <cellStyle name="Normal 90 5 3" xfId="15237" xr:uid="{00000000-0005-0000-0000-000083B80000}"/>
    <cellStyle name="Normal 90 5 3 2" xfId="32872" xr:uid="{00000000-0005-0000-0000-000084B80000}"/>
    <cellStyle name="Normal 90 5 4" xfId="25941" xr:uid="{00000000-0005-0000-0000-000085B80000}"/>
    <cellStyle name="Normal 90 6" xfId="8071" xr:uid="{00000000-0005-0000-0000-000086B80000}"/>
    <cellStyle name="Normal 90 6 2" xfId="15868" xr:uid="{00000000-0005-0000-0000-000087B80000}"/>
    <cellStyle name="Normal 90 6 2 2" xfId="33503" xr:uid="{00000000-0005-0000-0000-000088B80000}"/>
    <cellStyle name="Normal 90 6 3" xfId="26487" xr:uid="{00000000-0005-0000-0000-000089B80000}"/>
    <cellStyle name="Normal 90 7" xfId="12077" xr:uid="{00000000-0005-0000-0000-00008AB80000}"/>
    <cellStyle name="Normal 90 7 2" xfId="29754" xr:uid="{00000000-0005-0000-0000-00008BB80000}"/>
    <cellStyle name="Normal 90 8" xfId="22005" xr:uid="{00000000-0005-0000-0000-00008CB80000}"/>
    <cellStyle name="Normal 90 8 2" xfId="38749" xr:uid="{00000000-0005-0000-0000-00008DB80000}"/>
    <cellStyle name="Normal 90 9" xfId="23622" xr:uid="{00000000-0005-0000-0000-00008EB80000}"/>
    <cellStyle name="Normal 91" xfId="3130" xr:uid="{00000000-0005-0000-0000-00008FB80000}"/>
    <cellStyle name="Normal 91 2" xfId="5283" xr:uid="{00000000-0005-0000-0000-000090B80000}"/>
    <cellStyle name="Normal 91 3" xfId="52650" xr:uid="{00000000-0005-0000-0000-000091B80000}"/>
    <cellStyle name="Normal 92" xfId="3131" xr:uid="{00000000-0005-0000-0000-000092B80000}"/>
    <cellStyle name="Normal 92 2" xfId="5284" xr:uid="{00000000-0005-0000-0000-000093B80000}"/>
    <cellStyle name="Normal 92 3" xfId="52651" xr:uid="{00000000-0005-0000-0000-000094B80000}"/>
    <cellStyle name="Normal 93" xfId="3132" xr:uid="{00000000-0005-0000-0000-000095B80000}"/>
    <cellStyle name="Normal 93 2" xfId="5285" xr:uid="{00000000-0005-0000-0000-000096B80000}"/>
    <cellStyle name="Normal 93 3" xfId="52652" xr:uid="{00000000-0005-0000-0000-000097B80000}"/>
    <cellStyle name="Normal 94" xfId="3133" xr:uid="{00000000-0005-0000-0000-000098B80000}"/>
    <cellStyle name="Normal 94 2" xfId="5286" xr:uid="{00000000-0005-0000-0000-000099B80000}"/>
    <cellStyle name="Normal 94 3" xfId="52653" xr:uid="{00000000-0005-0000-0000-00009AB80000}"/>
    <cellStyle name="Normal 95" xfId="3134" xr:uid="{00000000-0005-0000-0000-00009BB80000}"/>
    <cellStyle name="Normal 95 2" xfId="5287" xr:uid="{00000000-0005-0000-0000-00009CB80000}"/>
    <cellStyle name="Normal 95 3" xfId="52654" xr:uid="{00000000-0005-0000-0000-00009DB80000}"/>
    <cellStyle name="Normal 96" xfId="3135" xr:uid="{00000000-0005-0000-0000-00009EB80000}"/>
    <cellStyle name="Normal 96 2" xfId="5288" xr:uid="{00000000-0005-0000-0000-00009FB80000}"/>
    <cellStyle name="Normal 96 3" xfId="52655" xr:uid="{00000000-0005-0000-0000-0000A0B80000}"/>
    <cellStyle name="Normal 97" xfId="3136" xr:uid="{00000000-0005-0000-0000-0000A1B80000}"/>
    <cellStyle name="Normal 97 2" xfId="5289" xr:uid="{00000000-0005-0000-0000-0000A2B80000}"/>
    <cellStyle name="Normal 97 3" xfId="52656" xr:uid="{00000000-0005-0000-0000-0000A3B80000}"/>
    <cellStyle name="Normal 98" xfId="3137" xr:uid="{00000000-0005-0000-0000-0000A4B80000}"/>
    <cellStyle name="Normal 98 2" xfId="5290" xr:uid="{00000000-0005-0000-0000-0000A5B80000}"/>
    <cellStyle name="Normal 98 2 2" xfId="22791" xr:uid="{00000000-0005-0000-0000-0000A6B80000}"/>
    <cellStyle name="Normal 98 2 2 2" xfId="38998" xr:uid="{00000000-0005-0000-0000-0000A7B80000}"/>
    <cellStyle name="Normal 98 3" xfId="23021" xr:uid="{00000000-0005-0000-0000-0000A8B80000}"/>
    <cellStyle name="Normal 98 4" xfId="22592" xr:uid="{00000000-0005-0000-0000-0000A9B80000}"/>
    <cellStyle name="Normal 98 4 2" xfId="38892" xr:uid="{00000000-0005-0000-0000-0000AAB80000}"/>
    <cellStyle name="Normal 98 5" xfId="52657" xr:uid="{00000000-0005-0000-0000-0000ABB80000}"/>
    <cellStyle name="Normal 99" xfId="3138" xr:uid="{00000000-0005-0000-0000-0000ACB80000}"/>
    <cellStyle name="Normal 99 2" xfId="5291" xr:uid="{00000000-0005-0000-0000-0000ADB80000}"/>
    <cellStyle name="Normal 99 3" xfId="22593" xr:uid="{00000000-0005-0000-0000-0000AEB80000}"/>
    <cellStyle name="Normal 99 3 2" xfId="38893" xr:uid="{00000000-0005-0000-0000-0000AFB80000}"/>
    <cellStyle name="Normal 99 4" xfId="52658" xr:uid="{00000000-0005-0000-0000-0000B0B80000}"/>
    <cellStyle name="Note" xfId="160" builtinId="10" customBuiltin="1"/>
    <cellStyle name="Note 10" xfId="3139" xr:uid="{00000000-0005-0000-0000-0000B2B80000}"/>
    <cellStyle name="Note 10 10" xfId="3140" xr:uid="{00000000-0005-0000-0000-0000B3B80000}"/>
    <cellStyle name="Note 10 11" xfId="5292" xr:uid="{00000000-0005-0000-0000-0000B4B80000}"/>
    <cellStyle name="Note 10 2" xfId="3141" xr:uid="{00000000-0005-0000-0000-0000B5B80000}"/>
    <cellStyle name="Note 10 2 2" xfId="3142" xr:uid="{00000000-0005-0000-0000-0000B6B80000}"/>
    <cellStyle name="Note 10 3" xfId="3143" xr:uid="{00000000-0005-0000-0000-0000B7B80000}"/>
    <cellStyle name="Note 10 3 2" xfId="3144" xr:uid="{00000000-0005-0000-0000-0000B8B80000}"/>
    <cellStyle name="Note 10 4" xfId="3145" xr:uid="{00000000-0005-0000-0000-0000B9B80000}"/>
    <cellStyle name="Note 10 5" xfId="3146" xr:uid="{00000000-0005-0000-0000-0000BAB80000}"/>
    <cellStyle name="Note 10 5 2" xfId="3147" xr:uid="{00000000-0005-0000-0000-0000BBB80000}"/>
    <cellStyle name="Note 10 6" xfId="3148" xr:uid="{00000000-0005-0000-0000-0000BCB80000}"/>
    <cellStyle name="Note 10 7" xfId="3149" xr:uid="{00000000-0005-0000-0000-0000BDB80000}"/>
    <cellStyle name="Note 10 8" xfId="3150" xr:uid="{00000000-0005-0000-0000-0000BEB80000}"/>
    <cellStyle name="Note 10 9" xfId="3151" xr:uid="{00000000-0005-0000-0000-0000BFB80000}"/>
    <cellStyle name="Note 11" xfId="3152" xr:uid="{00000000-0005-0000-0000-0000C0B80000}"/>
    <cellStyle name="Note 11 2" xfId="3153" xr:uid="{00000000-0005-0000-0000-0000C1B80000}"/>
    <cellStyle name="Note 12" xfId="3154" xr:uid="{00000000-0005-0000-0000-0000C2B80000}"/>
    <cellStyle name="Note 12 2" xfId="5293" xr:uid="{00000000-0005-0000-0000-0000C3B80000}"/>
    <cellStyle name="Note 12 2 2" xfId="22595" xr:uid="{00000000-0005-0000-0000-0000C4B80000}"/>
    <cellStyle name="Note 12 3" xfId="22596" xr:uid="{00000000-0005-0000-0000-0000C5B80000}"/>
    <cellStyle name="Note 13" xfId="3155" xr:uid="{00000000-0005-0000-0000-0000C6B80000}"/>
    <cellStyle name="Note 13 2" xfId="3156" xr:uid="{00000000-0005-0000-0000-0000C7B80000}"/>
    <cellStyle name="Note 14" xfId="3157" xr:uid="{00000000-0005-0000-0000-0000C8B80000}"/>
    <cellStyle name="Note 14 2" xfId="3158" xr:uid="{00000000-0005-0000-0000-0000C9B80000}"/>
    <cellStyle name="Note 14 2 2" xfId="53262" xr:uid="{00000000-0005-0000-0000-0000CAB80000}"/>
    <cellStyle name="Note 14 3" xfId="5294" xr:uid="{00000000-0005-0000-0000-0000CBB80000}"/>
    <cellStyle name="Note 14 3 2" xfId="53370" xr:uid="{00000000-0005-0000-0000-0000CCB80000}"/>
    <cellStyle name="Note 14 4" xfId="5295" xr:uid="{00000000-0005-0000-0000-0000CDB80000}"/>
    <cellStyle name="Note 14 5" xfId="5296" xr:uid="{00000000-0005-0000-0000-0000CEB80000}"/>
    <cellStyle name="Note 14 6" xfId="22597" xr:uid="{00000000-0005-0000-0000-0000CFB80000}"/>
    <cellStyle name="Note 14 6 2" xfId="47554" xr:uid="{00000000-0005-0000-0000-0000D0B80000}"/>
    <cellStyle name="Note 14 6 3" xfId="51403" xr:uid="{00000000-0005-0000-0000-0000D1B80000}"/>
    <cellStyle name="Note 14 6 4" xfId="38895" xr:uid="{00000000-0005-0000-0000-0000D2B80000}"/>
    <cellStyle name="Note 14 7" xfId="53261" xr:uid="{00000000-0005-0000-0000-0000D3B80000}"/>
    <cellStyle name="Note 15" xfId="3159" xr:uid="{00000000-0005-0000-0000-0000D4B80000}"/>
    <cellStyle name="Note 15 2" xfId="3160" xr:uid="{00000000-0005-0000-0000-0000D5B80000}"/>
    <cellStyle name="Note 15 2 2" xfId="38901" xr:uid="{00000000-0005-0000-0000-0000D6B80000}"/>
    <cellStyle name="Note 15 2 3" xfId="22676" xr:uid="{00000000-0005-0000-0000-0000D7B80000}"/>
    <cellStyle name="Note 16" xfId="3161" xr:uid="{00000000-0005-0000-0000-0000D8B80000}"/>
    <cellStyle name="Note 16 2" xfId="3162" xr:uid="{00000000-0005-0000-0000-0000D9B80000}"/>
    <cellStyle name="Note 16 2 2" xfId="32942" xr:uid="{00000000-0005-0000-0000-0000DAB80000}"/>
    <cellStyle name="Note 16 2 2 2" xfId="53372" xr:uid="{00000000-0005-0000-0000-0000DBB80000}"/>
    <cellStyle name="Note 16 2 3" xfId="15307" xr:uid="{00000000-0005-0000-0000-0000DCB80000}"/>
    <cellStyle name="Note 16 2 4" xfId="53264" xr:uid="{00000000-0005-0000-0000-0000DDB80000}"/>
    <cellStyle name="Note 16 3" xfId="22594" xr:uid="{00000000-0005-0000-0000-0000DEB80000}"/>
    <cellStyle name="Note 16 3 2" xfId="47553" xr:uid="{00000000-0005-0000-0000-0000DFB80000}"/>
    <cellStyle name="Note 16 3 3" xfId="51402" xr:uid="{00000000-0005-0000-0000-0000E0B80000}"/>
    <cellStyle name="Note 16 3 4" xfId="38894" xr:uid="{00000000-0005-0000-0000-0000E1B80000}"/>
    <cellStyle name="Note 16 3 5" xfId="53371" xr:uid="{00000000-0005-0000-0000-0000E2B80000}"/>
    <cellStyle name="Note 16 4" xfId="25943" xr:uid="{00000000-0005-0000-0000-0000E3B80000}"/>
    <cellStyle name="Note 16 5" xfId="7508" xr:uid="{00000000-0005-0000-0000-0000E4B80000}"/>
    <cellStyle name="Note 16 6" xfId="53263" xr:uid="{00000000-0005-0000-0000-0000E5B80000}"/>
    <cellStyle name="Note 17" xfId="3163" xr:uid="{00000000-0005-0000-0000-0000E6B80000}"/>
    <cellStyle name="Note 17 2" xfId="36506" xr:uid="{00000000-0005-0000-0000-0000E7B80000}"/>
    <cellStyle name="Note 17 2 2" xfId="53373" xr:uid="{00000000-0005-0000-0000-0000E8B80000}"/>
    <cellStyle name="Note 17 3" xfId="18869" xr:uid="{00000000-0005-0000-0000-0000E9B80000}"/>
    <cellStyle name="Note 18" xfId="3164" xr:uid="{00000000-0005-0000-0000-0000EAB80000}"/>
    <cellStyle name="Note 19" xfId="51480" xr:uid="{00000000-0005-0000-0000-0000EBB80000}"/>
    <cellStyle name="Note 2" xfId="133" xr:uid="{00000000-0005-0000-0000-0000ECB80000}"/>
    <cellStyle name="Note 2 10" xfId="12080" xr:uid="{00000000-0005-0000-0000-0000EDB80000}"/>
    <cellStyle name="Note 2 10 2" xfId="41825" xr:uid="{00000000-0005-0000-0000-0000EEB80000}"/>
    <cellStyle name="Note 2 10 3" xfId="39334" xr:uid="{00000000-0005-0000-0000-0000EFB80000}"/>
    <cellStyle name="Note 2 10 4" xfId="29756" xr:uid="{00000000-0005-0000-0000-0000F0B80000}"/>
    <cellStyle name="Note 2 11" xfId="19846" xr:uid="{00000000-0005-0000-0000-0000F1B80000}"/>
    <cellStyle name="Note 2 11 2" xfId="45383" xr:uid="{00000000-0005-0000-0000-0000F2B80000}"/>
    <cellStyle name="Note 2 11 3" xfId="49289" xr:uid="{00000000-0005-0000-0000-0000F3B80000}"/>
    <cellStyle name="Note 2 11 4" xfId="37362" xr:uid="{00000000-0005-0000-0000-0000F4B80000}"/>
    <cellStyle name="Note 2 12" xfId="52659" xr:uid="{00000000-0005-0000-0000-0000F5B80000}"/>
    <cellStyle name="Note 2 13" xfId="3165" xr:uid="{00000000-0005-0000-0000-0000F6B80000}"/>
    <cellStyle name="Note 2 14" xfId="52764" xr:uid="{00000000-0005-0000-0000-0000F7B80000}"/>
    <cellStyle name="Note 2 2" xfId="3166" xr:uid="{00000000-0005-0000-0000-0000F8B80000}"/>
    <cellStyle name="Note 2 2 2" xfId="5298" xr:uid="{00000000-0005-0000-0000-0000F9B80000}"/>
    <cellStyle name="Note 2 2 2 2" xfId="10470" xr:uid="{00000000-0005-0000-0000-0000FAB80000}"/>
    <cellStyle name="Note 2 2 2 2 2" xfId="18263" xr:uid="{00000000-0005-0000-0000-0000FBB80000}"/>
    <cellStyle name="Note 2 2 2 2 2 2" xfId="43810" xr:uid="{00000000-0005-0000-0000-0000FCB80000}"/>
    <cellStyle name="Note 2 2 2 2 2 3" xfId="47719" xr:uid="{00000000-0005-0000-0000-0000FDB80000}"/>
    <cellStyle name="Note 2 2 2 2 2 4" xfId="35900" xr:uid="{00000000-0005-0000-0000-0000FEB80000}"/>
    <cellStyle name="Note 2 2 2 2 3" xfId="19144" xr:uid="{00000000-0005-0000-0000-0000FFB80000}"/>
    <cellStyle name="Note 2 2 2 2 3 2" xfId="44681" xr:uid="{00000000-0005-0000-0000-000000B90000}"/>
    <cellStyle name="Note 2 2 2 2 3 3" xfId="48587" xr:uid="{00000000-0005-0000-0000-000001B90000}"/>
    <cellStyle name="Note 2 2 2 2 3 4" xfId="36739" xr:uid="{00000000-0005-0000-0000-000002B90000}"/>
    <cellStyle name="Note 2 2 2 2 4" xfId="12672" xr:uid="{00000000-0005-0000-0000-000003B90000}"/>
    <cellStyle name="Note 2 2 2 2 4 2" xfId="42151" xr:uid="{00000000-0005-0000-0000-000004B90000}"/>
    <cellStyle name="Note 2 2 2 2 4 3" xfId="42694" xr:uid="{00000000-0005-0000-0000-000005B90000}"/>
    <cellStyle name="Note 2 2 2 2 4 4" xfId="30336" xr:uid="{00000000-0005-0000-0000-000006B90000}"/>
    <cellStyle name="Note 2 2 2 2 5" xfId="20676" xr:uid="{00000000-0005-0000-0000-000007B90000}"/>
    <cellStyle name="Note 2 2 2 2 5 2" xfId="46213" xr:uid="{00000000-0005-0000-0000-000008B90000}"/>
    <cellStyle name="Note 2 2 2 2 5 3" xfId="50119" xr:uid="{00000000-0005-0000-0000-000009B90000}"/>
    <cellStyle name="Note 2 2 2 2 5 4" xfId="38082" xr:uid="{00000000-0005-0000-0000-00000AB90000}"/>
    <cellStyle name="Note 2 2 2 2 6" xfId="21329" xr:uid="{00000000-0005-0000-0000-00000BB90000}"/>
    <cellStyle name="Note 2 2 2 2 6 2" xfId="46866" xr:uid="{00000000-0005-0000-0000-00000CB90000}"/>
    <cellStyle name="Note 2 2 2 2 6 3" xfId="50772" xr:uid="{00000000-0005-0000-0000-00000DB90000}"/>
    <cellStyle name="Note 2 2 2 2 7" xfId="40669" xr:uid="{00000000-0005-0000-0000-00000EB90000}"/>
    <cellStyle name="Note 2 2 2 2 8" xfId="40395" xr:uid="{00000000-0005-0000-0000-00000FB90000}"/>
    <cellStyle name="Note 2 2 2 2 9" xfId="53376" xr:uid="{00000000-0005-0000-0000-000010B90000}"/>
    <cellStyle name="Note 2 2 2 3" xfId="8795" xr:uid="{00000000-0005-0000-0000-000011B90000}"/>
    <cellStyle name="Note 2 2 2 3 2" xfId="16591" xr:uid="{00000000-0005-0000-0000-000012B90000}"/>
    <cellStyle name="Note 2 2 2 3 2 2" xfId="43432" xr:uid="{00000000-0005-0000-0000-000013B90000}"/>
    <cellStyle name="Note 2 2 2 3 2 3" xfId="43286" xr:uid="{00000000-0005-0000-0000-000014B90000}"/>
    <cellStyle name="Note 2 2 2 3 2 4" xfId="34226" xr:uid="{00000000-0005-0000-0000-000015B90000}"/>
    <cellStyle name="Note 2 2 2 3 3" xfId="19946" xr:uid="{00000000-0005-0000-0000-000016B90000}"/>
    <cellStyle name="Note 2 2 2 3 3 2" xfId="45483" xr:uid="{00000000-0005-0000-0000-000017B90000}"/>
    <cellStyle name="Note 2 2 2 3 3 3" xfId="49389" xr:uid="{00000000-0005-0000-0000-000018B90000}"/>
    <cellStyle name="Note 2 2 2 3 3 4" xfId="37454" xr:uid="{00000000-0005-0000-0000-000019B90000}"/>
    <cellStyle name="Note 2 2 2 3 4" xfId="12811" xr:uid="{00000000-0005-0000-0000-00001AB90000}"/>
    <cellStyle name="Note 2 2 2 3 4 2" xfId="42225" xr:uid="{00000000-0005-0000-0000-00001BB90000}"/>
    <cellStyle name="Note 2 2 2 3 4 3" xfId="43325" xr:uid="{00000000-0005-0000-0000-00001CB90000}"/>
    <cellStyle name="Note 2 2 2 3 4 4" xfId="30467" xr:uid="{00000000-0005-0000-0000-00001DB90000}"/>
    <cellStyle name="Note 2 2 2 3 5" xfId="11585" xr:uid="{00000000-0005-0000-0000-00001EB90000}"/>
    <cellStyle name="Note 2 2 2 3 5 2" xfId="41596" xr:uid="{00000000-0005-0000-0000-00001FB90000}"/>
    <cellStyle name="Note 2 2 2 3 5 3" xfId="42025" xr:uid="{00000000-0005-0000-0000-000020B90000}"/>
    <cellStyle name="Note 2 2 2 3 5 4" xfId="29294" xr:uid="{00000000-0005-0000-0000-000021B90000}"/>
    <cellStyle name="Note 2 2 2 3 6" xfId="20461" xr:uid="{00000000-0005-0000-0000-000022B90000}"/>
    <cellStyle name="Note 2 2 2 3 6 2" xfId="45998" xr:uid="{00000000-0005-0000-0000-000023B90000}"/>
    <cellStyle name="Note 2 2 2 3 6 3" xfId="49904" xr:uid="{00000000-0005-0000-0000-000024B90000}"/>
    <cellStyle name="Note 2 2 2 3 7" xfId="40294" xr:uid="{00000000-0005-0000-0000-000025B90000}"/>
    <cellStyle name="Note 2 2 2 3 8" xfId="39221" xr:uid="{00000000-0005-0000-0000-000026B90000}"/>
    <cellStyle name="Note 2 2 2 4" xfId="13270" xr:uid="{00000000-0005-0000-0000-000027B90000}"/>
    <cellStyle name="Note 2 2 2 4 2" xfId="42440" xr:uid="{00000000-0005-0000-0000-000028B90000}"/>
    <cellStyle name="Note 2 2 2 4 3" xfId="40325" xr:uid="{00000000-0005-0000-0000-000029B90000}"/>
    <cellStyle name="Note 2 2 2 4 4" xfId="30915" xr:uid="{00000000-0005-0000-0000-00002AB90000}"/>
    <cellStyle name="Note 2 2 2 5" xfId="19526" xr:uid="{00000000-0005-0000-0000-00002BB90000}"/>
    <cellStyle name="Note 2 2 2 5 2" xfId="45063" xr:uid="{00000000-0005-0000-0000-00002CB90000}"/>
    <cellStyle name="Note 2 2 2 5 3" xfId="48969" xr:uid="{00000000-0005-0000-0000-00002DB90000}"/>
    <cellStyle name="Note 2 2 2 5 4" xfId="37074" xr:uid="{00000000-0005-0000-0000-00002EB90000}"/>
    <cellStyle name="Note 2 2 2 6" xfId="53266" xr:uid="{00000000-0005-0000-0000-00002FB90000}"/>
    <cellStyle name="Note 2 2 3" xfId="7451" xr:uid="{00000000-0005-0000-0000-000030B90000}"/>
    <cellStyle name="Note 2 2 3 10" xfId="41708" xr:uid="{00000000-0005-0000-0000-000031B90000}"/>
    <cellStyle name="Note 2 2 3 11" xfId="53375" xr:uid="{00000000-0005-0000-0000-000032B90000}"/>
    <cellStyle name="Note 2 2 3 2" xfId="10724" xr:uid="{00000000-0005-0000-0000-000033B90000}"/>
    <cellStyle name="Note 2 2 3 2 2" xfId="18517" xr:uid="{00000000-0005-0000-0000-000034B90000}"/>
    <cellStyle name="Note 2 2 3 2 2 2" xfId="44064" xr:uid="{00000000-0005-0000-0000-000035B90000}"/>
    <cellStyle name="Note 2 2 3 2 2 3" xfId="47973" xr:uid="{00000000-0005-0000-0000-000036B90000}"/>
    <cellStyle name="Note 2 2 3 2 2 4" xfId="36154" xr:uid="{00000000-0005-0000-0000-000037B90000}"/>
    <cellStyle name="Note 2 2 3 2 3" xfId="19118" xr:uid="{00000000-0005-0000-0000-000038B90000}"/>
    <cellStyle name="Note 2 2 3 2 3 2" xfId="44655" xr:uid="{00000000-0005-0000-0000-000039B90000}"/>
    <cellStyle name="Note 2 2 3 2 3 3" xfId="48561" xr:uid="{00000000-0005-0000-0000-00003AB90000}"/>
    <cellStyle name="Note 2 2 3 2 3 4" xfId="36713" xr:uid="{00000000-0005-0000-0000-00003BB90000}"/>
    <cellStyle name="Note 2 2 3 2 4" xfId="19384" xr:uid="{00000000-0005-0000-0000-00003CB90000}"/>
    <cellStyle name="Note 2 2 3 2 4 2" xfId="44921" xr:uid="{00000000-0005-0000-0000-00003DB90000}"/>
    <cellStyle name="Note 2 2 3 2 4 3" xfId="48827" xr:uid="{00000000-0005-0000-0000-00003EB90000}"/>
    <cellStyle name="Note 2 2 3 2 4 4" xfId="36950" xr:uid="{00000000-0005-0000-0000-00003FB90000}"/>
    <cellStyle name="Note 2 2 3 2 5" xfId="20930" xr:uid="{00000000-0005-0000-0000-000040B90000}"/>
    <cellStyle name="Note 2 2 3 2 5 2" xfId="46467" xr:uid="{00000000-0005-0000-0000-000041B90000}"/>
    <cellStyle name="Note 2 2 3 2 5 3" xfId="50373" xr:uid="{00000000-0005-0000-0000-000042B90000}"/>
    <cellStyle name="Note 2 2 3 2 5 4" xfId="38336" xr:uid="{00000000-0005-0000-0000-000043B90000}"/>
    <cellStyle name="Note 2 2 3 2 6" xfId="21583" xr:uid="{00000000-0005-0000-0000-000044B90000}"/>
    <cellStyle name="Note 2 2 3 2 6 2" xfId="47120" xr:uid="{00000000-0005-0000-0000-000045B90000}"/>
    <cellStyle name="Note 2 2 3 2 6 3" xfId="51026" xr:uid="{00000000-0005-0000-0000-000046B90000}"/>
    <cellStyle name="Note 2 2 3 2 7" xfId="40923" xr:uid="{00000000-0005-0000-0000-000047B90000}"/>
    <cellStyle name="Note 2 2 3 2 8" xfId="40383" xr:uid="{00000000-0005-0000-0000-000048B90000}"/>
    <cellStyle name="Note 2 2 3 3" xfId="11019" xr:uid="{00000000-0005-0000-0000-000049B90000}"/>
    <cellStyle name="Note 2 2 3 3 2" xfId="18812" xr:uid="{00000000-0005-0000-0000-00004AB90000}"/>
    <cellStyle name="Note 2 2 3 3 2 2" xfId="44359" xr:uid="{00000000-0005-0000-0000-00004BB90000}"/>
    <cellStyle name="Note 2 2 3 3 2 3" xfId="48268" xr:uid="{00000000-0005-0000-0000-00004CB90000}"/>
    <cellStyle name="Note 2 2 3 3 2 4" xfId="36449" xr:uid="{00000000-0005-0000-0000-00004DB90000}"/>
    <cellStyle name="Note 2 2 3 3 3" xfId="20405" xr:uid="{00000000-0005-0000-0000-00004EB90000}"/>
    <cellStyle name="Note 2 2 3 3 3 2" xfId="45942" xr:uid="{00000000-0005-0000-0000-00004FB90000}"/>
    <cellStyle name="Note 2 2 3 3 3 3" xfId="49848" xr:uid="{00000000-0005-0000-0000-000050B90000}"/>
    <cellStyle name="Note 2 2 3 3 3 4" xfId="37859" xr:uid="{00000000-0005-0000-0000-000051B90000}"/>
    <cellStyle name="Note 2 2 3 3 4" xfId="20549" xr:uid="{00000000-0005-0000-0000-000052B90000}"/>
    <cellStyle name="Note 2 2 3 3 4 2" xfId="46086" xr:uid="{00000000-0005-0000-0000-000053B90000}"/>
    <cellStyle name="Note 2 2 3 3 4 3" xfId="49992" xr:uid="{00000000-0005-0000-0000-000054B90000}"/>
    <cellStyle name="Note 2 2 3 3 4 4" xfId="37976" xr:uid="{00000000-0005-0000-0000-000055B90000}"/>
    <cellStyle name="Note 2 2 3 3 5" xfId="21225" xr:uid="{00000000-0005-0000-0000-000056B90000}"/>
    <cellStyle name="Note 2 2 3 3 5 2" xfId="46762" xr:uid="{00000000-0005-0000-0000-000057B90000}"/>
    <cellStyle name="Note 2 2 3 3 5 3" xfId="50668" xr:uid="{00000000-0005-0000-0000-000058B90000}"/>
    <cellStyle name="Note 2 2 3 3 5 4" xfId="38631" xr:uid="{00000000-0005-0000-0000-000059B90000}"/>
    <cellStyle name="Note 2 2 3 3 6" xfId="21878" xr:uid="{00000000-0005-0000-0000-00005AB90000}"/>
    <cellStyle name="Note 2 2 3 3 6 2" xfId="47415" xr:uid="{00000000-0005-0000-0000-00005BB90000}"/>
    <cellStyle name="Note 2 2 3 3 6 3" xfId="51321" xr:uid="{00000000-0005-0000-0000-00005CB90000}"/>
    <cellStyle name="Note 2 2 3 3 7" xfId="41218" xr:uid="{00000000-0005-0000-0000-00005DB90000}"/>
    <cellStyle name="Note 2 2 3 3 8" xfId="39370" xr:uid="{00000000-0005-0000-0000-00005EB90000}"/>
    <cellStyle name="Note 2 2 3 4" xfId="15239" xr:uid="{00000000-0005-0000-0000-00005FB90000}"/>
    <cellStyle name="Note 2 2 3 4 2" xfId="43112" xr:uid="{00000000-0005-0000-0000-000060B90000}"/>
    <cellStyle name="Note 2 2 3 4 3" xfId="40149" xr:uid="{00000000-0005-0000-0000-000061B90000}"/>
    <cellStyle name="Note 2 2 3 4 4" xfId="32874" xr:uid="{00000000-0005-0000-0000-000062B90000}"/>
    <cellStyle name="Note 2 2 3 5" xfId="19819" xr:uid="{00000000-0005-0000-0000-000063B90000}"/>
    <cellStyle name="Note 2 2 3 5 2" xfId="45356" xr:uid="{00000000-0005-0000-0000-000064B90000}"/>
    <cellStyle name="Note 2 2 3 5 3" xfId="49262" xr:uid="{00000000-0005-0000-0000-000065B90000}"/>
    <cellStyle name="Note 2 2 3 5 4" xfId="37340" xr:uid="{00000000-0005-0000-0000-000066B90000}"/>
    <cellStyle name="Note 2 2 3 6" xfId="20079" xr:uid="{00000000-0005-0000-0000-000067B90000}"/>
    <cellStyle name="Note 2 2 3 6 2" xfId="45616" xr:uid="{00000000-0005-0000-0000-000068B90000}"/>
    <cellStyle name="Note 2 2 3 6 3" xfId="49522" xr:uid="{00000000-0005-0000-0000-000069B90000}"/>
    <cellStyle name="Note 2 2 3 6 4" xfId="37573" xr:uid="{00000000-0005-0000-0000-00006AB90000}"/>
    <cellStyle name="Note 2 2 3 7" xfId="11472" xr:uid="{00000000-0005-0000-0000-00006BB90000}"/>
    <cellStyle name="Note 2 2 3 7 2" xfId="41483" xr:uid="{00000000-0005-0000-0000-00006CB90000}"/>
    <cellStyle name="Note 2 2 3 7 3" xfId="40217" xr:uid="{00000000-0005-0000-0000-00006DB90000}"/>
    <cellStyle name="Note 2 2 3 7 4" xfId="29188" xr:uid="{00000000-0005-0000-0000-00006EB90000}"/>
    <cellStyle name="Note 2 2 3 8" xfId="19538" xr:uid="{00000000-0005-0000-0000-00006FB90000}"/>
    <cellStyle name="Note 2 2 3 8 2" xfId="45075" xr:uid="{00000000-0005-0000-0000-000070B90000}"/>
    <cellStyle name="Note 2 2 3 8 3" xfId="48981" xr:uid="{00000000-0005-0000-0000-000071B90000}"/>
    <cellStyle name="Note 2 2 3 9" xfId="39972" xr:uid="{00000000-0005-0000-0000-000072B90000}"/>
    <cellStyle name="Note 2 2 4" xfId="12081" xr:uid="{00000000-0005-0000-0000-000073B90000}"/>
    <cellStyle name="Note 2 2 4 2" xfId="41826" xr:uid="{00000000-0005-0000-0000-000074B90000}"/>
    <cellStyle name="Note 2 2 4 3" xfId="42000" xr:uid="{00000000-0005-0000-0000-000075B90000}"/>
    <cellStyle name="Note 2 2 4 4" xfId="29757" xr:uid="{00000000-0005-0000-0000-000076B90000}"/>
    <cellStyle name="Note 2 2 5" xfId="18977" xr:uid="{00000000-0005-0000-0000-000077B90000}"/>
    <cellStyle name="Note 2 2 5 2" xfId="44514" xr:uid="{00000000-0005-0000-0000-000078B90000}"/>
    <cellStyle name="Note 2 2 5 3" xfId="48420" xr:uid="{00000000-0005-0000-0000-000079B90000}"/>
    <cellStyle name="Note 2 2 5 4" xfId="36601" xr:uid="{00000000-0005-0000-0000-00007AB90000}"/>
    <cellStyle name="Note 2 2 6" xfId="52660" xr:uid="{00000000-0005-0000-0000-00007BB90000}"/>
    <cellStyle name="Note 2 2 7" xfId="53265" xr:uid="{00000000-0005-0000-0000-00007CB90000}"/>
    <cellStyle name="Note 2 3" xfId="3167" xr:uid="{00000000-0005-0000-0000-00007DB90000}"/>
    <cellStyle name="Note 2 3 2" xfId="5299" xr:uid="{00000000-0005-0000-0000-00007EB90000}"/>
    <cellStyle name="Note 2 3 2 2" xfId="10471" xr:uid="{00000000-0005-0000-0000-00007FB90000}"/>
    <cellStyle name="Note 2 3 2 2 2" xfId="18264" xr:uid="{00000000-0005-0000-0000-000080B90000}"/>
    <cellStyle name="Note 2 3 2 2 2 2" xfId="43811" xr:uid="{00000000-0005-0000-0000-000081B90000}"/>
    <cellStyle name="Note 2 3 2 2 2 3" xfId="47720" xr:uid="{00000000-0005-0000-0000-000082B90000}"/>
    <cellStyle name="Note 2 3 2 2 2 4" xfId="35901" xr:uid="{00000000-0005-0000-0000-000083B90000}"/>
    <cellStyle name="Note 2 3 2 2 3" xfId="19769" xr:uid="{00000000-0005-0000-0000-000084B90000}"/>
    <cellStyle name="Note 2 3 2 2 3 2" xfId="45306" xr:uid="{00000000-0005-0000-0000-000085B90000}"/>
    <cellStyle name="Note 2 3 2 2 3 3" xfId="49212" xr:uid="{00000000-0005-0000-0000-000086B90000}"/>
    <cellStyle name="Note 2 3 2 2 3 4" xfId="37296" xr:uid="{00000000-0005-0000-0000-000087B90000}"/>
    <cellStyle name="Note 2 3 2 2 4" xfId="19365" xr:uid="{00000000-0005-0000-0000-000088B90000}"/>
    <cellStyle name="Note 2 3 2 2 4 2" xfId="44902" xr:uid="{00000000-0005-0000-0000-000089B90000}"/>
    <cellStyle name="Note 2 3 2 2 4 3" xfId="48808" xr:uid="{00000000-0005-0000-0000-00008AB90000}"/>
    <cellStyle name="Note 2 3 2 2 4 4" xfId="36933" xr:uid="{00000000-0005-0000-0000-00008BB90000}"/>
    <cellStyle name="Note 2 3 2 2 5" xfId="20677" xr:uid="{00000000-0005-0000-0000-00008CB90000}"/>
    <cellStyle name="Note 2 3 2 2 5 2" xfId="46214" xr:uid="{00000000-0005-0000-0000-00008DB90000}"/>
    <cellStyle name="Note 2 3 2 2 5 3" xfId="50120" xr:uid="{00000000-0005-0000-0000-00008EB90000}"/>
    <cellStyle name="Note 2 3 2 2 5 4" xfId="38083" xr:uid="{00000000-0005-0000-0000-00008FB90000}"/>
    <cellStyle name="Note 2 3 2 2 6" xfId="21330" xr:uid="{00000000-0005-0000-0000-000090B90000}"/>
    <cellStyle name="Note 2 3 2 2 6 2" xfId="46867" xr:uid="{00000000-0005-0000-0000-000091B90000}"/>
    <cellStyle name="Note 2 3 2 2 6 3" xfId="50773" xr:uid="{00000000-0005-0000-0000-000092B90000}"/>
    <cellStyle name="Note 2 3 2 2 7" xfId="40670" xr:uid="{00000000-0005-0000-0000-000093B90000}"/>
    <cellStyle name="Note 2 3 2 2 8" xfId="39507" xr:uid="{00000000-0005-0000-0000-000094B90000}"/>
    <cellStyle name="Note 2 3 2 2 9" xfId="53378" xr:uid="{00000000-0005-0000-0000-000095B90000}"/>
    <cellStyle name="Note 2 3 2 3" xfId="8796" xr:uid="{00000000-0005-0000-0000-000096B90000}"/>
    <cellStyle name="Note 2 3 2 3 2" xfId="16592" xr:uid="{00000000-0005-0000-0000-000097B90000}"/>
    <cellStyle name="Note 2 3 2 3 2 2" xfId="43433" xr:uid="{00000000-0005-0000-0000-000098B90000}"/>
    <cellStyle name="Note 2 3 2 3 2 3" xfId="40145" xr:uid="{00000000-0005-0000-0000-000099B90000}"/>
    <cellStyle name="Note 2 3 2 3 2 4" xfId="34227" xr:uid="{00000000-0005-0000-0000-00009AB90000}"/>
    <cellStyle name="Note 2 3 2 3 3" xfId="19174" xr:uid="{00000000-0005-0000-0000-00009BB90000}"/>
    <cellStyle name="Note 2 3 2 3 3 2" xfId="44711" xr:uid="{00000000-0005-0000-0000-00009CB90000}"/>
    <cellStyle name="Note 2 3 2 3 3 3" xfId="48617" xr:uid="{00000000-0005-0000-0000-00009DB90000}"/>
    <cellStyle name="Note 2 3 2 3 3 4" xfId="36765" xr:uid="{00000000-0005-0000-0000-00009EB90000}"/>
    <cellStyle name="Note 2 3 2 3 4" xfId="11664" xr:uid="{00000000-0005-0000-0000-00009FB90000}"/>
    <cellStyle name="Note 2 3 2 3 4 2" xfId="41675" xr:uid="{00000000-0005-0000-0000-0000A0B90000}"/>
    <cellStyle name="Note 2 3 2 3 4 3" xfId="47509" xr:uid="{00000000-0005-0000-0000-0000A1B90000}"/>
    <cellStyle name="Note 2 3 2 3 4 4" xfId="29362" xr:uid="{00000000-0005-0000-0000-0000A2B90000}"/>
    <cellStyle name="Note 2 3 2 3 5" xfId="18980" xr:uid="{00000000-0005-0000-0000-0000A3B90000}"/>
    <cellStyle name="Note 2 3 2 3 5 2" xfId="44517" xr:uid="{00000000-0005-0000-0000-0000A4B90000}"/>
    <cellStyle name="Note 2 3 2 3 5 3" xfId="48423" xr:uid="{00000000-0005-0000-0000-0000A5B90000}"/>
    <cellStyle name="Note 2 3 2 3 5 4" xfId="36604" xr:uid="{00000000-0005-0000-0000-0000A6B90000}"/>
    <cellStyle name="Note 2 3 2 3 6" xfId="20105" xr:uid="{00000000-0005-0000-0000-0000A7B90000}"/>
    <cellStyle name="Note 2 3 2 3 6 2" xfId="45642" xr:uid="{00000000-0005-0000-0000-0000A8B90000}"/>
    <cellStyle name="Note 2 3 2 3 6 3" xfId="49548" xr:uid="{00000000-0005-0000-0000-0000A9B90000}"/>
    <cellStyle name="Note 2 3 2 3 7" xfId="40295" xr:uid="{00000000-0005-0000-0000-0000AAB90000}"/>
    <cellStyle name="Note 2 3 2 3 8" xfId="39220" xr:uid="{00000000-0005-0000-0000-0000ABB90000}"/>
    <cellStyle name="Note 2 3 2 4" xfId="13271" xr:uid="{00000000-0005-0000-0000-0000ACB90000}"/>
    <cellStyle name="Note 2 3 2 4 2" xfId="42441" xr:uid="{00000000-0005-0000-0000-0000ADB90000}"/>
    <cellStyle name="Note 2 3 2 4 3" xfId="39442" xr:uid="{00000000-0005-0000-0000-0000AEB90000}"/>
    <cellStyle name="Note 2 3 2 4 4" xfId="30916" xr:uid="{00000000-0005-0000-0000-0000AFB90000}"/>
    <cellStyle name="Note 2 3 2 5" xfId="11731" xr:uid="{00000000-0005-0000-0000-0000B0B90000}"/>
    <cellStyle name="Note 2 3 2 5 2" xfId="41717" xr:uid="{00000000-0005-0000-0000-0000B1B90000}"/>
    <cellStyle name="Note 2 3 2 5 3" xfId="43208" xr:uid="{00000000-0005-0000-0000-0000B2B90000}"/>
    <cellStyle name="Note 2 3 2 5 4" xfId="29418" xr:uid="{00000000-0005-0000-0000-0000B3B90000}"/>
    <cellStyle name="Note 2 3 2 6" xfId="53268" xr:uid="{00000000-0005-0000-0000-0000B4B90000}"/>
    <cellStyle name="Note 2 3 3" xfId="7452" xr:uid="{00000000-0005-0000-0000-0000B5B90000}"/>
    <cellStyle name="Note 2 3 3 10" xfId="43271" xr:uid="{00000000-0005-0000-0000-0000B6B90000}"/>
    <cellStyle name="Note 2 3 3 11" xfId="53377" xr:uid="{00000000-0005-0000-0000-0000B7B90000}"/>
    <cellStyle name="Note 2 3 3 2" xfId="10725" xr:uid="{00000000-0005-0000-0000-0000B8B90000}"/>
    <cellStyle name="Note 2 3 3 2 2" xfId="18518" xr:uid="{00000000-0005-0000-0000-0000B9B90000}"/>
    <cellStyle name="Note 2 3 3 2 2 2" xfId="44065" xr:uid="{00000000-0005-0000-0000-0000BAB90000}"/>
    <cellStyle name="Note 2 3 3 2 2 3" xfId="47974" xr:uid="{00000000-0005-0000-0000-0000BBB90000}"/>
    <cellStyle name="Note 2 3 3 2 2 4" xfId="36155" xr:uid="{00000000-0005-0000-0000-0000BCB90000}"/>
    <cellStyle name="Note 2 3 3 2 3" xfId="19734" xr:uid="{00000000-0005-0000-0000-0000BDB90000}"/>
    <cellStyle name="Note 2 3 3 2 3 2" xfId="45271" xr:uid="{00000000-0005-0000-0000-0000BEB90000}"/>
    <cellStyle name="Note 2 3 3 2 3 3" xfId="49177" xr:uid="{00000000-0005-0000-0000-0000BFB90000}"/>
    <cellStyle name="Note 2 3 3 2 3 4" xfId="37261" xr:uid="{00000000-0005-0000-0000-0000C0B90000}"/>
    <cellStyle name="Note 2 3 3 2 4" xfId="19971" xr:uid="{00000000-0005-0000-0000-0000C1B90000}"/>
    <cellStyle name="Note 2 3 3 2 4 2" xfId="45508" xr:uid="{00000000-0005-0000-0000-0000C2B90000}"/>
    <cellStyle name="Note 2 3 3 2 4 3" xfId="49414" xr:uid="{00000000-0005-0000-0000-0000C3B90000}"/>
    <cellStyle name="Note 2 3 3 2 4 4" xfId="37475" xr:uid="{00000000-0005-0000-0000-0000C4B90000}"/>
    <cellStyle name="Note 2 3 3 2 5" xfId="20931" xr:uid="{00000000-0005-0000-0000-0000C5B90000}"/>
    <cellStyle name="Note 2 3 3 2 5 2" xfId="46468" xr:uid="{00000000-0005-0000-0000-0000C6B90000}"/>
    <cellStyle name="Note 2 3 3 2 5 3" xfId="50374" xr:uid="{00000000-0005-0000-0000-0000C7B90000}"/>
    <cellStyle name="Note 2 3 3 2 5 4" xfId="38337" xr:uid="{00000000-0005-0000-0000-0000C8B90000}"/>
    <cellStyle name="Note 2 3 3 2 6" xfId="21584" xr:uid="{00000000-0005-0000-0000-0000C9B90000}"/>
    <cellStyle name="Note 2 3 3 2 6 2" xfId="47121" xr:uid="{00000000-0005-0000-0000-0000CAB90000}"/>
    <cellStyle name="Note 2 3 3 2 6 3" xfId="51027" xr:uid="{00000000-0005-0000-0000-0000CBB90000}"/>
    <cellStyle name="Note 2 3 3 2 7" xfId="40924" xr:uid="{00000000-0005-0000-0000-0000CCB90000}"/>
    <cellStyle name="Note 2 3 3 2 8" xfId="39495" xr:uid="{00000000-0005-0000-0000-0000CDB90000}"/>
    <cellStyle name="Note 2 3 3 3" xfId="11020" xr:uid="{00000000-0005-0000-0000-0000CEB90000}"/>
    <cellStyle name="Note 2 3 3 3 2" xfId="18813" xr:uid="{00000000-0005-0000-0000-0000CFB90000}"/>
    <cellStyle name="Note 2 3 3 3 2 2" xfId="44360" xr:uid="{00000000-0005-0000-0000-0000D0B90000}"/>
    <cellStyle name="Note 2 3 3 3 2 3" xfId="48269" xr:uid="{00000000-0005-0000-0000-0000D1B90000}"/>
    <cellStyle name="Note 2 3 3 3 2 4" xfId="36450" xr:uid="{00000000-0005-0000-0000-0000D2B90000}"/>
    <cellStyle name="Note 2 3 3 3 3" xfId="20406" xr:uid="{00000000-0005-0000-0000-0000D3B90000}"/>
    <cellStyle name="Note 2 3 3 3 3 2" xfId="45943" xr:uid="{00000000-0005-0000-0000-0000D4B90000}"/>
    <cellStyle name="Note 2 3 3 3 3 3" xfId="49849" xr:uid="{00000000-0005-0000-0000-0000D5B90000}"/>
    <cellStyle name="Note 2 3 3 3 3 4" xfId="37860" xr:uid="{00000000-0005-0000-0000-0000D6B90000}"/>
    <cellStyle name="Note 2 3 3 3 4" xfId="20550" xr:uid="{00000000-0005-0000-0000-0000D7B90000}"/>
    <cellStyle name="Note 2 3 3 3 4 2" xfId="46087" xr:uid="{00000000-0005-0000-0000-0000D8B90000}"/>
    <cellStyle name="Note 2 3 3 3 4 3" xfId="49993" xr:uid="{00000000-0005-0000-0000-0000D9B90000}"/>
    <cellStyle name="Note 2 3 3 3 4 4" xfId="37977" xr:uid="{00000000-0005-0000-0000-0000DAB90000}"/>
    <cellStyle name="Note 2 3 3 3 5" xfId="21226" xr:uid="{00000000-0005-0000-0000-0000DBB90000}"/>
    <cellStyle name="Note 2 3 3 3 5 2" xfId="46763" xr:uid="{00000000-0005-0000-0000-0000DCB90000}"/>
    <cellStyle name="Note 2 3 3 3 5 3" xfId="50669" xr:uid="{00000000-0005-0000-0000-0000DDB90000}"/>
    <cellStyle name="Note 2 3 3 3 5 4" xfId="38632" xr:uid="{00000000-0005-0000-0000-0000DEB90000}"/>
    <cellStyle name="Note 2 3 3 3 6" xfId="21879" xr:uid="{00000000-0005-0000-0000-0000DFB90000}"/>
    <cellStyle name="Note 2 3 3 3 6 2" xfId="47416" xr:uid="{00000000-0005-0000-0000-0000E0B90000}"/>
    <cellStyle name="Note 2 3 3 3 6 3" xfId="51322" xr:uid="{00000000-0005-0000-0000-0000E1B90000}"/>
    <cellStyle name="Note 2 3 3 3 7" xfId="41219" xr:uid="{00000000-0005-0000-0000-0000E2B90000}"/>
    <cellStyle name="Note 2 3 3 3 8" xfId="39181" xr:uid="{00000000-0005-0000-0000-0000E3B90000}"/>
    <cellStyle name="Note 2 3 3 4" xfId="15240" xr:uid="{00000000-0005-0000-0000-0000E4B90000}"/>
    <cellStyle name="Note 2 3 3 4 2" xfId="43113" xr:uid="{00000000-0005-0000-0000-0000E5B90000}"/>
    <cellStyle name="Note 2 3 3 4 3" xfId="39263" xr:uid="{00000000-0005-0000-0000-0000E6B90000}"/>
    <cellStyle name="Note 2 3 3 4 4" xfId="32875" xr:uid="{00000000-0005-0000-0000-0000E7B90000}"/>
    <cellStyle name="Note 2 3 3 5" xfId="11366" xr:uid="{00000000-0005-0000-0000-0000E8B90000}"/>
    <cellStyle name="Note 2 3 3 5 2" xfId="41402" xr:uid="{00000000-0005-0000-0000-0000E9B90000}"/>
    <cellStyle name="Note 2 3 3 5 3" xfId="39683" xr:uid="{00000000-0005-0000-0000-0000EAB90000}"/>
    <cellStyle name="Note 2 3 3 5 4" xfId="29089" xr:uid="{00000000-0005-0000-0000-0000EBB90000}"/>
    <cellStyle name="Note 2 3 3 6" xfId="18994" xr:uid="{00000000-0005-0000-0000-0000ECB90000}"/>
    <cellStyle name="Note 2 3 3 6 2" xfId="44531" xr:uid="{00000000-0005-0000-0000-0000EDB90000}"/>
    <cellStyle name="Note 2 3 3 6 3" xfId="48437" xr:uid="{00000000-0005-0000-0000-0000EEB90000}"/>
    <cellStyle name="Note 2 3 3 6 4" xfId="36616" xr:uid="{00000000-0005-0000-0000-0000EFB90000}"/>
    <cellStyle name="Note 2 3 3 7" xfId="20523" xr:uid="{00000000-0005-0000-0000-0000F0B90000}"/>
    <cellStyle name="Note 2 3 3 7 2" xfId="46060" xr:uid="{00000000-0005-0000-0000-0000F1B90000}"/>
    <cellStyle name="Note 2 3 3 7 3" xfId="49966" xr:uid="{00000000-0005-0000-0000-0000F2B90000}"/>
    <cellStyle name="Note 2 3 3 7 4" xfId="37956" xr:uid="{00000000-0005-0000-0000-0000F3B90000}"/>
    <cellStyle name="Note 2 3 3 8" xfId="19353" xr:uid="{00000000-0005-0000-0000-0000F4B90000}"/>
    <cellStyle name="Note 2 3 3 8 2" xfId="44890" xr:uid="{00000000-0005-0000-0000-0000F5B90000}"/>
    <cellStyle name="Note 2 3 3 8 3" xfId="48796" xr:uid="{00000000-0005-0000-0000-0000F6B90000}"/>
    <cellStyle name="Note 2 3 3 9" xfId="39973" xr:uid="{00000000-0005-0000-0000-0000F7B90000}"/>
    <cellStyle name="Note 2 3 4" xfId="12082" xr:uid="{00000000-0005-0000-0000-0000F8B90000}"/>
    <cellStyle name="Note 2 3 4 2" xfId="41827" xr:uid="{00000000-0005-0000-0000-0000F9B90000}"/>
    <cellStyle name="Note 2 3 4 3" xfId="43339" xr:uid="{00000000-0005-0000-0000-0000FAB90000}"/>
    <cellStyle name="Note 2 3 4 4" xfId="29758" xr:uid="{00000000-0005-0000-0000-0000FBB90000}"/>
    <cellStyle name="Note 2 3 5" xfId="11605" xr:uid="{00000000-0005-0000-0000-0000FCB90000}"/>
    <cellStyle name="Note 2 3 5 2" xfId="41616" xr:uid="{00000000-0005-0000-0000-0000FDB90000}"/>
    <cellStyle name="Note 2 3 5 3" xfId="39465" xr:uid="{00000000-0005-0000-0000-0000FEB90000}"/>
    <cellStyle name="Note 2 3 5 4" xfId="29309" xr:uid="{00000000-0005-0000-0000-0000FFB90000}"/>
    <cellStyle name="Note 2 3 6" xfId="52661" xr:uid="{00000000-0005-0000-0000-000000BA0000}"/>
    <cellStyle name="Note 2 3 7" xfId="53267" xr:uid="{00000000-0005-0000-0000-000001BA0000}"/>
    <cellStyle name="Note 2 4" xfId="3168" xr:uid="{00000000-0005-0000-0000-000002BA0000}"/>
    <cellStyle name="Note 2 4 2" xfId="5300" xr:uid="{00000000-0005-0000-0000-000003BA0000}"/>
    <cellStyle name="Note 2 4 2 2" xfId="10472" xr:uid="{00000000-0005-0000-0000-000004BA0000}"/>
    <cellStyle name="Note 2 4 2 2 2" xfId="18265" xr:uid="{00000000-0005-0000-0000-000005BA0000}"/>
    <cellStyle name="Note 2 4 2 2 2 2" xfId="43812" xr:uid="{00000000-0005-0000-0000-000006BA0000}"/>
    <cellStyle name="Note 2 4 2 2 2 3" xfId="47721" xr:uid="{00000000-0005-0000-0000-000007BA0000}"/>
    <cellStyle name="Note 2 4 2 2 2 4" xfId="35902" xr:uid="{00000000-0005-0000-0000-000008BA0000}"/>
    <cellStyle name="Note 2 4 2 2 3" xfId="11486" xr:uid="{00000000-0005-0000-0000-000009BA0000}"/>
    <cellStyle name="Note 2 4 2 2 3 2" xfId="41497" xr:uid="{00000000-0005-0000-0000-00000ABA0000}"/>
    <cellStyle name="Note 2 4 2 2 3 3" xfId="42584" xr:uid="{00000000-0005-0000-0000-00000BBA0000}"/>
    <cellStyle name="Note 2 4 2 2 3 4" xfId="29201" xr:uid="{00000000-0005-0000-0000-00000CBA0000}"/>
    <cellStyle name="Note 2 4 2 2 4" xfId="11680" xr:uid="{00000000-0005-0000-0000-00000DBA0000}"/>
    <cellStyle name="Note 2 4 2 2 4 2" xfId="41691" xr:uid="{00000000-0005-0000-0000-00000EBA0000}"/>
    <cellStyle name="Note 2 4 2 2 4 3" xfId="42019" xr:uid="{00000000-0005-0000-0000-00000FBA0000}"/>
    <cellStyle name="Note 2 4 2 2 4 4" xfId="29373" xr:uid="{00000000-0005-0000-0000-000010BA0000}"/>
    <cellStyle name="Note 2 4 2 2 5" xfId="20678" xr:uid="{00000000-0005-0000-0000-000011BA0000}"/>
    <cellStyle name="Note 2 4 2 2 5 2" xfId="46215" xr:uid="{00000000-0005-0000-0000-000012BA0000}"/>
    <cellStyle name="Note 2 4 2 2 5 3" xfId="50121" xr:uid="{00000000-0005-0000-0000-000013BA0000}"/>
    <cellStyle name="Note 2 4 2 2 5 4" xfId="38084" xr:uid="{00000000-0005-0000-0000-000014BA0000}"/>
    <cellStyle name="Note 2 4 2 2 6" xfId="21331" xr:uid="{00000000-0005-0000-0000-000015BA0000}"/>
    <cellStyle name="Note 2 4 2 2 6 2" xfId="46868" xr:uid="{00000000-0005-0000-0000-000016BA0000}"/>
    <cellStyle name="Note 2 4 2 2 6 3" xfId="50774" xr:uid="{00000000-0005-0000-0000-000017BA0000}"/>
    <cellStyle name="Note 2 4 2 2 7" xfId="40671" xr:uid="{00000000-0005-0000-0000-000018BA0000}"/>
    <cellStyle name="Note 2 4 2 2 8" xfId="42081" xr:uid="{00000000-0005-0000-0000-000019BA0000}"/>
    <cellStyle name="Note 2 4 2 2 9" xfId="53380" xr:uid="{00000000-0005-0000-0000-00001ABA0000}"/>
    <cellStyle name="Note 2 4 2 3" xfId="8797" xr:uid="{00000000-0005-0000-0000-00001BBA0000}"/>
    <cellStyle name="Note 2 4 2 3 2" xfId="16593" xr:uid="{00000000-0005-0000-0000-00001CBA0000}"/>
    <cellStyle name="Note 2 4 2 3 2 2" xfId="43434" xr:uid="{00000000-0005-0000-0000-00001DBA0000}"/>
    <cellStyle name="Note 2 4 2 3 2 3" xfId="39260" xr:uid="{00000000-0005-0000-0000-00001EBA0000}"/>
    <cellStyle name="Note 2 4 2 3 2 4" xfId="34228" xr:uid="{00000000-0005-0000-0000-00001FBA0000}"/>
    <cellStyle name="Note 2 4 2 3 3" xfId="19796" xr:uid="{00000000-0005-0000-0000-000020BA0000}"/>
    <cellStyle name="Note 2 4 2 3 3 2" xfId="45333" xr:uid="{00000000-0005-0000-0000-000021BA0000}"/>
    <cellStyle name="Note 2 4 2 3 3 3" xfId="49239" xr:uid="{00000000-0005-0000-0000-000022BA0000}"/>
    <cellStyle name="Note 2 4 2 3 3 4" xfId="37319" xr:uid="{00000000-0005-0000-0000-000023BA0000}"/>
    <cellStyle name="Note 2 4 2 3 4" xfId="19837" xr:uid="{00000000-0005-0000-0000-000024BA0000}"/>
    <cellStyle name="Note 2 4 2 3 4 2" xfId="45374" xr:uid="{00000000-0005-0000-0000-000025BA0000}"/>
    <cellStyle name="Note 2 4 2 3 4 3" xfId="49280" xr:uid="{00000000-0005-0000-0000-000026BA0000}"/>
    <cellStyle name="Note 2 4 2 3 4 4" xfId="37355" xr:uid="{00000000-0005-0000-0000-000027BA0000}"/>
    <cellStyle name="Note 2 4 2 3 5" xfId="12673" xr:uid="{00000000-0005-0000-0000-000028BA0000}"/>
    <cellStyle name="Note 2 4 2 3 5 2" xfId="42152" xr:uid="{00000000-0005-0000-0000-000029BA0000}"/>
    <cellStyle name="Note 2 4 2 3 5 3" xfId="43584" xr:uid="{00000000-0005-0000-0000-00002ABA0000}"/>
    <cellStyle name="Note 2 4 2 3 5 4" xfId="30337" xr:uid="{00000000-0005-0000-0000-00002BBA0000}"/>
    <cellStyle name="Note 2 4 2 3 6" xfId="19476" xr:uid="{00000000-0005-0000-0000-00002CBA0000}"/>
    <cellStyle name="Note 2 4 2 3 6 2" xfId="45013" xr:uid="{00000000-0005-0000-0000-00002DBA0000}"/>
    <cellStyle name="Note 2 4 2 3 6 3" xfId="48919" xr:uid="{00000000-0005-0000-0000-00002EBA0000}"/>
    <cellStyle name="Note 2 4 2 3 7" xfId="40296" xr:uid="{00000000-0005-0000-0000-00002FBA0000}"/>
    <cellStyle name="Note 2 4 2 3 8" xfId="39219" xr:uid="{00000000-0005-0000-0000-000030BA0000}"/>
    <cellStyle name="Note 2 4 2 4" xfId="13272" xr:uid="{00000000-0005-0000-0000-000031BA0000}"/>
    <cellStyle name="Note 2 4 2 4 2" xfId="42442" xr:uid="{00000000-0005-0000-0000-000032BA0000}"/>
    <cellStyle name="Note 2 4 2 4 3" xfId="41965" xr:uid="{00000000-0005-0000-0000-000033BA0000}"/>
    <cellStyle name="Note 2 4 2 4 4" xfId="30917" xr:uid="{00000000-0005-0000-0000-000034BA0000}"/>
    <cellStyle name="Note 2 4 2 5" xfId="12737" xr:uid="{00000000-0005-0000-0000-000035BA0000}"/>
    <cellStyle name="Note 2 4 2 5 2" xfId="42190" xr:uid="{00000000-0005-0000-0000-000036BA0000}"/>
    <cellStyle name="Note 2 4 2 5 3" xfId="41977" xr:uid="{00000000-0005-0000-0000-000037BA0000}"/>
    <cellStyle name="Note 2 4 2 5 4" xfId="30395" xr:uid="{00000000-0005-0000-0000-000038BA0000}"/>
    <cellStyle name="Note 2 4 2 6" xfId="53270" xr:uid="{00000000-0005-0000-0000-000039BA0000}"/>
    <cellStyle name="Note 2 4 3" xfId="7453" xr:uid="{00000000-0005-0000-0000-00003ABA0000}"/>
    <cellStyle name="Note 2 4 3 10" xfId="40130" xr:uid="{00000000-0005-0000-0000-00003BBA0000}"/>
    <cellStyle name="Note 2 4 3 11" xfId="53379" xr:uid="{00000000-0005-0000-0000-00003CBA0000}"/>
    <cellStyle name="Note 2 4 3 2" xfId="10726" xr:uid="{00000000-0005-0000-0000-00003DBA0000}"/>
    <cellStyle name="Note 2 4 3 2 2" xfId="18519" xr:uid="{00000000-0005-0000-0000-00003EBA0000}"/>
    <cellStyle name="Note 2 4 3 2 2 2" xfId="44066" xr:uid="{00000000-0005-0000-0000-00003FBA0000}"/>
    <cellStyle name="Note 2 4 3 2 2 3" xfId="47975" xr:uid="{00000000-0005-0000-0000-000040BA0000}"/>
    <cellStyle name="Note 2 4 3 2 2 4" xfId="36156" xr:uid="{00000000-0005-0000-0000-000041BA0000}"/>
    <cellStyle name="Note 2 4 3 2 3" xfId="12634" xr:uid="{00000000-0005-0000-0000-000042BA0000}"/>
    <cellStyle name="Note 2 4 3 2 3 2" xfId="42113" xr:uid="{00000000-0005-0000-0000-000043BA0000}"/>
    <cellStyle name="Note 2 4 3 2 3 3" xfId="40449" xr:uid="{00000000-0005-0000-0000-000044BA0000}"/>
    <cellStyle name="Note 2 4 3 2 3 4" xfId="30299" xr:uid="{00000000-0005-0000-0000-000045BA0000}"/>
    <cellStyle name="Note 2 4 3 2 4" xfId="19963" xr:uid="{00000000-0005-0000-0000-000046BA0000}"/>
    <cellStyle name="Note 2 4 3 2 4 2" xfId="45500" xr:uid="{00000000-0005-0000-0000-000047BA0000}"/>
    <cellStyle name="Note 2 4 3 2 4 3" xfId="49406" xr:uid="{00000000-0005-0000-0000-000048BA0000}"/>
    <cellStyle name="Note 2 4 3 2 4 4" xfId="37468" xr:uid="{00000000-0005-0000-0000-000049BA0000}"/>
    <cellStyle name="Note 2 4 3 2 5" xfId="20932" xr:uid="{00000000-0005-0000-0000-00004ABA0000}"/>
    <cellStyle name="Note 2 4 3 2 5 2" xfId="46469" xr:uid="{00000000-0005-0000-0000-00004BBA0000}"/>
    <cellStyle name="Note 2 4 3 2 5 3" xfId="50375" xr:uid="{00000000-0005-0000-0000-00004CBA0000}"/>
    <cellStyle name="Note 2 4 3 2 5 4" xfId="38338" xr:uid="{00000000-0005-0000-0000-00004DBA0000}"/>
    <cellStyle name="Note 2 4 3 2 6" xfId="21585" xr:uid="{00000000-0005-0000-0000-00004EBA0000}"/>
    <cellStyle name="Note 2 4 3 2 6 2" xfId="47122" xr:uid="{00000000-0005-0000-0000-00004FBA0000}"/>
    <cellStyle name="Note 2 4 3 2 6 3" xfId="51028" xr:uid="{00000000-0005-0000-0000-000050BA0000}"/>
    <cellStyle name="Note 2 4 3 2 7" xfId="40925" xr:uid="{00000000-0005-0000-0000-000051BA0000}"/>
    <cellStyle name="Note 2 4 3 2 8" xfId="42066" xr:uid="{00000000-0005-0000-0000-000052BA0000}"/>
    <cellStyle name="Note 2 4 3 3" xfId="11021" xr:uid="{00000000-0005-0000-0000-000053BA0000}"/>
    <cellStyle name="Note 2 4 3 3 2" xfId="18814" xr:uid="{00000000-0005-0000-0000-000054BA0000}"/>
    <cellStyle name="Note 2 4 3 3 2 2" xfId="44361" xr:uid="{00000000-0005-0000-0000-000055BA0000}"/>
    <cellStyle name="Note 2 4 3 3 2 3" xfId="48270" xr:uid="{00000000-0005-0000-0000-000056BA0000}"/>
    <cellStyle name="Note 2 4 3 3 2 4" xfId="36451" xr:uid="{00000000-0005-0000-0000-000057BA0000}"/>
    <cellStyle name="Note 2 4 3 3 3" xfId="20407" xr:uid="{00000000-0005-0000-0000-000058BA0000}"/>
    <cellStyle name="Note 2 4 3 3 3 2" xfId="45944" xr:uid="{00000000-0005-0000-0000-000059BA0000}"/>
    <cellStyle name="Note 2 4 3 3 3 3" xfId="49850" xr:uid="{00000000-0005-0000-0000-00005ABA0000}"/>
    <cellStyle name="Note 2 4 3 3 3 4" xfId="37861" xr:uid="{00000000-0005-0000-0000-00005BBA0000}"/>
    <cellStyle name="Note 2 4 3 3 4" xfId="20551" xr:uid="{00000000-0005-0000-0000-00005CBA0000}"/>
    <cellStyle name="Note 2 4 3 3 4 2" xfId="46088" xr:uid="{00000000-0005-0000-0000-00005DBA0000}"/>
    <cellStyle name="Note 2 4 3 3 4 3" xfId="49994" xr:uid="{00000000-0005-0000-0000-00005EBA0000}"/>
    <cellStyle name="Note 2 4 3 3 4 4" xfId="37978" xr:uid="{00000000-0005-0000-0000-00005FBA0000}"/>
    <cellStyle name="Note 2 4 3 3 5" xfId="21227" xr:uid="{00000000-0005-0000-0000-000060BA0000}"/>
    <cellStyle name="Note 2 4 3 3 5 2" xfId="46764" xr:uid="{00000000-0005-0000-0000-000061BA0000}"/>
    <cellStyle name="Note 2 4 3 3 5 3" xfId="50670" xr:uid="{00000000-0005-0000-0000-000062BA0000}"/>
    <cellStyle name="Note 2 4 3 3 5 4" xfId="38633" xr:uid="{00000000-0005-0000-0000-000063BA0000}"/>
    <cellStyle name="Note 2 4 3 3 6" xfId="21880" xr:uid="{00000000-0005-0000-0000-000064BA0000}"/>
    <cellStyle name="Note 2 4 3 3 6 2" xfId="47417" xr:uid="{00000000-0005-0000-0000-000065BA0000}"/>
    <cellStyle name="Note 2 4 3 3 6 3" xfId="51323" xr:uid="{00000000-0005-0000-0000-000066BA0000}"/>
    <cellStyle name="Note 2 4 3 3 7" xfId="41220" xr:uid="{00000000-0005-0000-0000-000067BA0000}"/>
    <cellStyle name="Note 2 4 3 3 8" xfId="42048" xr:uid="{00000000-0005-0000-0000-000068BA0000}"/>
    <cellStyle name="Note 2 4 3 4" xfId="15241" xr:uid="{00000000-0005-0000-0000-000069BA0000}"/>
    <cellStyle name="Note 2 4 3 4 2" xfId="43114" xr:uid="{00000000-0005-0000-0000-00006ABA0000}"/>
    <cellStyle name="Note 2 4 3 4 3" xfId="41938" xr:uid="{00000000-0005-0000-0000-00006BBA0000}"/>
    <cellStyle name="Note 2 4 3 4 4" xfId="32876" xr:uid="{00000000-0005-0000-0000-00006CBA0000}"/>
    <cellStyle name="Note 2 4 3 5" xfId="13246" xr:uid="{00000000-0005-0000-0000-00006DBA0000}"/>
    <cellStyle name="Note 2 4 3 5 2" xfId="42427" xr:uid="{00000000-0005-0000-0000-00006EBA0000}"/>
    <cellStyle name="Note 2 4 3 5 3" xfId="40436" xr:uid="{00000000-0005-0000-0000-00006FBA0000}"/>
    <cellStyle name="Note 2 4 3 5 4" xfId="30891" xr:uid="{00000000-0005-0000-0000-000070BA0000}"/>
    <cellStyle name="Note 2 4 3 6" xfId="19548" xr:uid="{00000000-0005-0000-0000-000071BA0000}"/>
    <cellStyle name="Note 2 4 3 6 2" xfId="45085" xr:uid="{00000000-0005-0000-0000-000072BA0000}"/>
    <cellStyle name="Note 2 4 3 6 3" xfId="48991" xr:uid="{00000000-0005-0000-0000-000073BA0000}"/>
    <cellStyle name="Note 2 4 3 6 4" xfId="37091" xr:uid="{00000000-0005-0000-0000-000074BA0000}"/>
    <cellStyle name="Note 2 4 3 7" xfId="11644" xr:uid="{00000000-0005-0000-0000-000075BA0000}"/>
    <cellStyle name="Note 2 4 3 7 2" xfId="41655" xr:uid="{00000000-0005-0000-0000-000076BA0000}"/>
    <cellStyle name="Note 2 4 3 7 3" xfId="41389" xr:uid="{00000000-0005-0000-0000-000077BA0000}"/>
    <cellStyle name="Note 2 4 3 7 4" xfId="29344" xr:uid="{00000000-0005-0000-0000-000078BA0000}"/>
    <cellStyle name="Note 2 4 3 8" xfId="19787" xr:uid="{00000000-0005-0000-0000-000079BA0000}"/>
    <cellStyle name="Note 2 4 3 8 2" xfId="45324" xr:uid="{00000000-0005-0000-0000-00007ABA0000}"/>
    <cellStyle name="Note 2 4 3 8 3" xfId="49230" xr:uid="{00000000-0005-0000-0000-00007BBA0000}"/>
    <cellStyle name="Note 2 4 3 9" xfId="39974" xr:uid="{00000000-0005-0000-0000-00007CBA0000}"/>
    <cellStyle name="Note 2 4 4" xfId="12083" xr:uid="{00000000-0005-0000-0000-00007DBA0000}"/>
    <cellStyle name="Note 2 4 4 2" xfId="41828" xr:uid="{00000000-0005-0000-0000-00007EBA0000}"/>
    <cellStyle name="Note 2 4 4 3" xfId="40200" xr:uid="{00000000-0005-0000-0000-00007FBA0000}"/>
    <cellStyle name="Note 2 4 4 4" xfId="29759" xr:uid="{00000000-0005-0000-0000-000080BA0000}"/>
    <cellStyle name="Note 2 4 5" xfId="19685" xr:uid="{00000000-0005-0000-0000-000081BA0000}"/>
    <cellStyle name="Note 2 4 5 2" xfId="45222" xr:uid="{00000000-0005-0000-0000-000082BA0000}"/>
    <cellStyle name="Note 2 4 5 3" xfId="49128" xr:uid="{00000000-0005-0000-0000-000083BA0000}"/>
    <cellStyle name="Note 2 4 5 4" xfId="37217" xr:uid="{00000000-0005-0000-0000-000084BA0000}"/>
    <cellStyle name="Note 2 4 6" xfId="52662" xr:uid="{00000000-0005-0000-0000-000085BA0000}"/>
    <cellStyle name="Note 2 4 7" xfId="53269" xr:uid="{00000000-0005-0000-0000-000086BA0000}"/>
    <cellStyle name="Note 2 5" xfId="3169" xr:uid="{00000000-0005-0000-0000-000087BA0000}"/>
    <cellStyle name="Note 2 5 2" xfId="5301" xr:uid="{00000000-0005-0000-0000-000088BA0000}"/>
    <cellStyle name="Note 2 5 2 2" xfId="10473" xr:uid="{00000000-0005-0000-0000-000089BA0000}"/>
    <cellStyle name="Note 2 5 2 2 2" xfId="18266" xr:uid="{00000000-0005-0000-0000-00008ABA0000}"/>
    <cellStyle name="Note 2 5 2 2 2 2" xfId="43813" xr:uid="{00000000-0005-0000-0000-00008BBA0000}"/>
    <cellStyle name="Note 2 5 2 2 2 3" xfId="47722" xr:uid="{00000000-0005-0000-0000-00008CBA0000}"/>
    <cellStyle name="Note 2 5 2 2 2 4" xfId="35903" xr:uid="{00000000-0005-0000-0000-00008DBA0000}"/>
    <cellStyle name="Note 2 5 2 2 3" xfId="13318" xr:uid="{00000000-0005-0000-0000-00008EBA0000}"/>
    <cellStyle name="Note 2 5 2 2 3 2" xfId="42488" xr:uid="{00000000-0005-0000-0000-00008FBA0000}"/>
    <cellStyle name="Note 2 5 2 2 3 3" xfId="40172" xr:uid="{00000000-0005-0000-0000-000090BA0000}"/>
    <cellStyle name="Note 2 5 2 2 3 4" xfId="30958" xr:uid="{00000000-0005-0000-0000-000091BA0000}"/>
    <cellStyle name="Note 2 5 2 2 4" xfId="20307" xr:uid="{00000000-0005-0000-0000-000092BA0000}"/>
    <cellStyle name="Note 2 5 2 2 4 2" xfId="45844" xr:uid="{00000000-0005-0000-0000-000093BA0000}"/>
    <cellStyle name="Note 2 5 2 2 4 3" xfId="49750" xr:uid="{00000000-0005-0000-0000-000094BA0000}"/>
    <cellStyle name="Note 2 5 2 2 4 4" xfId="37773" xr:uid="{00000000-0005-0000-0000-000095BA0000}"/>
    <cellStyle name="Note 2 5 2 2 5" xfId="20679" xr:uid="{00000000-0005-0000-0000-000096BA0000}"/>
    <cellStyle name="Note 2 5 2 2 5 2" xfId="46216" xr:uid="{00000000-0005-0000-0000-000097BA0000}"/>
    <cellStyle name="Note 2 5 2 2 5 3" xfId="50122" xr:uid="{00000000-0005-0000-0000-000098BA0000}"/>
    <cellStyle name="Note 2 5 2 2 5 4" xfId="38085" xr:uid="{00000000-0005-0000-0000-000099BA0000}"/>
    <cellStyle name="Note 2 5 2 2 6" xfId="21332" xr:uid="{00000000-0005-0000-0000-00009ABA0000}"/>
    <cellStyle name="Note 2 5 2 2 6 2" xfId="46869" xr:uid="{00000000-0005-0000-0000-00009BBA0000}"/>
    <cellStyle name="Note 2 5 2 2 6 3" xfId="50775" xr:uid="{00000000-0005-0000-0000-00009CBA0000}"/>
    <cellStyle name="Note 2 5 2 2 7" xfId="40672" xr:uid="{00000000-0005-0000-0000-00009DBA0000}"/>
    <cellStyle name="Note 2 5 2 2 8" xfId="43400" xr:uid="{00000000-0005-0000-0000-00009EBA0000}"/>
    <cellStyle name="Note 2 5 2 2 9" xfId="53382" xr:uid="{00000000-0005-0000-0000-00009FBA0000}"/>
    <cellStyle name="Note 2 5 2 3" xfId="8798" xr:uid="{00000000-0005-0000-0000-0000A0BA0000}"/>
    <cellStyle name="Note 2 5 2 3 2" xfId="16594" xr:uid="{00000000-0005-0000-0000-0000A1BA0000}"/>
    <cellStyle name="Note 2 5 2 3 2 2" xfId="43435" xr:uid="{00000000-0005-0000-0000-0000A2BA0000}"/>
    <cellStyle name="Note 2 5 2 3 2 3" xfId="41932" xr:uid="{00000000-0005-0000-0000-0000A3BA0000}"/>
    <cellStyle name="Note 2 5 2 3 2 4" xfId="34229" xr:uid="{00000000-0005-0000-0000-0000A4BA0000}"/>
    <cellStyle name="Note 2 5 2 3 3" xfId="11458" xr:uid="{00000000-0005-0000-0000-0000A5BA0000}"/>
    <cellStyle name="Note 2 5 2 3 3 2" xfId="41469" xr:uid="{00000000-0005-0000-0000-0000A6BA0000}"/>
    <cellStyle name="Note 2 5 2 3 3 3" xfId="42719" xr:uid="{00000000-0005-0000-0000-0000A7BA0000}"/>
    <cellStyle name="Note 2 5 2 3 3 4" xfId="29177" xr:uid="{00000000-0005-0000-0000-0000A8BA0000}"/>
    <cellStyle name="Note 2 5 2 3 4" xfId="18986" xr:uid="{00000000-0005-0000-0000-0000A9BA0000}"/>
    <cellStyle name="Note 2 5 2 3 4 2" xfId="44523" xr:uid="{00000000-0005-0000-0000-0000AABA0000}"/>
    <cellStyle name="Note 2 5 2 3 4 3" xfId="48429" xr:uid="{00000000-0005-0000-0000-0000ABBA0000}"/>
    <cellStyle name="Note 2 5 2 3 4 4" xfId="36610" xr:uid="{00000000-0005-0000-0000-0000ACBA0000}"/>
    <cellStyle name="Note 2 5 2 3 5" xfId="19955" xr:uid="{00000000-0005-0000-0000-0000ADBA0000}"/>
    <cellStyle name="Note 2 5 2 3 5 2" xfId="45492" xr:uid="{00000000-0005-0000-0000-0000AEBA0000}"/>
    <cellStyle name="Note 2 5 2 3 5 3" xfId="49398" xr:uid="{00000000-0005-0000-0000-0000AFBA0000}"/>
    <cellStyle name="Note 2 5 2 3 5 4" xfId="37460" xr:uid="{00000000-0005-0000-0000-0000B0BA0000}"/>
    <cellStyle name="Note 2 5 2 3 6" xfId="20488" xr:uid="{00000000-0005-0000-0000-0000B1BA0000}"/>
    <cellStyle name="Note 2 5 2 3 6 2" xfId="46025" xr:uid="{00000000-0005-0000-0000-0000B2BA0000}"/>
    <cellStyle name="Note 2 5 2 3 6 3" xfId="49931" xr:uid="{00000000-0005-0000-0000-0000B3BA0000}"/>
    <cellStyle name="Note 2 5 2 3 7" xfId="40297" xr:uid="{00000000-0005-0000-0000-0000B4BA0000}"/>
    <cellStyle name="Note 2 5 2 3 8" xfId="39218" xr:uid="{00000000-0005-0000-0000-0000B5BA0000}"/>
    <cellStyle name="Note 2 5 2 4" xfId="13273" xr:uid="{00000000-0005-0000-0000-0000B6BA0000}"/>
    <cellStyle name="Note 2 5 2 4 2" xfId="42443" xr:uid="{00000000-0005-0000-0000-0000B7BA0000}"/>
    <cellStyle name="Note 2 5 2 4 3" xfId="43315" xr:uid="{00000000-0005-0000-0000-0000B8BA0000}"/>
    <cellStyle name="Note 2 5 2 4 4" xfId="30918" xr:uid="{00000000-0005-0000-0000-0000B9BA0000}"/>
    <cellStyle name="Note 2 5 2 5" xfId="11732" xr:uid="{00000000-0005-0000-0000-0000BABA0000}"/>
    <cellStyle name="Note 2 5 2 5 2" xfId="41718" xr:uid="{00000000-0005-0000-0000-0000BBBA0000}"/>
    <cellStyle name="Note 2 5 2 5 3" xfId="40067" xr:uid="{00000000-0005-0000-0000-0000BCBA0000}"/>
    <cellStyle name="Note 2 5 2 5 4" xfId="29419" xr:uid="{00000000-0005-0000-0000-0000BDBA0000}"/>
    <cellStyle name="Note 2 5 2 6" xfId="53272" xr:uid="{00000000-0005-0000-0000-0000BEBA0000}"/>
    <cellStyle name="Note 2 5 3" xfId="7454" xr:uid="{00000000-0005-0000-0000-0000BFBA0000}"/>
    <cellStyle name="Note 2 5 3 10" xfId="43099" xr:uid="{00000000-0005-0000-0000-0000C0BA0000}"/>
    <cellStyle name="Note 2 5 3 11" xfId="53381" xr:uid="{00000000-0005-0000-0000-0000C1BA0000}"/>
    <cellStyle name="Note 2 5 3 2" xfId="10727" xr:uid="{00000000-0005-0000-0000-0000C2BA0000}"/>
    <cellStyle name="Note 2 5 3 2 2" xfId="18520" xr:uid="{00000000-0005-0000-0000-0000C3BA0000}"/>
    <cellStyle name="Note 2 5 3 2 2 2" xfId="44067" xr:uid="{00000000-0005-0000-0000-0000C4BA0000}"/>
    <cellStyle name="Note 2 5 3 2 2 3" xfId="47976" xr:uid="{00000000-0005-0000-0000-0000C5BA0000}"/>
    <cellStyle name="Note 2 5 3 2 2 4" xfId="36157" xr:uid="{00000000-0005-0000-0000-0000C6BA0000}"/>
    <cellStyle name="Note 2 5 3 2 3" xfId="19736" xr:uid="{00000000-0005-0000-0000-0000C7BA0000}"/>
    <cellStyle name="Note 2 5 3 2 3 2" xfId="45273" xr:uid="{00000000-0005-0000-0000-0000C8BA0000}"/>
    <cellStyle name="Note 2 5 3 2 3 3" xfId="49179" xr:uid="{00000000-0005-0000-0000-0000C9BA0000}"/>
    <cellStyle name="Note 2 5 3 2 3 4" xfId="37263" xr:uid="{00000000-0005-0000-0000-0000CABA0000}"/>
    <cellStyle name="Note 2 5 3 2 4" xfId="20100" xr:uid="{00000000-0005-0000-0000-0000CBBA0000}"/>
    <cellStyle name="Note 2 5 3 2 4 2" xfId="45637" xr:uid="{00000000-0005-0000-0000-0000CCBA0000}"/>
    <cellStyle name="Note 2 5 3 2 4 3" xfId="49543" xr:uid="{00000000-0005-0000-0000-0000CDBA0000}"/>
    <cellStyle name="Note 2 5 3 2 4 4" xfId="37589" xr:uid="{00000000-0005-0000-0000-0000CEBA0000}"/>
    <cellStyle name="Note 2 5 3 2 5" xfId="20933" xr:uid="{00000000-0005-0000-0000-0000CFBA0000}"/>
    <cellStyle name="Note 2 5 3 2 5 2" xfId="46470" xr:uid="{00000000-0005-0000-0000-0000D0BA0000}"/>
    <cellStyle name="Note 2 5 3 2 5 3" xfId="50376" xr:uid="{00000000-0005-0000-0000-0000D1BA0000}"/>
    <cellStyle name="Note 2 5 3 2 5 4" xfId="38339" xr:uid="{00000000-0005-0000-0000-0000D2BA0000}"/>
    <cellStyle name="Note 2 5 3 2 6" xfId="21586" xr:uid="{00000000-0005-0000-0000-0000D3BA0000}"/>
    <cellStyle name="Note 2 5 3 2 6 2" xfId="47123" xr:uid="{00000000-0005-0000-0000-0000D4BA0000}"/>
    <cellStyle name="Note 2 5 3 2 6 3" xfId="51029" xr:uid="{00000000-0005-0000-0000-0000D5BA0000}"/>
    <cellStyle name="Note 2 5 3 2 7" xfId="40926" xr:uid="{00000000-0005-0000-0000-0000D6BA0000}"/>
    <cellStyle name="Note 2 5 3 2 8" xfId="43385" xr:uid="{00000000-0005-0000-0000-0000D7BA0000}"/>
    <cellStyle name="Note 2 5 3 3" xfId="11022" xr:uid="{00000000-0005-0000-0000-0000D8BA0000}"/>
    <cellStyle name="Note 2 5 3 3 2" xfId="18815" xr:uid="{00000000-0005-0000-0000-0000D9BA0000}"/>
    <cellStyle name="Note 2 5 3 3 2 2" xfId="44362" xr:uid="{00000000-0005-0000-0000-0000DABA0000}"/>
    <cellStyle name="Note 2 5 3 3 2 3" xfId="48271" xr:uid="{00000000-0005-0000-0000-0000DBBA0000}"/>
    <cellStyle name="Note 2 5 3 3 2 4" xfId="36452" xr:uid="{00000000-0005-0000-0000-0000DCBA0000}"/>
    <cellStyle name="Note 2 5 3 3 3" xfId="20408" xr:uid="{00000000-0005-0000-0000-0000DDBA0000}"/>
    <cellStyle name="Note 2 5 3 3 3 2" xfId="45945" xr:uid="{00000000-0005-0000-0000-0000DEBA0000}"/>
    <cellStyle name="Note 2 5 3 3 3 3" xfId="49851" xr:uid="{00000000-0005-0000-0000-0000DFBA0000}"/>
    <cellStyle name="Note 2 5 3 3 3 4" xfId="37862" xr:uid="{00000000-0005-0000-0000-0000E0BA0000}"/>
    <cellStyle name="Note 2 5 3 3 4" xfId="20552" xr:uid="{00000000-0005-0000-0000-0000E1BA0000}"/>
    <cellStyle name="Note 2 5 3 3 4 2" xfId="46089" xr:uid="{00000000-0005-0000-0000-0000E2BA0000}"/>
    <cellStyle name="Note 2 5 3 3 4 3" xfId="49995" xr:uid="{00000000-0005-0000-0000-0000E3BA0000}"/>
    <cellStyle name="Note 2 5 3 3 4 4" xfId="37979" xr:uid="{00000000-0005-0000-0000-0000E4BA0000}"/>
    <cellStyle name="Note 2 5 3 3 5" xfId="21228" xr:uid="{00000000-0005-0000-0000-0000E5BA0000}"/>
    <cellStyle name="Note 2 5 3 3 5 2" xfId="46765" xr:uid="{00000000-0005-0000-0000-0000E6BA0000}"/>
    <cellStyle name="Note 2 5 3 3 5 3" xfId="50671" xr:uid="{00000000-0005-0000-0000-0000E7BA0000}"/>
    <cellStyle name="Note 2 5 3 3 5 4" xfId="38634" xr:uid="{00000000-0005-0000-0000-0000E8BA0000}"/>
    <cellStyle name="Note 2 5 3 3 6" xfId="21881" xr:uid="{00000000-0005-0000-0000-0000E9BA0000}"/>
    <cellStyle name="Note 2 5 3 3 6 2" xfId="47418" xr:uid="{00000000-0005-0000-0000-0000EABA0000}"/>
    <cellStyle name="Note 2 5 3 3 6 3" xfId="51324" xr:uid="{00000000-0005-0000-0000-0000EBBA0000}"/>
    <cellStyle name="Note 2 5 3 3 7" xfId="41221" xr:uid="{00000000-0005-0000-0000-0000ECBA0000}"/>
    <cellStyle name="Note 2 5 3 3 8" xfId="43367" xr:uid="{00000000-0005-0000-0000-0000EDBA0000}"/>
    <cellStyle name="Note 2 5 3 4" xfId="15242" xr:uid="{00000000-0005-0000-0000-0000EEBA0000}"/>
    <cellStyle name="Note 2 5 3 4 2" xfId="43115" xr:uid="{00000000-0005-0000-0000-0000EFBA0000}"/>
    <cellStyle name="Note 2 5 3 4 3" xfId="43292" xr:uid="{00000000-0005-0000-0000-0000F0BA0000}"/>
    <cellStyle name="Note 2 5 3 4 4" xfId="32877" xr:uid="{00000000-0005-0000-0000-0000F1BA0000}"/>
    <cellStyle name="Note 2 5 3 5" xfId="19662" xr:uid="{00000000-0005-0000-0000-0000F2BA0000}"/>
    <cellStyle name="Note 2 5 3 5 2" xfId="45199" xr:uid="{00000000-0005-0000-0000-0000F3BA0000}"/>
    <cellStyle name="Note 2 5 3 5 3" xfId="49105" xr:uid="{00000000-0005-0000-0000-0000F4BA0000}"/>
    <cellStyle name="Note 2 5 3 5 4" xfId="37196" xr:uid="{00000000-0005-0000-0000-0000F5BA0000}"/>
    <cellStyle name="Note 2 5 3 6" xfId="12141" xr:uid="{00000000-0005-0000-0000-0000F6BA0000}"/>
    <cellStyle name="Note 2 5 3 6 2" xfId="41886" xr:uid="{00000000-0005-0000-0000-0000F7BA0000}"/>
    <cellStyle name="Note 2 5 3 6 3" xfId="40453" xr:uid="{00000000-0005-0000-0000-0000F8BA0000}"/>
    <cellStyle name="Note 2 5 3 6 4" xfId="29813" xr:uid="{00000000-0005-0000-0000-0000F9BA0000}"/>
    <cellStyle name="Note 2 5 3 7" xfId="13915" xr:uid="{00000000-0005-0000-0000-0000FABA0000}"/>
    <cellStyle name="Note 2 5 3 7 2" xfId="42650" xr:uid="{00000000-0005-0000-0000-0000FBBA0000}"/>
    <cellStyle name="Note 2 5 3 7 3" xfId="47584" xr:uid="{00000000-0005-0000-0000-0000FCBA0000}"/>
    <cellStyle name="Note 2 5 3 7 4" xfId="31552" xr:uid="{00000000-0005-0000-0000-0000FDBA0000}"/>
    <cellStyle name="Note 2 5 3 8" xfId="19480" xr:uid="{00000000-0005-0000-0000-0000FEBA0000}"/>
    <cellStyle name="Note 2 5 3 8 2" xfId="45017" xr:uid="{00000000-0005-0000-0000-0000FFBA0000}"/>
    <cellStyle name="Note 2 5 3 8 3" xfId="48923" xr:uid="{00000000-0005-0000-0000-000000BB0000}"/>
    <cellStyle name="Note 2 5 3 9" xfId="39975" xr:uid="{00000000-0005-0000-0000-000001BB0000}"/>
    <cellStyle name="Note 2 5 4" xfId="12084" xr:uid="{00000000-0005-0000-0000-000002BB0000}"/>
    <cellStyle name="Note 2 5 4 2" xfId="41829" xr:uid="{00000000-0005-0000-0000-000003BB0000}"/>
    <cellStyle name="Note 2 5 4 3" xfId="39333" xr:uid="{00000000-0005-0000-0000-000004BB0000}"/>
    <cellStyle name="Note 2 5 4 4" xfId="29760" xr:uid="{00000000-0005-0000-0000-000005BB0000}"/>
    <cellStyle name="Note 2 5 5" xfId="20247" xr:uid="{00000000-0005-0000-0000-000006BB0000}"/>
    <cellStyle name="Note 2 5 5 2" xfId="45784" xr:uid="{00000000-0005-0000-0000-000007BB0000}"/>
    <cellStyle name="Note 2 5 5 3" xfId="49690" xr:uid="{00000000-0005-0000-0000-000008BB0000}"/>
    <cellStyle name="Note 2 5 5 4" xfId="37719" xr:uid="{00000000-0005-0000-0000-000009BB0000}"/>
    <cellStyle name="Note 2 5 6" xfId="52663" xr:uid="{00000000-0005-0000-0000-00000ABB0000}"/>
    <cellStyle name="Note 2 5 7" xfId="53271" xr:uid="{00000000-0005-0000-0000-00000BBB0000}"/>
    <cellStyle name="Note 2 6" xfId="5302" xr:uid="{00000000-0005-0000-0000-00000CBB0000}"/>
    <cellStyle name="Note 2 6 2" xfId="7455" xr:uid="{00000000-0005-0000-0000-00000DBB0000}"/>
    <cellStyle name="Note 2 6 2 10" xfId="43766" xr:uid="{00000000-0005-0000-0000-00000EBB0000}"/>
    <cellStyle name="Note 2 6 2 11" xfId="53383" xr:uid="{00000000-0005-0000-0000-00000FBB0000}"/>
    <cellStyle name="Note 2 6 2 2" xfId="10728" xr:uid="{00000000-0005-0000-0000-000010BB0000}"/>
    <cellStyle name="Note 2 6 2 2 2" xfId="18521" xr:uid="{00000000-0005-0000-0000-000011BB0000}"/>
    <cellStyle name="Note 2 6 2 2 2 2" xfId="44068" xr:uid="{00000000-0005-0000-0000-000012BB0000}"/>
    <cellStyle name="Note 2 6 2 2 2 3" xfId="47977" xr:uid="{00000000-0005-0000-0000-000013BB0000}"/>
    <cellStyle name="Note 2 6 2 2 2 4" xfId="36158" xr:uid="{00000000-0005-0000-0000-000014BB0000}"/>
    <cellStyle name="Note 2 6 2 2 3" xfId="20156" xr:uid="{00000000-0005-0000-0000-000015BB0000}"/>
    <cellStyle name="Note 2 6 2 2 3 2" xfId="45693" xr:uid="{00000000-0005-0000-0000-000016BB0000}"/>
    <cellStyle name="Note 2 6 2 2 3 3" xfId="49599" xr:uid="{00000000-0005-0000-0000-000017BB0000}"/>
    <cellStyle name="Note 2 6 2 2 3 4" xfId="37642" xr:uid="{00000000-0005-0000-0000-000018BB0000}"/>
    <cellStyle name="Note 2 6 2 2 4" xfId="15305" xr:uid="{00000000-0005-0000-0000-000019BB0000}"/>
    <cellStyle name="Note 2 6 2 2 4 2" xfId="43172" xr:uid="{00000000-0005-0000-0000-00001ABB0000}"/>
    <cellStyle name="Note 2 6 2 2 4 3" xfId="40520" xr:uid="{00000000-0005-0000-0000-00001BBB0000}"/>
    <cellStyle name="Note 2 6 2 2 4 4" xfId="32940" xr:uid="{00000000-0005-0000-0000-00001CBB0000}"/>
    <cellStyle name="Note 2 6 2 2 5" xfId="20934" xr:uid="{00000000-0005-0000-0000-00001DBB0000}"/>
    <cellStyle name="Note 2 6 2 2 5 2" xfId="46471" xr:uid="{00000000-0005-0000-0000-00001EBB0000}"/>
    <cellStyle name="Note 2 6 2 2 5 3" xfId="50377" xr:uid="{00000000-0005-0000-0000-00001FBB0000}"/>
    <cellStyle name="Note 2 6 2 2 5 4" xfId="38340" xr:uid="{00000000-0005-0000-0000-000020BB0000}"/>
    <cellStyle name="Note 2 6 2 2 6" xfId="21587" xr:uid="{00000000-0005-0000-0000-000021BB0000}"/>
    <cellStyle name="Note 2 6 2 2 6 2" xfId="47124" xr:uid="{00000000-0005-0000-0000-000022BB0000}"/>
    <cellStyle name="Note 2 6 2 2 6 3" xfId="51030" xr:uid="{00000000-0005-0000-0000-000023BB0000}"/>
    <cellStyle name="Note 2 6 2 2 7" xfId="40927" xr:uid="{00000000-0005-0000-0000-000024BB0000}"/>
    <cellStyle name="Note 2 6 2 2 8" xfId="40247" xr:uid="{00000000-0005-0000-0000-000025BB0000}"/>
    <cellStyle name="Note 2 6 2 3" xfId="11023" xr:uid="{00000000-0005-0000-0000-000026BB0000}"/>
    <cellStyle name="Note 2 6 2 3 2" xfId="18816" xr:uid="{00000000-0005-0000-0000-000027BB0000}"/>
    <cellStyle name="Note 2 6 2 3 2 2" xfId="44363" xr:uid="{00000000-0005-0000-0000-000028BB0000}"/>
    <cellStyle name="Note 2 6 2 3 2 3" xfId="48272" xr:uid="{00000000-0005-0000-0000-000029BB0000}"/>
    <cellStyle name="Note 2 6 2 3 2 4" xfId="36453" xr:uid="{00000000-0005-0000-0000-00002ABB0000}"/>
    <cellStyle name="Note 2 6 2 3 3" xfId="20409" xr:uid="{00000000-0005-0000-0000-00002BBB0000}"/>
    <cellStyle name="Note 2 6 2 3 3 2" xfId="45946" xr:uid="{00000000-0005-0000-0000-00002CBB0000}"/>
    <cellStyle name="Note 2 6 2 3 3 3" xfId="49852" xr:uid="{00000000-0005-0000-0000-00002DBB0000}"/>
    <cellStyle name="Note 2 6 2 3 3 4" xfId="37863" xr:uid="{00000000-0005-0000-0000-00002EBB0000}"/>
    <cellStyle name="Note 2 6 2 3 4" xfId="20553" xr:uid="{00000000-0005-0000-0000-00002FBB0000}"/>
    <cellStyle name="Note 2 6 2 3 4 2" xfId="46090" xr:uid="{00000000-0005-0000-0000-000030BB0000}"/>
    <cellStyle name="Note 2 6 2 3 4 3" xfId="49996" xr:uid="{00000000-0005-0000-0000-000031BB0000}"/>
    <cellStyle name="Note 2 6 2 3 4 4" xfId="37980" xr:uid="{00000000-0005-0000-0000-000032BB0000}"/>
    <cellStyle name="Note 2 6 2 3 5" xfId="21229" xr:uid="{00000000-0005-0000-0000-000033BB0000}"/>
    <cellStyle name="Note 2 6 2 3 5 2" xfId="46766" xr:uid="{00000000-0005-0000-0000-000034BB0000}"/>
    <cellStyle name="Note 2 6 2 3 5 3" xfId="50672" xr:uid="{00000000-0005-0000-0000-000035BB0000}"/>
    <cellStyle name="Note 2 6 2 3 5 4" xfId="38635" xr:uid="{00000000-0005-0000-0000-000036BB0000}"/>
    <cellStyle name="Note 2 6 2 3 6" xfId="21882" xr:uid="{00000000-0005-0000-0000-000037BB0000}"/>
    <cellStyle name="Note 2 6 2 3 6 2" xfId="47419" xr:uid="{00000000-0005-0000-0000-000038BB0000}"/>
    <cellStyle name="Note 2 6 2 3 6 3" xfId="51325" xr:uid="{00000000-0005-0000-0000-000039BB0000}"/>
    <cellStyle name="Note 2 6 2 3 7" xfId="41222" xr:uid="{00000000-0005-0000-0000-00003ABB0000}"/>
    <cellStyle name="Note 2 6 2 3 8" xfId="40229" xr:uid="{00000000-0005-0000-0000-00003BBB0000}"/>
    <cellStyle name="Note 2 6 2 4" xfId="15243" xr:uid="{00000000-0005-0000-0000-00003CBB0000}"/>
    <cellStyle name="Note 2 6 2 4 2" xfId="43116" xr:uid="{00000000-0005-0000-0000-00003DBB0000}"/>
    <cellStyle name="Note 2 6 2 4 3" xfId="40151" xr:uid="{00000000-0005-0000-0000-00003EBB0000}"/>
    <cellStyle name="Note 2 6 2 4 4" xfId="32878" xr:uid="{00000000-0005-0000-0000-00003FBB0000}"/>
    <cellStyle name="Note 2 6 2 5" xfId="20221" xr:uid="{00000000-0005-0000-0000-000040BB0000}"/>
    <cellStyle name="Note 2 6 2 5 2" xfId="45758" xr:uid="{00000000-0005-0000-0000-000041BB0000}"/>
    <cellStyle name="Note 2 6 2 5 3" xfId="49664" xr:uid="{00000000-0005-0000-0000-000042BB0000}"/>
    <cellStyle name="Note 2 6 2 5 4" xfId="37698" xr:uid="{00000000-0005-0000-0000-000043BB0000}"/>
    <cellStyle name="Note 2 6 2 6" xfId="20477" xr:uid="{00000000-0005-0000-0000-000044BB0000}"/>
    <cellStyle name="Note 2 6 2 6 2" xfId="46014" xr:uid="{00000000-0005-0000-0000-000045BB0000}"/>
    <cellStyle name="Note 2 6 2 6 3" xfId="49920" xr:uid="{00000000-0005-0000-0000-000046BB0000}"/>
    <cellStyle name="Note 2 6 2 6 4" xfId="37930" xr:uid="{00000000-0005-0000-0000-000047BB0000}"/>
    <cellStyle name="Note 2 6 2 7" xfId="13314" xr:uid="{00000000-0005-0000-0000-000048BB0000}"/>
    <cellStyle name="Note 2 6 2 7 2" xfId="42484" xr:uid="{00000000-0005-0000-0000-000049BB0000}"/>
    <cellStyle name="Note 2 6 2 7 3" xfId="40170" xr:uid="{00000000-0005-0000-0000-00004ABB0000}"/>
    <cellStyle name="Note 2 6 2 7 4" xfId="30954" xr:uid="{00000000-0005-0000-0000-00004BBB0000}"/>
    <cellStyle name="Note 2 6 2 8" xfId="20234" xr:uid="{00000000-0005-0000-0000-00004CBB0000}"/>
    <cellStyle name="Note 2 6 2 8 2" xfId="45771" xr:uid="{00000000-0005-0000-0000-00004DBB0000}"/>
    <cellStyle name="Note 2 6 2 8 3" xfId="49677" xr:uid="{00000000-0005-0000-0000-00004EBB0000}"/>
    <cellStyle name="Note 2 6 2 9" xfId="39976" xr:uid="{00000000-0005-0000-0000-00004FBB0000}"/>
    <cellStyle name="Note 2 6 3" xfId="13274" xr:uid="{00000000-0005-0000-0000-000050BB0000}"/>
    <cellStyle name="Note 2 6 3 2" xfId="42444" xr:uid="{00000000-0005-0000-0000-000051BB0000}"/>
    <cellStyle name="Note 2 6 3 3" xfId="40174" xr:uid="{00000000-0005-0000-0000-000052BB0000}"/>
    <cellStyle name="Note 2 6 3 4" xfId="30919" xr:uid="{00000000-0005-0000-0000-000053BB0000}"/>
    <cellStyle name="Note 2 6 4" xfId="20374" xr:uid="{00000000-0005-0000-0000-000054BB0000}"/>
    <cellStyle name="Note 2 6 4 2" xfId="45911" xr:uid="{00000000-0005-0000-0000-000055BB0000}"/>
    <cellStyle name="Note 2 6 4 3" xfId="49817" xr:uid="{00000000-0005-0000-0000-000056BB0000}"/>
    <cellStyle name="Note 2 6 4 4" xfId="37830" xr:uid="{00000000-0005-0000-0000-000057BB0000}"/>
    <cellStyle name="Note 2 6 5" xfId="53273" xr:uid="{00000000-0005-0000-0000-000058BB0000}"/>
    <cellStyle name="Note 2 7" xfId="5303" xr:uid="{00000000-0005-0000-0000-000059BB0000}"/>
    <cellStyle name="Note 2 7 2" xfId="10474" xr:uid="{00000000-0005-0000-0000-00005ABB0000}"/>
    <cellStyle name="Note 2 7 2 2" xfId="18267" xr:uid="{00000000-0005-0000-0000-00005BBB0000}"/>
    <cellStyle name="Note 2 7 2 2 2" xfId="43814" xr:uid="{00000000-0005-0000-0000-00005CBB0000}"/>
    <cellStyle name="Note 2 7 2 2 3" xfId="47723" xr:uid="{00000000-0005-0000-0000-00005DBB0000}"/>
    <cellStyle name="Note 2 7 2 2 4" xfId="35904" xr:uid="{00000000-0005-0000-0000-00005EBB0000}"/>
    <cellStyle name="Note 2 7 2 3" xfId="19623" xr:uid="{00000000-0005-0000-0000-00005FBB0000}"/>
    <cellStyle name="Note 2 7 2 3 2" xfId="45160" xr:uid="{00000000-0005-0000-0000-000060BB0000}"/>
    <cellStyle name="Note 2 7 2 3 3" xfId="49066" xr:uid="{00000000-0005-0000-0000-000061BB0000}"/>
    <cellStyle name="Note 2 7 2 3 4" xfId="37163" xr:uid="{00000000-0005-0000-0000-000062BB0000}"/>
    <cellStyle name="Note 2 7 2 4" xfId="20216" xr:uid="{00000000-0005-0000-0000-000063BB0000}"/>
    <cellStyle name="Note 2 7 2 4 2" xfId="45753" xr:uid="{00000000-0005-0000-0000-000064BB0000}"/>
    <cellStyle name="Note 2 7 2 4 3" xfId="49659" xr:uid="{00000000-0005-0000-0000-000065BB0000}"/>
    <cellStyle name="Note 2 7 2 4 4" xfId="37693" xr:uid="{00000000-0005-0000-0000-000066BB0000}"/>
    <cellStyle name="Note 2 7 2 5" xfId="20680" xr:uid="{00000000-0005-0000-0000-000067BB0000}"/>
    <cellStyle name="Note 2 7 2 5 2" xfId="46217" xr:uid="{00000000-0005-0000-0000-000068BB0000}"/>
    <cellStyle name="Note 2 7 2 5 3" xfId="50123" xr:uid="{00000000-0005-0000-0000-000069BB0000}"/>
    <cellStyle name="Note 2 7 2 5 4" xfId="38086" xr:uid="{00000000-0005-0000-0000-00006ABB0000}"/>
    <cellStyle name="Note 2 7 2 6" xfId="21333" xr:uid="{00000000-0005-0000-0000-00006BBB0000}"/>
    <cellStyle name="Note 2 7 2 6 2" xfId="46870" xr:uid="{00000000-0005-0000-0000-00006CBB0000}"/>
    <cellStyle name="Note 2 7 2 6 3" xfId="50776" xr:uid="{00000000-0005-0000-0000-00006DBB0000}"/>
    <cellStyle name="Note 2 7 2 7" xfId="40673" xr:uid="{00000000-0005-0000-0000-00006EBB0000}"/>
    <cellStyle name="Note 2 7 2 8" xfId="40262" xr:uid="{00000000-0005-0000-0000-00006FBB0000}"/>
    <cellStyle name="Note 2 7 3" xfId="8799" xr:uid="{00000000-0005-0000-0000-000070BB0000}"/>
    <cellStyle name="Note 2 7 3 2" xfId="16595" xr:uid="{00000000-0005-0000-0000-000071BB0000}"/>
    <cellStyle name="Note 2 7 3 2 2" xfId="43436" xr:uid="{00000000-0005-0000-0000-000072BB0000}"/>
    <cellStyle name="Note 2 7 3 2 3" xfId="43287" xr:uid="{00000000-0005-0000-0000-000073BB0000}"/>
    <cellStyle name="Note 2 7 3 2 4" xfId="34230" xr:uid="{00000000-0005-0000-0000-000074BB0000}"/>
    <cellStyle name="Note 2 7 3 3" xfId="19797" xr:uid="{00000000-0005-0000-0000-000075BB0000}"/>
    <cellStyle name="Note 2 7 3 3 2" xfId="45334" xr:uid="{00000000-0005-0000-0000-000076BB0000}"/>
    <cellStyle name="Note 2 7 3 3 3" xfId="49240" xr:uid="{00000000-0005-0000-0000-000077BB0000}"/>
    <cellStyle name="Note 2 7 3 3 4" xfId="37320" xr:uid="{00000000-0005-0000-0000-000078BB0000}"/>
    <cellStyle name="Note 2 7 3 4" xfId="11551" xr:uid="{00000000-0005-0000-0000-000079BB0000}"/>
    <cellStyle name="Note 2 7 3 4 2" xfId="41562" xr:uid="{00000000-0005-0000-0000-00007ABB0000}"/>
    <cellStyle name="Note 2 7 3 4 3" xfId="43347" xr:uid="{00000000-0005-0000-0000-00007BBB0000}"/>
    <cellStyle name="Note 2 7 3 4 4" xfId="29263" xr:uid="{00000000-0005-0000-0000-00007CBB0000}"/>
    <cellStyle name="Note 2 7 3 5" xfId="19833" xr:uid="{00000000-0005-0000-0000-00007DBB0000}"/>
    <cellStyle name="Note 2 7 3 5 2" xfId="45370" xr:uid="{00000000-0005-0000-0000-00007EBB0000}"/>
    <cellStyle name="Note 2 7 3 5 3" xfId="49276" xr:uid="{00000000-0005-0000-0000-00007FBB0000}"/>
    <cellStyle name="Note 2 7 3 5 4" xfId="37351" xr:uid="{00000000-0005-0000-0000-000080BB0000}"/>
    <cellStyle name="Note 2 7 3 6" xfId="19451" xr:uid="{00000000-0005-0000-0000-000081BB0000}"/>
    <cellStyle name="Note 2 7 3 6 2" xfId="44988" xr:uid="{00000000-0005-0000-0000-000082BB0000}"/>
    <cellStyle name="Note 2 7 3 6 3" xfId="48894" xr:uid="{00000000-0005-0000-0000-000083BB0000}"/>
    <cellStyle name="Note 2 7 3 7" xfId="40298" xr:uid="{00000000-0005-0000-0000-000084BB0000}"/>
    <cellStyle name="Note 2 7 3 8" xfId="39217" xr:uid="{00000000-0005-0000-0000-000085BB0000}"/>
    <cellStyle name="Note 2 7 4" xfId="13275" xr:uid="{00000000-0005-0000-0000-000086BB0000}"/>
    <cellStyle name="Note 2 7 4 2" xfId="42445" xr:uid="{00000000-0005-0000-0000-000087BB0000}"/>
    <cellStyle name="Note 2 7 4 3" xfId="39288" xr:uid="{00000000-0005-0000-0000-000088BB0000}"/>
    <cellStyle name="Note 2 7 4 4" xfId="30920" xr:uid="{00000000-0005-0000-0000-000089BB0000}"/>
    <cellStyle name="Note 2 7 5" xfId="20314" xr:uid="{00000000-0005-0000-0000-00008ABB0000}"/>
    <cellStyle name="Note 2 7 5 2" xfId="45851" xr:uid="{00000000-0005-0000-0000-00008BBB0000}"/>
    <cellStyle name="Note 2 7 5 3" xfId="49757" xr:uid="{00000000-0005-0000-0000-00008CBB0000}"/>
    <cellStyle name="Note 2 7 5 4" xfId="37779" xr:uid="{00000000-0005-0000-0000-00008DBB0000}"/>
    <cellStyle name="Note 2 7 6" xfId="53374" xr:uid="{00000000-0005-0000-0000-00008EBB0000}"/>
    <cellStyle name="Note 2 8" xfId="5297" xr:uid="{00000000-0005-0000-0000-00008FBB0000}"/>
    <cellStyle name="Note 2 8 2" xfId="10469" xr:uid="{00000000-0005-0000-0000-000090BB0000}"/>
    <cellStyle name="Note 2 8 2 2" xfId="18262" xr:uid="{00000000-0005-0000-0000-000091BB0000}"/>
    <cellStyle name="Note 2 8 2 2 2" xfId="43809" xr:uid="{00000000-0005-0000-0000-000092BB0000}"/>
    <cellStyle name="Note 2 8 2 2 3" xfId="47718" xr:uid="{00000000-0005-0000-0000-000093BB0000}"/>
    <cellStyle name="Note 2 8 2 2 4" xfId="35899" xr:uid="{00000000-0005-0000-0000-000094BB0000}"/>
    <cellStyle name="Note 2 8 2 3" xfId="19921" xr:uid="{00000000-0005-0000-0000-000095BB0000}"/>
    <cellStyle name="Note 2 8 2 3 2" xfId="45458" xr:uid="{00000000-0005-0000-0000-000096BB0000}"/>
    <cellStyle name="Note 2 8 2 3 3" xfId="49364" xr:uid="{00000000-0005-0000-0000-000097BB0000}"/>
    <cellStyle name="Note 2 8 2 3 4" xfId="37435" xr:uid="{00000000-0005-0000-0000-000098BB0000}"/>
    <cellStyle name="Note 2 8 2 4" xfId="20348" xr:uid="{00000000-0005-0000-0000-000099BB0000}"/>
    <cellStyle name="Note 2 8 2 4 2" xfId="45885" xr:uid="{00000000-0005-0000-0000-00009ABB0000}"/>
    <cellStyle name="Note 2 8 2 4 3" xfId="49791" xr:uid="{00000000-0005-0000-0000-00009BBB0000}"/>
    <cellStyle name="Note 2 8 2 4 4" xfId="37807" xr:uid="{00000000-0005-0000-0000-00009CBB0000}"/>
    <cellStyle name="Note 2 8 2 5" xfId="20675" xr:uid="{00000000-0005-0000-0000-00009DBB0000}"/>
    <cellStyle name="Note 2 8 2 5 2" xfId="46212" xr:uid="{00000000-0005-0000-0000-00009EBB0000}"/>
    <cellStyle name="Note 2 8 2 5 3" xfId="50118" xr:uid="{00000000-0005-0000-0000-00009FBB0000}"/>
    <cellStyle name="Note 2 8 2 5 4" xfId="38081" xr:uid="{00000000-0005-0000-0000-0000A0BB0000}"/>
    <cellStyle name="Note 2 8 2 6" xfId="21328" xr:uid="{00000000-0005-0000-0000-0000A1BB0000}"/>
    <cellStyle name="Note 2 8 2 6 2" xfId="46865" xr:uid="{00000000-0005-0000-0000-0000A2BB0000}"/>
    <cellStyle name="Note 2 8 2 6 3" xfId="50771" xr:uid="{00000000-0005-0000-0000-0000A3BB0000}"/>
    <cellStyle name="Note 2 8 2 7" xfId="40668" xr:uid="{00000000-0005-0000-0000-0000A4BB0000}"/>
    <cellStyle name="Note 2 8 2 8" xfId="43532" xr:uid="{00000000-0005-0000-0000-0000A5BB0000}"/>
    <cellStyle name="Note 2 8 3" xfId="8794" xr:uid="{00000000-0005-0000-0000-0000A6BB0000}"/>
    <cellStyle name="Note 2 8 3 2" xfId="16590" xr:uid="{00000000-0005-0000-0000-0000A7BB0000}"/>
    <cellStyle name="Note 2 8 3 2 2" xfId="43431" xr:uid="{00000000-0005-0000-0000-0000A8BB0000}"/>
    <cellStyle name="Note 2 8 3 2 3" xfId="41931" xr:uid="{00000000-0005-0000-0000-0000A9BB0000}"/>
    <cellStyle name="Note 2 8 3 2 4" xfId="34225" xr:uid="{00000000-0005-0000-0000-0000AABB0000}"/>
    <cellStyle name="Note 2 8 3 3" xfId="19340" xr:uid="{00000000-0005-0000-0000-0000ABBB0000}"/>
    <cellStyle name="Note 2 8 3 3 2" xfId="44877" xr:uid="{00000000-0005-0000-0000-0000ACBB0000}"/>
    <cellStyle name="Note 2 8 3 3 3" xfId="48783" xr:uid="{00000000-0005-0000-0000-0000ADBB0000}"/>
    <cellStyle name="Note 2 8 3 3 4" xfId="36912" xr:uid="{00000000-0005-0000-0000-0000AEBB0000}"/>
    <cellStyle name="Note 2 8 3 4" xfId="19047" xr:uid="{00000000-0005-0000-0000-0000AFBB0000}"/>
    <cellStyle name="Note 2 8 3 4 2" xfId="44584" xr:uid="{00000000-0005-0000-0000-0000B0BB0000}"/>
    <cellStyle name="Note 2 8 3 4 3" xfId="48490" xr:uid="{00000000-0005-0000-0000-0000B1BB0000}"/>
    <cellStyle name="Note 2 8 3 4 4" xfId="36650" xr:uid="{00000000-0005-0000-0000-0000B2BB0000}"/>
    <cellStyle name="Note 2 8 3 5" xfId="20227" xr:uid="{00000000-0005-0000-0000-0000B3BB0000}"/>
    <cellStyle name="Note 2 8 3 5 2" xfId="45764" xr:uid="{00000000-0005-0000-0000-0000B4BB0000}"/>
    <cellStyle name="Note 2 8 3 5 3" xfId="49670" xr:uid="{00000000-0005-0000-0000-0000B5BB0000}"/>
    <cellStyle name="Note 2 8 3 5 4" xfId="37702" xr:uid="{00000000-0005-0000-0000-0000B6BB0000}"/>
    <cellStyle name="Note 2 8 3 6" xfId="12033" xr:uid="{00000000-0005-0000-0000-0000B7BB0000}"/>
    <cellStyle name="Note 2 8 3 6 2" xfId="41790" xr:uid="{00000000-0005-0000-0000-0000B8BB0000}"/>
    <cellStyle name="Note 2 8 3 6 3" xfId="39144" xr:uid="{00000000-0005-0000-0000-0000B9BB0000}"/>
    <cellStyle name="Note 2 8 3 7" xfId="40293" xr:uid="{00000000-0005-0000-0000-0000BABB0000}"/>
    <cellStyle name="Note 2 8 3 8" xfId="39222" xr:uid="{00000000-0005-0000-0000-0000BBBB0000}"/>
    <cellStyle name="Note 2 8 4" xfId="13269" xr:uid="{00000000-0005-0000-0000-0000BCBB0000}"/>
    <cellStyle name="Note 2 8 4 2" xfId="42439" xr:uid="{00000000-0005-0000-0000-0000BDBB0000}"/>
    <cellStyle name="Note 2 8 4 3" xfId="43463" xr:uid="{00000000-0005-0000-0000-0000BEBB0000}"/>
    <cellStyle name="Note 2 8 4 4" xfId="30914" xr:uid="{00000000-0005-0000-0000-0000BFBB0000}"/>
    <cellStyle name="Note 2 8 5" xfId="20316" xr:uid="{00000000-0005-0000-0000-0000C0BB0000}"/>
    <cellStyle name="Note 2 8 5 2" xfId="45853" xr:uid="{00000000-0005-0000-0000-0000C1BB0000}"/>
    <cellStyle name="Note 2 8 5 3" xfId="49759" xr:uid="{00000000-0005-0000-0000-0000C2BB0000}"/>
    <cellStyle name="Note 2 8 5 4" xfId="37780" xr:uid="{00000000-0005-0000-0000-0000C3BB0000}"/>
    <cellStyle name="Note 2 9" xfId="7450" xr:uid="{00000000-0005-0000-0000-0000C4BB0000}"/>
    <cellStyle name="Note 2 9 10" xfId="47478" xr:uid="{00000000-0005-0000-0000-0000C5BB0000}"/>
    <cellStyle name="Note 2 9 2" xfId="10723" xr:uid="{00000000-0005-0000-0000-0000C6BB0000}"/>
    <cellStyle name="Note 2 9 2 2" xfId="18516" xr:uid="{00000000-0005-0000-0000-0000C7BB0000}"/>
    <cellStyle name="Note 2 9 2 2 2" xfId="44063" xr:uid="{00000000-0005-0000-0000-0000C8BB0000}"/>
    <cellStyle name="Note 2 9 2 2 3" xfId="47972" xr:uid="{00000000-0005-0000-0000-0000C9BB0000}"/>
    <cellStyle name="Note 2 9 2 2 4" xfId="36153" xr:uid="{00000000-0005-0000-0000-0000CABB0000}"/>
    <cellStyle name="Note 2 9 2 3" xfId="19895" xr:uid="{00000000-0005-0000-0000-0000CBBB0000}"/>
    <cellStyle name="Note 2 9 2 3 2" xfId="45432" xr:uid="{00000000-0005-0000-0000-0000CCBB0000}"/>
    <cellStyle name="Note 2 9 2 3 3" xfId="49338" xr:uid="{00000000-0005-0000-0000-0000CDBB0000}"/>
    <cellStyle name="Note 2 9 2 3 4" xfId="37409" xr:uid="{00000000-0005-0000-0000-0000CEBB0000}"/>
    <cellStyle name="Note 2 9 2 4" xfId="11423" xr:uid="{00000000-0005-0000-0000-0000CFBB0000}"/>
    <cellStyle name="Note 2 9 2 4 2" xfId="41448" xr:uid="{00000000-0005-0000-0000-0000D0BB0000}"/>
    <cellStyle name="Note 2 9 2 4 3" xfId="39177" xr:uid="{00000000-0005-0000-0000-0000D1BB0000}"/>
    <cellStyle name="Note 2 9 2 4 4" xfId="29145" xr:uid="{00000000-0005-0000-0000-0000D2BB0000}"/>
    <cellStyle name="Note 2 9 2 5" xfId="20929" xr:uid="{00000000-0005-0000-0000-0000D3BB0000}"/>
    <cellStyle name="Note 2 9 2 5 2" xfId="46466" xr:uid="{00000000-0005-0000-0000-0000D4BB0000}"/>
    <cellStyle name="Note 2 9 2 5 3" xfId="50372" xr:uid="{00000000-0005-0000-0000-0000D5BB0000}"/>
    <cellStyle name="Note 2 9 2 5 4" xfId="38335" xr:uid="{00000000-0005-0000-0000-0000D6BB0000}"/>
    <cellStyle name="Note 2 9 2 6" xfId="21582" xr:uid="{00000000-0005-0000-0000-0000D7BB0000}"/>
    <cellStyle name="Note 2 9 2 6 2" xfId="47119" xr:uid="{00000000-0005-0000-0000-0000D8BB0000}"/>
    <cellStyle name="Note 2 9 2 6 3" xfId="51025" xr:uid="{00000000-0005-0000-0000-0000D9BB0000}"/>
    <cellStyle name="Note 2 9 2 7" xfId="40922" xr:uid="{00000000-0005-0000-0000-0000DABB0000}"/>
    <cellStyle name="Note 2 9 2 8" xfId="43520" xr:uid="{00000000-0005-0000-0000-0000DBBB0000}"/>
    <cellStyle name="Note 2 9 3" xfId="11018" xr:uid="{00000000-0005-0000-0000-0000DCBB0000}"/>
    <cellStyle name="Note 2 9 3 2" xfId="18811" xr:uid="{00000000-0005-0000-0000-0000DDBB0000}"/>
    <cellStyle name="Note 2 9 3 2 2" xfId="44358" xr:uid="{00000000-0005-0000-0000-0000DEBB0000}"/>
    <cellStyle name="Note 2 9 3 2 3" xfId="48267" xr:uid="{00000000-0005-0000-0000-0000DFBB0000}"/>
    <cellStyle name="Note 2 9 3 2 4" xfId="36448" xr:uid="{00000000-0005-0000-0000-0000E0BB0000}"/>
    <cellStyle name="Note 2 9 3 3" xfId="20404" xr:uid="{00000000-0005-0000-0000-0000E1BB0000}"/>
    <cellStyle name="Note 2 9 3 3 2" xfId="45941" xr:uid="{00000000-0005-0000-0000-0000E2BB0000}"/>
    <cellStyle name="Note 2 9 3 3 3" xfId="49847" xr:uid="{00000000-0005-0000-0000-0000E3BB0000}"/>
    <cellStyle name="Note 2 9 3 3 4" xfId="37858" xr:uid="{00000000-0005-0000-0000-0000E4BB0000}"/>
    <cellStyle name="Note 2 9 3 4" xfId="20548" xr:uid="{00000000-0005-0000-0000-0000E5BB0000}"/>
    <cellStyle name="Note 2 9 3 4 2" xfId="46085" xr:uid="{00000000-0005-0000-0000-0000E6BB0000}"/>
    <cellStyle name="Note 2 9 3 4 3" xfId="49991" xr:uid="{00000000-0005-0000-0000-0000E7BB0000}"/>
    <cellStyle name="Note 2 9 3 4 4" xfId="37975" xr:uid="{00000000-0005-0000-0000-0000E8BB0000}"/>
    <cellStyle name="Note 2 9 3 5" xfId="21224" xr:uid="{00000000-0005-0000-0000-0000E9BB0000}"/>
    <cellStyle name="Note 2 9 3 5 2" xfId="46761" xr:uid="{00000000-0005-0000-0000-0000EABB0000}"/>
    <cellStyle name="Note 2 9 3 5 3" xfId="50667" xr:uid="{00000000-0005-0000-0000-0000EBBB0000}"/>
    <cellStyle name="Note 2 9 3 5 4" xfId="38630" xr:uid="{00000000-0005-0000-0000-0000ECBB0000}"/>
    <cellStyle name="Note 2 9 3 6" xfId="21877" xr:uid="{00000000-0005-0000-0000-0000EDBB0000}"/>
    <cellStyle name="Note 2 9 3 6 2" xfId="47414" xr:uid="{00000000-0005-0000-0000-0000EEBB0000}"/>
    <cellStyle name="Note 2 9 3 6 3" xfId="51320" xr:uid="{00000000-0005-0000-0000-0000EFBB0000}"/>
    <cellStyle name="Note 2 9 3 7" xfId="41217" xr:uid="{00000000-0005-0000-0000-0000F0BB0000}"/>
    <cellStyle name="Note 2 9 3 8" xfId="40230" xr:uid="{00000000-0005-0000-0000-0000F1BB0000}"/>
    <cellStyle name="Note 2 9 4" xfId="15238" xr:uid="{00000000-0005-0000-0000-0000F2BB0000}"/>
    <cellStyle name="Note 2 9 4 2" xfId="43111" xr:uid="{00000000-0005-0000-0000-0000F3BB0000}"/>
    <cellStyle name="Note 2 9 4 3" xfId="43290" xr:uid="{00000000-0005-0000-0000-0000F4BB0000}"/>
    <cellStyle name="Note 2 9 4 4" xfId="32873" xr:uid="{00000000-0005-0000-0000-0000F5BB0000}"/>
    <cellStyle name="Note 2 9 5" xfId="19195" xr:uid="{00000000-0005-0000-0000-0000F6BB0000}"/>
    <cellStyle name="Note 2 9 5 2" xfId="44732" xr:uid="{00000000-0005-0000-0000-0000F7BB0000}"/>
    <cellStyle name="Note 2 9 5 3" xfId="48638" xr:uid="{00000000-0005-0000-0000-0000F8BB0000}"/>
    <cellStyle name="Note 2 9 5 4" xfId="36782" xr:uid="{00000000-0005-0000-0000-0000F9BB0000}"/>
    <cellStyle name="Note 2 9 6" xfId="12670" xr:uid="{00000000-0005-0000-0000-0000FABB0000}"/>
    <cellStyle name="Note 2 9 6 2" xfId="42149" xr:uid="{00000000-0005-0000-0000-0000FBBB0000}"/>
    <cellStyle name="Note 2 9 6 3" xfId="40548" xr:uid="{00000000-0005-0000-0000-0000FCBB0000}"/>
    <cellStyle name="Note 2 9 6 4" xfId="30334" xr:uid="{00000000-0005-0000-0000-0000FDBB0000}"/>
    <cellStyle name="Note 2 9 7" xfId="12705" xr:uid="{00000000-0005-0000-0000-0000FEBB0000}"/>
    <cellStyle name="Note 2 9 7 2" xfId="42180" xr:uid="{00000000-0005-0000-0000-0000FFBB0000}"/>
    <cellStyle name="Note 2 9 7 3" xfId="40549" xr:uid="{00000000-0005-0000-0000-000000BC0000}"/>
    <cellStyle name="Note 2 9 7 4" xfId="30364" xr:uid="{00000000-0005-0000-0000-000001BC0000}"/>
    <cellStyle name="Note 2 9 8" xfId="19231" xr:uid="{00000000-0005-0000-0000-000002BC0000}"/>
    <cellStyle name="Note 2 9 8 2" xfId="44768" xr:uid="{00000000-0005-0000-0000-000003BC0000}"/>
    <cellStyle name="Note 2 9 8 3" xfId="48674" xr:uid="{00000000-0005-0000-0000-000004BC0000}"/>
    <cellStyle name="Note 2 9 9" xfId="39971" xr:uid="{00000000-0005-0000-0000-000005BC0000}"/>
    <cellStyle name="Note 2_BallGrid" xfId="3170" xr:uid="{00000000-0005-0000-0000-000006BC0000}"/>
    <cellStyle name="Note 20" xfId="51493" xr:uid="{00000000-0005-0000-0000-000007BC0000}"/>
    <cellStyle name="Note 21" xfId="51506" xr:uid="{00000000-0005-0000-0000-000008BC0000}"/>
    <cellStyle name="Note 3" xfId="134" xr:uid="{00000000-0005-0000-0000-000009BC0000}"/>
    <cellStyle name="Note 3 2" xfId="5304" xr:uid="{00000000-0005-0000-0000-00000ABC0000}"/>
    <cellStyle name="Note 3 2 2" xfId="10475" xr:uid="{00000000-0005-0000-0000-00000BBC0000}"/>
    <cellStyle name="Note 3 2 2 2" xfId="18268" xr:uid="{00000000-0005-0000-0000-00000CBC0000}"/>
    <cellStyle name="Note 3 2 2 2 2" xfId="43815" xr:uid="{00000000-0005-0000-0000-00000DBC0000}"/>
    <cellStyle name="Note 3 2 2 2 3" xfId="47724" xr:uid="{00000000-0005-0000-0000-00000EBC0000}"/>
    <cellStyle name="Note 3 2 2 2 4" xfId="35905" xr:uid="{00000000-0005-0000-0000-00000FBC0000}"/>
    <cellStyle name="Note 3 2 2 3" xfId="20179" xr:uid="{00000000-0005-0000-0000-000010BC0000}"/>
    <cellStyle name="Note 3 2 2 3 2" xfId="45716" xr:uid="{00000000-0005-0000-0000-000011BC0000}"/>
    <cellStyle name="Note 3 2 2 3 3" xfId="49622" xr:uid="{00000000-0005-0000-0000-000012BC0000}"/>
    <cellStyle name="Note 3 2 2 3 4" xfId="37665" xr:uid="{00000000-0005-0000-0000-000013BC0000}"/>
    <cellStyle name="Note 3 2 2 4" xfId="19094" xr:uid="{00000000-0005-0000-0000-000014BC0000}"/>
    <cellStyle name="Note 3 2 2 4 2" xfId="44631" xr:uid="{00000000-0005-0000-0000-000015BC0000}"/>
    <cellStyle name="Note 3 2 2 4 3" xfId="48537" xr:uid="{00000000-0005-0000-0000-000016BC0000}"/>
    <cellStyle name="Note 3 2 2 4 4" xfId="36690" xr:uid="{00000000-0005-0000-0000-000017BC0000}"/>
    <cellStyle name="Note 3 2 2 5" xfId="20681" xr:uid="{00000000-0005-0000-0000-000018BC0000}"/>
    <cellStyle name="Note 3 2 2 5 2" xfId="46218" xr:uid="{00000000-0005-0000-0000-000019BC0000}"/>
    <cellStyle name="Note 3 2 2 5 3" xfId="50124" xr:uid="{00000000-0005-0000-0000-00001ABC0000}"/>
    <cellStyle name="Note 3 2 2 5 4" xfId="38087" xr:uid="{00000000-0005-0000-0000-00001BBC0000}"/>
    <cellStyle name="Note 3 2 2 6" xfId="21334" xr:uid="{00000000-0005-0000-0000-00001CBC0000}"/>
    <cellStyle name="Note 3 2 2 6 2" xfId="46871" xr:uid="{00000000-0005-0000-0000-00001DBC0000}"/>
    <cellStyle name="Note 3 2 2 6 3" xfId="50777" xr:uid="{00000000-0005-0000-0000-00001EBC0000}"/>
    <cellStyle name="Note 3 2 2 7" xfId="40674" xr:uid="{00000000-0005-0000-0000-00001FBC0000}"/>
    <cellStyle name="Note 3 2 2 8" xfId="39402" xr:uid="{00000000-0005-0000-0000-000020BC0000}"/>
    <cellStyle name="Note 3 2 3" xfId="8800" xr:uid="{00000000-0005-0000-0000-000021BC0000}"/>
    <cellStyle name="Note 3 2 3 2" xfId="16596" xr:uid="{00000000-0005-0000-0000-000022BC0000}"/>
    <cellStyle name="Note 3 2 3 2 2" xfId="43437" xr:uid="{00000000-0005-0000-0000-000023BC0000}"/>
    <cellStyle name="Note 3 2 3 2 3" xfId="40146" xr:uid="{00000000-0005-0000-0000-000024BC0000}"/>
    <cellStyle name="Note 3 2 3 2 4" xfId="34231" xr:uid="{00000000-0005-0000-0000-000025BC0000}"/>
    <cellStyle name="Note 3 2 3 3" xfId="11457" xr:uid="{00000000-0005-0000-0000-000026BC0000}"/>
    <cellStyle name="Note 3 2 3 3 2" xfId="41468" xr:uid="{00000000-0005-0000-0000-000027BC0000}"/>
    <cellStyle name="Note 3 2 3 3 3" xfId="39682" xr:uid="{00000000-0005-0000-0000-000028BC0000}"/>
    <cellStyle name="Note 3 2 3 3 4" xfId="29176" xr:uid="{00000000-0005-0000-0000-000029BC0000}"/>
    <cellStyle name="Note 3 2 3 4" xfId="19853" xr:uid="{00000000-0005-0000-0000-00002ABC0000}"/>
    <cellStyle name="Note 3 2 3 4 2" xfId="45390" xr:uid="{00000000-0005-0000-0000-00002BBC0000}"/>
    <cellStyle name="Note 3 2 3 4 3" xfId="49296" xr:uid="{00000000-0005-0000-0000-00002CBC0000}"/>
    <cellStyle name="Note 3 2 3 4 4" xfId="37369" xr:uid="{00000000-0005-0000-0000-00002DBC0000}"/>
    <cellStyle name="Note 3 2 3 5" xfId="20486" xr:uid="{00000000-0005-0000-0000-00002EBC0000}"/>
    <cellStyle name="Note 3 2 3 5 2" xfId="46023" xr:uid="{00000000-0005-0000-0000-00002FBC0000}"/>
    <cellStyle name="Note 3 2 3 5 3" xfId="49929" xr:uid="{00000000-0005-0000-0000-000030BC0000}"/>
    <cellStyle name="Note 3 2 3 5 4" xfId="37936" xr:uid="{00000000-0005-0000-0000-000031BC0000}"/>
    <cellStyle name="Note 3 2 3 6" xfId="11986" xr:uid="{00000000-0005-0000-0000-000032BC0000}"/>
    <cellStyle name="Note 3 2 3 6 2" xfId="41777" xr:uid="{00000000-0005-0000-0000-000033BC0000}"/>
    <cellStyle name="Note 3 2 3 6 3" xfId="39146" xr:uid="{00000000-0005-0000-0000-000034BC0000}"/>
    <cellStyle name="Note 3 2 3 7" xfId="40299" xr:uid="{00000000-0005-0000-0000-000035BC0000}"/>
    <cellStyle name="Note 3 2 3 8" xfId="39216" xr:uid="{00000000-0005-0000-0000-000036BC0000}"/>
    <cellStyle name="Note 3 2 4" xfId="13276" xr:uid="{00000000-0005-0000-0000-000037BC0000}"/>
    <cellStyle name="Note 3 2 4 2" xfId="42446" xr:uid="{00000000-0005-0000-0000-000038BC0000}"/>
    <cellStyle name="Note 3 2 4 3" xfId="39072" xr:uid="{00000000-0005-0000-0000-000039BC0000}"/>
    <cellStyle name="Note 3 2 4 4" xfId="30921" xr:uid="{00000000-0005-0000-0000-00003ABC0000}"/>
    <cellStyle name="Note 3 2 5" xfId="19525" xr:uid="{00000000-0005-0000-0000-00003BBC0000}"/>
    <cellStyle name="Note 3 2 5 2" xfId="45062" xr:uid="{00000000-0005-0000-0000-00003CBC0000}"/>
    <cellStyle name="Note 3 2 5 3" xfId="48968" xr:uid="{00000000-0005-0000-0000-00003DBC0000}"/>
    <cellStyle name="Note 3 2 5 4" xfId="37073" xr:uid="{00000000-0005-0000-0000-00003EBC0000}"/>
    <cellStyle name="Note 3 2 6" xfId="22598" xr:uid="{00000000-0005-0000-0000-00003FBC0000}"/>
    <cellStyle name="Note 3 3" xfId="7456" xr:uid="{00000000-0005-0000-0000-000040BC0000}"/>
    <cellStyle name="Note 3 3 10" xfId="39977" xr:uid="{00000000-0005-0000-0000-000041BC0000}"/>
    <cellStyle name="Note 3 3 11" xfId="40625" xr:uid="{00000000-0005-0000-0000-000042BC0000}"/>
    <cellStyle name="Note 3 3 2" xfId="10729" xr:uid="{00000000-0005-0000-0000-000043BC0000}"/>
    <cellStyle name="Note 3 3 2 2" xfId="18522" xr:uid="{00000000-0005-0000-0000-000044BC0000}"/>
    <cellStyle name="Note 3 3 2 2 2" xfId="44069" xr:uid="{00000000-0005-0000-0000-000045BC0000}"/>
    <cellStyle name="Note 3 3 2 2 3" xfId="47978" xr:uid="{00000000-0005-0000-0000-000046BC0000}"/>
    <cellStyle name="Note 3 3 2 2 4" xfId="36159" xr:uid="{00000000-0005-0000-0000-000047BC0000}"/>
    <cellStyle name="Note 3 3 2 3" xfId="19415" xr:uid="{00000000-0005-0000-0000-000048BC0000}"/>
    <cellStyle name="Note 3 3 2 3 2" xfId="44952" xr:uid="{00000000-0005-0000-0000-000049BC0000}"/>
    <cellStyle name="Note 3 3 2 3 3" xfId="48858" xr:uid="{00000000-0005-0000-0000-00004ABC0000}"/>
    <cellStyle name="Note 3 3 2 3 4" xfId="36980" xr:uid="{00000000-0005-0000-0000-00004BBC0000}"/>
    <cellStyle name="Note 3 3 2 4" xfId="11638" xr:uid="{00000000-0005-0000-0000-00004CBC0000}"/>
    <cellStyle name="Note 3 3 2 4 2" xfId="41649" xr:uid="{00000000-0005-0000-0000-00004DBC0000}"/>
    <cellStyle name="Note 3 3 2 4 3" xfId="40207" xr:uid="{00000000-0005-0000-0000-00004EBC0000}"/>
    <cellStyle name="Note 3 3 2 4 4" xfId="29339" xr:uid="{00000000-0005-0000-0000-00004FBC0000}"/>
    <cellStyle name="Note 3 3 2 5" xfId="20935" xr:uid="{00000000-0005-0000-0000-000050BC0000}"/>
    <cellStyle name="Note 3 3 2 5 2" xfId="46472" xr:uid="{00000000-0005-0000-0000-000051BC0000}"/>
    <cellStyle name="Note 3 3 2 5 3" xfId="50378" xr:uid="{00000000-0005-0000-0000-000052BC0000}"/>
    <cellStyle name="Note 3 3 2 5 4" xfId="38341" xr:uid="{00000000-0005-0000-0000-000053BC0000}"/>
    <cellStyle name="Note 3 3 2 6" xfId="21588" xr:uid="{00000000-0005-0000-0000-000054BC0000}"/>
    <cellStyle name="Note 3 3 2 6 2" xfId="47125" xr:uid="{00000000-0005-0000-0000-000055BC0000}"/>
    <cellStyle name="Note 3 3 2 6 3" xfId="51031" xr:uid="{00000000-0005-0000-0000-000056BC0000}"/>
    <cellStyle name="Note 3 3 2 7" xfId="22600" xr:uid="{00000000-0005-0000-0000-000057BC0000}"/>
    <cellStyle name="Note 3 3 2 8" xfId="40928" xr:uid="{00000000-0005-0000-0000-000058BC0000}"/>
    <cellStyle name="Note 3 3 2 9" xfId="39387" xr:uid="{00000000-0005-0000-0000-000059BC0000}"/>
    <cellStyle name="Note 3 3 3" xfId="11024" xr:uid="{00000000-0005-0000-0000-00005ABC0000}"/>
    <cellStyle name="Note 3 3 3 2" xfId="18817" xr:uid="{00000000-0005-0000-0000-00005BBC0000}"/>
    <cellStyle name="Note 3 3 3 2 2" xfId="44364" xr:uid="{00000000-0005-0000-0000-00005CBC0000}"/>
    <cellStyle name="Note 3 3 3 2 3" xfId="48273" xr:uid="{00000000-0005-0000-0000-00005DBC0000}"/>
    <cellStyle name="Note 3 3 3 2 4" xfId="36454" xr:uid="{00000000-0005-0000-0000-00005EBC0000}"/>
    <cellStyle name="Note 3 3 3 3" xfId="20410" xr:uid="{00000000-0005-0000-0000-00005FBC0000}"/>
    <cellStyle name="Note 3 3 3 3 2" xfId="45947" xr:uid="{00000000-0005-0000-0000-000060BC0000}"/>
    <cellStyle name="Note 3 3 3 3 3" xfId="49853" xr:uid="{00000000-0005-0000-0000-000061BC0000}"/>
    <cellStyle name="Note 3 3 3 3 4" xfId="37864" xr:uid="{00000000-0005-0000-0000-000062BC0000}"/>
    <cellStyle name="Note 3 3 3 4" xfId="20554" xr:uid="{00000000-0005-0000-0000-000063BC0000}"/>
    <cellStyle name="Note 3 3 3 4 2" xfId="46091" xr:uid="{00000000-0005-0000-0000-000064BC0000}"/>
    <cellStyle name="Note 3 3 3 4 3" xfId="49997" xr:uid="{00000000-0005-0000-0000-000065BC0000}"/>
    <cellStyle name="Note 3 3 3 4 4" xfId="37981" xr:uid="{00000000-0005-0000-0000-000066BC0000}"/>
    <cellStyle name="Note 3 3 3 5" xfId="21230" xr:uid="{00000000-0005-0000-0000-000067BC0000}"/>
    <cellStyle name="Note 3 3 3 5 2" xfId="46767" xr:uid="{00000000-0005-0000-0000-000068BC0000}"/>
    <cellStyle name="Note 3 3 3 5 3" xfId="50673" xr:uid="{00000000-0005-0000-0000-000069BC0000}"/>
    <cellStyle name="Note 3 3 3 5 4" xfId="38636" xr:uid="{00000000-0005-0000-0000-00006ABC0000}"/>
    <cellStyle name="Note 3 3 3 6" xfId="21883" xr:uid="{00000000-0005-0000-0000-00006BBC0000}"/>
    <cellStyle name="Note 3 3 3 6 2" xfId="47420" xr:uid="{00000000-0005-0000-0000-00006CBC0000}"/>
    <cellStyle name="Note 3 3 3 6 3" xfId="51326" xr:uid="{00000000-0005-0000-0000-00006DBC0000}"/>
    <cellStyle name="Note 3 3 3 7" xfId="41223" xr:uid="{00000000-0005-0000-0000-00006EBC0000}"/>
    <cellStyle name="Note 3 3 3 8" xfId="39369" xr:uid="{00000000-0005-0000-0000-00006FBC0000}"/>
    <cellStyle name="Note 3 3 4" xfId="15244" xr:uid="{00000000-0005-0000-0000-000070BC0000}"/>
    <cellStyle name="Note 3 3 4 2" xfId="43117" xr:uid="{00000000-0005-0000-0000-000071BC0000}"/>
    <cellStyle name="Note 3 3 4 3" xfId="42777" xr:uid="{00000000-0005-0000-0000-000072BC0000}"/>
    <cellStyle name="Note 3 3 4 4" xfId="32879" xr:uid="{00000000-0005-0000-0000-000073BC0000}"/>
    <cellStyle name="Note 3 3 5" xfId="19489" xr:uid="{00000000-0005-0000-0000-000074BC0000}"/>
    <cellStyle name="Note 3 3 5 2" xfId="45026" xr:uid="{00000000-0005-0000-0000-000075BC0000}"/>
    <cellStyle name="Note 3 3 5 3" xfId="48932" xr:uid="{00000000-0005-0000-0000-000076BC0000}"/>
    <cellStyle name="Note 3 3 5 4" xfId="37045" xr:uid="{00000000-0005-0000-0000-000077BC0000}"/>
    <cellStyle name="Note 3 3 6" xfId="19497" xr:uid="{00000000-0005-0000-0000-000078BC0000}"/>
    <cellStyle name="Note 3 3 6 2" xfId="45034" xr:uid="{00000000-0005-0000-0000-000079BC0000}"/>
    <cellStyle name="Note 3 3 6 3" xfId="48940" xr:uid="{00000000-0005-0000-0000-00007ABC0000}"/>
    <cellStyle name="Note 3 3 6 4" xfId="37050" xr:uid="{00000000-0005-0000-0000-00007BBC0000}"/>
    <cellStyle name="Note 3 3 7" xfId="19447" xr:uid="{00000000-0005-0000-0000-00007CBC0000}"/>
    <cellStyle name="Note 3 3 7 2" xfId="44984" xr:uid="{00000000-0005-0000-0000-00007DBC0000}"/>
    <cellStyle name="Note 3 3 7 3" xfId="48890" xr:uid="{00000000-0005-0000-0000-00007EBC0000}"/>
    <cellStyle name="Note 3 3 7 4" xfId="37012" xr:uid="{00000000-0005-0000-0000-00007FBC0000}"/>
    <cellStyle name="Note 3 3 8" xfId="11120" xr:uid="{00000000-0005-0000-0000-000080BC0000}"/>
    <cellStyle name="Note 3 3 8 2" xfId="41281" xr:uid="{00000000-0005-0000-0000-000081BC0000}"/>
    <cellStyle name="Note 3 3 8 3" xfId="43614" xr:uid="{00000000-0005-0000-0000-000082BC0000}"/>
    <cellStyle name="Note 3 3 9" xfId="22599" xr:uid="{00000000-0005-0000-0000-000083BC0000}"/>
    <cellStyle name="Note 3 4" xfId="12085" xr:uid="{00000000-0005-0000-0000-000084BC0000}"/>
    <cellStyle name="Note 3 4 2" xfId="22602" xr:uid="{00000000-0005-0000-0000-000085BC0000}"/>
    <cellStyle name="Note 3 4 3" xfId="22601" xr:uid="{00000000-0005-0000-0000-000086BC0000}"/>
    <cellStyle name="Note 3 4 4" xfId="41830" xr:uid="{00000000-0005-0000-0000-000087BC0000}"/>
    <cellStyle name="Note 3 4 5" xfId="47501" xr:uid="{00000000-0005-0000-0000-000088BC0000}"/>
    <cellStyle name="Note 3 4 6" xfId="29761" xr:uid="{00000000-0005-0000-0000-000089BC0000}"/>
    <cellStyle name="Note 3 5" xfId="20116" xr:uid="{00000000-0005-0000-0000-00008ABC0000}"/>
    <cellStyle name="Note 3 5 2" xfId="22604" xr:uid="{00000000-0005-0000-0000-00008BBC0000}"/>
    <cellStyle name="Note 3 5 3" xfId="22603" xr:uid="{00000000-0005-0000-0000-00008CBC0000}"/>
    <cellStyle name="Note 3 5 4" xfId="45653" xr:uid="{00000000-0005-0000-0000-00008DBC0000}"/>
    <cellStyle name="Note 3 5 5" xfId="49559" xr:uid="{00000000-0005-0000-0000-00008EBC0000}"/>
    <cellStyle name="Note 3 5 6" xfId="37603" xr:uid="{00000000-0005-0000-0000-00008FBC0000}"/>
    <cellStyle name="Note 3 6" xfId="22605" xr:uid="{00000000-0005-0000-0000-000090BC0000}"/>
    <cellStyle name="Note 3 6 2" xfId="47555" xr:uid="{00000000-0005-0000-0000-000091BC0000}"/>
    <cellStyle name="Note 3 6 2 2" xfId="53275" xr:uid="{00000000-0005-0000-0000-000092BC0000}"/>
    <cellStyle name="Note 3 6 3" xfId="51404" xr:uid="{00000000-0005-0000-0000-000093BC0000}"/>
    <cellStyle name="Note 3 6 3 2" xfId="53384" xr:uid="{00000000-0005-0000-0000-000094BC0000}"/>
    <cellStyle name="Note 3 6 4" xfId="38896" xr:uid="{00000000-0005-0000-0000-000095BC0000}"/>
    <cellStyle name="Note 3 6 5" xfId="53274" xr:uid="{00000000-0005-0000-0000-000096BC0000}"/>
    <cellStyle name="Note 3 7" xfId="22606" xr:uid="{00000000-0005-0000-0000-000097BC0000}"/>
    <cellStyle name="Note 3 7 2" xfId="22607" xr:uid="{00000000-0005-0000-0000-000098BC0000}"/>
    <cellStyle name="Note 3 7 3" xfId="22608" xr:uid="{00000000-0005-0000-0000-000099BC0000}"/>
    <cellStyle name="Note 3 7 3 2" xfId="22609" xr:uid="{00000000-0005-0000-0000-00009ABC0000}"/>
    <cellStyle name="Note 3 8" xfId="52664" xr:uid="{00000000-0005-0000-0000-00009BBC0000}"/>
    <cellStyle name="Note 3 8 2" xfId="53276" xr:uid="{00000000-0005-0000-0000-00009CBC0000}"/>
    <cellStyle name="Note 3 9" xfId="52765" xr:uid="{00000000-0005-0000-0000-00009DBC0000}"/>
    <cellStyle name="Note 4" xfId="135" xr:uid="{00000000-0005-0000-0000-00009EBC0000}"/>
    <cellStyle name="Note 4 2" xfId="3172" xr:uid="{00000000-0005-0000-0000-00009FBC0000}"/>
    <cellStyle name="Note 4 3" xfId="3173" xr:uid="{00000000-0005-0000-0000-0000A0BC0000}"/>
    <cellStyle name="Note 4 3 2" xfId="5305" xr:uid="{00000000-0005-0000-0000-0000A1BC0000}"/>
    <cellStyle name="Note 4 3 2 2" xfId="10476" xr:uid="{00000000-0005-0000-0000-0000A2BC0000}"/>
    <cellStyle name="Note 4 3 2 2 2" xfId="18269" xr:uid="{00000000-0005-0000-0000-0000A3BC0000}"/>
    <cellStyle name="Note 4 3 2 2 2 2" xfId="43816" xr:uid="{00000000-0005-0000-0000-0000A4BC0000}"/>
    <cellStyle name="Note 4 3 2 2 2 3" xfId="47725" xr:uid="{00000000-0005-0000-0000-0000A5BC0000}"/>
    <cellStyle name="Note 4 3 2 2 2 4" xfId="35906" xr:uid="{00000000-0005-0000-0000-0000A6BC0000}"/>
    <cellStyle name="Note 4 3 2 2 3" xfId="19438" xr:uid="{00000000-0005-0000-0000-0000A7BC0000}"/>
    <cellStyle name="Note 4 3 2 2 3 2" xfId="44975" xr:uid="{00000000-0005-0000-0000-0000A8BC0000}"/>
    <cellStyle name="Note 4 3 2 2 3 3" xfId="48881" xr:uid="{00000000-0005-0000-0000-0000A9BC0000}"/>
    <cellStyle name="Note 4 3 2 2 3 4" xfId="37003" xr:uid="{00000000-0005-0000-0000-0000AABC0000}"/>
    <cellStyle name="Note 4 3 2 2 4" xfId="19572" xr:uid="{00000000-0005-0000-0000-0000ABBC0000}"/>
    <cellStyle name="Note 4 3 2 2 4 2" xfId="45109" xr:uid="{00000000-0005-0000-0000-0000ACBC0000}"/>
    <cellStyle name="Note 4 3 2 2 4 3" xfId="49015" xr:uid="{00000000-0005-0000-0000-0000ADBC0000}"/>
    <cellStyle name="Note 4 3 2 2 4 4" xfId="37113" xr:uid="{00000000-0005-0000-0000-0000AEBC0000}"/>
    <cellStyle name="Note 4 3 2 2 5" xfId="20682" xr:uid="{00000000-0005-0000-0000-0000AFBC0000}"/>
    <cellStyle name="Note 4 3 2 2 5 2" xfId="46219" xr:uid="{00000000-0005-0000-0000-0000B0BC0000}"/>
    <cellStyle name="Note 4 3 2 2 5 3" xfId="50125" xr:uid="{00000000-0005-0000-0000-0000B1BC0000}"/>
    <cellStyle name="Note 4 3 2 2 5 4" xfId="38088" xr:uid="{00000000-0005-0000-0000-0000B2BC0000}"/>
    <cellStyle name="Note 4 3 2 2 6" xfId="21335" xr:uid="{00000000-0005-0000-0000-0000B3BC0000}"/>
    <cellStyle name="Note 4 3 2 2 6 2" xfId="46872" xr:uid="{00000000-0005-0000-0000-0000B4BC0000}"/>
    <cellStyle name="Note 4 3 2 2 6 3" xfId="50778" xr:uid="{00000000-0005-0000-0000-0000B5BC0000}"/>
    <cellStyle name="Note 4 3 2 2 7" xfId="40675" xr:uid="{00000000-0005-0000-0000-0000B6BC0000}"/>
    <cellStyle name="Note 4 3 2 2 8" xfId="42082" xr:uid="{00000000-0005-0000-0000-0000B7BC0000}"/>
    <cellStyle name="Note 4 3 2 2 9" xfId="53387" xr:uid="{00000000-0005-0000-0000-0000B8BC0000}"/>
    <cellStyle name="Note 4 3 2 3" xfId="8801" xr:uid="{00000000-0005-0000-0000-0000B9BC0000}"/>
    <cellStyle name="Note 4 3 2 3 2" xfId="16597" xr:uid="{00000000-0005-0000-0000-0000BABC0000}"/>
    <cellStyle name="Note 4 3 2 3 2 2" xfId="43438" xr:uid="{00000000-0005-0000-0000-0000BBBC0000}"/>
    <cellStyle name="Note 4 3 2 3 2 3" xfId="42771" xr:uid="{00000000-0005-0000-0000-0000BCBC0000}"/>
    <cellStyle name="Note 4 3 2 3 2 4" xfId="34232" xr:uid="{00000000-0005-0000-0000-0000BDBC0000}"/>
    <cellStyle name="Note 4 3 2 3 3" xfId="13906" xr:uid="{00000000-0005-0000-0000-0000BEBC0000}"/>
    <cellStyle name="Note 4 3 2 3 3 2" xfId="42641" xr:uid="{00000000-0005-0000-0000-0000BFBC0000}"/>
    <cellStyle name="Note 4 3 2 3 3 3" xfId="43458" xr:uid="{00000000-0005-0000-0000-0000C0BC0000}"/>
    <cellStyle name="Note 4 3 2 3 3 4" xfId="31545" xr:uid="{00000000-0005-0000-0000-0000C1BC0000}"/>
    <cellStyle name="Note 4 3 2 3 4" xfId="19211" xr:uid="{00000000-0005-0000-0000-0000C2BC0000}"/>
    <cellStyle name="Note 4 3 2 3 4 2" xfId="44748" xr:uid="{00000000-0005-0000-0000-0000C3BC0000}"/>
    <cellStyle name="Note 4 3 2 3 4 3" xfId="48654" xr:uid="{00000000-0005-0000-0000-0000C4BC0000}"/>
    <cellStyle name="Note 4 3 2 3 4 4" xfId="36796" xr:uid="{00000000-0005-0000-0000-0000C5BC0000}"/>
    <cellStyle name="Note 4 3 2 3 5" xfId="11630" xr:uid="{00000000-0005-0000-0000-0000C6BC0000}"/>
    <cellStyle name="Note 4 3 2 3 5 2" xfId="41641" xr:uid="{00000000-0005-0000-0000-0000C7BC0000}"/>
    <cellStyle name="Note 4 3 2 3 5 3" xfId="39349" xr:uid="{00000000-0005-0000-0000-0000C8BC0000}"/>
    <cellStyle name="Note 4 3 2 3 5 4" xfId="29332" xr:uid="{00000000-0005-0000-0000-0000C9BC0000}"/>
    <cellStyle name="Note 4 3 2 3 6" xfId="12856" xr:uid="{00000000-0005-0000-0000-0000CABC0000}"/>
    <cellStyle name="Note 4 3 2 3 6 2" xfId="42239" xr:uid="{00000000-0005-0000-0000-0000CBBC0000}"/>
    <cellStyle name="Note 4 3 2 3 6 3" xfId="43198" xr:uid="{00000000-0005-0000-0000-0000CCBC0000}"/>
    <cellStyle name="Note 4 3 2 3 7" xfId="40300" xr:uid="{00000000-0005-0000-0000-0000CDBC0000}"/>
    <cellStyle name="Note 4 3 2 3 8" xfId="39215" xr:uid="{00000000-0005-0000-0000-0000CEBC0000}"/>
    <cellStyle name="Note 4 3 2 4" xfId="13277" xr:uid="{00000000-0005-0000-0000-0000CFBC0000}"/>
    <cellStyle name="Note 4 3 2 4 2" xfId="42447" xr:uid="{00000000-0005-0000-0000-0000D0BC0000}"/>
    <cellStyle name="Note 4 3 2 4 3" xfId="41303" xr:uid="{00000000-0005-0000-0000-0000D1BC0000}"/>
    <cellStyle name="Note 4 3 2 4 4" xfId="30922" xr:uid="{00000000-0005-0000-0000-0000D2BC0000}"/>
    <cellStyle name="Note 4 3 2 5" xfId="12738" xr:uid="{00000000-0005-0000-0000-0000D3BC0000}"/>
    <cellStyle name="Note 4 3 2 5 2" xfId="42191" xr:uid="{00000000-0005-0000-0000-0000D4BC0000}"/>
    <cellStyle name="Note 4 3 2 5 3" xfId="43330" xr:uid="{00000000-0005-0000-0000-0000D5BC0000}"/>
    <cellStyle name="Note 4 3 2 5 4" xfId="30396" xr:uid="{00000000-0005-0000-0000-0000D6BC0000}"/>
    <cellStyle name="Note 4 3 2 6" xfId="53278" xr:uid="{00000000-0005-0000-0000-0000D7BC0000}"/>
    <cellStyle name="Note 4 3 3" xfId="7457" xr:uid="{00000000-0005-0000-0000-0000D8BC0000}"/>
    <cellStyle name="Note 4 3 3 10" xfId="39959" xr:uid="{00000000-0005-0000-0000-0000D9BC0000}"/>
    <cellStyle name="Note 4 3 3 11" xfId="53386" xr:uid="{00000000-0005-0000-0000-0000DABC0000}"/>
    <cellStyle name="Note 4 3 3 2" xfId="10730" xr:uid="{00000000-0005-0000-0000-0000DBBC0000}"/>
    <cellStyle name="Note 4 3 3 2 2" xfId="18523" xr:uid="{00000000-0005-0000-0000-0000DCBC0000}"/>
    <cellStyle name="Note 4 3 3 2 2 2" xfId="44070" xr:uid="{00000000-0005-0000-0000-0000DDBC0000}"/>
    <cellStyle name="Note 4 3 3 2 2 3" xfId="47979" xr:uid="{00000000-0005-0000-0000-0000DEBC0000}"/>
    <cellStyle name="Note 4 3 3 2 2 4" xfId="36160" xr:uid="{00000000-0005-0000-0000-0000DFBC0000}"/>
    <cellStyle name="Note 4 3 3 2 3" xfId="20022" xr:uid="{00000000-0005-0000-0000-0000E0BC0000}"/>
    <cellStyle name="Note 4 3 3 2 3 2" xfId="45559" xr:uid="{00000000-0005-0000-0000-0000E1BC0000}"/>
    <cellStyle name="Note 4 3 3 2 3 3" xfId="49465" xr:uid="{00000000-0005-0000-0000-0000E2BC0000}"/>
    <cellStyle name="Note 4 3 3 2 3 4" xfId="37520" xr:uid="{00000000-0005-0000-0000-0000E3BC0000}"/>
    <cellStyle name="Note 4 3 3 2 4" xfId="12613" xr:uid="{00000000-0005-0000-0000-0000E4BC0000}"/>
    <cellStyle name="Note 4 3 3 2 4 2" xfId="42092" xr:uid="{00000000-0005-0000-0000-0000E5BC0000}"/>
    <cellStyle name="Note 4 3 3 2 4 3" xfId="43589" xr:uid="{00000000-0005-0000-0000-0000E6BC0000}"/>
    <cellStyle name="Note 4 3 3 2 4 4" xfId="30279" xr:uid="{00000000-0005-0000-0000-0000E7BC0000}"/>
    <cellStyle name="Note 4 3 3 2 5" xfId="20936" xr:uid="{00000000-0005-0000-0000-0000E8BC0000}"/>
    <cellStyle name="Note 4 3 3 2 5 2" xfId="46473" xr:uid="{00000000-0005-0000-0000-0000E9BC0000}"/>
    <cellStyle name="Note 4 3 3 2 5 3" xfId="50379" xr:uid="{00000000-0005-0000-0000-0000EABC0000}"/>
    <cellStyle name="Note 4 3 3 2 5 4" xfId="38342" xr:uid="{00000000-0005-0000-0000-0000EBBC0000}"/>
    <cellStyle name="Note 4 3 3 2 6" xfId="21589" xr:uid="{00000000-0005-0000-0000-0000ECBC0000}"/>
    <cellStyle name="Note 4 3 3 2 6 2" xfId="47126" xr:uid="{00000000-0005-0000-0000-0000EDBC0000}"/>
    <cellStyle name="Note 4 3 3 2 6 3" xfId="51032" xr:uid="{00000000-0005-0000-0000-0000EEBC0000}"/>
    <cellStyle name="Note 4 3 3 2 7" xfId="40929" xr:uid="{00000000-0005-0000-0000-0000EFBC0000}"/>
    <cellStyle name="Note 4 3 3 2 8" xfId="39193" xr:uid="{00000000-0005-0000-0000-0000F0BC0000}"/>
    <cellStyle name="Note 4 3 3 3" xfId="11025" xr:uid="{00000000-0005-0000-0000-0000F1BC0000}"/>
    <cellStyle name="Note 4 3 3 3 2" xfId="18818" xr:uid="{00000000-0005-0000-0000-0000F2BC0000}"/>
    <cellStyle name="Note 4 3 3 3 2 2" xfId="44365" xr:uid="{00000000-0005-0000-0000-0000F3BC0000}"/>
    <cellStyle name="Note 4 3 3 3 2 3" xfId="48274" xr:uid="{00000000-0005-0000-0000-0000F4BC0000}"/>
    <cellStyle name="Note 4 3 3 3 2 4" xfId="36455" xr:uid="{00000000-0005-0000-0000-0000F5BC0000}"/>
    <cellStyle name="Note 4 3 3 3 3" xfId="20411" xr:uid="{00000000-0005-0000-0000-0000F6BC0000}"/>
    <cellStyle name="Note 4 3 3 3 3 2" xfId="45948" xr:uid="{00000000-0005-0000-0000-0000F7BC0000}"/>
    <cellStyle name="Note 4 3 3 3 3 3" xfId="49854" xr:uid="{00000000-0005-0000-0000-0000F8BC0000}"/>
    <cellStyle name="Note 4 3 3 3 3 4" xfId="37865" xr:uid="{00000000-0005-0000-0000-0000F9BC0000}"/>
    <cellStyle name="Note 4 3 3 3 4" xfId="20555" xr:uid="{00000000-0005-0000-0000-0000FABC0000}"/>
    <cellStyle name="Note 4 3 3 3 4 2" xfId="46092" xr:uid="{00000000-0005-0000-0000-0000FBBC0000}"/>
    <cellStyle name="Note 4 3 3 3 4 3" xfId="49998" xr:uid="{00000000-0005-0000-0000-0000FCBC0000}"/>
    <cellStyle name="Note 4 3 3 3 4 4" xfId="37982" xr:uid="{00000000-0005-0000-0000-0000FDBC0000}"/>
    <cellStyle name="Note 4 3 3 3 5" xfId="21231" xr:uid="{00000000-0005-0000-0000-0000FEBC0000}"/>
    <cellStyle name="Note 4 3 3 3 5 2" xfId="46768" xr:uid="{00000000-0005-0000-0000-0000FFBC0000}"/>
    <cellStyle name="Note 4 3 3 3 5 3" xfId="50674" xr:uid="{00000000-0005-0000-0000-000000BD0000}"/>
    <cellStyle name="Note 4 3 3 3 5 4" xfId="38637" xr:uid="{00000000-0005-0000-0000-000001BD0000}"/>
    <cellStyle name="Note 4 3 3 3 6" xfId="21884" xr:uid="{00000000-0005-0000-0000-000002BD0000}"/>
    <cellStyle name="Note 4 3 3 3 6 2" xfId="47421" xr:uid="{00000000-0005-0000-0000-000003BD0000}"/>
    <cellStyle name="Note 4 3 3 3 6 3" xfId="51327" xr:uid="{00000000-0005-0000-0000-000004BD0000}"/>
    <cellStyle name="Note 4 3 3 3 7" xfId="41224" xr:uid="{00000000-0005-0000-0000-000005BD0000}"/>
    <cellStyle name="Note 4 3 3 3 8" xfId="42047" xr:uid="{00000000-0005-0000-0000-000006BD0000}"/>
    <cellStyle name="Note 4 3 3 4" xfId="15245" xr:uid="{00000000-0005-0000-0000-000007BD0000}"/>
    <cellStyle name="Note 4 3 3 4 2" xfId="43118" xr:uid="{00000000-0005-0000-0000-000008BD0000}"/>
    <cellStyle name="Note 4 3 3 4 3" xfId="43664" xr:uid="{00000000-0005-0000-0000-000009BD0000}"/>
    <cellStyle name="Note 4 3 3 4 4" xfId="32880" xr:uid="{00000000-0005-0000-0000-00000ABD0000}"/>
    <cellStyle name="Note 4 3 3 5" xfId="20090" xr:uid="{00000000-0005-0000-0000-00000BBD0000}"/>
    <cellStyle name="Note 4 3 3 5 2" xfId="45627" xr:uid="{00000000-0005-0000-0000-00000CBD0000}"/>
    <cellStyle name="Note 4 3 3 5 3" xfId="49533" xr:uid="{00000000-0005-0000-0000-00000DBD0000}"/>
    <cellStyle name="Note 4 3 3 5 4" xfId="37582" xr:uid="{00000000-0005-0000-0000-00000EBD0000}"/>
    <cellStyle name="Note 4 3 3 6" xfId="19155" xr:uid="{00000000-0005-0000-0000-00000FBD0000}"/>
    <cellStyle name="Note 4 3 3 6 2" xfId="44692" xr:uid="{00000000-0005-0000-0000-000010BD0000}"/>
    <cellStyle name="Note 4 3 3 6 3" xfId="48598" xr:uid="{00000000-0005-0000-0000-000011BD0000}"/>
    <cellStyle name="Note 4 3 3 6 4" xfId="36748" xr:uid="{00000000-0005-0000-0000-000012BD0000}"/>
    <cellStyle name="Note 4 3 3 7" xfId="11378" xr:uid="{00000000-0005-0000-0000-000013BD0000}"/>
    <cellStyle name="Note 4 3 3 7 2" xfId="41414" xr:uid="{00000000-0005-0000-0000-000014BD0000}"/>
    <cellStyle name="Note 4 3 3 7 3" xfId="39361" xr:uid="{00000000-0005-0000-0000-000015BD0000}"/>
    <cellStyle name="Note 4 3 3 7 4" xfId="29100" xr:uid="{00000000-0005-0000-0000-000016BD0000}"/>
    <cellStyle name="Note 4 3 3 8" xfId="13908" xr:uid="{00000000-0005-0000-0000-000017BD0000}"/>
    <cellStyle name="Note 4 3 3 8 2" xfId="42643" xr:uid="{00000000-0005-0000-0000-000018BD0000}"/>
    <cellStyle name="Note 4 3 3 8 3" xfId="39437" xr:uid="{00000000-0005-0000-0000-000019BD0000}"/>
    <cellStyle name="Note 4 3 3 9" xfId="39978" xr:uid="{00000000-0005-0000-0000-00001ABD0000}"/>
    <cellStyle name="Note 4 3 4" xfId="12088" xr:uid="{00000000-0005-0000-0000-00001BBD0000}"/>
    <cellStyle name="Note 4 3 4 2" xfId="41833" xr:uid="{00000000-0005-0000-0000-00001CBD0000}"/>
    <cellStyle name="Note 4 3 4 3" xfId="39330" xr:uid="{00000000-0005-0000-0000-00001DBD0000}"/>
    <cellStyle name="Note 4 3 4 4" xfId="29764" xr:uid="{00000000-0005-0000-0000-00001EBD0000}"/>
    <cellStyle name="Note 4 3 5" xfId="19215" xr:uid="{00000000-0005-0000-0000-00001FBD0000}"/>
    <cellStyle name="Note 4 3 5 2" xfId="44752" xr:uid="{00000000-0005-0000-0000-000020BD0000}"/>
    <cellStyle name="Note 4 3 5 3" xfId="48658" xr:uid="{00000000-0005-0000-0000-000021BD0000}"/>
    <cellStyle name="Note 4 3 5 4" xfId="36800" xr:uid="{00000000-0005-0000-0000-000022BD0000}"/>
    <cellStyle name="Note 4 3 6" xfId="52665" xr:uid="{00000000-0005-0000-0000-000023BD0000}"/>
    <cellStyle name="Note 4 3 7" xfId="53277" xr:uid="{00000000-0005-0000-0000-000024BD0000}"/>
    <cellStyle name="Note 4 4" xfId="3174" xr:uid="{00000000-0005-0000-0000-000025BD0000}"/>
    <cellStyle name="Note 4 5" xfId="3175" xr:uid="{00000000-0005-0000-0000-000026BD0000}"/>
    <cellStyle name="Note 4 5 2" xfId="53279" xr:uid="{00000000-0005-0000-0000-000027BD0000}"/>
    <cellStyle name="Note 4 6" xfId="5306" xr:uid="{00000000-0005-0000-0000-000028BD0000}"/>
    <cellStyle name="Note 4 6 2" xfId="53385" xr:uid="{00000000-0005-0000-0000-000029BD0000}"/>
    <cellStyle name="Note 4 7" xfId="5307" xr:uid="{00000000-0005-0000-0000-00002ABD0000}"/>
    <cellStyle name="Note 4 8" xfId="3171" xr:uid="{00000000-0005-0000-0000-00002BBD0000}"/>
    <cellStyle name="Note 4 9" xfId="52766" xr:uid="{00000000-0005-0000-0000-00002CBD0000}"/>
    <cellStyle name="Note 5" xfId="3176" xr:uid="{00000000-0005-0000-0000-00002DBD0000}"/>
    <cellStyle name="Note 5 2" xfId="3177" xr:uid="{00000000-0005-0000-0000-00002EBD0000}"/>
    <cellStyle name="Note 5 2 2" xfId="3178" xr:uid="{00000000-0005-0000-0000-00002FBD0000}"/>
    <cellStyle name="Note 5 2 2 2" xfId="53389" xr:uid="{00000000-0005-0000-0000-000030BD0000}"/>
    <cellStyle name="Note 5 2 3" xfId="53281" xr:uid="{00000000-0005-0000-0000-000031BD0000}"/>
    <cellStyle name="Note 5 3" xfId="3179" xr:uid="{00000000-0005-0000-0000-000032BD0000}"/>
    <cellStyle name="Note 5 3 2" xfId="53388" xr:uid="{00000000-0005-0000-0000-000033BD0000}"/>
    <cellStyle name="Note 5 4" xfId="3180" xr:uid="{00000000-0005-0000-0000-000034BD0000}"/>
    <cellStyle name="Note 5 5" xfId="3181" xr:uid="{00000000-0005-0000-0000-000035BD0000}"/>
    <cellStyle name="Note 5 5 2" xfId="3182" xr:uid="{00000000-0005-0000-0000-000036BD0000}"/>
    <cellStyle name="Note 5 5 3" xfId="3183" xr:uid="{00000000-0005-0000-0000-000037BD0000}"/>
    <cellStyle name="Note 5 5 3 2" xfId="3184" xr:uid="{00000000-0005-0000-0000-000038BD0000}"/>
    <cellStyle name="Note 5 5 4" xfId="3185" xr:uid="{00000000-0005-0000-0000-000039BD0000}"/>
    <cellStyle name="Note 5 5 4 2" xfId="3186" xr:uid="{00000000-0005-0000-0000-00003ABD0000}"/>
    <cellStyle name="Note 5 5 5" xfId="3187" xr:uid="{00000000-0005-0000-0000-00003BBD0000}"/>
    <cellStyle name="Note 5 5 5 2" xfId="3188" xr:uid="{00000000-0005-0000-0000-00003CBD0000}"/>
    <cellStyle name="Note 5 5 6" xfId="3189" xr:uid="{00000000-0005-0000-0000-00003DBD0000}"/>
    <cellStyle name="Note 5 6" xfId="3190" xr:uid="{00000000-0005-0000-0000-00003EBD0000}"/>
    <cellStyle name="Note 5 7" xfId="3191" xr:uid="{00000000-0005-0000-0000-00003FBD0000}"/>
    <cellStyle name="Note 5 8" xfId="22610" xr:uid="{00000000-0005-0000-0000-000040BD0000}"/>
    <cellStyle name="Note 5 8 2" xfId="47556" xr:uid="{00000000-0005-0000-0000-000041BD0000}"/>
    <cellStyle name="Note 5 8 3" xfId="51405" xr:uid="{00000000-0005-0000-0000-000042BD0000}"/>
    <cellStyle name="Note 5 8 4" xfId="38897" xr:uid="{00000000-0005-0000-0000-000043BD0000}"/>
    <cellStyle name="Note 5 9" xfId="53280" xr:uid="{00000000-0005-0000-0000-000044BD0000}"/>
    <cellStyle name="Note 6" xfId="3192" xr:uid="{00000000-0005-0000-0000-000045BD0000}"/>
    <cellStyle name="Note 6 2" xfId="3193" xr:uid="{00000000-0005-0000-0000-000046BD0000}"/>
    <cellStyle name="Note 6 2 2" xfId="3194" xr:uid="{00000000-0005-0000-0000-000047BD0000}"/>
    <cellStyle name="Note 6 2 2 2" xfId="53391" xr:uid="{00000000-0005-0000-0000-000048BD0000}"/>
    <cellStyle name="Note 6 2 3" xfId="53283" xr:uid="{00000000-0005-0000-0000-000049BD0000}"/>
    <cellStyle name="Note 6 3" xfId="3195" xr:uid="{00000000-0005-0000-0000-00004ABD0000}"/>
    <cellStyle name="Note 6 3 2" xfId="53390" xr:uid="{00000000-0005-0000-0000-00004BBD0000}"/>
    <cellStyle name="Note 6 4" xfId="3196" xr:uid="{00000000-0005-0000-0000-00004CBD0000}"/>
    <cellStyle name="Note 6 5" xfId="3197" xr:uid="{00000000-0005-0000-0000-00004DBD0000}"/>
    <cellStyle name="Note 6 5 2" xfId="3198" xr:uid="{00000000-0005-0000-0000-00004EBD0000}"/>
    <cellStyle name="Note 6 5 3" xfId="3199" xr:uid="{00000000-0005-0000-0000-00004FBD0000}"/>
    <cellStyle name="Note 6 5 3 2" xfId="3200" xr:uid="{00000000-0005-0000-0000-000050BD0000}"/>
    <cellStyle name="Note 6 5 4" xfId="3201" xr:uid="{00000000-0005-0000-0000-000051BD0000}"/>
    <cellStyle name="Note 6 5 4 2" xfId="3202" xr:uid="{00000000-0005-0000-0000-000052BD0000}"/>
    <cellStyle name="Note 6 5 5" xfId="3203" xr:uid="{00000000-0005-0000-0000-000053BD0000}"/>
    <cellStyle name="Note 6 5 5 2" xfId="3204" xr:uid="{00000000-0005-0000-0000-000054BD0000}"/>
    <cellStyle name="Note 6 5 6" xfId="3205" xr:uid="{00000000-0005-0000-0000-000055BD0000}"/>
    <cellStyle name="Note 6 6" xfId="3206" xr:uid="{00000000-0005-0000-0000-000056BD0000}"/>
    <cellStyle name="Note 6 7" xfId="3207" xr:uid="{00000000-0005-0000-0000-000057BD0000}"/>
    <cellStyle name="Note 6 8" xfId="22611" xr:uid="{00000000-0005-0000-0000-000058BD0000}"/>
    <cellStyle name="Note 6 8 2" xfId="47557" xr:uid="{00000000-0005-0000-0000-000059BD0000}"/>
    <cellStyle name="Note 6 8 3" xfId="51406" xr:uid="{00000000-0005-0000-0000-00005ABD0000}"/>
    <cellStyle name="Note 6 8 4" xfId="38898" xr:uid="{00000000-0005-0000-0000-00005BBD0000}"/>
    <cellStyle name="Note 6 9" xfId="53282" xr:uid="{00000000-0005-0000-0000-00005CBD0000}"/>
    <cellStyle name="Note 7" xfId="3208" xr:uid="{00000000-0005-0000-0000-00005DBD0000}"/>
    <cellStyle name="Note 7 2" xfId="3209" xr:uid="{00000000-0005-0000-0000-00005EBD0000}"/>
    <cellStyle name="Note 7 2 2" xfId="3210" xr:uid="{00000000-0005-0000-0000-00005FBD0000}"/>
    <cellStyle name="Note 7 3" xfId="3211" xr:uid="{00000000-0005-0000-0000-000060BD0000}"/>
    <cellStyle name="Note 7 4" xfId="3212" xr:uid="{00000000-0005-0000-0000-000061BD0000}"/>
    <cellStyle name="Note 7 5" xfId="3213" xr:uid="{00000000-0005-0000-0000-000062BD0000}"/>
    <cellStyle name="Note 7 6" xfId="3214" xr:uid="{00000000-0005-0000-0000-000063BD0000}"/>
    <cellStyle name="Note 8" xfId="3215" xr:uid="{00000000-0005-0000-0000-000064BD0000}"/>
    <cellStyle name="Note 8 10" xfId="3216" xr:uid="{00000000-0005-0000-0000-000065BD0000}"/>
    <cellStyle name="Note 8 11" xfId="5308" xr:uid="{00000000-0005-0000-0000-000066BD0000}"/>
    <cellStyle name="Note 8 2" xfId="3217" xr:uid="{00000000-0005-0000-0000-000067BD0000}"/>
    <cellStyle name="Note 8 2 2" xfId="3218" xr:uid="{00000000-0005-0000-0000-000068BD0000}"/>
    <cellStyle name="Note 8 3" xfId="3219" xr:uid="{00000000-0005-0000-0000-000069BD0000}"/>
    <cellStyle name="Note 8 3 2" xfId="3220" xr:uid="{00000000-0005-0000-0000-00006ABD0000}"/>
    <cellStyle name="Note 8 4" xfId="3221" xr:uid="{00000000-0005-0000-0000-00006BBD0000}"/>
    <cellStyle name="Note 8 5" xfId="3222" xr:uid="{00000000-0005-0000-0000-00006CBD0000}"/>
    <cellStyle name="Note 8 5 2" xfId="3223" xr:uid="{00000000-0005-0000-0000-00006DBD0000}"/>
    <cellStyle name="Note 8 6" xfId="3224" xr:uid="{00000000-0005-0000-0000-00006EBD0000}"/>
    <cellStyle name="Note 8 7" xfId="3225" xr:uid="{00000000-0005-0000-0000-00006FBD0000}"/>
    <cellStyle name="Note 8 8" xfId="3226" xr:uid="{00000000-0005-0000-0000-000070BD0000}"/>
    <cellStyle name="Note 8 9" xfId="3227" xr:uid="{00000000-0005-0000-0000-000071BD0000}"/>
    <cellStyle name="Note 9" xfId="3228" xr:uid="{00000000-0005-0000-0000-000072BD0000}"/>
    <cellStyle name="Note 9 10" xfId="3229" xr:uid="{00000000-0005-0000-0000-000073BD0000}"/>
    <cellStyle name="Note 9 11" xfId="5309" xr:uid="{00000000-0005-0000-0000-000074BD0000}"/>
    <cellStyle name="Note 9 2" xfId="3230" xr:uid="{00000000-0005-0000-0000-000075BD0000}"/>
    <cellStyle name="Note 9 2 2" xfId="3231" xr:uid="{00000000-0005-0000-0000-000076BD0000}"/>
    <cellStyle name="Note 9 3" xfId="3232" xr:uid="{00000000-0005-0000-0000-000077BD0000}"/>
    <cellStyle name="Note 9 3 2" xfId="3233" xr:uid="{00000000-0005-0000-0000-000078BD0000}"/>
    <cellStyle name="Note 9 4" xfId="3234" xr:uid="{00000000-0005-0000-0000-000079BD0000}"/>
    <cellStyle name="Note 9 5" xfId="3235" xr:uid="{00000000-0005-0000-0000-00007ABD0000}"/>
    <cellStyle name="Note 9 5 2" xfId="3236" xr:uid="{00000000-0005-0000-0000-00007BBD0000}"/>
    <cellStyle name="Note 9 6" xfId="3237" xr:uid="{00000000-0005-0000-0000-00007CBD0000}"/>
    <cellStyle name="Note 9 7" xfId="3238" xr:uid="{00000000-0005-0000-0000-00007DBD0000}"/>
    <cellStyle name="Note 9 8" xfId="3239" xr:uid="{00000000-0005-0000-0000-00007EBD0000}"/>
    <cellStyle name="Note 9 9" xfId="3240" xr:uid="{00000000-0005-0000-0000-00007FBD0000}"/>
    <cellStyle name="Output" xfId="155" builtinId="21" customBuiltin="1"/>
    <cellStyle name="Output 10" xfId="3241" xr:uid="{00000000-0005-0000-0000-000081BD0000}"/>
    <cellStyle name="Output 10 2" xfId="3242" xr:uid="{00000000-0005-0000-0000-000082BD0000}"/>
    <cellStyle name="Output 10 2 2" xfId="10455" xr:uid="{00000000-0005-0000-0000-000083BD0000}"/>
    <cellStyle name="Output 10 2 2 2" xfId="18248" xr:uid="{00000000-0005-0000-0000-000084BD0000}"/>
    <cellStyle name="Output 10 2 2 2 2" xfId="43795" xr:uid="{00000000-0005-0000-0000-000085BD0000}"/>
    <cellStyle name="Output 10 2 2 2 3" xfId="47704" xr:uid="{00000000-0005-0000-0000-000086BD0000}"/>
    <cellStyle name="Output 10 2 2 2 4" xfId="35885" xr:uid="{00000000-0005-0000-0000-000087BD0000}"/>
    <cellStyle name="Output 10 2 2 3" xfId="19441" xr:uid="{00000000-0005-0000-0000-000088BD0000}"/>
    <cellStyle name="Output 10 2 2 3 2" xfId="44978" xr:uid="{00000000-0005-0000-0000-000089BD0000}"/>
    <cellStyle name="Output 10 2 2 3 3" xfId="48884" xr:uid="{00000000-0005-0000-0000-00008ABD0000}"/>
    <cellStyle name="Output 10 2 2 3 4" xfId="37006" xr:uid="{00000000-0005-0000-0000-00008BBD0000}"/>
    <cellStyle name="Output 10 2 2 4" xfId="19205" xr:uid="{00000000-0005-0000-0000-00008CBD0000}"/>
    <cellStyle name="Output 10 2 2 4 2" xfId="44742" xr:uid="{00000000-0005-0000-0000-00008DBD0000}"/>
    <cellStyle name="Output 10 2 2 4 3" xfId="48648" xr:uid="{00000000-0005-0000-0000-00008EBD0000}"/>
    <cellStyle name="Output 10 2 2 4 4" xfId="36790" xr:uid="{00000000-0005-0000-0000-00008FBD0000}"/>
    <cellStyle name="Output 10 2 2 5" xfId="20661" xr:uid="{00000000-0005-0000-0000-000090BD0000}"/>
    <cellStyle name="Output 10 2 2 5 2" xfId="46198" xr:uid="{00000000-0005-0000-0000-000091BD0000}"/>
    <cellStyle name="Output 10 2 2 5 3" xfId="50104" xr:uid="{00000000-0005-0000-0000-000092BD0000}"/>
    <cellStyle name="Output 10 2 2 5 4" xfId="38067" xr:uid="{00000000-0005-0000-0000-000093BD0000}"/>
    <cellStyle name="Output 10 2 2 6" xfId="21314" xr:uid="{00000000-0005-0000-0000-000094BD0000}"/>
    <cellStyle name="Output 10 2 2 6 2" xfId="46851" xr:uid="{00000000-0005-0000-0000-000095BD0000}"/>
    <cellStyle name="Output 10 2 2 6 3" xfId="50757" xr:uid="{00000000-0005-0000-0000-000096BD0000}"/>
    <cellStyle name="Output 10 2 2 7" xfId="40654" xr:uid="{00000000-0005-0000-0000-000097BD0000}"/>
    <cellStyle name="Output 10 2 2 8" xfId="40264" xr:uid="{00000000-0005-0000-0000-000098BD0000}"/>
    <cellStyle name="Output 10 2 3" xfId="8072" xr:uid="{00000000-0005-0000-0000-000099BD0000}"/>
    <cellStyle name="Output 10 2 3 2" xfId="15869" xr:uid="{00000000-0005-0000-0000-00009ABD0000}"/>
    <cellStyle name="Output 10 2 3 2 2" xfId="43282" xr:uid="{00000000-0005-0000-0000-00009BBD0000}"/>
    <cellStyle name="Output 10 2 3 2 3" xfId="42664" xr:uid="{00000000-0005-0000-0000-00009CBD0000}"/>
    <cellStyle name="Output 10 2 3 2 4" xfId="33504" xr:uid="{00000000-0005-0000-0000-00009DBD0000}"/>
    <cellStyle name="Output 10 2 3 3" xfId="19953" xr:uid="{00000000-0005-0000-0000-00009EBD0000}"/>
    <cellStyle name="Output 10 2 3 3 2" xfId="45490" xr:uid="{00000000-0005-0000-0000-00009FBD0000}"/>
    <cellStyle name="Output 10 2 3 3 3" xfId="49396" xr:uid="{00000000-0005-0000-0000-0000A0BD0000}"/>
    <cellStyle name="Output 10 2 3 3 4" xfId="37458" xr:uid="{00000000-0005-0000-0000-0000A1BD0000}"/>
    <cellStyle name="Output 10 2 3 4" xfId="18945" xr:uid="{00000000-0005-0000-0000-0000A2BD0000}"/>
    <cellStyle name="Output 10 2 3 4 2" xfId="44482" xr:uid="{00000000-0005-0000-0000-0000A3BD0000}"/>
    <cellStyle name="Output 10 2 3 4 3" xfId="48388" xr:uid="{00000000-0005-0000-0000-0000A4BD0000}"/>
    <cellStyle name="Output 10 2 3 4 4" xfId="36572" xr:uid="{00000000-0005-0000-0000-0000A5BD0000}"/>
    <cellStyle name="Output 10 2 3 5" xfId="11848" xr:uid="{00000000-0005-0000-0000-0000A6BD0000}"/>
    <cellStyle name="Output 10 2 3 5 2" xfId="41766" xr:uid="{00000000-0005-0000-0000-0000A7BD0000}"/>
    <cellStyle name="Output 10 2 3 5 3" xfId="40348" xr:uid="{00000000-0005-0000-0000-0000A8BD0000}"/>
    <cellStyle name="Output 10 2 3 5 4" xfId="29532" xr:uid="{00000000-0005-0000-0000-0000A9BD0000}"/>
    <cellStyle name="Output 10 2 3 6" xfId="18885" xr:uid="{00000000-0005-0000-0000-0000AABD0000}"/>
    <cellStyle name="Output 10 2 3 6 2" xfId="44422" xr:uid="{00000000-0005-0000-0000-0000ABBD0000}"/>
    <cellStyle name="Output 10 2 3 6 3" xfId="48328" xr:uid="{00000000-0005-0000-0000-0000ACBD0000}"/>
    <cellStyle name="Output 10 2 3 7" xfId="40141" xr:uid="{00000000-0005-0000-0000-0000ADBD0000}"/>
    <cellStyle name="Output 10 2 3 8" xfId="47548" xr:uid="{00000000-0005-0000-0000-0000AEBD0000}"/>
    <cellStyle name="Output 10 2 4" xfId="12095" xr:uid="{00000000-0005-0000-0000-0000AFBD0000}"/>
    <cellStyle name="Output 10 2 4 2" xfId="41840" xr:uid="{00000000-0005-0000-0000-0000B0BD0000}"/>
    <cellStyle name="Output 10 2 4 3" xfId="39137" xr:uid="{00000000-0005-0000-0000-0000B1BD0000}"/>
    <cellStyle name="Output 10 2 4 4" xfId="29768" xr:uid="{00000000-0005-0000-0000-0000B2BD0000}"/>
    <cellStyle name="Output 10 2 5" xfId="20113" xr:uid="{00000000-0005-0000-0000-0000B3BD0000}"/>
    <cellStyle name="Output 10 2 5 2" xfId="45650" xr:uid="{00000000-0005-0000-0000-0000B4BD0000}"/>
    <cellStyle name="Output 10 2 5 3" xfId="49556" xr:uid="{00000000-0005-0000-0000-0000B5BD0000}"/>
    <cellStyle name="Output 10 2 5 4" xfId="37601" xr:uid="{00000000-0005-0000-0000-0000B6BD0000}"/>
    <cellStyle name="Output 10 3" xfId="3243" xr:uid="{00000000-0005-0000-0000-0000B7BD0000}"/>
    <cellStyle name="Output 10 4" xfId="7458" xr:uid="{00000000-0005-0000-0000-0000B8BD0000}"/>
    <cellStyle name="Output 10 4 10" xfId="42759" xr:uid="{00000000-0005-0000-0000-0000B9BD0000}"/>
    <cellStyle name="Output 10 4 2" xfId="10731" xr:uid="{00000000-0005-0000-0000-0000BABD0000}"/>
    <cellStyle name="Output 10 4 2 2" xfId="18524" xr:uid="{00000000-0005-0000-0000-0000BBBD0000}"/>
    <cellStyle name="Output 10 4 2 2 2" xfId="44071" xr:uid="{00000000-0005-0000-0000-0000BCBD0000}"/>
    <cellStyle name="Output 10 4 2 2 3" xfId="47980" xr:uid="{00000000-0005-0000-0000-0000BDBD0000}"/>
    <cellStyle name="Output 10 4 2 2 4" xfId="36161" xr:uid="{00000000-0005-0000-0000-0000BEBD0000}"/>
    <cellStyle name="Output 10 4 2 3" xfId="19288" xr:uid="{00000000-0005-0000-0000-0000BFBD0000}"/>
    <cellStyle name="Output 10 4 2 3 2" xfId="44825" xr:uid="{00000000-0005-0000-0000-0000C0BD0000}"/>
    <cellStyle name="Output 10 4 2 3 3" xfId="48731" xr:uid="{00000000-0005-0000-0000-0000C1BD0000}"/>
    <cellStyle name="Output 10 4 2 3 4" xfId="36866" xr:uid="{00000000-0005-0000-0000-0000C2BD0000}"/>
    <cellStyle name="Output 10 4 2 4" xfId="12667" xr:uid="{00000000-0005-0000-0000-0000C3BD0000}"/>
    <cellStyle name="Output 10 4 2 4 2" xfId="42146" xr:uid="{00000000-0005-0000-0000-0000C4BD0000}"/>
    <cellStyle name="Output 10 4 2 4 3" xfId="40059" xr:uid="{00000000-0005-0000-0000-0000C5BD0000}"/>
    <cellStyle name="Output 10 4 2 4 4" xfId="30331" xr:uid="{00000000-0005-0000-0000-0000C6BD0000}"/>
    <cellStyle name="Output 10 4 2 5" xfId="20937" xr:uid="{00000000-0005-0000-0000-0000C7BD0000}"/>
    <cellStyle name="Output 10 4 2 5 2" xfId="46474" xr:uid="{00000000-0005-0000-0000-0000C8BD0000}"/>
    <cellStyle name="Output 10 4 2 5 3" xfId="50380" xr:uid="{00000000-0005-0000-0000-0000C9BD0000}"/>
    <cellStyle name="Output 10 4 2 5 4" xfId="38343" xr:uid="{00000000-0005-0000-0000-0000CABD0000}"/>
    <cellStyle name="Output 10 4 2 6" xfId="21590" xr:uid="{00000000-0005-0000-0000-0000CBBD0000}"/>
    <cellStyle name="Output 10 4 2 6 2" xfId="47127" xr:uid="{00000000-0005-0000-0000-0000CCBD0000}"/>
    <cellStyle name="Output 10 4 2 6 3" xfId="51033" xr:uid="{00000000-0005-0000-0000-0000CDBD0000}"/>
    <cellStyle name="Output 10 4 2 7" xfId="40930" xr:uid="{00000000-0005-0000-0000-0000CEBD0000}"/>
    <cellStyle name="Output 10 4 2 8" xfId="41433" xr:uid="{00000000-0005-0000-0000-0000CFBD0000}"/>
    <cellStyle name="Output 10 4 3" xfId="11026" xr:uid="{00000000-0005-0000-0000-0000D0BD0000}"/>
    <cellStyle name="Output 10 4 3 2" xfId="18819" xr:uid="{00000000-0005-0000-0000-0000D1BD0000}"/>
    <cellStyle name="Output 10 4 3 2 2" xfId="44366" xr:uid="{00000000-0005-0000-0000-0000D2BD0000}"/>
    <cellStyle name="Output 10 4 3 2 3" xfId="48275" xr:uid="{00000000-0005-0000-0000-0000D3BD0000}"/>
    <cellStyle name="Output 10 4 3 2 4" xfId="36456" xr:uid="{00000000-0005-0000-0000-0000D4BD0000}"/>
    <cellStyle name="Output 10 4 3 3" xfId="20412" xr:uid="{00000000-0005-0000-0000-0000D5BD0000}"/>
    <cellStyle name="Output 10 4 3 3 2" xfId="45949" xr:uid="{00000000-0005-0000-0000-0000D6BD0000}"/>
    <cellStyle name="Output 10 4 3 3 3" xfId="49855" xr:uid="{00000000-0005-0000-0000-0000D7BD0000}"/>
    <cellStyle name="Output 10 4 3 3 4" xfId="37866" xr:uid="{00000000-0005-0000-0000-0000D8BD0000}"/>
    <cellStyle name="Output 10 4 3 4" xfId="20556" xr:uid="{00000000-0005-0000-0000-0000D9BD0000}"/>
    <cellStyle name="Output 10 4 3 4 2" xfId="46093" xr:uid="{00000000-0005-0000-0000-0000DABD0000}"/>
    <cellStyle name="Output 10 4 3 4 3" xfId="49999" xr:uid="{00000000-0005-0000-0000-0000DBBD0000}"/>
    <cellStyle name="Output 10 4 3 4 4" xfId="37983" xr:uid="{00000000-0005-0000-0000-0000DCBD0000}"/>
    <cellStyle name="Output 10 4 3 5" xfId="21232" xr:uid="{00000000-0005-0000-0000-0000DDBD0000}"/>
    <cellStyle name="Output 10 4 3 5 2" xfId="46769" xr:uid="{00000000-0005-0000-0000-0000DEBD0000}"/>
    <cellStyle name="Output 10 4 3 5 3" xfId="50675" xr:uid="{00000000-0005-0000-0000-0000DFBD0000}"/>
    <cellStyle name="Output 10 4 3 5 4" xfId="38638" xr:uid="{00000000-0005-0000-0000-0000E0BD0000}"/>
    <cellStyle name="Output 10 4 3 6" xfId="21885" xr:uid="{00000000-0005-0000-0000-0000E1BD0000}"/>
    <cellStyle name="Output 10 4 3 6 2" xfId="47422" xr:uid="{00000000-0005-0000-0000-0000E2BD0000}"/>
    <cellStyle name="Output 10 4 3 6 3" xfId="51328" xr:uid="{00000000-0005-0000-0000-0000E3BD0000}"/>
    <cellStyle name="Output 10 4 3 7" xfId="41225" xr:uid="{00000000-0005-0000-0000-0000E4BD0000}"/>
    <cellStyle name="Output 10 4 3 8" xfId="43366" xr:uid="{00000000-0005-0000-0000-0000E5BD0000}"/>
    <cellStyle name="Output 10 4 4" xfId="15246" xr:uid="{00000000-0005-0000-0000-0000E6BD0000}"/>
    <cellStyle name="Output 10 4 4 2" xfId="43119" xr:uid="{00000000-0005-0000-0000-0000E7BD0000}"/>
    <cellStyle name="Output 10 4 4 3" xfId="40523" xr:uid="{00000000-0005-0000-0000-0000E8BD0000}"/>
    <cellStyle name="Output 10 4 4 4" xfId="32881" xr:uid="{00000000-0005-0000-0000-0000E9BD0000}"/>
    <cellStyle name="Output 10 4 5" xfId="19352" xr:uid="{00000000-0005-0000-0000-0000EABD0000}"/>
    <cellStyle name="Output 10 4 5 2" xfId="44889" xr:uid="{00000000-0005-0000-0000-0000EBBD0000}"/>
    <cellStyle name="Output 10 4 5 3" xfId="48795" xr:uid="{00000000-0005-0000-0000-0000ECBD0000}"/>
    <cellStyle name="Output 10 4 5 4" xfId="36923" xr:uid="{00000000-0005-0000-0000-0000EDBD0000}"/>
    <cellStyle name="Output 10 4 6" xfId="12660" xr:uid="{00000000-0005-0000-0000-0000EEBD0000}"/>
    <cellStyle name="Output 10 4 6 2" xfId="42139" xr:uid="{00000000-0005-0000-0000-0000EFBD0000}"/>
    <cellStyle name="Output 10 4 6 3" xfId="41980" xr:uid="{00000000-0005-0000-0000-0000F0BD0000}"/>
    <cellStyle name="Output 10 4 6 4" xfId="30324" xr:uid="{00000000-0005-0000-0000-0000F1BD0000}"/>
    <cellStyle name="Output 10 4 7" xfId="11724" xr:uid="{00000000-0005-0000-0000-0000F2BD0000}"/>
    <cellStyle name="Output 10 4 7 2" xfId="41713" xr:uid="{00000000-0005-0000-0000-0000F3BD0000}"/>
    <cellStyle name="Output 10 4 7 3" xfId="47610" xr:uid="{00000000-0005-0000-0000-0000F4BD0000}"/>
    <cellStyle name="Output 10 4 7 4" xfId="29411" xr:uid="{00000000-0005-0000-0000-0000F5BD0000}"/>
    <cellStyle name="Output 10 4 8" xfId="19640" xr:uid="{00000000-0005-0000-0000-0000F6BD0000}"/>
    <cellStyle name="Output 10 4 8 2" xfId="45177" xr:uid="{00000000-0005-0000-0000-0000F7BD0000}"/>
    <cellStyle name="Output 10 4 8 3" xfId="49083" xr:uid="{00000000-0005-0000-0000-0000F8BD0000}"/>
    <cellStyle name="Output 10 4 9" xfId="39979" xr:uid="{00000000-0005-0000-0000-0000F9BD0000}"/>
    <cellStyle name="Output 10 5" xfId="22613" xr:uid="{00000000-0005-0000-0000-0000FABD0000}"/>
    <cellStyle name="Output 11" xfId="3244" xr:uid="{00000000-0005-0000-0000-0000FBBD0000}"/>
    <cellStyle name="Output 11 2" xfId="22614" xr:uid="{00000000-0005-0000-0000-0000FCBD0000}"/>
    <cellStyle name="Output 12" xfId="22615" xr:uid="{00000000-0005-0000-0000-0000FDBD0000}"/>
    <cellStyle name="Output 12 2" xfId="22616" xr:uid="{00000000-0005-0000-0000-0000FEBD0000}"/>
    <cellStyle name="Output 13" xfId="22617" xr:uid="{00000000-0005-0000-0000-0000FFBD0000}"/>
    <cellStyle name="Output 14" xfId="22618" xr:uid="{00000000-0005-0000-0000-000000BE0000}"/>
    <cellStyle name="Output 14 2" xfId="47559" xr:uid="{00000000-0005-0000-0000-000001BE0000}"/>
    <cellStyle name="Output 14 2 2" xfId="53285" xr:uid="{00000000-0005-0000-0000-000002BE0000}"/>
    <cellStyle name="Output 14 3" xfId="51408" xr:uid="{00000000-0005-0000-0000-000003BE0000}"/>
    <cellStyle name="Output 14 3 2" xfId="53392" xr:uid="{00000000-0005-0000-0000-000004BE0000}"/>
    <cellStyle name="Output 14 4" xfId="53284" xr:uid="{00000000-0005-0000-0000-000005BE0000}"/>
    <cellStyle name="Output 15" xfId="22674" xr:uid="{00000000-0005-0000-0000-000006BE0000}"/>
    <cellStyle name="Output 16" xfId="22612" xr:uid="{00000000-0005-0000-0000-000007BE0000}"/>
    <cellStyle name="Output 16 2" xfId="47558" xr:uid="{00000000-0005-0000-0000-000008BE0000}"/>
    <cellStyle name="Output 16 2 2" xfId="53287" xr:uid="{00000000-0005-0000-0000-000009BE0000}"/>
    <cellStyle name="Output 16 3" xfId="51407" xr:uid="{00000000-0005-0000-0000-00000ABE0000}"/>
    <cellStyle name="Output 16 3 2" xfId="53393" xr:uid="{00000000-0005-0000-0000-00000BBE0000}"/>
    <cellStyle name="Output 16 4" xfId="53286" xr:uid="{00000000-0005-0000-0000-00000CBE0000}"/>
    <cellStyle name="Output 2" xfId="136" xr:uid="{00000000-0005-0000-0000-00000DBE0000}"/>
    <cellStyle name="Output 2 10" xfId="3246" xr:uid="{00000000-0005-0000-0000-00000EBE0000}"/>
    <cellStyle name="Output 2 10 2" xfId="7460" xr:uid="{00000000-0005-0000-0000-00000FBE0000}"/>
    <cellStyle name="Output 2 10 2 10" xfId="40505" xr:uid="{00000000-0005-0000-0000-000010BE0000}"/>
    <cellStyle name="Output 2 10 2 11" xfId="53290" xr:uid="{00000000-0005-0000-0000-000011BE0000}"/>
    <cellStyle name="Output 2 10 2 2" xfId="10733" xr:uid="{00000000-0005-0000-0000-000012BE0000}"/>
    <cellStyle name="Output 2 10 2 2 2" xfId="18526" xr:uid="{00000000-0005-0000-0000-000013BE0000}"/>
    <cellStyle name="Output 2 10 2 2 2 2" xfId="44073" xr:uid="{00000000-0005-0000-0000-000014BE0000}"/>
    <cellStyle name="Output 2 10 2 2 2 3" xfId="47982" xr:uid="{00000000-0005-0000-0000-000015BE0000}"/>
    <cellStyle name="Output 2 10 2 2 2 4" xfId="36163" xr:uid="{00000000-0005-0000-0000-000016BE0000}"/>
    <cellStyle name="Output 2 10 2 2 3" xfId="19120" xr:uid="{00000000-0005-0000-0000-000017BE0000}"/>
    <cellStyle name="Output 2 10 2 2 3 2" xfId="44657" xr:uid="{00000000-0005-0000-0000-000018BE0000}"/>
    <cellStyle name="Output 2 10 2 2 3 3" xfId="48563" xr:uid="{00000000-0005-0000-0000-000019BE0000}"/>
    <cellStyle name="Output 2 10 2 2 3 4" xfId="36715" xr:uid="{00000000-0005-0000-0000-00001ABE0000}"/>
    <cellStyle name="Output 2 10 2 2 4" xfId="19559" xr:uid="{00000000-0005-0000-0000-00001BBE0000}"/>
    <cellStyle name="Output 2 10 2 2 4 2" xfId="45096" xr:uid="{00000000-0005-0000-0000-00001CBE0000}"/>
    <cellStyle name="Output 2 10 2 2 4 3" xfId="49002" xr:uid="{00000000-0005-0000-0000-00001DBE0000}"/>
    <cellStyle name="Output 2 10 2 2 4 4" xfId="37100" xr:uid="{00000000-0005-0000-0000-00001EBE0000}"/>
    <cellStyle name="Output 2 10 2 2 5" xfId="20939" xr:uid="{00000000-0005-0000-0000-00001FBE0000}"/>
    <cellStyle name="Output 2 10 2 2 5 2" xfId="46476" xr:uid="{00000000-0005-0000-0000-000020BE0000}"/>
    <cellStyle name="Output 2 10 2 2 5 3" xfId="50382" xr:uid="{00000000-0005-0000-0000-000021BE0000}"/>
    <cellStyle name="Output 2 10 2 2 5 4" xfId="38345" xr:uid="{00000000-0005-0000-0000-000022BE0000}"/>
    <cellStyle name="Output 2 10 2 2 6" xfId="21592" xr:uid="{00000000-0005-0000-0000-000023BE0000}"/>
    <cellStyle name="Output 2 10 2 2 6 2" xfId="47129" xr:uid="{00000000-0005-0000-0000-000024BE0000}"/>
    <cellStyle name="Output 2 10 2 2 6 3" xfId="51035" xr:uid="{00000000-0005-0000-0000-000025BE0000}"/>
    <cellStyle name="Output 2 10 2 2 7" xfId="40932" xr:uid="{00000000-0005-0000-0000-000026BE0000}"/>
    <cellStyle name="Output 2 10 2 2 8" xfId="40095" xr:uid="{00000000-0005-0000-0000-000027BE0000}"/>
    <cellStyle name="Output 2 10 2 2 9" xfId="53396" xr:uid="{00000000-0005-0000-0000-000028BE0000}"/>
    <cellStyle name="Output 2 10 2 3" xfId="11028" xr:uid="{00000000-0005-0000-0000-000029BE0000}"/>
    <cellStyle name="Output 2 10 2 3 2" xfId="18821" xr:uid="{00000000-0005-0000-0000-00002ABE0000}"/>
    <cellStyle name="Output 2 10 2 3 2 2" xfId="44368" xr:uid="{00000000-0005-0000-0000-00002BBE0000}"/>
    <cellStyle name="Output 2 10 2 3 2 3" xfId="48277" xr:uid="{00000000-0005-0000-0000-00002CBE0000}"/>
    <cellStyle name="Output 2 10 2 3 2 4" xfId="36458" xr:uid="{00000000-0005-0000-0000-00002DBE0000}"/>
    <cellStyle name="Output 2 10 2 3 3" xfId="20414" xr:uid="{00000000-0005-0000-0000-00002EBE0000}"/>
    <cellStyle name="Output 2 10 2 3 3 2" xfId="45951" xr:uid="{00000000-0005-0000-0000-00002FBE0000}"/>
    <cellStyle name="Output 2 10 2 3 3 3" xfId="49857" xr:uid="{00000000-0005-0000-0000-000030BE0000}"/>
    <cellStyle name="Output 2 10 2 3 3 4" xfId="37868" xr:uid="{00000000-0005-0000-0000-000031BE0000}"/>
    <cellStyle name="Output 2 10 2 3 4" xfId="20558" xr:uid="{00000000-0005-0000-0000-000032BE0000}"/>
    <cellStyle name="Output 2 10 2 3 4 2" xfId="46095" xr:uid="{00000000-0005-0000-0000-000033BE0000}"/>
    <cellStyle name="Output 2 10 2 3 4 3" xfId="50001" xr:uid="{00000000-0005-0000-0000-000034BE0000}"/>
    <cellStyle name="Output 2 10 2 3 4 4" xfId="37985" xr:uid="{00000000-0005-0000-0000-000035BE0000}"/>
    <cellStyle name="Output 2 10 2 3 5" xfId="21234" xr:uid="{00000000-0005-0000-0000-000036BE0000}"/>
    <cellStyle name="Output 2 10 2 3 5 2" xfId="46771" xr:uid="{00000000-0005-0000-0000-000037BE0000}"/>
    <cellStyle name="Output 2 10 2 3 5 3" xfId="50677" xr:uid="{00000000-0005-0000-0000-000038BE0000}"/>
    <cellStyle name="Output 2 10 2 3 5 4" xfId="38640" xr:uid="{00000000-0005-0000-0000-000039BE0000}"/>
    <cellStyle name="Output 2 10 2 3 6" xfId="21887" xr:uid="{00000000-0005-0000-0000-00003ABE0000}"/>
    <cellStyle name="Output 2 10 2 3 6 2" xfId="47424" xr:uid="{00000000-0005-0000-0000-00003BBE0000}"/>
    <cellStyle name="Output 2 10 2 3 6 3" xfId="51330" xr:uid="{00000000-0005-0000-0000-00003CBE0000}"/>
    <cellStyle name="Output 2 10 2 3 7" xfId="41227" xr:uid="{00000000-0005-0000-0000-00003DBE0000}"/>
    <cellStyle name="Output 2 10 2 3 8" xfId="39368" xr:uid="{00000000-0005-0000-0000-00003EBE0000}"/>
    <cellStyle name="Output 2 10 2 4" xfId="15248" xr:uid="{00000000-0005-0000-0000-00003FBE0000}"/>
    <cellStyle name="Output 2 10 2 4 2" xfId="43121" xr:uid="{00000000-0005-0000-0000-000040BE0000}"/>
    <cellStyle name="Output 2 10 2 4 3" xfId="42667" xr:uid="{00000000-0005-0000-0000-000041BE0000}"/>
    <cellStyle name="Output 2 10 2 4 4" xfId="32883" xr:uid="{00000000-0005-0000-0000-000042BE0000}"/>
    <cellStyle name="Output 2 10 2 5" xfId="19194" xr:uid="{00000000-0005-0000-0000-000043BE0000}"/>
    <cellStyle name="Output 2 10 2 5 2" xfId="44731" xr:uid="{00000000-0005-0000-0000-000044BE0000}"/>
    <cellStyle name="Output 2 10 2 5 3" xfId="48637" xr:uid="{00000000-0005-0000-0000-000045BE0000}"/>
    <cellStyle name="Output 2 10 2 5 4" xfId="36781" xr:uid="{00000000-0005-0000-0000-000046BE0000}"/>
    <cellStyle name="Output 2 10 2 6" xfId="12059" xr:uid="{00000000-0005-0000-0000-000047BE0000}"/>
    <cellStyle name="Output 2 10 2 6 2" xfId="41813" xr:uid="{00000000-0005-0000-0000-000048BE0000}"/>
    <cellStyle name="Output 2 10 2 6 3" xfId="40144" xr:uid="{00000000-0005-0000-0000-000049BE0000}"/>
    <cellStyle name="Output 2 10 2 6 4" xfId="29738" xr:uid="{00000000-0005-0000-0000-00004ABE0000}"/>
    <cellStyle name="Output 2 10 2 7" xfId="18896" xr:uid="{00000000-0005-0000-0000-00004BBE0000}"/>
    <cellStyle name="Output 2 10 2 7 2" xfId="44433" xr:uid="{00000000-0005-0000-0000-00004CBE0000}"/>
    <cellStyle name="Output 2 10 2 7 3" xfId="48339" xr:uid="{00000000-0005-0000-0000-00004DBE0000}"/>
    <cellStyle name="Output 2 10 2 7 4" xfId="36532" xr:uid="{00000000-0005-0000-0000-00004EBE0000}"/>
    <cellStyle name="Output 2 10 2 8" xfId="18921" xr:uid="{00000000-0005-0000-0000-00004FBE0000}"/>
    <cellStyle name="Output 2 10 2 8 2" xfId="44458" xr:uid="{00000000-0005-0000-0000-000050BE0000}"/>
    <cellStyle name="Output 2 10 2 8 3" xfId="48364" xr:uid="{00000000-0005-0000-0000-000051BE0000}"/>
    <cellStyle name="Output 2 10 2 9" xfId="39981" xr:uid="{00000000-0005-0000-0000-000052BE0000}"/>
    <cellStyle name="Output 2 10 3" xfId="12098" xr:uid="{00000000-0005-0000-0000-000053BE0000}"/>
    <cellStyle name="Output 2 10 3 2" xfId="41843" xr:uid="{00000000-0005-0000-0000-000054BE0000}"/>
    <cellStyle name="Output 2 10 3 3" xfId="39134" xr:uid="{00000000-0005-0000-0000-000055BE0000}"/>
    <cellStyle name="Output 2 10 3 4" xfId="29771" xr:uid="{00000000-0005-0000-0000-000056BE0000}"/>
    <cellStyle name="Output 2 10 3 5" xfId="53395" xr:uid="{00000000-0005-0000-0000-000057BE0000}"/>
    <cellStyle name="Output 2 10 4" xfId="19214" xr:uid="{00000000-0005-0000-0000-000058BE0000}"/>
    <cellStyle name="Output 2 10 4 2" xfId="44751" xr:uid="{00000000-0005-0000-0000-000059BE0000}"/>
    <cellStyle name="Output 2 10 4 3" xfId="48657" xr:uid="{00000000-0005-0000-0000-00005ABE0000}"/>
    <cellStyle name="Output 2 10 4 4" xfId="36799" xr:uid="{00000000-0005-0000-0000-00005BBE0000}"/>
    <cellStyle name="Output 2 10 5" xfId="53289" xr:uid="{00000000-0005-0000-0000-00005CBE0000}"/>
    <cellStyle name="Output 2 11" xfId="3247" xr:uid="{00000000-0005-0000-0000-00005DBE0000}"/>
    <cellStyle name="Output 2 11 2" xfId="7461" xr:uid="{00000000-0005-0000-0000-00005EBE0000}"/>
    <cellStyle name="Output 2 11 2 10" xfId="39615" xr:uid="{00000000-0005-0000-0000-00005FBE0000}"/>
    <cellStyle name="Output 2 11 2 11" xfId="53292" xr:uid="{00000000-0005-0000-0000-000060BE0000}"/>
    <cellStyle name="Output 2 11 2 2" xfId="10734" xr:uid="{00000000-0005-0000-0000-000061BE0000}"/>
    <cellStyle name="Output 2 11 2 2 2" xfId="18527" xr:uid="{00000000-0005-0000-0000-000062BE0000}"/>
    <cellStyle name="Output 2 11 2 2 2 2" xfId="44074" xr:uid="{00000000-0005-0000-0000-000063BE0000}"/>
    <cellStyle name="Output 2 11 2 2 2 3" xfId="47983" xr:uid="{00000000-0005-0000-0000-000064BE0000}"/>
    <cellStyle name="Output 2 11 2 2 2 4" xfId="36164" xr:uid="{00000000-0005-0000-0000-000065BE0000}"/>
    <cellStyle name="Output 2 11 2 2 3" xfId="12631" xr:uid="{00000000-0005-0000-0000-000066BE0000}"/>
    <cellStyle name="Output 2 11 2 2 3 2" xfId="42110" xr:uid="{00000000-0005-0000-0000-000067BE0000}"/>
    <cellStyle name="Output 2 11 2 2 3 3" xfId="39662" xr:uid="{00000000-0005-0000-0000-000068BE0000}"/>
    <cellStyle name="Output 2 11 2 2 3 4" xfId="30296" xr:uid="{00000000-0005-0000-0000-000069BE0000}"/>
    <cellStyle name="Output 2 11 2 2 4" xfId="19850" xr:uid="{00000000-0005-0000-0000-00006ABE0000}"/>
    <cellStyle name="Output 2 11 2 2 4 2" xfId="45387" xr:uid="{00000000-0005-0000-0000-00006BBE0000}"/>
    <cellStyle name="Output 2 11 2 2 4 3" xfId="49293" xr:uid="{00000000-0005-0000-0000-00006CBE0000}"/>
    <cellStyle name="Output 2 11 2 2 4 4" xfId="37366" xr:uid="{00000000-0005-0000-0000-00006DBE0000}"/>
    <cellStyle name="Output 2 11 2 2 5" xfId="20940" xr:uid="{00000000-0005-0000-0000-00006EBE0000}"/>
    <cellStyle name="Output 2 11 2 2 5 2" xfId="46477" xr:uid="{00000000-0005-0000-0000-00006FBE0000}"/>
    <cellStyle name="Output 2 11 2 2 5 3" xfId="50383" xr:uid="{00000000-0005-0000-0000-000070BE0000}"/>
    <cellStyle name="Output 2 11 2 2 5 4" xfId="38346" xr:uid="{00000000-0005-0000-0000-000071BE0000}"/>
    <cellStyle name="Output 2 11 2 2 6" xfId="21593" xr:uid="{00000000-0005-0000-0000-000072BE0000}"/>
    <cellStyle name="Output 2 11 2 2 6 2" xfId="47130" xr:uid="{00000000-0005-0000-0000-000073BE0000}"/>
    <cellStyle name="Output 2 11 2 2 6 3" xfId="51036" xr:uid="{00000000-0005-0000-0000-000074BE0000}"/>
    <cellStyle name="Output 2 11 2 2 7" xfId="40933" xr:uid="{00000000-0005-0000-0000-000075BE0000}"/>
    <cellStyle name="Output 2 11 2 2 8" xfId="42843" xr:uid="{00000000-0005-0000-0000-000076BE0000}"/>
    <cellStyle name="Output 2 11 2 2 9" xfId="53398" xr:uid="{00000000-0005-0000-0000-000077BE0000}"/>
    <cellStyle name="Output 2 11 2 3" xfId="11029" xr:uid="{00000000-0005-0000-0000-000078BE0000}"/>
    <cellStyle name="Output 2 11 2 3 2" xfId="18822" xr:uid="{00000000-0005-0000-0000-000079BE0000}"/>
    <cellStyle name="Output 2 11 2 3 2 2" xfId="44369" xr:uid="{00000000-0005-0000-0000-00007ABE0000}"/>
    <cellStyle name="Output 2 11 2 3 2 3" xfId="48278" xr:uid="{00000000-0005-0000-0000-00007BBE0000}"/>
    <cellStyle name="Output 2 11 2 3 2 4" xfId="36459" xr:uid="{00000000-0005-0000-0000-00007CBE0000}"/>
    <cellStyle name="Output 2 11 2 3 3" xfId="20415" xr:uid="{00000000-0005-0000-0000-00007DBE0000}"/>
    <cellStyle name="Output 2 11 2 3 3 2" xfId="45952" xr:uid="{00000000-0005-0000-0000-00007EBE0000}"/>
    <cellStyle name="Output 2 11 2 3 3 3" xfId="49858" xr:uid="{00000000-0005-0000-0000-00007FBE0000}"/>
    <cellStyle name="Output 2 11 2 3 3 4" xfId="37869" xr:uid="{00000000-0005-0000-0000-000080BE0000}"/>
    <cellStyle name="Output 2 11 2 3 4" xfId="20559" xr:uid="{00000000-0005-0000-0000-000081BE0000}"/>
    <cellStyle name="Output 2 11 2 3 4 2" xfId="46096" xr:uid="{00000000-0005-0000-0000-000082BE0000}"/>
    <cellStyle name="Output 2 11 2 3 4 3" xfId="50002" xr:uid="{00000000-0005-0000-0000-000083BE0000}"/>
    <cellStyle name="Output 2 11 2 3 4 4" xfId="37986" xr:uid="{00000000-0005-0000-0000-000084BE0000}"/>
    <cellStyle name="Output 2 11 2 3 5" xfId="21235" xr:uid="{00000000-0005-0000-0000-000085BE0000}"/>
    <cellStyle name="Output 2 11 2 3 5 2" xfId="46772" xr:uid="{00000000-0005-0000-0000-000086BE0000}"/>
    <cellStyle name="Output 2 11 2 3 5 3" xfId="50678" xr:uid="{00000000-0005-0000-0000-000087BE0000}"/>
    <cellStyle name="Output 2 11 2 3 5 4" xfId="38641" xr:uid="{00000000-0005-0000-0000-000088BE0000}"/>
    <cellStyle name="Output 2 11 2 3 6" xfId="21888" xr:uid="{00000000-0005-0000-0000-000089BE0000}"/>
    <cellStyle name="Output 2 11 2 3 6 2" xfId="47425" xr:uid="{00000000-0005-0000-0000-00008ABE0000}"/>
    <cellStyle name="Output 2 11 2 3 6 3" xfId="51331" xr:uid="{00000000-0005-0000-0000-00008BBE0000}"/>
    <cellStyle name="Output 2 11 2 3 7" xfId="41228" xr:uid="{00000000-0005-0000-0000-00008CBE0000}"/>
    <cellStyle name="Output 2 11 2 3 8" xfId="41422" xr:uid="{00000000-0005-0000-0000-00008DBE0000}"/>
    <cellStyle name="Output 2 11 2 4" xfId="15249" xr:uid="{00000000-0005-0000-0000-00008EBE0000}"/>
    <cellStyle name="Output 2 11 2 4 2" xfId="43122" xr:uid="{00000000-0005-0000-0000-00008FBE0000}"/>
    <cellStyle name="Output 2 11 2 4 3" xfId="43555" xr:uid="{00000000-0005-0000-0000-000090BE0000}"/>
    <cellStyle name="Output 2 11 2 4 4" xfId="32884" xr:uid="{00000000-0005-0000-0000-000091BE0000}"/>
    <cellStyle name="Output 2 11 2 5" xfId="19818" xr:uid="{00000000-0005-0000-0000-000092BE0000}"/>
    <cellStyle name="Output 2 11 2 5 2" xfId="45355" xr:uid="{00000000-0005-0000-0000-000093BE0000}"/>
    <cellStyle name="Output 2 11 2 5 3" xfId="49261" xr:uid="{00000000-0005-0000-0000-000094BE0000}"/>
    <cellStyle name="Output 2 11 2 5 4" xfId="37339" xr:uid="{00000000-0005-0000-0000-000095BE0000}"/>
    <cellStyle name="Output 2 11 2 6" xfId="20285" xr:uid="{00000000-0005-0000-0000-000096BE0000}"/>
    <cellStyle name="Output 2 11 2 6 2" xfId="45822" xr:uid="{00000000-0005-0000-0000-000097BE0000}"/>
    <cellStyle name="Output 2 11 2 6 3" xfId="49728" xr:uid="{00000000-0005-0000-0000-000098BE0000}"/>
    <cellStyle name="Output 2 11 2 6 4" xfId="37753" xr:uid="{00000000-0005-0000-0000-000099BE0000}"/>
    <cellStyle name="Output 2 11 2 7" xfId="19693" xr:uid="{00000000-0005-0000-0000-00009ABE0000}"/>
    <cellStyle name="Output 2 11 2 7 2" xfId="45230" xr:uid="{00000000-0005-0000-0000-00009BBE0000}"/>
    <cellStyle name="Output 2 11 2 7 3" xfId="49136" xr:uid="{00000000-0005-0000-0000-00009CBE0000}"/>
    <cellStyle name="Output 2 11 2 7 4" xfId="37224" xr:uid="{00000000-0005-0000-0000-00009DBE0000}"/>
    <cellStyle name="Output 2 11 2 8" xfId="19006" xr:uid="{00000000-0005-0000-0000-00009EBE0000}"/>
    <cellStyle name="Output 2 11 2 8 2" xfId="44543" xr:uid="{00000000-0005-0000-0000-00009FBE0000}"/>
    <cellStyle name="Output 2 11 2 8 3" xfId="48449" xr:uid="{00000000-0005-0000-0000-0000A0BE0000}"/>
    <cellStyle name="Output 2 11 2 9" xfId="39982" xr:uid="{00000000-0005-0000-0000-0000A1BE0000}"/>
    <cellStyle name="Output 2 11 3" xfId="12099" xr:uid="{00000000-0005-0000-0000-0000A2BE0000}"/>
    <cellStyle name="Output 2 11 3 2" xfId="41844" xr:uid="{00000000-0005-0000-0000-0000A3BE0000}"/>
    <cellStyle name="Output 2 11 3 3" xfId="39133" xr:uid="{00000000-0005-0000-0000-0000A4BE0000}"/>
    <cellStyle name="Output 2 11 3 4" xfId="29772" xr:uid="{00000000-0005-0000-0000-0000A5BE0000}"/>
    <cellStyle name="Output 2 11 3 5" xfId="53397" xr:uid="{00000000-0005-0000-0000-0000A6BE0000}"/>
    <cellStyle name="Output 2 11 4" xfId="19844" xr:uid="{00000000-0005-0000-0000-0000A7BE0000}"/>
    <cellStyle name="Output 2 11 4 2" xfId="45381" xr:uid="{00000000-0005-0000-0000-0000A8BE0000}"/>
    <cellStyle name="Output 2 11 4 3" xfId="49287" xr:uid="{00000000-0005-0000-0000-0000A9BE0000}"/>
    <cellStyle name="Output 2 11 4 4" xfId="37361" xr:uid="{00000000-0005-0000-0000-0000AABE0000}"/>
    <cellStyle name="Output 2 11 5" xfId="53291" xr:uid="{00000000-0005-0000-0000-0000ABBE0000}"/>
    <cellStyle name="Output 2 12" xfId="3248" xr:uid="{00000000-0005-0000-0000-0000ACBE0000}"/>
    <cellStyle name="Output 2 12 2" xfId="7462" xr:uid="{00000000-0005-0000-0000-0000ADBE0000}"/>
    <cellStyle name="Output 2 12 2 10" xfId="47551" xr:uid="{00000000-0005-0000-0000-0000AEBE0000}"/>
    <cellStyle name="Output 2 12 2 11" xfId="53294" xr:uid="{00000000-0005-0000-0000-0000AFBE0000}"/>
    <cellStyle name="Output 2 12 2 2" xfId="10735" xr:uid="{00000000-0005-0000-0000-0000B0BE0000}"/>
    <cellStyle name="Output 2 12 2 2 2" xfId="18528" xr:uid="{00000000-0005-0000-0000-0000B1BE0000}"/>
    <cellStyle name="Output 2 12 2 2 2 2" xfId="44075" xr:uid="{00000000-0005-0000-0000-0000B2BE0000}"/>
    <cellStyle name="Output 2 12 2 2 2 3" xfId="47984" xr:uid="{00000000-0005-0000-0000-0000B3BE0000}"/>
    <cellStyle name="Output 2 12 2 2 2 4" xfId="36165" xr:uid="{00000000-0005-0000-0000-0000B4BE0000}"/>
    <cellStyle name="Output 2 12 2 2 3" xfId="19602" xr:uid="{00000000-0005-0000-0000-0000B5BE0000}"/>
    <cellStyle name="Output 2 12 2 2 3 2" xfId="45139" xr:uid="{00000000-0005-0000-0000-0000B6BE0000}"/>
    <cellStyle name="Output 2 12 2 2 3 3" xfId="49045" xr:uid="{00000000-0005-0000-0000-0000B7BE0000}"/>
    <cellStyle name="Output 2 12 2 2 3 4" xfId="37142" xr:uid="{00000000-0005-0000-0000-0000B8BE0000}"/>
    <cellStyle name="Output 2 12 2 2 4" xfId="19162" xr:uid="{00000000-0005-0000-0000-0000B9BE0000}"/>
    <cellStyle name="Output 2 12 2 2 4 2" xfId="44699" xr:uid="{00000000-0005-0000-0000-0000BABE0000}"/>
    <cellStyle name="Output 2 12 2 2 4 3" xfId="48605" xr:uid="{00000000-0005-0000-0000-0000BBBE0000}"/>
    <cellStyle name="Output 2 12 2 2 4 4" xfId="36754" xr:uid="{00000000-0005-0000-0000-0000BCBE0000}"/>
    <cellStyle name="Output 2 12 2 2 5" xfId="20941" xr:uid="{00000000-0005-0000-0000-0000BDBE0000}"/>
    <cellStyle name="Output 2 12 2 2 5 2" xfId="46478" xr:uid="{00000000-0005-0000-0000-0000BEBE0000}"/>
    <cellStyle name="Output 2 12 2 2 5 3" xfId="50384" xr:uid="{00000000-0005-0000-0000-0000BFBE0000}"/>
    <cellStyle name="Output 2 12 2 2 5 4" xfId="38347" xr:uid="{00000000-0005-0000-0000-0000C0BE0000}"/>
    <cellStyle name="Output 2 12 2 2 6" xfId="21594" xr:uid="{00000000-0005-0000-0000-0000C1BE0000}"/>
    <cellStyle name="Output 2 12 2 2 6 2" xfId="47131" xr:uid="{00000000-0005-0000-0000-0000C2BE0000}"/>
    <cellStyle name="Output 2 12 2 2 6 3" xfId="51037" xr:uid="{00000000-0005-0000-0000-0000C3BE0000}"/>
    <cellStyle name="Output 2 12 2 2 7" xfId="40934" xr:uid="{00000000-0005-0000-0000-0000C4BE0000}"/>
    <cellStyle name="Output 2 12 2 2 8" xfId="43732" xr:uid="{00000000-0005-0000-0000-0000C5BE0000}"/>
    <cellStyle name="Output 2 12 2 2 9" xfId="53400" xr:uid="{00000000-0005-0000-0000-0000C6BE0000}"/>
    <cellStyle name="Output 2 12 2 3" xfId="11030" xr:uid="{00000000-0005-0000-0000-0000C7BE0000}"/>
    <cellStyle name="Output 2 12 2 3 2" xfId="18823" xr:uid="{00000000-0005-0000-0000-0000C8BE0000}"/>
    <cellStyle name="Output 2 12 2 3 2 2" xfId="44370" xr:uid="{00000000-0005-0000-0000-0000C9BE0000}"/>
    <cellStyle name="Output 2 12 2 3 2 3" xfId="48279" xr:uid="{00000000-0005-0000-0000-0000CABE0000}"/>
    <cellStyle name="Output 2 12 2 3 2 4" xfId="36460" xr:uid="{00000000-0005-0000-0000-0000CBBE0000}"/>
    <cellStyle name="Output 2 12 2 3 3" xfId="20416" xr:uid="{00000000-0005-0000-0000-0000CCBE0000}"/>
    <cellStyle name="Output 2 12 2 3 3 2" xfId="45953" xr:uid="{00000000-0005-0000-0000-0000CDBE0000}"/>
    <cellStyle name="Output 2 12 2 3 3 3" xfId="49859" xr:uid="{00000000-0005-0000-0000-0000CEBE0000}"/>
    <cellStyle name="Output 2 12 2 3 3 4" xfId="37870" xr:uid="{00000000-0005-0000-0000-0000CFBE0000}"/>
    <cellStyle name="Output 2 12 2 3 4" xfId="20560" xr:uid="{00000000-0005-0000-0000-0000D0BE0000}"/>
    <cellStyle name="Output 2 12 2 3 4 2" xfId="46097" xr:uid="{00000000-0005-0000-0000-0000D1BE0000}"/>
    <cellStyle name="Output 2 12 2 3 4 3" xfId="50003" xr:uid="{00000000-0005-0000-0000-0000D2BE0000}"/>
    <cellStyle name="Output 2 12 2 3 4 4" xfId="37987" xr:uid="{00000000-0005-0000-0000-0000D3BE0000}"/>
    <cellStyle name="Output 2 12 2 3 5" xfId="21236" xr:uid="{00000000-0005-0000-0000-0000D4BE0000}"/>
    <cellStyle name="Output 2 12 2 3 5 2" xfId="46773" xr:uid="{00000000-0005-0000-0000-0000D5BE0000}"/>
    <cellStyle name="Output 2 12 2 3 5 3" xfId="50679" xr:uid="{00000000-0005-0000-0000-0000D6BE0000}"/>
    <cellStyle name="Output 2 12 2 3 5 4" xfId="38642" xr:uid="{00000000-0005-0000-0000-0000D7BE0000}"/>
    <cellStyle name="Output 2 12 2 3 6" xfId="21889" xr:uid="{00000000-0005-0000-0000-0000D8BE0000}"/>
    <cellStyle name="Output 2 12 2 3 6 2" xfId="47426" xr:uid="{00000000-0005-0000-0000-0000D9BE0000}"/>
    <cellStyle name="Output 2 12 2 3 6 3" xfId="51332" xr:uid="{00000000-0005-0000-0000-0000DABE0000}"/>
    <cellStyle name="Output 2 12 2 3 7" xfId="41229" xr:uid="{00000000-0005-0000-0000-0000DBBE0000}"/>
    <cellStyle name="Output 2 12 2 3 8" xfId="43225" xr:uid="{00000000-0005-0000-0000-0000DCBE0000}"/>
    <cellStyle name="Output 2 12 2 4" xfId="15250" xr:uid="{00000000-0005-0000-0000-0000DDBE0000}"/>
    <cellStyle name="Output 2 12 2 4 2" xfId="43123" xr:uid="{00000000-0005-0000-0000-0000DEBE0000}"/>
    <cellStyle name="Output 2 12 2 4 3" xfId="40417" xr:uid="{00000000-0005-0000-0000-0000DFBE0000}"/>
    <cellStyle name="Output 2 12 2 4 4" xfId="32885" xr:uid="{00000000-0005-0000-0000-0000E0BE0000}"/>
    <cellStyle name="Output 2 12 2 5" xfId="11367" xr:uid="{00000000-0005-0000-0000-0000E1BE0000}"/>
    <cellStyle name="Output 2 12 2 5 2" xfId="41403" xr:uid="{00000000-0005-0000-0000-0000E2BE0000}"/>
    <cellStyle name="Output 2 12 2 5 3" xfId="42720" xr:uid="{00000000-0005-0000-0000-0000E3BE0000}"/>
    <cellStyle name="Output 2 12 2 5 4" xfId="29090" xr:uid="{00000000-0005-0000-0000-0000E4BE0000}"/>
    <cellStyle name="Output 2 12 2 6" xfId="18910" xr:uid="{00000000-0005-0000-0000-0000E5BE0000}"/>
    <cellStyle name="Output 2 12 2 6 2" xfId="44447" xr:uid="{00000000-0005-0000-0000-0000E6BE0000}"/>
    <cellStyle name="Output 2 12 2 6 3" xfId="48353" xr:uid="{00000000-0005-0000-0000-0000E7BE0000}"/>
    <cellStyle name="Output 2 12 2 6 4" xfId="36542" xr:uid="{00000000-0005-0000-0000-0000E8BE0000}"/>
    <cellStyle name="Output 2 12 2 7" xfId="19467" xr:uid="{00000000-0005-0000-0000-0000E9BE0000}"/>
    <cellStyle name="Output 2 12 2 7 2" xfId="45004" xr:uid="{00000000-0005-0000-0000-0000EABE0000}"/>
    <cellStyle name="Output 2 12 2 7 3" xfId="48910" xr:uid="{00000000-0005-0000-0000-0000EBBE0000}"/>
    <cellStyle name="Output 2 12 2 7 4" xfId="37025" xr:uid="{00000000-0005-0000-0000-0000ECBE0000}"/>
    <cellStyle name="Output 2 12 2 8" xfId="20342" xr:uid="{00000000-0005-0000-0000-0000EDBE0000}"/>
    <cellStyle name="Output 2 12 2 8 2" xfId="45879" xr:uid="{00000000-0005-0000-0000-0000EEBE0000}"/>
    <cellStyle name="Output 2 12 2 8 3" xfId="49785" xr:uid="{00000000-0005-0000-0000-0000EFBE0000}"/>
    <cellStyle name="Output 2 12 2 9" xfId="39983" xr:uid="{00000000-0005-0000-0000-0000F0BE0000}"/>
    <cellStyle name="Output 2 12 3" xfId="12100" xr:uid="{00000000-0005-0000-0000-0000F1BE0000}"/>
    <cellStyle name="Output 2 12 3 2" xfId="41845" xr:uid="{00000000-0005-0000-0000-0000F2BE0000}"/>
    <cellStyle name="Output 2 12 3 3" xfId="39132" xr:uid="{00000000-0005-0000-0000-0000F3BE0000}"/>
    <cellStyle name="Output 2 12 3 4" xfId="29773" xr:uid="{00000000-0005-0000-0000-0000F4BE0000}"/>
    <cellStyle name="Output 2 12 3 5" xfId="53399" xr:uid="{00000000-0005-0000-0000-0000F5BE0000}"/>
    <cellStyle name="Output 2 12 4" xfId="18975" xr:uid="{00000000-0005-0000-0000-0000F6BE0000}"/>
    <cellStyle name="Output 2 12 4 2" xfId="44512" xr:uid="{00000000-0005-0000-0000-0000F7BE0000}"/>
    <cellStyle name="Output 2 12 4 3" xfId="48418" xr:uid="{00000000-0005-0000-0000-0000F8BE0000}"/>
    <cellStyle name="Output 2 12 4 4" xfId="36600" xr:uid="{00000000-0005-0000-0000-0000F9BE0000}"/>
    <cellStyle name="Output 2 12 5" xfId="53293" xr:uid="{00000000-0005-0000-0000-0000FABE0000}"/>
    <cellStyle name="Output 2 13" xfId="3249" xr:uid="{00000000-0005-0000-0000-0000FBBE0000}"/>
    <cellStyle name="Output 2 13 2" xfId="7463" xr:uid="{00000000-0005-0000-0000-0000FCBE0000}"/>
    <cellStyle name="Output 2 13 2 10" xfId="42623" xr:uid="{00000000-0005-0000-0000-0000FDBE0000}"/>
    <cellStyle name="Output 2 13 2 11" xfId="53296" xr:uid="{00000000-0005-0000-0000-0000FEBE0000}"/>
    <cellStyle name="Output 2 13 2 2" xfId="10736" xr:uid="{00000000-0005-0000-0000-0000FFBE0000}"/>
    <cellStyle name="Output 2 13 2 2 2" xfId="18529" xr:uid="{00000000-0005-0000-0000-000000BF0000}"/>
    <cellStyle name="Output 2 13 2 2 2 2" xfId="44076" xr:uid="{00000000-0005-0000-0000-000001BF0000}"/>
    <cellStyle name="Output 2 13 2 2 2 3" xfId="47985" xr:uid="{00000000-0005-0000-0000-000002BF0000}"/>
    <cellStyle name="Output 2 13 2 2 2 4" xfId="36166" xr:uid="{00000000-0005-0000-0000-000003BF0000}"/>
    <cellStyle name="Output 2 13 2 2 3" xfId="20155" xr:uid="{00000000-0005-0000-0000-000004BF0000}"/>
    <cellStyle name="Output 2 13 2 2 3 2" xfId="45692" xr:uid="{00000000-0005-0000-0000-000005BF0000}"/>
    <cellStyle name="Output 2 13 2 2 3 3" xfId="49598" xr:uid="{00000000-0005-0000-0000-000006BF0000}"/>
    <cellStyle name="Output 2 13 2 2 3 4" xfId="37641" xr:uid="{00000000-0005-0000-0000-000007BF0000}"/>
    <cellStyle name="Output 2 13 2 2 4" xfId="19083" xr:uid="{00000000-0005-0000-0000-000008BF0000}"/>
    <cellStyle name="Output 2 13 2 2 4 2" xfId="44620" xr:uid="{00000000-0005-0000-0000-000009BF0000}"/>
    <cellStyle name="Output 2 13 2 2 4 3" xfId="48526" xr:uid="{00000000-0005-0000-0000-00000ABF0000}"/>
    <cellStyle name="Output 2 13 2 2 4 4" xfId="36679" xr:uid="{00000000-0005-0000-0000-00000BBF0000}"/>
    <cellStyle name="Output 2 13 2 2 5" xfId="20942" xr:uid="{00000000-0005-0000-0000-00000CBF0000}"/>
    <cellStyle name="Output 2 13 2 2 5 2" xfId="46479" xr:uid="{00000000-0005-0000-0000-00000DBF0000}"/>
    <cellStyle name="Output 2 13 2 2 5 3" xfId="50385" xr:uid="{00000000-0005-0000-0000-00000EBF0000}"/>
    <cellStyle name="Output 2 13 2 2 5 4" xfId="38348" xr:uid="{00000000-0005-0000-0000-00000FBF0000}"/>
    <cellStyle name="Output 2 13 2 2 6" xfId="21595" xr:uid="{00000000-0005-0000-0000-000010BF0000}"/>
    <cellStyle name="Output 2 13 2 2 6 2" xfId="47132" xr:uid="{00000000-0005-0000-0000-000011BF0000}"/>
    <cellStyle name="Output 2 13 2 2 6 3" xfId="51038" xr:uid="{00000000-0005-0000-0000-000012BF0000}"/>
    <cellStyle name="Output 2 13 2 2 7" xfId="40935" xr:uid="{00000000-0005-0000-0000-000013BF0000}"/>
    <cellStyle name="Output 2 13 2 2 8" xfId="40591" xr:uid="{00000000-0005-0000-0000-000014BF0000}"/>
    <cellStyle name="Output 2 13 2 2 9" xfId="53402" xr:uid="{00000000-0005-0000-0000-000015BF0000}"/>
    <cellStyle name="Output 2 13 2 3" xfId="11031" xr:uid="{00000000-0005-0000-0000-000016BF0000}"/>
    <cellStyle name="Output 2 13 2 3 2" xfId="18824" xr:uid="{00000000-0005-0000-0000-000017BF0000}"/>
    <cellStyle name="Output 2 13 2 3 2 2" xfId="44371" xr:uid="{00000000-0005-0000-0000-000018BF0000}"/>
    <cellStyle name="Output 2 13 2 3 2 3" xfId="48280" xr:uid="{00000000-0005-0000-0000-000019BF0000}"/>
    <cellStyle name="Output 2 13 2 3 2 4" xfId="36461" xr:uid="{00000000-0005-0000-0000-00001ABF0000}"/>
    <cellStyle name="Output 2 13 2 3 3" xfId="20417" xr:uid="{00000000-0005-0000-0000-00001BBF0000}"/>
    <cellStyle name="Output 2 13 2 3 3 2" xfId="45954" xr:uid="{00000000-0005-0000-0000-00001CBF0000}"/>
    <cellStyle name="Output 2 13 2 3 3 3" xfId="49860" xr:uid="{00000000-0005-0000-0000-00001DBF0000}"/>
    <cellStyle name="Output 2 13 2 3 3 4" xfId="37871" xr:uid="{00000000-0005-0000-0000-00001EBF0000}"/>
    <cellStyle name="Output 2 13 2 3 4" xfId="20561" xr:uid="{00000000-0005-0000-0000-00001FBF0000}"/>
    <cellStyle name="Output 2 13 2 3 4 2" xfId="46098" xr:uid="{00000000-0005-0000-0000-000020BF0000}"/>
    <cellStyle name="Output 2 13 2 3 4 3" xfId="50004" xr:uid="{00000000-0005-0000-0000-000021BF0000}"/>
    <cellStyle name="Output 2 13 2 3 4 4" xfId="37988" xr:uid="{00000000-0005-0000-0000-000022BF0000}"/>
    <cellStyle name="Output 2 13 2 3 5" xfId="21237" xr:uid="{00000000-0005-0000-0000-000023BF0000}"/>
    <cellStyle name="Output 2 13 2 3 5 2" xfId="46774" xr:uid="{00000000-0005-0000-0000-000024BF0000}"/>
    <cellStyle name="Output 2 13 2 3 5 3" xfId="50680" xr:uid="{00000000-0005-0000-0000-000025BF0000}"/>
    <cellStyle name="Output 2 13 2 3 5 4" xfId="38643" xr:uid="{00000000-0005-0000-0000-000026BF0000}"/>
    <cellStyle name="Output 2 13 2 3 6" xfId="21890" xr:uid="{00000000-0005-0000-0000-000027BF0000}"/>
    <cellStyle name="Output 2 13 2 3 6 2" xfId="47427" xr:uid="{00000000-0005-0000-0000-000028BF0000}"/>
    <cellStyle name="Output 2 13 2 3 6 3" xfId="51333" xr:uid="{00000000-0005-0000-0000-000029BF0000}"/>
    <cellStyle name="Output 2 13 2 3 7" xfId="41230" xr:uid="{00000000-0005-0000-0000-00002ABF0000}"/>
    <cellStyle name="Output 2 13 2 3 8" xfId="40084" xr:uid="{00000000-0005-0000-0000-00002BBF0000}"/>
    <cellStyle name="Output 2 13 2 4" xfId="15251" xr:uid="{00000000-0005-0000-0000-00002CBF0000}"/>
    <cellStyle name="Output 2 13 2 4 2" xfId="43124" xr:uid="{00000000-0005-0000-0000-00002DBF0000}"/>
    <cellStyle name="Output 2 13 2 4 3" xfId="39526" xr:uid="{00000000-0005-0000-0000-00002EBF0000}"/>
    <cellStyle name="Output 2 13 2 4 4" xfId="32886" xr:uid="{00000000-0005-0000-0000-00002FBF0000}"/>
    <cellStyle name="Output 2 13 2 5" xfId="12049" xr:uid="{00000000-0005-0000-0000-000030BF0000}"/>
    <cellStyle name="Output 2 13 2 5 2" xfId="41804" xr:uid="{00000000-0005-0000-0000-000031BF0000}"/>
    <cellStyle name="Output 2 13 2 5 3" xfId="39566" xr:uid="{00000000-0005-0000-0000-000032BF0000}"/>
    <cellStyle name="Output 2 13 2 5 4" xfId="29728" xr:uid="{00000000-0005-0000-0000-000033BF0000}"/>
    <cellStyle name="Output 2 13 2 6" xfId="20117" xr:uid="{00000000-0005-0000-0000-000034BF0000}"/>
    <cellStyle name="Output 2 13 2 6 2" xfId="45654" xr:uid="{00000000-0005-0000-0000-000035BF0000}"/>
    <cellStyle name="Output 2 13 2 6 3" xfId="49560" xr:uid="{00000000-0005-0000-0000-000036BF0000}"/>
    <cellStyle name="Output 2 13 2 6 4" xfId="37604" xr:uid="{00000000-0005-0000-0000-000037BF0000}"/>
    <cellStyle name="Output 2 13 2 7" xfId="20201" xr:uid="{00000000-0005-0000-0000-000038BF0000}"/>
    <cellStyle name="Output 2 13 2 7 2" xfId="45738" xr:uid="{00000000-0005-0000-0000-000039BF0000}"/>
    <cellStyle name="Output 2 13 2 7 3" xfId="49644" xr:uid="{00000000-0005-0000-0000-00003ABF0000}"/>
    <cellStyle name="Output 2 13 2 7 4" xfId="37683" xr:uid="{00000000-0005-0000-0000-00003BBF0000}"/>
    <cellStyle name="Output 2 13 2 8" xfId="11631" xr:uid="{00000000-0005-0000-0000-00003CBF0000}"/>
    <cellStyle name="Output 2 13 2 8 2" xfId="41642" xr:uid="{00000000-0005-0000-0000-00003DBF0000}"/>
    <cellStyle name="Output 2 13 2 8 3" xfId="39166" xr:uid="{00000000-0005-0000-0000-00003EBF0000}"/>
    <cellStyle name="Output 2 13 2 9" xfId="39984" xr:uid="{00000000-0005-0000-0000-00003FBF0000}"/>
    <cellStyle name="Output 2 13 3" xfId="12101" xr:uid="{00000000-0005-0000-0000-000040BF0000}"/>
    <cellStyle name="Output 2 13 3 2" xfId="41846" xr:uid="{00000000-0005-0000-0000-000041BF0000}"/>
    <cellStyle name="Output 2 13 3 3" xfId="39131" xr:uid="{00000000-0005-0000-0000-000042BF0000}"/>
    <cellStyle name="Output 2 13 3 4" xfId="29774" xr:uid="{00000000-0005-0000-0000-000043BF0000}"/>
    <cellStyle name="Output 2 13 3 5" xfId="53401" xr:uid="{00000000-0005-0000-0000-000044BF0000}"/>
    <cellStyle name="Output 2 13 4" xfId="11607" xr:uid="{00000000-0005-0000-0000-000045BF0000}"/>
    <cellStyle name="Output 2 13 4 2" xfId="41618" xr:uid="{00000000-0005-0000-0000-000046BF0000}"/>
    <cellStyle name="Output 2 13 4 3" xfId="43346" xr:uid="{00000000-0005-0000-0000-000047BF0000}"/>
    <cellStyle name="Output 2 13 4 4" xfId="29310" xr:uid="{00000000-0005-0000-0000-000048BF0000}"/>
    <cellStyle name="Output 2 13 5" xfId="53295" xr:uid="{00000000-0005-0000-0000-000049BF0000}"/>
    <cellStyle name="Output 2 14" xfId="3250" xr:uid="{00000000-0005-0000-0000-00004ABF0000}"/>
    <cellStyle name="Output 2 14 2" xfId="7464" xr:uid="{00000000-0005-0000-0000-00004BBF0000}"/>
    <cellStyle name="Output 2 14 2 10" xfId="43536" xr:uid="{00000000-0005-0000-0000-00004CBF0000}"/>
    <cellStyle name="Output 2 14 2 11" xfId="53403" xr:uid="{00000000-0005-0000-0000-00004DBF0000}"/>
    <cellStyle name="Output 2 14 2 2" xfId="10737" xr:uid="{00000000-0005-0000-0000-00004EBF0000}"/>
    <cellStyle name="Output 2 14 2 2 2" xfId="18530" xr:uid="{00000000-0005-0000-0000-00004FBF0000}"/>
    <cellStyle name="Output 2 14 2 2 2 2" xfId="44077" xr:uid="{00000000-0005-0000-0000-000050BF0000}"/>
    <cellStyle name="Output 2 14 2 2 2 3" xfId="47986" xr:uid="{00000000-0005-0000-0000-000051BF0000}"/>
    <cellStyle name="Output 2 14 2 2 2 4" xfId="36167" xr:uid="{00000000-0005-0000-0000-000052BF0000}"/>
    <cellStyle name="Output 2 14 2 2 3" xfId="19414" xr:uid="{00000000-0005-0000-0000-000053BF0000}"/>
    <cellStyle name="Output 2 14 2 2 3 2" xfId="44951" xr:uid="{00000000-0005-0000-0000-000054BF0000}"/>
    <cellStyle name="Output 2 14 2 2 3 3" xfId="48857" xr:uid="{00000000-0005-0000-0000-000055BF0000}"/>
    <cellStyle name="Output 2 14 2 2 3 4" xfId="36979" xr:uid="{00000000-0005-0000-0000-000056BF0000}"/>
    <cellStyle name="Output 2 14 2 2 4" xfId="11639" xr:uid="{00000000-0005-0000-0000-000057BF0000}"/>
    <cellStyle name="Output 2 14 2 2 4 2" xfId="41650" xr:uid="{00000000-0005-0000-0000-000058BF0000}"/>
    <cellStyle name="Output 2 14 2 2 4 3" xfId="39348" xr:uid="{00000000-0005-0000-0000-000059BF0000}"/>
    <cellStyle name="Output 2 14 2 2 4 4" xfId="29340" xr:uid="{00000000-0005-0000-0000-00005ABF0000}"/>
    <cellStyle name="Output 2 14 2 2 5" xfId="20943" xr:uid="{00000000-0005-0000-0000-00005BBF0000}"/>
    <cellStyle name="Output 2 14 2 2 5 2" xfId="46480" xr:uid="{00000000-0005-0000-0000-00005CBF0000}"/>
    <cellStyle name="Output 2 14 2 2 5 3" xfId="50386" xr:uid="{00000000-0005-0000-0000-00005DBF0000}"/>
    <cellStyle name="Output 2 14 2 2 5 4" xfId="38349" xr:uid="{00000000-0005-0000-0000-00005EBF0000}"/>
    <cellStyle name="Output 2 14 2 2 6" xfId="21596" xr:uid="{00000000-0005-0000-0000-00005FBF0000}"/>
    <cellStyle name="Output 2 14 2 2 6 2" xfId="47133" xr:uid="{00000000-0005-0000-0000-000060BF0000}"/>
    <cellStyle name="Output 2 14 2 2 6 3" xfId="51039" xr:uid="{00000000-0005-0000-0000-000061BF0000}"/>
    <cellStyle name="Output 2 14 2 2 7" xfId="40936" xr:uid="{00000000-0005-0000-0000-000062BF0000}"/>
    <cellStyle name="Output 2 14 2 2 8" xfId="39702" xr:uid="{00000000-0005-0000-0000-000063BF0000}"/>
    <cellStyle name="Output 2 14 2 3" xfId="11032" xr:uid="{00000000-0005-0000-0000-000064BF0000}"/>
    <cellStyle name="Output 2 14 2 3 2" xfId="18825" xr:uid="{00000000-0005-0000-0000-000065BF0000}"/>
    <cellStyle name="Output 2 14 2 3 2 2" xfId="44372" xr:uid="{00000000-0005-0000-0000-000066BF0000}"/>
    <cellStyle name="Output 2 14 2 3 2 3" xfId="48281" xr:uid="{00000000-0005-0000-0000-000067BF0000}"/>
    <cellStyle name="Output 2 14 2 3 2 4" xfId="36462" xr:uid="{00000000-0005-0000-0000-000068BF0000}"/>
    <cellStyle name="Output 2 14 2 3 3" xfId="20418" xr:uid="{00000000-0005-0000-0000-000069BF0000}"/>
    <cellStyle name="Output 2 14 2 3 3 2" xfId="45955" xr:uid="{00000000-0005-0000-0000-00006ABF0000}"/>
    <cellStyle name="Output 2 14 2 3 3 3" xfId="49861" xr:uid="{00000000-0005-0000-0000-00006BBF0000}"/>
    <cellStyle name="Output 2 14 2 3 3 4" xfId="37872" xr:uid="{00000000-0005-0000-0000-00006CBF0000}"/>
    <cellStyle name="Output 2 14 2 3 4" xfId="20562" xr:uid="{00000000-0005-0000-0000-00006DBF0000}"/>
    <cellStyle name="Output 2 14 2 3 4 2" xfId="46099" xr:uid="{00000000-0005-0000-0000-00006EBF0000}"/>
    <cellStyle name="Output 2 14 2 3 4 3" xfId="50005" xr:uid="{00000000-0005-0000-0000-00006FBF0000}"/>
    <cellStyle name="Output 2 14 2 3 4 4" xfId="37989" xr:uid="{00000000-0005-0000-0000-000070BF0000}"/>
    <cellStyle name="Output 2 14 2 3 5" xfId="21238" xr:uid="{00000000-0005-0000-0000-000071BF0000}"/>
    <cellStyle name="Output 2 14 2 3 5 2" xfId="46775" xr:uid="{00000000-0005-0000-0000-000072BF0000}"/>
    <cellStyle name="Output 2 14 2 3 5 3" xfId="50681" xr:uid="{00000000-0005-0000-0000-000073BF0000}"/>
    <cellStyle name="Output 2 14 2 3 5 4" xfId="38644" xr:uid="{00000000-0005-0000-0000-000074BF0000}"/>
    <cellStyle name="Output 2 14 2 3 6" xfId="21891" xr:uid="{00000000-0005-0000-0000-000075BF0000}"/>
    <cellStyle name="Output 2 14 2 3 6 2" xfId="47428" xr:uid="{00000000-0005-0000-0000-000076BF0000}"/>
    <cellStyle name="Output 2 14 2 3 6 3" xfId="51334" xr:uid="{00000000-0005-0000-0000-000077BF0000}"/>
    <cellStyle name="Output 2 14 2 3 7" xfId="41231" xr:uid="{00000000-0005-0000-0000-000078BF0000}"/>
    <cellStyle name="Output 2 14 2 3 8" xfId="42831" xr:uid="{00000000-0005-0000-0000-000079BF0000}"/>
    <cellStyle name="Output 2 14 2 4" xfId="15252" xr:uid="{00000000-0005-0000-0000-00007ABF0000}"/>
    <cellStyle name="Output 2 14 2 4 2" xfId="43125" xr:uid="{00000000-0005-0000-0000-00007BBF0000}"/>
    <cellStyle name="Output 2 14 2 4 3" xfId="42536" xr:uid="{00000000-0005-0000-0000-00007CBF0000}"/>
    <cellStyle name="Output 2 14 2 4 4" xfId="32887" xr:uid="{00000000-0005-0000-0000-00007DBF0000}"/>
    <cellStyle name="Output 2 14 2 5" xfId="19661" xr:uid="{00000000-0005-0000-0000-00007EBF0000}"/>
    <cellStyle name="Output 2 14 2 5 2" xfId="45198" xr:uid="{00000000-0005-0000-0000-00007FBF0000}"/>
    <cellStyle name="Output 2 14 2 5 3" xfId="49104" xr:uid="{00000000-0005-0000-0000-000080BF0000}"/>
    <cellStyle name="Output 2 14 2 5 4" xfId="37195" xr:uid="{00000000-0005-0000-0000-000081BF0000}"/>
    <cellStyle name="Output 2 14 2 6" xfId="12992" xr:uid="{00000000-0005-0000-0000-000082BF0000}"/>
    <cellStyle name="Output 2 14 2 6 2" xfId="42263" xr:uid="{00000000-0005-0000-0000-000083BF0000}"/>
    <cellStyle name="Output 2 14 2 6 3" xfId="40442" xr:uid="{00000000-0005-0000-0000-000084BF0000}"/>
    <cellStyle name="Output 2 14 2 6 4" xfId="30641" xr:uid="{00000000-0005-0000-0000-000085BF0000}"/>
    <cellStyle name="Output 2 14 2 7" xfId="20485" xr:uid="{00000000-0005-0000-0000-000086BF0000}"/>
    <cellStyle name="Output 2 14 2 7 2" xfId="46022" xr:uid="{00000000-0005-0000-0000-000087BF0000}"/>
    <cellStyle name="Output 2 14 2 7 3" xfId="49928" xr:uid="{00000000-0005-0000-0000-000088BF0000}"/>
    <cellStyle name="Output 2 14 2 7 4" xfId="37935" xr:uid="{00000000-0005-0000-0000-000089BF0000}"/>
    <cellStyle name="Output 2 14 2 8" xfId="19508" xr:uid="{00000000-0005-0000-0000-00008ABF0000}"/>
    <cellStyle name="Output 2 14 2 8 2" xfId="45045" xr:uid="{00000000-0005-0000-0000-00008BBF0000}"/>
    <cellStyle name="Output 2 14 2 8 3" xfId="48951" xr:uid="{00000000-0005-0000-0000-00008CBF0000}"/>
    <cellStyle name="Output 2 14 2 9" xfId="39985" xr:uid="{00000000-0005-0000-0000-00008DBF0000}"/>
    <cellStyle name="Output 2 14 3" xfId="12102" xr:uid="{00000000-0005-0000-0000-00008EBF0000}"/>
    <cellStyle name="Output 2 14 3 2" xfId="41847" xr:uid="{00000000-0005-0000-0000-00008FBF0000}"/>
    <cellStyle name="Output 2 14 3 3" xfId="39130" xr:uid="{00000000-0005-0000-0000-000090BF0000}"/>
    <cellStyle name="Output 2 14 3 4" xfId="29775" xr:uid="{00000000-0005-0000-0000-000091BF0000}"/>
    <cellStyle name="Output 2 14 4" xfId="19684" xr:uid="{00000000-0005-0000-0000-000092BF0000}"/>
    <cellStyle name="Output 2 14 4 2" xfId="45221" xr:uid="{00000000-0005-0000-0000-000093BF0000}"/>
    <cellStyle name="Output 2 14 4 3" xfId="49127" xr:uid="{00000000-0005-0000-0000-000094BF0000}"/>
    <cellStyle name="Output 2 14 4 4" xfId="37216" xr:uid="{00000000-0005-0000-0000-000095BF0000}"/>
    <cellStyle name="Output 2 14 5" xfId="53297" xr:uid="{00000000-0005-0000-0000-000096BF0000}"/>
    <cellStyle name="Output 2 15" xfId="5310" xr:uid="{00000000-0005-0000-0000-000097BF0000}"/>
    <cellStyle name="Output 2 15 2" xfId="7465" xr:uid="{00000000-0005-0000-0000-000098BF0000}"/>
    <cellStyle name="Output 2 15 2 10" xfId="40399" xr:uid="{00000000-0005-0000-0000-000099BF0000}"/>
    <cellStyle name="Output 2 15 2 2" xfId="10738" xr:uid="{00000000-0005-0000-0000-00009ABF0000}"/>
    <cellStyle name="Output 2 15 2 2 2" xfId="18531" xr:uid="{00000000-0005-0000-0000-00009BBF0000}"/>
    <cellStyle name="Output 2 15 2 2 2 2" xfId="44078" xr:uid="{00000000-0005-0000-0000-00009CBF0000}"/>
    <cellStyle name="Output 2 15 2 2 2 3" xfId="47987" xr:uid="{00000000-0005-0000-0000-00009DBF0000}"/>
    <cellStyle name="Output 2 15 2 2 2 4" xfId="36168" xr:uid="{00000000-0005-0000-0000-00009EBF0000}"/>
    <cellStyle name="Output 2 15 2 2 3" xfId="20021" xr:uid="{00000000-0005-0000-0000-00009FBF0000}"/>
    <cellStyle name="Output 2 15 2 2 3 2" xfId="45558" xr:uid="{00000000-0005-0000-0000-0000A0BF0000}"/>
    <cellStyle name="Output 2 15 2 2 3 3" xfId="49464" xr:uid="{00000000-0005-0000-0000-0000A1BF0000}"/>
    <cellStyle name="Output 2 15 2 2 3 4" xfId="37519" xr:uid="{00000000-0005-0000-0000-0000A2BF0000}"/>
    <cellStyle name="Output 2 15 2 2 4" xfId="12899" xr:uid="{00000000-0005-0000-0000-0000A3BF0000}"/>
    <cellStyle name="Output 2 15 2 2 4 2" xfId="42254" xr:uid="{00000000-0005-0000-0000-0000A4BF0000}"/>
    <cellStyle name="Output 2 15 2 2 4 3" xfId="40444" xr:uid="{00000000-0005-0000-0000-0000A5BF0000}"/>
    <cellStyle name="Output 2 15 2 2 4 4" xfId="30549" xr:uid="{00000000-0005-0000-0000-0000A6BF0000}"/>
    <cellStyle name="Output 2 15 2 2 5" xfId="20944" xr:uid="{00000000-0005-0000-0000-0000A7BF0000}"/>
    <cellStyle name="Output 2 15 2 2 5 2" xfId="46481" xr:uid="{00000000-0005-0000-0000-0000A8BF0000}"/>
    <cellStyle name="Output 2 15 2 2 5 3" xfId="50387" xr:uid="{00000000-0005-0000-0000-0000A9BF0000}"/>
    <cellStyle name="Output 2 15 2 2 5 4" xfId="38350" xr:uid="{00000000-0005-0000-0000-0000AABF0000}"/>
    <cellStyle name="Output 2 15 2 2 6" xfId="21597" xr:uid="{00000000-0005-0000-0000-0000ABBF0000}"/>
    <cellStyle name="Output 2 15 2 2 6 2" xfId="47134" xr:uid="{00000000-0005-0000-0000-0000ACBF0000}"/>
    <cellStyle name="Output 2 15 2 2 6 3" xfId="51040" xr:uid="{00000000-0005-0000-0000-0000ADBF0000}"/>
    <cellStyle name="Output 2 15 2 2 7" xfId="40937" xr:uid="{00000000-0005-0000-0000-0000AEBF0000}"/>
    <cellStyle name="Output 2 15 2 2 8" xfId="42739" xr:uid="{00000000-0005-0000-0000-0000AFBF0000}"/>
    <cellStyle name="Output 2 15 2 3" xfId="11033" xr:uid="{00000000-0005-0000-0000-0000B0BF0000}"/>
    <cellStyle name="Output 2 15 2 3 2" xfId="18826" xr:uid="{00000000-0005-0000-0000-0000B1BF0000}"/>
    <cellStyle name="Output 2 15 2 3 2 2" xfId="44373" xr:uid="{00000000-0005-0000-0000-0000B2BF0000}"/>
    <cellStyle name="Output 2 15 2 3 2 3" xfId="48282" xr:uid="{00000000-0005-0000-0000-0000B3BF0000}"/>
    <cellStyle name="Output 2 15 2 3 2 4" xfId="36463" xr:uid="{00000000-0005-0000-0000-0000B4BF0000}"/>
    <cellStyle name="Output 2 15 2 3 3" xfId="20419" xr:uid="{00000000-0005-0000-0000-0000B5BF0000}"/>
    <cellStyle name="Output 2 15 2 3 3 2" xfId="45956" xr:uid="{00000000-0005-0000-0000-0000B6BF0000}"/>
    <cellStyle name="Output 2 15 2 3 3 3" xfId="49862" xr:uid="{00000000-0005-0000-0000-0000B7BF0000}"/>
    <cellStyle name="Output 2 15 2 3 3 4" xfId="37873" xr:uid="{00000000-0005-0000-0000-0000B8BF0000}"/>
    <cellStyle name="Output 2 15 2 3 4" xfId="20563" xr:uid="{00000000-0005-0000-0000-0000B9BF0000}"/>
    <cellStyle name="Output 2 15 2 3 4 2" xfId="46100" xr:uid="{00000000-0005-0000-0000-0000BABF0000}"/>
    <cellStyle name="Output 2 15 2 3 4 3" xfId="50006" xr:uid="{00000000-0005-0000-0000-0000BBBF0000}"/>
    <cellStyle name="Output 2 15 2 3 4 4" xfId="37990" xr:uid="{00000000-0005-0000-0000-0000BCBF0000}"/>
    <cellStyle name="Output 2 15 2 3 5" xfId="21239" xr:uid="{00000000-0005-0000-0000-0000BDBF0000}"/>
    <cellStyle name="Output 2 15 2 3 5 2" xfId="46776" xr:uid="{00000000-0005-0000-0000-0000BEBF0000}"/>
    <cellStyle name="Output 2 15 2 3 5 3" xfId="50682" xr:uid="{00000000-0005-0000-0000-0000BFBF0000}"/>
    <cellStyle name="Output 2 15 2 3 5 4" xfId="38645" xr:uid="{00000000-0005-0000-0000-0000C0BF0000}"/>
    <cellStyle name="Output 2 15 2 3 6" xfId="21892" xr:uid="{00000000-0005-0000-0000-0000C1BF0000}"/>
    <cellStyle name="Output 2 15 2 3 6 2" xfId="47429" xr:uid="{00000000-0005-0000-0000-0000C2BF0000}"/>
    <cellStyle name="Output 2 15 2 3 6 3" xfId="51335" xr:uid="{00000000-0005-0000-0000-0000C3BF0000}"/>
    <cellStyle name="Output 2 15 2 3 7" xfId="41232" xr:uid="{00000000-0005-0000-0000-0000C4BF0000}"/>
    <cellStyle name="Output 2 15 2 3 8" xfId="43720" xr:uid="{00000000-0005-0000-0000-0000C5BF0000}"/>
    <cellStyle name="Output 2 15 2 4" xfId="15253" xr:uid="{00000000-0005-0000-0000-0000C6BF0000}"/>
    <cellStyle name="Output 2 15 2 4 2" xfId="43126" xr:uid="{00000000-0005-0000-0000-0000C7BF0000}"/>
    <cellStyle name="Output 2 15 2 4 3" xfId="43447" xr:uid="{00000000-0005-0000-0000-0000C8BF0000}"/>
    <cellStyle name="Output 2 15 2 4 4" xfId="32888" xr:uid="{00000000-0005-0000-0000-0000C9BF0000}"/>
    <cellStyle name="Output 2 15 2 5" xfId="20220" xr:uid="{00000000-0005-0000-0000-0000CABF0000}"/>
    <cellStyle name="Output 2 15 2 5 2" xfId="45757" xr:uid="{00000000-0005-0000-0000-0000CBBF0000}"/>
    <cellStyle name="Output 2 15 2 5 3" xfId="49663" xr:uid="{00000000-0005-0000-0000-0000CCBF0000}"/>
    <cellStyle name="Output 2 15 2 5 4" xfId="37697" xr:uid="{00000000-0005-0000-0000-0000CDBF0000}"/>
    <cellStyle name="Output 2 15 2 6" xfId="20476" xr:uid="{00000000-0005-0000-0000-0000CEBF0000}"/>
    <cellStyle name="Output 2 15 2 6 2" xfId="46013" xr:uid="{00000000-0005-0000-0000-0000CFBF0000}"/>
    <cellStyle name="Output 2 15 2 6 3" xfId="49919" xr:uid="{00000000-0005-0000-0000-0000D0BF0000}"/>
    <cellStyle name="Output 2 15 2 6 4" xfId="37929" xr:uid="{00000000-0005-0000-0000-0000D1BF0000}"/>
    <cellStyle name="Output 2 15 2 7" xfId="12031" xr:uid="{00000000-0005-0000-0000-0000D2BF0000}"/>
    <cellStyle name="Output 2 15 2 7 2" xfId="41788" xr:uid="{00000000-0005-0000-0000-0000D3BF0000}"/>
    <cellStyle name="Output 2 15 2 7 3" xfId="40201" xr:uid="{00000000-0005-0000-0000-0000D4BF0000}"/>
    <cellStyle name="Output 2 15 2 7 4" xfId="29711" xr:uid="{00000000-0005-0000-0000-0000D5BF0000}"/>
    <cellStyle name="Output 2 15 2 8" xfId="19784" xr:uid="{00000000-0005-0000-0000-0000D6BF0000}"/>
    <cellStyle name="Output 2 15 2 8 2" xfId="45321" xr:uid="{00000000-0005-0000-0000-0000D7BF0000}"/>
    <cellStyle name="Output 2 15 2 8 3" xfId="49227" xr:uid="{00000000-0005-0000-0000-0000D8BF0000}"/>
    <cellStyle name="Output 2 15 2 9" xfId="39986" xr:uid="{00000000-0005-0000-0000-0000D9BF0000}"/>
    <cellStyle name="Output 2 15 3" xfId="13278" xr:uid="{00000000-0005-0000-0000-0000DABF0000}"/>
    <cellStyle name="Output 2 15 3 2" xfId="42448" xr:uid="{00000000-0005-0000-0000-0000DBBF0000}"/>
    <cellStyle name="Output 2 15 3 3" xfId="43192" xr:uid="{00000000-0005-0000-0000-0000DCBF0000}"/>
    <cellStyle name="Output 2 15 3 4" xfId="30923" xr:uid="{00000000-0005-0000-0000-0000DDBF0000}"/>
    <cellStyle name="Output 2 15 4" xfId="20313" xr:uid="{00000000-0005-0000-0000-0000DEBF0000}"/>
    <cellStyle name="Output 2 15 4 2" xfId="45850" xr:uid="{00000000-0005-0000-0000-0000DFBF0000}"/>
    <cellStyle name="Output 2 15 4 3" xfId="49756" xr:uid="{00000000-0005-0000-0000-0000E0BF0000}"/>
    <cellStyle name="Output 2 15 4 4" xfId="37778" xr:uid="{00000000-0005-0000-0000-0000E1BF0000}"/>
    <cellStyle name="Output 2 15 5" xfId="53394" xr:uid="{00000000-0005-0000-0000-0000E2BF0000}"/>
    <cellStyle name="Output 2 16" xfId="5311" xr:uid="{00000000-0005-0000-0000-0000E3BF0000}"/>
    <cellStyle name="Output 2 16 2" xfId="7466" xr:uid="{00000000-0005-0000-0000-0000E4BF0000}"/>
    <cellStyle name="Output 2 16 2 10" xfId="39511" xr:uid="{00000000-0005-0000-0000-0000E5BF0000}"/>
    <cellStyle name="Output 2 16 2 2" xfId="10739" xr:uid="{00000000-0005-0000-0000-0000E6BF0000}"/>
    <cellStyle name="Output 2 16 2 2 2" xfId="18532" xr:uid="{00000000-0005-0000-0000-0000E7BF0000}"/>
    <cellStyle name="Output 2 16 2 2 2 2" xfId="44079" xr:uid="{00000000-0005-0000-0000-0000E8BF0000}"/>
    <cellStyle name="Output 2 16 2 2 2 3" xfId="47988" xr:uid="{00000000-0005-0000-0000-0000E9BF0000}"/>
    <cellStyle name="Output 2 16 2 2 2 4" xfId="36169" xr:uid="{00000000-0005-0000-0000-0000EABF0000}"/>
    <cellStyle name="Output 2 16 2 2 3" xfId="19287" xr:uid="{00000000-0005-0000-0000-0000EBBF0000}"/>
    <cellStyle name="Output 2 16 2 2 3 2" xfId="44824" xr:uid="{00000000-0005-0000-0000-0000ECBF0000}"/>
    <cellStyle name="Output 2 16 2 2 3 3" xfId="48730" xr:uid="{00000000-0005-0000-0000-0000EDBF0000}"/>
    <cellStyle name="Output 2 16 2 2 3 4" xfId="36865" xr:uid="{00000000-0005-0000-0000-0000EEBF0000}"/>
    <cellStyle name="Output 2 16 2 2 4" xfId="11576" xr:uid="{00000000-0005-0000-0000-0000EFBF0000}"/>
    <cellStyle name="Output 2 16 2 2 4 2" xfId="41587" xr:uid="{00000000-0005-0000-0000-0000F0BF0000}"/>
    <cellStyle name="Output 2 16 2 2 4 3" xfId="39677" xr:uid="{00000000-0005-0000-0000-0000F1BF0000}"/>
    <cellStyle name="Output 2 16 2 2 4 4" xfId="29287" xr:uid="{00000000-0005-0000-0000-0000F2BF0000}"/>
    <cellStyle name="Output 2 16 2 2 5" xfId="20945" xr:uid="{00000000-0005-0000-0000-0000F3BF0000}"/>
    <cellStyle name="Output 2 16 2 2 5 2" xfId="46482" xr:uid="{00000000-0005-0000-0000-0000F4BF0000}"/>
    <cellStyle name="Output 2 16 2 2 5 3" xfId="50388" xr:uid="{00000000-0005-0000-0000-0000F5BF0000}"/>
    <cellStyle name="Output 2 16 2 2 5 4" xfId="38351" xr:uid="{00000000-0005-0000-0000-0000F6BF0000}"/>
    <cellStyle name="Output 2 16 2 2 6" xfId="21598" xr:uid="{00000000-0005-0000-0000-0000F7BF0000}"/>
    <cellStyle name="Output 2 16 2 2 6 2" xfId="47135" xr:uid="{00000000-0005-0000-0000-0000F8BF0000}"/>
    <cellStyle name="Output 2 16 2 2 6 3" xfId="51041" xr:uid="{00000000-0005-0000-0000-0000F9BF0000}"/>
    <cellStyle name="Output 2 16 2 2 7" xfId="40938" xr:uid="{00000000-0005-0000-0000-0000FABF0000}"/>
    <cellStyle name="Output 2 16 2 2 8" xfId="43628" xr:uid="{00000000-0005-0000-0000-0000FBBF0000}"/>
    <cellStyle name="Output 2 16 2 3" xfId="11034" xr:uid="{00000000-0005-0000-0000-0000FCBF0000}"/>
    <cellStyle name="Output 2 16 2 3 2" xfId="18827" xr:uid="{00000000-0005-0000-0000-0000FDBF0000}"/>
    <cellStyle name="Output 2 16 2 3 2 2" xfId="44374" xr:uid="{00000000-0005-0000-0000-0000FEBF0000}"/>
    <cellStyle name="Output 2 16 2 3 2 3" xfId="48283" xr:uid="{00000000-0005-0000-0000-0000FFBF0000}"/>
    <cellStyle name="Output 2 16 2 3 2 4" xfId="36464" xr:uid="{00000000-0005-0000-0000-000000C00000}"/>
    <cellStyle name="Output 2 16 2 3 3" xfId="20420" xr:uid="{00000000-0005-0000-0000-000001C00000}"/>
    <cellStyle name="Output 2 16 2 3 3 2" xfId="45957" xr:uid="{00000000-0005-0000-0000-000002C00000}"/>
    <cellStyle name="Output 2 16 2 3 3 3" xfId="49863" xr:uid="{00000000-0005-0000-0000-000003C00000}"/>
    <cellStyle name="Output 2 16 2 3 3 4" xfId="37874" xr:uid="{00000000-0005-0000-0000-000004C00000}"/>
    <cellStyle name="Output 2 16 2 3 4" xfId="20564" xr:uid="{00000000-0005-0000-0000-000005C00000}"/>
    <cellStyle name="Output 2 16 2 3 4 2" xfId="46101" xr:uid="{00000000-0005-0000-0000-000006C00000}"/>
    <cellStyle name="Output 2 16 2 3 4 3" xfId="50007" xr:uid="{00000000-0005-0000-0000-000007C00000}"/>
    <cellStyle name="Output 2 16 2 3 4 4" xfId="37991" xr:uid="{00000000-0005-0000-0000-000008C00000}"/>
    <cellStyle name="Output 2 16 2 3 5" xfId="21240" xr:uid="{00000000-0005-0000-0000-000009C00000}"/>
    <cellStyle name="Output 2 16 2 3 5 2" xfId="46777" xr:uid="{00000000-0005-0000-0000-00000AC00000}"/>
    <cellStyle name="Output 2 16 2 3 5 3" xfId="50683" xr:uid="{00000000-0005-0000-0000-00000BC00000}"/>
    <cellStyle name="Output 2 16 2 3 5 4" xfId="38646" xr:uid="{00000000-0005-0000-0000-00000CC00000}"/>
    <cellStyle name="Output 2 16 2 3 6" xfId="21893" xr:uid="{00000000-0005-0000-0000-00000DC00000}"/>
    <cellStyle name="Output 2 16 2 3 6 2" xfId="47430" xr:uid="{00000000-0005-0000-0000-00000EC00000}"/>
    <cellStyle name="Output 2 16 2 3 6 3" xfId="51336" xr:uid="{00000000-0005-0000-0000-00000FC00000}"/>
    <cellStyle name="Output 2 16 2 3 7" xfId="41233" xr:uid="{00000000-0005-0000-0000-000010C00000}"/>
    <cellStyle name="Output 2 16 2 3 8" xfId="40579" xr:uid="{00000000-0005-0000-0000-000011C00000}"/>
    <cellStyle name="Output 2 16 2 4" xfId="15254" xr:uid="{00000000-0005-0000-0000-000012C00000}"/>
    <cellStyle name="Output 2 16 2 4 2" xfId="43127" xr:uid="{00000000-0005-0000-0000-000013C00000}"/>
    <cellStyle name="Output 2 16 2 4 3" xfId="40309" xr:uid="{00000000-0005-0000-0000-000014C00000}"/>
    <cellStyle name="Output 2 16 2 4 4" xfId="32889" xr:uid="{00000000-0005-0000-0000-000015C00000}"/>
    <cellStyle name="Output 2 16 2 5" xfId="19488" xr:uid="{00000000-0005-0000-0000-000016C00000}"/>
    <cellStyle name="Output 2 16 2 5 2" xfId="45025" xr:uid="{00000000-0005-0000-0000-000017C00000}"/>
    <cellStyle name="Output 2 16 2 5 3" xfId="48931" xr:uid="{00000000-0005-0000-0000-000018C00000}"/>
    <cellStyle name="Output 2 16 2 5 4" xfId="37044" xr:uid="{00000000-0005-0000-0000-000019C00000}"/>
    <cellStyle name="Output 2 16 2 6" xfId="13909" xr:uid="{00000000-0005-0000-0000-00001AC00000}"/>
    <cellStyle name="Output 2 16 2 6 2" xfId="42644" xr:uid="{00000000-0005-0000-0000-00001BC00000}"/>
    <cellStyle name="Output 2 16 2 6 3" xfId="41960" xr:uid="{00000000-0005-0000-0000-00001CC00000}"/>
    <cellStyle name="Output 2 16 2 6 4" xfId="31547" xr:uid="{00000000-0005-0000-0000-00001DC00000}"/>
    <cellStyle name="Output 2 16 2 7" xfId="20473" xr:uid="{00000000-0005-0000-0000-00001EC00000}"/>
    <cellStyle name="Output 2 16 2 7 2" xfId="46010" xr:uid="{00000000-0005-0000-0000-00001FC00000}"/>
    <cellStyle name="Output 2 16 2 7 3" xfId="49916" xr:uid="{00000000-0005-0000-0000-000020C00000}"/>
    <cellStyle name="Output 2 16 2 7 4" xfId="37926" xr:uid="{00000000-0005-0000-0000-000021C00000}"/>
    <cellStyle name="Output 2 16 2 8" xfId="19932" xr:uid="{00000000-0005-0000-0000-000022C00000}"/>
    <cellStyle name="Output 2 16 2 8 2" xfId="45469" xr:uid="{00000000-0005-0000-0000-000023C00000}"/>
    <cellStyle name="Output 2 16 2 8 3" xfId="49375" xr:uid="{00000000-0005-0000-0000-000024C00000}"/>
    <cellStyle name="Output 2 16 2 9" xfId="39987" xr:uid="{00000000-0005-0000-0000-000025C00000}"/>
    <cellStyle name="Output 2 16 3" xfId="13279" xr:uid="{00000000-0005-0000-0000-000026C00000}"/>
    <cellStyle name="Output 2 16 3 2" xfId="42449" xr:uid="{00000000-0005-0000-0000-000027C00000}"/>
    <cellStyle name="Output 2 16 3 3" xfId="40051" xr:uid="{00000000-0005-0000-0000-000028C00000}"/>
    <cellStyle name="Output 2 16 3 4" xfId="30924" xr:uid="{00000000-0005-0000-0000-000029C00000}"/>
    <cellStyle name="Output 2 16 4" xfId="19524" xr:uid="{00000000-0005-0000-0000-00002AC00000}"/>
    <cellStyle name="Output 2 16 4 2" xfId="45061" xr:uid="{00000000-0005-0000-0000-00002BC00000}"/>
    <cellStyle name="Output 2 16 4 3" xfId="48967" xr:uid="{00000000-0005-0000-0000-00002CC00000}"/>
    <cellStyle name="Output 2 16 4 4" xfId="37072" xr:uid="{00000000-0005-0000-0000-00002DC00000}"/>
    <cellStyle name="Output 2 17" xfId="5312" xr:uid="{00000000-0005-0000-0000-00002EC00000}"/>
    <cellStyle name="Output 2 17 2" xfId="10477" xr:uid="{00000000-0005-0000-0000-00002FC00000}"/>
    <cellStyle name="Output 2 17 2 2" xfId="18270" xr:uid="{00000000-0005-0000-0000-000030C00000}"/>
    <cellStyle name="Output 2 17 2 2 2" xfId="43817" xr:uid="{00000000-0005-0000-0000-000031C00000}"/>
    <cellStyle name="Output 2 17 2 2 3" xfId="47726" xr:uid="{00000000-0005-0000-0000-000032C00000}"/>
    <cellStyle name="Output 2 17 2 2 4" xfId="35907" xr:uid="{00000000-0005-0000-0000-000033C00000}"/>
    <cellStyle name="Output 2 17 2 3" xfId="20045" xr:uid="{00000000-0005-0000-0000-000034C00000}"/>
    <cellStyle name="Output 2 17 2 3 2" xfId="45582" xr:uid="{00000000-0005-0000-0000-000035C00000}"/>
    <cellStyle name="Output 2 17 2 3 3" xfId="49488" xr:uid="{00000000-0005-0000-0000-000036C00000}"/>
    <cellStyle name="Output 2 17 2 3 4" xfId="37543" xr:uid="{00000000-0005-0000-0000-000037C00000}"/>
    <cellStyle name="Output 2 17 2 4" xfId="19507" xr:uid="{00000000-0005-0000-0000-000038C00000}"/>
    <cellStyle name="Output 2 17 2 4 2" xfId="45044" xr:uid="{00000000-0005-0000-0000-000039C00000}"/>
    <cellStyle name="Output 2 17 2 4 3" xfId="48950" xr:uid="{00000000-0005-0000-0000-00003AC00000}"/>
    <cellStyle name="Output 2 17 2 4 4" xfId="37056" xr:uid="{00000000-0005-0000-0000-00003BC00000}"/>
    <cellStyle name="Output 2 17 2 5" xfId="20683" xr:uid="{00000000-0005-0000-0000-00003CC00000}"/>
    <cellStyle name="Output 2 17 2 5 2" xfId="46220" xr:uid="{00000000-0005-0000-0000-00003DC00000}"/>
    <cellStyle name="Output 2 17 2 5 3" xfId="50126" xr:uid="{00000000-0005-0000-0000-00003EC00000}"/>
    <cellStyle name="Output 2 17 2 5 4" xfId="38089" xr:uid="{00000000-0005-0000-0000-00003FC00000}"/>
    <cellStyle name="Output 2 17 2 6" xfId="21336" xr:uid="{00000000-0005-0000-0000-000040C00000}"/>
    <cellStyle name="Output 2 17 2 6 2" xfId="46873" xr:uid="{00000000-0005-0000-0000-000041C00000}"/>
    <cellStyle name="Output 2 17 2 6 3" xfId="50779" xr:uid="{00000000-0005-0000-0000-000042C00000}"/>
    <cellStyle name="Output 2 17 2 7" xfId="40676" xr:uid="{00000000-0005-0000-0000-000043C00000}"/>
    <cellStyle name="Output 2 17 2 8" xfId="43401" xr:uid="{00000000-0005-0000-0000-000044C00000}"/>
    <cellStyle name="Output 2 17 3" xfId="8802" xr:uid="{00000000-0005-0000-0000-000045C00000}"/>
    <cellStyle name="Output 2 17 3 2" xfId="16598" xr:uid="{00000000-0005-0000-0000-000046C00000}"/>
    <cellStyle name="Output 2 17 3 2 2" xfId="43439" xr:uid="{00000000-0005-0000-0000-000047C00000}"/>
    <cellStyle name="Output 2 17 3 2 3" xfId="43659" xr:uid="{00000000-0005-0000-0000-000048C00000}"/>
    <cellStyle name="Output 2 17 3 2 4" xfId="34233" xr:uid="{00000000-0005-0000-0000-000049C00000}"/>
    <cellStyle name="Output 2 17 3 3" xfId="19645" xr:uid="{00000000-0005-0000-0000-00004AC00000}"/>
    <cellStyle name="Output 2 17 3 3 2" xfId="45182" xr:uid="{00000000-0005-0000-0000-00004BC00000}"/>
    <cellStyle name="Output 2 17 3 3 3" xfId="49088" xr:uid="{00000000-0005-0000-0000-00004CC00000}"/>
    <cellStyle name="Output 2 17 3 3 4" xfId="37181" xr:uid="{00000000-0005-0000-0000-00004DC00000}"/>
    <cellStyle name="Output 2 17 3 4" xfId="11425" xr:uid="{00000000-0005-0000-0000-00004EC00000}"/>
    <cellStyle name="Output 2 17 3 4 2" xfId="41450" xr:uid="{00000000-0005-0000-0000-00004FC00000}"/>
    <cellStyle name="Output 2 17 3 4 3" xfId="39175" xr:uid="{00000000-0005-0000-0000-000050C00000}"/>
    <cellStyle name="Output 2 17 3 4 4" xfId="29147" xr:uid="{00000000-0005-0000-0000-000051C00000}"/>
    <cellStyle name="Output 2 17 3 5" xfId="19026" xr:uid="{00000000-0005-0000-0000-000052C00000}"/>
    <cellStyle name="Output 2 17 3 5 2" xfId="44563" xr:uid="{00000000-0005-0000-0000-000053C00000}"/>
    <cellStyle name="Output 2 17 3 5 3" xfId="48469" xr:uid="{00000000-0005-0000-0000-000054C00000}"/>
    <cellStyle name="Output 2 17 3 5 4" xfId="36634" xr:uid="{00000000-0005-0000-0000-000055C00000}"/>
    <cellStyle name="Output 2 17 3 6" xfId="20527" xr:uid="{00000000-0005-0000-0000-000056C00000}"/>
    <cellStyle name="Output 2 17 3 6 2" xfId="46064" xr:uid="{00000000-0005-0000-0000-000057C00000}"/>
    <cellStyle name="Output 2 17 3 6 3" xfId="49970" xr:uid="{00000000-0005-0000-0000-000058C00000}"/>
    <cellStyle name="Output 2 17 3 7" xfId="40301" xr:uid="{00000000-0005-0000-0000-000059C00000}"/>
    <cellStyle name="Output 2 17 3 8" xfId="39214" xr:uid="{00000000-0005-0000-0000-00005AC00000}"/>
    <cellStyle name="Output 2 17 4" xfId="13280" xr:uid="{00000000-0005-0000-0000-00005BC00000}"/>
    <cellStyle name="Output 2 17 4 2" xfId="42450" xr:uid="{00000000-0005-0000-0000-00005CC00000}"/>
    <cellStyle name="Output 2 17 4 3" xfId="42794" xr:uid="{00000000-0005-0000-0000-00005DC00000}"/>
    <cellStyle name="Output 2 17 4 4" xfId="30925" xr:uid="{00000000-0005-0000-0000-00005EC00000}"/>
    <cellStyle name="Output 2 17 5" xfId="12739" xr:uid="{00000000-0005-0000-0000-00005FC00000}"/>
    <cellStyle name="Output 2 17 5 2" xfId="42192" xr:uid="{00000000-0005-0000-0000-000060C00000}"/>
    <cellStyle name="Output 2 17 5 3" xfId="40188" xr:uid="{00000000-0005-0000-0000-000061C00000}"/>
    <cellStyle name="Output 2 17 5 4" xfId="30397" xr:uid="{00000000-0005-0000-0000-000062C00000}"/>
    <cellStyle name="Output 2 18" xfId="7459" xr:uid="{00000000-0005-0000-0000-000063C00000}"/>
    <cellStyle name="Output 2 18 10" xfId="43647" xr:uid="{00000000-0005-0000-0000-000064C00000}"/>
    <cellStyle name="Output 2 18 2" xfId="10732" xr:uid="{00000000-0005-0000-0000-000065C00000}"/>
    <cellStyle name="Output 2 18 2 2" xfId="18525" xr:uid="{00000000-0005-0000-0000-000066C00000}"/>
    <cellStyle name="Output 2 18 2 2 2" xfId="44072" xr:uid="{00000000-0005-0000-0000-000067C00000}"/>
    <cellStyle name="Output 2 18 2 2 3" xfId="47981" xr:uid="{00000000-0005-0000-0000-000068C00000}"/>
    <cellStyle name="Output 2 18 2 2 4" xfId="36162" xr:uid="{00000000-0005-0000-0000-000069C00000}"/>
    <cellStyle name="Output 2 18 2 3" xfId="19897" xr:uid="{00000000-0005-0000-0000-00006AC00000}"/>
    <cellStyle name="Output 2 18 2 3 2" xfId="45434" xr:uid="{00000000-0005-0000-0000-00006BC00000}"/>
    <cellStyle name="Output 2 18 2 3 3" xfId="49340" xr:uid="{00000000-0005-0000-0000-00006CC00000}"/>
    <cellStyle name="Output 2 18 2 3 4" xfId="37411" xr:uid="{00000000-0005-0000-0000-00006DC00000}"/>
    <cellStyle name="Output 2 18 2 4" xfId="12930" xr:uid="{00000000-0005-0000-0000-00006EC00000}"/>
    <cellStyle name="Output 2 18 2 4 2" xfId="42256" xr:uid="{00000000-0005-0000-0000-00006FC00000}"/>
    <cellStyle name="Output 2 18 2 4 3" xfId="40184" xr:uid="{00000000-0005-0000-0000-000070C00000}"/>
    <cellStyle name="Output 2 18 2 4 4" xfId="30580" xr:uid="{00000000-0005-0000-0000-000071C00000}"/>
    <cellStyle name="Output 2 18 2 5" xfId="20938" xr:uid="{00000000-0005-0000-0000-000072C00000}"/>
    <cellStyle name="Output 2 18 2 5 2" xfId="46475" xr:uid="{00000000-0005-0000-0000-000073C00000}"/>
    <cellStyle name="Output 2 18 2 5 3" xfId="50381" xr:uid="{00000000-0005-0000-0000-000074C00000}"/>
    <cellStyle name="Output 2 18 2 5 4" xfId="38344" xr:uid="{00000000-0005-0000-0000-000075C00000}"/>
    <cellStyle name="Output 2 18 2 6" xfId="21591" xr:uid="{00000000-0005-0000-0000-000076C00000}"/>
    <cellStyle name="Output 2 18 2 6 2" xfId="47128" xr:uid="{00000000-0005-0000-0000-000077C00000}"/>
    <cellStyle name="Output 2 18 2 6 3" xfId="51034" xr:uid="{00000000-0005-0000-0000-000078C00000}"/>
    <cellStyle name="Output 2 18 2 7" xfId="40931" xr:uid="{00000000-0005-0000-0000-000079C00000}"/>
    <cellStyle name="Output 2 18 2 8" xfId="43236" xr:uid="{00000000-0005-0000-0000-00007AC00000}"/>
    <cellStyle name="Output 2 18 3" xfId="11027" xr:uid="{00000000-0005-0000-0000-00007BC00000}"/>
    <cellStyle name="Output 2 18 3 2" xfId="18820" xr:uid="{00000000-0005-0000-0000-00007CC00000}"/>
    <cellStyle name="Output 2 18 3 2 2" xfId="44367" xr:uid="{00000000-0005-0000-0000-00007DC00000}"/>
    <cellStyle name="Output 2 18 3 2 3" xfId="48276" xr:uid="{00000000-0005-0000-0000-00007EC00000}"/>
    <cellStyle name="Output 2 18 3 2 4" xfId="36457" xr:uid="{00000000-0005-0000-0000-00007FC00000}"/>
    <cellStyle name="Output 2 18 3 3" xfId="20413" xr:uid="{00000000-0005-0000-0000-000080C00000}"/>
    <cellStyle name="Output 2 18 3 3 2" xfId="45950" xr:uid="{00000000-0005-0000-0000-000081C00000}"/>
    <cellStyle name="Output 2 18 3 3 3" xfId="49856" xr:uid="{00000000-0005-0000-0000-000082C00000}"/>
    <cellStyle name="Output 2 18 3 3 4" xfId="37867" xr:uid="{00000000-0005-0000-0000-000083C00000}"/>
    <cellStyle name="Output 2 18 3 4" xfId="20557" xr:uid="{00000000-0005-0000-0000-000084C00000}"/>
    <cellStyle name="Output 2 18 3 4 2" xfId="46094" xr:uid="{00000000-0005-0000-0000-000085C00000}"/>
    <cellStyle name="Output 2 18 3 4 3" xfId="50000" xr:uid="{00000000-0005-0000-0000-000086C00000}"/>
    <cellStyle name="Output 2 18 3 4 4" xfId="37984" xr:uid="{00000000-0005-0000-0000-000087C00000}"/>
    <cellStyle name="Output 2 18 3 5" xfId="21233" xr:uid="{00000000-0005-0000-0000-000088C00000}"/>
    <cellStyle name="Output 2 18 3 5 2" xfId="46770" xr:uid="{00000000-0005-0000-0000-000089C00000}"/>
    <cellStyle name="Output 2 18 3 5 3" xfId="50676" xr:uid="{00000000-0005-0000-0000-00008AC00000}"/>
    <cellStyle name="Output 2 18 3 5 4" xfId="38639" xr:uid="{00000000-0005-0000-0000-00008BC00000}"/>
    <cellStyle name="Output 2 18 3 6" xfId="21886" xr:uid="{00000000-0005-0000-0000-00008CC00000}"/>
    <cellStyle name="Output 2 18 3 6 2" xfId="47423" xr:uid="{00000000-0005-0000-0000-00008DC00000}"/>
    <cellStyle name="Output 2 18 3 6 3" xfId="51329" xr:uid="{00000000-0005-0000-0000-00008EC00000}"/>
    <cellStyle name="Output 2 18 3 7" xfId="41226" xr:uid="{00000000-0005-0000-0000-00008FC00000}"/>
    <cellStyle name="Output 2 18 3 8" xfId="40228" xr:uid="{00000000-0005-0000-0000-000090C00000}"/>
    <cellStyle name="Output 2 18 4" xfId="15247" xr:uid="{00000000-0005-0000-0000-000091C00000}"/>
    <cellStyle name="Output 2 18 4 2" xfId="43120" xr:uid="{00000000-0005-0000-0000-000092C00000}"/>
    <cellStyle name="Output 2 18 4 3" xfId="39631" xr:uid="{00000000-0005-0000-0000-000093C00000}"/>
    <cellStyle name="Output 2 18 4 4" xfId="32882" xr:uid="{00000000-0005-0000-0000-000094C00000}"/>
    <cellStyle name="Output 2 18 5" xfId="19961" xr:uid="{00000000-0005-0000-0000-000095C00000}"/>
    <cellStyle name="Output 2 18 5 2" xfId="45498" xr:uid="{00000000-0005-0000-0000-000096C00000}"/>
    <cellStyle name="Output 2 18 5 3" xfId="49404" xr:uid="{00000000-0005-0000-0000-000097C00000}"/>
    <cellStyle name="Output 2 18 5 4" xfId="37466" xr:uid="{00000000-0005-0000-0000-000098C00000}"/>
    <cellStyle name="Output 2 18 6" xfId="19347" xr:uid="{00000000-0005-0000-0000-000099C00000}"/>
    <cellStyle name="Output 2 18 6 2" xfId="44884" xr:uid="{00000000-0005-0000-0000-00009AC00000}"/>
    <cellStyle name="Output 2 18 6 3" xfId="48790" xr:uid="{00000000-0005-0000-0000-00009BC00000}"/>
    <cellStyle name="Output 2 18 6 4" xfId="36919" xr:uid="{00000000-0005-0000-0000-00009CC00000}"/>
    <cellStyle name="Output 2 18 7" xfId="19096" xr:uid="{00000000-0005-0000-0000-00009DC00000}"/>
    <cellStyle name="Output 2 18 7 2" xfId="44633" xr:uid="{00000000-0005-0000-0000-00009EC00000}"/>
    <cellStyle name="Output 2 18 7 3" xfId="48539" xr:uid="{00000000-0005-0000-0000-00009FC00000}"/>
    <cellStyle name="Output 2 18 7 4" xfId="36692" xr:uid="{00000000-0005-0000-0000-0000A0C00000}"/>
    <cellStyle name="Output 2 18 8" xfId="20214" xr:uid="{00000000-0005-0000-0000-0000A1C00000}"/>
    <cellStyle name="Output 2 18 8 2" xfId="45751" xr:uid="{00000000-0005-0000-0000-0000A2C00000}"/>
    <cellStyle name="Output 2 18 8 3" xfId="49657" xr:uid="{00000000-0005-0000-0000-0000A3C00000}"/>
    <cellStyle name="Output 2 18 9" xfId="39980" xr:uid="{00000000-0005-0000-0000-0000A4C00000}"/>
    <cellStyle name="Output 2 19" xfId="12097" xr:uid="{00000000-0005-0000-0000-0000A5C00000}"/>
    <cellStyle name="Output 2 19 2" xfId="41842" xr:uid="{00000000-0005-0000-0000-0000A6C00000}"/>
    <cellStyle name="Output 2 19 3" xfId="39135" xr:uid="{00000000-0005-0000-0000-0000A7C00000}"/>
    <cellStyle name="Output 2 19 4" xfId="29770" xr:uid="{00000000-0005-0000-0000-0000A8C00000}"/>
    <cellStyle name="Output 2 2" xfId="3251" xr:uid="{00000000-0005-0000-0000-0000A9C00000}"/>
    <cellStyle name="Output 2 2 2" xfId="3252" xr:uid="{00000000-0005-0000-0000-0000AAC00000}"/>
    <cellStyle name="Output 2 2 2 2" xfId="7468" xr:uid="{00000000-0005-0000-0000-0000ABC00000}"/>
    <cellStyle name="Output 2 2 2 2 10" xfId="42186" xr:uid="{00000000-0005-0000-0000-0000ACC00000}"/>
    <cellStyle name="Output 2 2 2 2 11" xfId="53300" xr:uid="{00000000-0005-0000-0000-0000ADC00000}"/>
    <cellStyle name="Output 2 2 2 2 2" xfId="10741" xr:uid="{00000000-0005-0000-0000-0000AEC00000}"/>
    <cellStyle name="Output 2 2 2 2 2 2" xfId="18534" xr:uid="{00000000-0005-0000-0000-0000AFC00000}"/>
    <cellStyle name="Output 2 2 2 2 2 2 2" xfId="44081" xr:uid="{00000000-0005-0000-0000-0000B0C00000}"/>
    <cellStyle name="Output 2 2 2 2 2 2 3" xfId="47990" xr:uid="{00000000-0005-0000-0000-0000B1C00000}"/>
    <cellStyle name="Output 2 2 2 2 2 2 4" xfId="36171" xr:uid="{00000000-0005-0000-0000-0000B2C00000}"/>
    <cellStyle name="Output 2 2 2 2 2 3" xfId="19119" xr:uid="{00000000-0005-0000-0000-0000B3C00000}"/>
    <cellStyle name="Output 2 2 2 2 2 3 2" xfId="44656" xr:uid="{00000000-0005-0000-0000-0000B4C00000}"/>
    <cellStyle name="Output 2 2 2 2 2 3 3" xfId="48562" xr:uid="{00000000-0005-0000-0000-0000B5C00000}"/>
    <cellStyle name="Output 2 2 2 2 2 3 4" xfId="36714" xr:uid="{00000000-0005-0000-0000-0000B6C00000}"/>
    <cellStyle name="Output 2 2 2 2 2 4" xfId="20126" xr:uid="{00000000-0005-0000-0000-0000B7C00000}"/>
    <cellStyle name="Output 2 2 2 2 2 4 2" xfId="45663" xr:uid="{00000000-0005-0000-0000-0000B8C00000}"/>
    <cellStyle name="Output 2 2 2 2 2 4 3" xfId="49569" xr:uid="{00000000-0005-0000-0000-0000B9C00000}"/>
    <cellStyle name="Output 2 2 2 2 2 4 4" xfId="37612" xr:uid="{00000000-0005-0000-0000-0000BAC00000}"/>
    <cellStyle name="Output 2 2 2 2 2 5" xfId="20947" xr:uid="{00000000-0005-0000-0000-0000BBC00000}"/>
    <cellStyle name="Output 2 2 2 2 2 5 2" xfId="46484" xr:uid="{00000000-0005-0000-0000-0000BCC00000}"/>
    <cellStyle name="Output 2 2 2 2 2 5 3" xfId="50390" xr:uid="{00000000-0005-0000-0000-0000BDC00000}"/>
    <cellStyle name="Output 2 2 2 2 2 5 4" xfId="38353" xr:uid="{00000000-0005-0000-0000-0000BEC00000}"/>
    <cellStyle name="Output 2 2 2 2 2 6" xfId="21600" xr:uid="{00000000-0005-0000-0000-0000BFC00000}"/>
    <cellStyle name="Output 2 2 2 2 2 6 2" xfId="47137" xr:uid="{00000000-0005-0000-0000-0000C0C00000}"/>
    <cellStyle name="Output 2 2 2 2 2 6 3" xfId="51043" xr:uid="{00000000-0005-0000-0000-0000C1C00000}"/>
    <cellStyle name="Output 2 2 2 2 2 7" xfId="40940" xr:uid="{00000000-0005-0000-0000-0000C2C00000}"/>
    <cellStyle name="Output 2 2 2 2 2 8" xfId="39596" xr:uid="{00000000-0005-0000-0000-0000C3C00000}"/>
    <cellStyle name="Output 2 2 2 2 2 9" xfId="53406" xr:uid="{00000000-0005-0000-0000-0000C4C00000}"/>
    <cellStyle name="Output 2 2 2 2 3" xfId="11036" xr:uid="{00000000-0005-0000-0000-0000C5C00000}"/>
    <cellStyle name="Output 2 2 2 2 3 2" xfId="18829" xr:uid="{00000000-0005-0000-0000-0000C6C00000}"/>
    <cellStyle name="Output 2 2 2 2 3 2 2" xfId="44376" xr:uid="{00000000-0005-0000-0000-0000C7C00000}"/>
    <cellStyle name="Output 2 2 2 2 3 2 3" xfId="48285" xr:uid="{00000000-0005-0000-0000-0000C8C00000}"/>
    <cellStyle name="Output 2 2 2 2 3 2 4" xfId="36466" xr:uid="{00000000-0005-0000-0000-0000C9C00000}"/>
    <cellStyle name="Output 2 2 2 2 3 3" xfId="20422" xr:uid="{00000000-0005-0000-0000-0000CAC00000}"/>
    <cellStyle name="Output 2 2 2 2 3 3 2" xfId="45959" xr:uid="{00000000-0005-0000-0000-0000CBC00000}"/>
    <cellStyle name="Output 2 2 2 2 3 3 3" xfId="49865" xr:uid="{00000000-0005-0000-0000-0000CCC00000}"/>
    <cellStyle name="Output 2 2 2 2 3 3 4" xfId="37876" xr:uid="{00000000-0005-0000-0000-0000CDC00000}"/>
    <cellStyle name="Output 2 2 2 2 3 4" xfId="20566" xr:uid="{00000000-0005-0000-0000-0000CEC00000}"/>
    <cellStyle name="Output 2 2 2 2 3 4 2" xfId="46103" xr:uid="{00000000-0005-0000-0000-0000CFC00000}"/>
    <cellStyle name="Output 2 2 2 2 3 4 3" xfId="50009" xr:uid="{00000000-0005-0000-0000-0000D0C00000}"/>
    <cellStyle name="Output 2 2 2 2 3 4 4" xfId="37993" xr:uid="{00000000-0005-0000-0000-0000D1C00000}"/>
    <cellStyle name="Output 2 2 2 2 3 5" xfId="21242" xr:uid="{00000000-0005-0000-0000-0000D2C00000}"/>
    <cellStyle name="Output 2 2 2 2 3 5 2" xfId="46779" xr:uid="{00000000-0005-0000-0000-0000D3C00000}"/>
    <cellStyle name="Output 2 2 2 2 3 5 3" xfId="50685" xr:uid="{00000000-0005-0000-0000-0000D4C00000}"/>
    <cellStyle name="Output 2 2 2 2 3 5 4" xfId="38648" xr:uid="{00000000-0005-0000-0000-0000D5C00000}"/>
    <cellStyle name="Output 2 2 2 2 3 6" xfId="21895" xr:uid="{00000000-0005-0000-0000-0000D6C00000}"/>
    <cellStyle name="Output 2 2 2 2 3 6 2" xfId="47432" xr:uid="{00000000-0005-0000-0000-0000D7C00000}"/>
    <cellStyle name="Output 2 2 2 2 3 6 3" xfId="51338" xr:uid="{00000000-0005-0000-0000-0000D8C00000}"/>
    <cellStyle name="Output 2 2 2 2 3 7" xfId="41235" xr:uid="{00000000-0005-0000-0000-0000D9C00000}"/>
    <cellStyle name="Output 2 2 2 2 3 8" xfId="42727" xr:uid="{00000000-0005-0000-0000-0000DAC00000}"/>
    <cellStyle name="Output 2 2 2 2 4" xfId="15256" xr:uid="{00000000-0005-0000-0000-0000DBC00000}"/>
    <cellStyle name="Output 2 2 2 2 4 2" xfId="43129" xr:uid="{00000000-0005-0000-0000-0000DCC00000}"/>
    <cellStyle name="Output 2 2 2 2 4 3" xfId="39265" xr:uid="{00000000-0005-0000-0000-0000DDC00000}"/>
    <cellStyle name="Output 2 2 2 2 4 4" xfId="32891" xr:uid="{00000000-0005-0000-0000-0000DEC00000}"/>
    <cellStyle name="Output 2 2 2 2 5" xfId="19351" xr:uid="{00000000-0005-0000-0000-0000DFC00000}"/>
    <cellStyle name="Output 2 2 2 2 5 2" xfId="44888" xr:uid="{00000000-0005-0000-0000-0000E0C00000}"/>
    <cellStyle name="Output 2 2 2 2 5 3" xfId="48794" xr:uid="{00000000-0005-0000-0000-0000E1C00000}"/>
    <cellStyle name="Output 2 2 2 2 5 4" xfId="36922" xr:uid="{00000000-0005-0000-0000-0000E2C00000}"/>
    <cellStyle name="Output 2 2 2 2 6" xfId="11565" xr:uid="{00000000-0005-0000-0000-0000E3C00000}"/>
    <cellStyle name="Output 2 2 2 2 6 2" xfId="41576" xr:uid="{00000000-0005-0000-0000-0000E4C00000}"/>
    <cellStyle name="Output 2 2 2 2 6 3" xfId="42581" xr:uid="{00000000-0005-0000-0000-0000E5C00000}"/>
    <cellStyle name="Output 2 2 2 2 6 4" xfId="29276" xr:uid="{00000000-0005-0000-0000-0000E6C00000}"/>
    <cellStyle name="Output 2 2 2 2 7" xfId="19968" xr:uid="{00000000-0005-0000-0000-0000E7C00000}"/>
    <cellStyle name="Output 2 2 2 2 7 2" xfId="45505" xr:uid="{00000000-0005-0000-0000-0000E8C00000}"/>
    <cellStyle name="Output 2 2 2 2 7 3" xfId="49411" xr:uid="{00000000-0005-0000-0000-0000E9C00000}"/>
    <cellStyle name="Output 2 2 2 2 7 4" xfId="37473" xr:uid="{00000000-0005-0000-0000-0000EAC00000}"/>
    <cellStyle name="Output 2 2 2 2 8" xfId="19695" xr:uid="{00000000-0005-0000-0000-0000EBC00000}"/>
    <cellStyle name="Output 2 2 2 2 8 2" xfId="45232" xr:uid="{00000000-0005-0000-0000-0000ECC00000}"/>
    <cellStyle name="Output 2 2 2 2 8 3" xfId="49138" xr:uid="{00000000-0005-0000-0000-0000EDC00000}"/>
    <cellStyle name="Output 2 2 2 2 9" xfId="39989" xr:uid="{00000000-0005-0000-0000-0000EEC00000}"/>
    <cellStyle name="Output 2 2 2 3" xfId="12104" xr:uid="{00000000-0005-0000-0000-0000EFC00000}"/>
    <cellStyle name="Output 2 2 2 3 2" xfId="41849" xr:uid="{00000000-0005-0000-0000-0000F0C00000}"/>
    <cellStyle name="Output 2 2 2 3 3" xfId="39128" xr:uid="{00000000-0005-0000-0000-0000F1C00000}"/>
    <cellStyle name="Output 2 2 2 3 4" xfId="29777" xr:uid="{00000000-0005-0000-0000-0000F2C00000}"/>
    <cellStyle name="Output 2 2 2 3 5" xfId="53405" xr:uid="{00000000-0005-0000-0000-0000F3C00000}"/>
    <cellStyle name="Output 2 2 2 4" xfId="19545" xr:uid="{00000000-0005-0000-0000-0000F4C00000}"/>
    <cellStyle name="Output 2 2 2 4 2" xfId="45082" xr:uid="{00000000-0005-0000-0000-0000F5C00000}"/>
    <cellStyle name="Output 2 2 2 4 3" xfId="48988" xr:uid="{00000000-0005-0000-0000-0000F6C00000}"/>
    <cellStyle name="Output 2 2 2 4 4" xfId="37089" xr:uid="{00000000-0005-0000-0000-0000F7C00000}"/>
    <cellStyle name="Output 2 2 2 5" xfId="53299" xr:uid="{00000000-0005-0000-0000-0000F8C00000}"/>
    <cellStyle name="Output 2 2 3" xfId="3253" xr:uid="{00000000-0005-0000-0000-0000F9C00000}"/>
    <cellStyle name="Output 2 2 3 2" xfId="7469" xr:uid="{00000000-0005-0000-0000-0000FAC00000}"/>
    <cellStyle name="Output 2 2 3 2 10" xfId="43420" xr:uid="{00000000-0005-0000-0000-0000FBC00000}"/>
    <cellStyle name="Output 2 2 3 2 11" xfId="53302" xr:uid="{00000000-0005-0000-0000-0000FCC00000}"/>
    <cellStyle name="Output 2 2 3 2 2" xfId="10742" xr:uid="{00000000-0005-0000-0000-0000FDC00000}"/>
    <cellStyle name="Output 2 2 3 2 2 2" xfId="18535" xr:uid="{00000000-0005-0000-0000-0000FEC00000}"/>
    <cellStyle name="Output 2 2 3 2 2 2 2" xfId="44082" xr:uid="{00000000-0005-0000-0000-0000FFC00000}"/>
    <cellStyle name="Output 2 2 3 2 2 2 3" xfId="47991" xr:uid="{00000000-0005-0000-0000-000000C10000}"/>
    <cellStyle name="Output 2 2 3 2 2 2 4" xfId="36172" xr:uid="{00000000-0005-0000-0000-000001C10000}"/>
    <cellStyle name="Output 2 2 3 2 2 3" xfId="19735" xr:uid="{00000000-0005-0000-0000-000002C10000}"/>
    <cellStyle name="Output 2 2 3 2 2 3 2" xfId="45272" xr:uid="{00000000-0005-0000-0000-000003C10000}"/>
    <cellStyle name="Output 2 2 3 2 2 3 3" xfId="49178" xr:uid="{00000000-0005-0000-0000-000004C10000}"/>
    <cellStyle name="Output 2 2 3 2 2 3 4" xfId="37262" xr:uid="{00000000-0005-0000-0000-000005C10000}"/>
    <cellStyle name="Output 2 2 3 2 2 4" xfId="11556" xr:uid="{00000000-0005-0000-0000-000006C10000}"/>
    <cellStyle name="Output 2 2 3 2 2 4 2" xfId="41567" xr:uid="{00000000-0005-0000-0000-000007C10000}"/>
    <cellStyle name="Output 2 2 3 2 2 4 3" xfId="40212" xr:uid="{00000000-0005-0000-0000-000008C10000}"/>
    <cellStyle name="Output 2 2 3 2 2 4 4" xfId="29268" xr:uid="{00000000-0005-0000-0000-000009C10000}"/>
    <cellStyle name="Output 2 2 3 2 2 5" xfId="20948" xr:uid="{00000000-0005-0000-0000-00000AC10000}"/>
    <cellStyle name="Output 2 2 3 2 2 5 2" xfId="46485" xr:uid="{00000000-0005-0000-0000-00000BC10000}"/>
    <cellStyle name="Output 2 2 3 2 2 5 3" xfId="50391" xr:uid="{00000000-0005-0000-0000-00000CC10000}"/>
    <cellStyle name="Output 2 2 3 2 2 5 4" xfId="38354" xr:uid="{00000000-0005-0000-0000-00000DC10000}"/>
    <cellStyle name="Output 2 2 3 2 2 6" xfId="21601" xr:uid="{00000000-0005-0000-0000-00000EC10000}"/>
    <cellStyle name="Output 2 2 3 2 2 6 2" xfId="47138" xr:uid="{00000000-0005-0000-0000-00000FC10000}"/>
    <cellStyle name="Output 2 2 3 2 2 6 3" xfId="51044" xr:uid="{00000000-0005-0000-0000-000010C10000}"/>
    <cellStyle name="Output 2 2 3 2 2 7" xfId="40941" xr:uid="{00000000-0005-0000-0000-000011C10000}"/>
    <cellStyle name="Output 2 2 3 2 2 8" xfId="42604" xr:uid="{00000000-0005-0000-0000-000012C10000}"/>
    <cellStyle name="Output 2 2 3 2 2 9" xfId="53408" xr:uid="{00000000-0005-0000-0000-000013C10000}"/>
    <cellStyle name="Output 2 2 3 2 3" xfId="11037" xr:uid="{00000000-0005-0000-0000-000014C10000}"/>
    <cellStyle name="Output 2 2 3 2 3 2" xfId="18830" xr:uid="{00000000-0005-0000-0000-000015C10000}"/>
    <cellStyle name="Output 2 2 3 2 3 2 2" xfId="44377" xr:uid="{00000000-0005-0000-0000-000016C10000}"/>
    <cellStyle name="Output 2 2 3 2 3 2 3" xfId="48286" xr:uid="{00000000-0005-0000-0000-000017C10000}"/>
    <cellStyle name="Output 2 2 3 2 3 2 4" xfId="36467" xr:uid="{00000000-0005-0000-0000-000018C10000}"/>
    <cellStyle name="Output 2 2 3 2 3 3" xfId="20423" xr:uid="{00000000-0005-0000-0000-000019C10000}"/>
    <cellStyle name="Output 2 2 3 2 3 3 2" xfId="45960" xr:uid="{00000000-0005-0000-0000-00001AC10000}"/>
    <cellStyle name="Output 2 2 3 2 3 3 3" xfId="49866" xr:uid="{00000000-0005-0000-0000-00001BC10000}"/>
    <cellStyle name="Output 2 2 3 2 3 3 4" xfId="37877" xr:uid="{00000000-0005-0000-0000-00001CC10000}"/>
    <cellStyle name="Output 2 2 3 2 3 4" xfId="20567" xr:uid="{00000000-0005-0000-0000-00001DC10000}"/>
    <cellStyle name="Output 2 2 3 2 3 4 2" xfId="46104" xr:uid="{00000000-0005-0000-0000-00001EC10000}"/>
    <cellStyle name="Output 2 2 3 2 3 4 3" xfId="50010" xr:uid="{00000000-0005-0000-0000-00001FC10000}"/>
    <cellStyle name="Output 2 2 3 2 3 4 4" xfId="37994" xr:uid="{00000000-0005-0000-0000-000020C10000}"/>
    <cellStyle name="Output 2 2 3 2 3 5" xfId="21243" xr:uid="{00000000-0005-0000-0000-000021C10000}"/>
    <cellStyle name="Output 2 2 3 2 3 5 2" xfId="46780" xr:uid="{00000000-0005-0000-0000-000022C10000}"/>
    <cellStyle name="Output 2 2 3 2 3 5 3" xfId="50686" xr:uid="{00000000-0005-0000-0000-000023C10000}"/>
    <cellStyle name="Output 2 2 3 2 3 5 4" xfId="38649" xr:uid="{00000000-0005-0000-0000-000024C10000}"/>
    <cellStyle name="Output 2 2 3 2 3 6" xfId="21896" xr:uid="{00000000-0005-0000-0000-000025C10000}"/>
    <cellStyle name="Output 2 2 3 2 3 6 2" xfId="47433" xr:uid="{00000000-0005-0000-0000-000026C10000}"/>
    <cellStyle name="Output 2 2 3 2 3 6 3" xfId="51339" xr:uid="{00000000-0005-0000-0000-000027C10000}"/>
    <cellStyle name="Output 2 2 3 2 3 7" xfId="41236" xr:uid="{00000000-0005-0000-0000-000028C10000}"/>
    <cellStyle name="Output 2 2 3 2 3 8" xfId="43616" xr:uid="{00000000-0005-0000-0000-000029C10000}"/>
    <cellStyle name="Output 2 2 3 2 4" xfId="15257" xr:uid="{00000000-0005-0000-0000-00002AC10000}"/>
    <cellStyle name="Output 2 2 3 2 4 2" xfId="43130" xr:uid="{00000000-0005-0000-0000-00002BC10000}"/>
    <cellStyle name="Output 2 2 3 2 4 3" xfId="41284" xr:uid="{00000000-0005-0000-0000-00002CC10000}"/>
    <cellStyle name="Output 2 2 3 2 4 4" xfId="32892" xr:uid="{00000000-0005-0000-0000-00002DC10000}"/>
    <cellStyle name="Output 2 2 3 2 5" xfId="19960" xr:uid="{00000000-0005-0000-0000-00002EC10000}"/>
    <cellStyle name="Output 2 2 3 2 5 2" xfId="45497" xr:uid="{00000000-0005-0000-0000-00002FC10000}"/>
    <cellStyle name="Output 2 2 3 2 5 3" xfId="49403" xr:uid="{00000000-0005-0000-0000-000030C10000}"/>
    <cellStyle name="Output 2 2 3 2 5 4" xfId="37465" xr:uid="{00000000-0005-0000-0000-000031C10000}"/>
    <cellStyle name="Output 2 2 3 2 6" xfId="20389" xr:uid="{00000000-0005-0000-0000-000032C10000}"/>
    <cellStyle name="Output 2 2 3 2 6 2" xfId="45926" xr:uid="{00000000-0005-0000-0000-000033C10000}"/>
    <cellStyle name="Output 2 2 3 2 6 3" xfId="49832" xr:uid="{00000000-0005-0000-0000-000034C10000}"/>
    <cellStyle name="Output 2 2 3 2 6 4" xfId="37843" xr:uid="{00000000-0005-0000-0000-000035C10000}"/>
    <cellStyle name="Output 2 2 3 2 7" xfId="19249" xr:uid="{00000000-0005-0000-0000-000036C10000}"/>
    <cellStyle name="Output 2 2 3 2 7 2" xfId="44786" xr:uid="{00000000-0005-0000-0000-000037C10000}"/>
    <cellStyle name="Output 2 2 3 2 7 3" xfId="48692" xr:uid="{00000000-0005-0000-0000-000038C10000}"/>
    <cellStyle name="Output 2 2 3 2 7 4" xfId="36827" xr:uid="{00000000-0005-0000-0000-000039C10000}"/>
    <cellStyle name="Output 2 2 3 2 8" xfId="12685" xr:uid="{00000000-0005-0000-0000-00003AC10000}"/>
    <cellStyle name="Output 2 2 3 2 8 2" xfId="42164" xr:uid="{00000000-0005-0000-0000-00003BC10000}"/>
    <cellStyle name="Output 2 2 3 2 8 3" xfId="43332" xr:uid="{00000000-0005-0000-0000-00003CC10000}"/>
    <cellStyle name="Output 2 2 3 2 9" xfId="39990" xr:uid="{00000000-0005-0000-0000-00003DC10000}"/>
    <cellStyle name="Output 2 2 3 3" xfId="12105" xr:uid="{00000000-0005-0000-0000-00003EC10000}"/>
    <cellStyle name="Output 2 2 3 3 2" xfId="41850" xr:uid="{00000000-0005-0000-0000-00003FC10000}"/>
    <cellStyle name="Output 2 2 3 3 3" xfId="39328" xr:uid="{00000000-0005-0000-0000-000040C10000}"/>
    <cellStyle name="Output 2 2 3 3 4" xfId="29778" xr:uid="{00000000-0005-0000-0000-000041C10000}"/>
    <cellStyle name="Output 2 2 3 3 5" xfId="53407" xr:uid="{00000000-0005-0000-0000-000042C10000}"/>
    <cellStyle name="Output 2 2 3 4" xfId="20112" xr:uid="{00000000-0005-0000-0000-000043C10000}"/>
    <cellStyle name="Output 2 2 3 4 2" xfId="45649" xr:uid="{00000000-0005-0000-0000-000044C10000}"/>
    <cellStyle name="Output 2 2 3 4 3" xfId="49555" xr:uid="{00000000-0005-0000-0000-000045C10000}"/>
    <cellStyle name="Output 2 2 3 4 4" xfId="37600" xr:uid="{00000000-0005-0000-0000-000046C10000}"/>
    <cellStyle name="Output 2 2 3 5" xfId="23022" xr:uid="{00000000-0005-0000-0000-000047C10000}"/>
    <cellStyle name="Output 2 2 3 5 2" xfId="47628" xr:uid="{00000000-0005-0000-0000-000048C10000}"/>
    <cellStyle name="Output 2 2 3 5 3" xfId="51439" xr:uid="{00000000-0005-0000-0000-000049C10000}"/>
    <cellStyle name="Output 2 2 3 6" xfId="53301" xr:uid="{00000000-0005-0000-0000-00004AC10000}"/>
    <cellStyle name="Output 2 2 4" xfId="5313" xr:uid="{00000000-0005-0000-0000-00004BC10000}"/>
    <cellStyle name="Output 2 2 4 2" xfId="7470" xr:uid="{00000000-0005-0000-0000-00004CC10000}"/>
    <cellStyle name="Output 2 2 4 2 10" xfId="40282" xr:uid="{00000000-0005-0000-0000-00004DC10000}"/>
    <cellStyle name="Output 2 2 4 2 11" xfId="53304" xr:uid="{00000000-0005-0000-0000-00004EC10000}"/>
    <cellStyle name="Output 2 2 4 2 2" xfId="10743" xr:uid="{00000000-0005-0000-0000-00004FC10000}"/>
    <cellStyle name="Output 2 2 4 2 2 2" xfId="18536" xr:uid="{00000000-0005-0000-0000-000050C10000}"/>
    <cellStyle name="Output 2 2 4 2 2 2 2" xfId="44083" xr:uid="{00000000-0005-0000-0000-000051C10000}"/>
    <cellStyle name="Output 2 2 4 2 2 2 3" xfId="47992" xr:uid="{00000000-0005-0000-0000-000052C10000}"/>
    <cellStyle name="Output 2 2 4 2 2 2 4" xfId="36173" xr:uid="{00000000-0005-0000-0000-000053C10000}"/>
    <cellStyle name="Output 2 2 4 2 2 3" xfId="12633" xr:uid="{00000000-0005-0000-0000-000054C10000}"/>
    <cellStyle name="Output 2 2 4 2 2 3 2" xfId="42112" xr:uid="{00000000-0005-0000-0000-000055C10000}"/>
    <cellStyle name="Output 2 2 4 2 2 3 3" xfId="43588" xr:uid="{00000000-0005-0000-0000-000056C10000}"/>
    <cellStyle name="Output 2 2 4 2 2 3 4" xfId="30298" xr:uid="{00000000-0005-0000-0000-000057C10000}"/>
    <cellStyle name="Output 2 2 4 2 2 4" xfId="18982" xr:uid="{00000000-0005-0000-0000-000058C10000}"/>
    <cellStyle name="Output 2 2 4 2 2 4 2" xfId="44519" xr:uid="{00000000-0005-0000-0000-000059C10000}"/>
    <cellStyle name="Output 2 2 4 2 2 4 3" xfId="48425" xr:uid="{00000000-0005-0000-0000-00005AC10000}"/>
    <cellStyle name="Output 2 2 4 2 2 4 4" xfId="36606" xr:uid="{00000000-0005-0000-0000-00005BC10000}"/>
    <cellStyle name="Output 2 2 4 2 2 5" xfId="20949" xr:uid="{00000000-0005-0000-0000-00005CC10000}"/>
    <cellStyle name="Output 2 2 4 2 2 5 2" xfId="46486" xr:uid="{00000000-0005-0000-0000-00005DC10000}"/>
    <cellStyle name="Output 2 2 4 2 2 5 3" xfId="50392" xr:uid="{00000000-0005-0000-0000-00005EC10000}"/>
    <cellStyle name="Output 2 2 4 2 2 5 4" xfId="38355" xr:uid="{00000000-0005-0000-0000-00005FC10000}"/>
    <cellStyle name="Output 2 2 4 2 2 6" xfId="21602" xr:uid="{00000000-0005-0000-0000-000060C10000}"/>
    <cellStyle name="Output 2 2 4 2 2 6 2" xfId="47139" xr:uid="{00000000-0005-0000-0000-000061C10000}"/>
    <cellStyle name="Output 2 2 4 2 2 6 3" xfId="51045" xr:uid="{00000000-0005-0000-0000-000062C10000}"/>
    <cellStyle name="Output 2 2 4 2 2 7" xfId="40942" xr:uid="{00000000-0005-0000-0000-000063C10000}"/>
    <cellStyle name="Output 2 2 4 2 2 8" xfId="43517" xr:uid="{00000000-0005-0000-0000-000064C10000}"/>
    <cellStyle name="Output 2 2 4 2 2 9" xfId="53410" xr:uid="{00000000-0005-0000-0000-000065C10000}"/>
    <cellStyle name="Output 2 2 4 2 3" xfId="11038" xr:uid="{00000000-0005-0000-0000-000066C10000}"/>
    <cellStyle name="Output 2 2 4 2 3 2" xfId="18831" xr:uid="{00000000-0005-0000-0000-000067C10000}"/>
    <cellStyle name="Output 2 2 4 2 3 2 2" xfId="44378" xr:uid="{00000000-0005-0000-0000-000068C10000}"/>
    <cellStyle name="Output 2 2 4 2 3 2 3" xfId="48287" xr:uid="{00000000-0005-0000-0000-000069C10000}"/>
    <cellStyle name="Output 2 2 4 2 3 2 4" xfId="36468" xr:uid="{00000000-0005-0000-0000-00006AC10000}"/>
    <cellStyle name="Output 2 2 4 2 3 3" xfId="20424" xr:uid="{00000000-0005-0000-0000-00006BC10000}"/>
    <cellStyle name="Output 2 2 4 2 3 3 2" xfId="45961" xr:uid="{00000000-0005-0000-0000-00006CC10000}"/>
    <cellStyle name="Output 2 2 4 2 3 3 3" xfId="49867" xr:uid="{00000000-0005-0000-0000-00006DC10000}"/>
    <cellStyle name="Output 2 2 4 2 3 3 4" xfId="37878" xr:uid="{00000000-0005-0000-0000-00006EC10000}"/>
    <cellStyle name="Output 2 2 4 2 3 4" xfId="20568" xr:uid="{00000000-0005-0000-0000-00006FC10000}"/>
    <cellStyle name="Output 2 2 4 2 3 4 2" xfId="46105" xr:uid="{00000000-0005-0000-0000-000070C10000}"/>
    <cellStyle name="Output 2 2 4 2 3 4 3" xfId="50011" xr:uid="{00000000-0005-0000-0000-000071C10000}"/>
    <cellStyle name="Output 2 2 4 2 3 4 4" xfId="37995" xr:uid="{00000000-0005-0000-0000-000072C10000}"/>
    <cellStyle name="Output 2 2 4 2 3 5" xfId="21244" xr:uid="{00000000-0005-0000-0000-000073C10000}"/>
    <cellStyle name="Output 2 2 4 2 3 5 2" xfId="46781" xr:uid="{00000000-0005-0000-0000-000074C10000}"/>
    <cellStyle name="Output 2 2 4 2 3 5 3" xfId="50687" xr:uid="{00000000-0005-0000-0000-000075C10000}"/>
    <cellStyle name="Output 2 2 4 2 3 5 4" xfId="38650" xr:uid="{00000000-0005-0000-0000-000076C10000}"/>
    <cellStyle name="Output 2 2 4 2 3 6" xfId="21897" xr:uid="{00000000-0005-0000-0000-000077C10000}"/>
    <cellStyle name="Output 2 2 4 2 3 6 2" xfId="47434" xr:uid="{00000000-0005-0000-0000-000078C10000}"/>
    <cellStyle name="Output 2 2 4 2 3 6 3" xfId="51340" xr:uid="{00000000-0005-0000-0000-000079C10000}"/>
    <cellStyle name="Output 2 2 4 2 3 7" xfId="41237" xr:uid="{00000000-0005-0000-0000-00007AC10000}"/>
    <cellStyle name="Output 2 2 4 2 3 8" xfId="40474" xr:uid="{00000000-0005-0000-0000-00007BC10000}"/>
    <cellStyle name="Output 2 2 4 2 4" xfId="15258" xr:uid="{00000000-0005-0000-0000-00007CC10000}"/>
    <cellStyle name="Output 2 2 4 2 4 2" xfId="43131" xr:uid="{00000000-0005-0000-0000-00007DC10000}"/>
    <cellStyle name="Output 2 2 4 2 4 3" xfId="43177" xr:uid="{00000000-0005-0000-0000-00007EC10000}"/>
    <cellStyle name="Output 2 2 4 2 4 4" xfId="32893" xr:uid="{00000000-0005-0000-0000-00007FC10000}"/>
    <cellStyle name="Output 2 2 4 2 5" xfId="19193" xr:uid="{00000000-0005-0000-0000-000080C10000}"/>
    <cellStyle name="Output 2 2 4 2 5 2" xfId="44730" xr:uid="{00000000-0005-0000-0000-000081C10000}"/>
    <cellStyle name="Output 2 2 4 2 5 3" xfId="48636" xr:uid="{00000000-0005-0000-0000-000082C10000}"/>
    <cellStyle name="Output 2 2 4 2 5 4" xfId="36780" xr:uid="{00000000-0005-0000-0000-000083C10000}"/>
    <cellStyle name="Output 2 2 4 2 6" xfId="12671" xr:uid="{00000000-0005-0000-0000-000084C10000}"/>
    <cellStyle name="Output 2 2 4 2 6 2" xfId="42150" xr:uid="{00000000-0005-0000-0000-000085C10000}"/>
    <cellStyle name="Output 2 2 4 2 6 3" xfId="39658" xr:uid="{00000000-0005-0000-0000-000086C10000}"/>
    <cellStyle name="Output 2 2 4 2 6 4" xfId="30335" xr:uid="{00000000-0005-0000-0000-000087C10000}"/>
    <cellStyle name="Output 2 2 4 2 7" xfId="11691" xr:uid="{00000000-0005-0000-0000-000088C10000}"/>
    <cellStyle name="Output 2 2 4 2 7 2" xfId="41698" xr:uid="{00000000-0005-0000-0000-000089C10000}"/>
    <cellStyle name="Output 2 2 4 2 7 3" xfId="40560" xr:uid="{00000000-0005-0000-0000-00008AC10000}"/>
    <cellStyle name="Output 2 2 4 2 7 4" xfId="29384" xr:uid="{00000000-0005-0000-0000-00008BC10000}"/>
    <cellStyle name="Output 2 2 4 2 8" xfId="11716" xr:uid="{00000000-0005-0000-0000-00008CC10000}"/>
    <cellStyle name="Output 2 2 4 2 8 2" xfId="41710" xr:uid="{00000000-0005-0000-0000-00008DC10000}"/>
    <cellStyle name="Output 2 2 4 2 8 3" xfId="43595" xr:uid="{00000000-0005-0000-0000-00008EC10000}"/>
    <cellStyle name="Output 2 2 4 2 9" xfId="39991" xr:uid="{00000000-0005-0000-0000-00008FC10000}"/>
    <cellStyle name="Output 2 2 4 3" xfId="13281" xr:uid="{00000000-0005-0000-0000-000090C10000}"/>
    <cellStyle name="Output 2 2 4 3 2" xfId="42451" xr:uid="{00000000-0005-0000-0000-000091C10000}"/>
    <cellStyle name="Output 2 2 4 3 3" xfId="43681" xr:uid="{00000000-0005-0000-0000-000092C10000}"/>
    <cellStyle name="Output 2 2 4 3 4" xfId="30926" xr:uid="{00000000-0005-0000-0000-000093C10000}"/>
    <cellStyle name="Output 2 2 4 3 5" xfId="53409" xr:uid="{00000000-0005-0000-0000-000094C10000}"/>
    <cellStyle name="Output 2 2 4 4" xfId="11733" xr:uid="{00000000-0005-0000-0000-000095C10000}"/>
    <cellStyle name="Output 2 2 4 4 2" xfId="41719" xr:uid="{00000000-0005-0000-0000-000096C10000}"/>
    <cellStyle name="Output 2 2 4 4 3" xfId="42813" xr:uid="{00000000-0005-0000-0000-000097C10000}"/>
    <cellStyle name="Output 2 2 4 4 4" xfId="29420" xr:uid="{00000000-0005-0000-0000-000098C10000}"/>
    <cellStyle name="Output 2 2 4 5" xfId="22619" xr:uid="{00000000-0005-0000-0000-000099C10000}"/>
    <cellStyle name="Output 2 2 4 5 2" xfId="47560" xr:uid="{00000000-0005-0000-0000-00009AC10000}"/>
    <cellStyle name="Output 2 2 4 5 3" xfId="51409" xr:uid="{00000000-0005-0000-0000-00009BC10000}"/>
    <cellStyle name="Output 2 2 4 6" xfId="53303" xr:uid="{00000000-0005-0000-0000-00009CC10000}"/>
    <cellStyle name="Output 2 2 5" xfId="5314" xr:uid="{00000000-0005-0000-0000-00009DC10000}"/>
    <cellStyle name="Output 2 2 5 2" xfId="10478" xr:uid="{00000000-0005-0000-0000-00009EC10000}"/>
    <cellStyle name="Output 2 2 5 2 2" xfId="18271" xr:uid="{00000000-0005-0000-0000-00009FC10000}"/>
    <cellStyle name="Output 2 2 5 2 2 2" xfId="43818" xr:uid="{00000000-0005-0000-0000-0000A0C10000}"/>
    <cellStyle name="Output 2 2 5 2 2 3" xfId="47727" xr:uid="{00000000-0005-0000-0000-0000A1C10000}"/>
    <cellStyle name="Output 2 2 5 2 2 4" xfId="35908" xr:uid="{00000000-0005-0000-0000-0000A2C10000}"/>
    <cellStyle name="Output 2 2 5 2 3" xfId="19311" xr:uid="{00000000-0005-0000-0000-0000A3C10000}"/>
    <cellStyle name="Output 2 2 5 2 3 2" xfId="44848" xr:uid="{00000000-0005-0000-0000-0000A4C10000}"/>
    <cellStyle name="Output 2 2 5 2 3 3" xfId="48754" xr:uid="{00000000-0005-0000-0000-0000A5C10000}"/>
    <cellStyle name="Output 2 2 5 2 3 4" xfId="36889" xr:uid="{00000000-0005-0000-0000-0000A6C10000}"/>
    <cellStyle name="Output 2 2 5 2 4" xfId="18930" xr:uid="{00000000-0005-0000-0000-0000A7C10000}"/>
    <cellStyle name="Output 2 2 5 2 4 2" xfId="44467" xr:uid="{00000000-0005-0000-0000-0000A8C10000}"/>
    <cellStyle name="Output 2 2 5 2 4 3" xfId="48373" xr:uid="{00000000-0005-0000-0000-0000A9C10000}"/>
    <cellStyle name="Output 2 2 5 2 4 4" xfId="36558" xr:uid="{00000000-0005-0000-0000-0000AAC10000}"/>
    <cellStyle name="Output 2 2 5 2 5" xfId="20684" xr:uid="{00000000-0005-0000-0000-0000ABC10000}"/>
    <cellStyle name="Output 2 2 5 2 5 2" xfId="46221" xr:uid="{00000000-0005-0000-0000-0000ACC10000}"/>
    <cellStyle name="Output 2 2 5 2 5 3" xfId="50127" xr:uid="{00000000-0005-0000-0000-0000ADC10000}"/>
    <cellStyle name="Output 2 2 5 2 5 4" xfId="38090" xr:uid="{00000000-0005-0000-0000-0000AEC10000}"/>
    <cellStyle name="Output 2 2 5 2 6" xfId="21337" xr:uid="{00000000-0005-0000-0000-0000AFC10000}"/>
    <cellStyle name="Output 2 2 5 2 6 2" xfId="46874" xr:uid="{00000000-0005-0000-0000-0000B0C10000}"/>
    <cellStyle name="Output 2 2 5 2 6 3" xfId="50780" xr:uid="{00000000-0005-0000-0000-0000B1C10000}"/>
    <cellStyle name="Output 2 2 5 2 7" xfId="40677" xr:uid="{00000000-0005-0000-0000-0000B2C10000}"/>
    <cellStyle name="Output 2 2 5 2 8" xfId="40263" xr:uid="{00000000-0005-0000-0000-0000B3C10000}"/>
    <cellStyle name="Output 2 2 5 2 9" xfId="53411" xr:uid="{00000000-0005-0000-0000-0000B4C10000}"/>
    <cellStyle name="Output 2 2 5 3" xfId="8803" xr:uid="{00000000-0005-0000-0000-0000B5C10000}"/>
    <cellStyle name="Output 2 2 5 3 2" xfId="16599" xr:uid="{00000000-0005-0000-0000-0000B6C10000}"/>
    <cellStyle name="Output 2 2 5 3 2 2" xfId="43440" xr:uid="{00000000-0005-0000-0000-0000B7C10000}"/>
    <cellStyle name="Output 2 2 5 3 2 3" xfId="40517" xr:uid="{00000000-0005-0000-0000-0000B8C10000}"/>
    <cellStyle name="Output 2 2 5 3 2 4" xfId="34234" xr:uid="{00000000-0005-0000-0000-0000B9C10000}"/>
    <cellStyle name="Output 2 2 5 3 3" xfId="20209" xr:uid="{00000000-0005-0000-0000-0000BAC10000}"/>
    <cellStyle name="Output 2 2 5 3 3 2" xfId="45746" xr:uid="{00000000-0005-0000-0000-0000BBC10000}"/>
    <cellStyle name="Output 2 2 5 3 3 3" xfId="49652" xr:uid="{00000000-0005-0000-0000-0000BCC10000}"/>
    <cellStyle name="Output 2 2 5 3 3 4" xfId="37688" xr:uid="{00000000-0005-0000-0000-0000BDC10000}"/>
    <cellStyle name="Output 2 2 5 3 4" xfId="20465" xr:uid="{00000000-0005-0000-0000-0000BEC10000}"/>
    <cellStyle name="Output 2 2 5 3 4 2" xfId="46002" xr:uid="{00000000-0005-0000-0000-0000BFC10000}"/>
    <cellStyle name="Output 2 2 5 3 4 3" xfId="49908" xr:uid="{00000000-0005-0000-0000-0000C0C10000}"/>
    <cellStyle name="Output 2 2 5 3 4 4" xfId="37918" xr:uid="{00000000-0005-0000-0000-0000C1C10000}"/>
    <cellStyle name="Output 2 2 5 3 5" xfId="20236" xr:uid="{00000000-0005-0000-0000-0000C2C10000}"/>
    <cellStyle name="Output 2 2 5 3 5 2" xfId="45773" xr:uid="{00000000-0005-0000-0000-0000C3C10000}"/>
    <cellStyle name="Output 2 2 5 3 5 3" xfId="49679" xr:uid="{00000000-0005-0000-0000-0000C4C10000}"/>
    <cellStyle name="Output 2 2 5 3 5 4" xfId="37709" xr:uid="{00000000-0005-0000-0000-0000C5C10000}"/>
    <cellStyle name="Output 2 2 5 3 6" xfId="20506" xr:uid="{00000000-0005-0000-0000-0000C6C10000}"/>
    <cellStyle name="Output 2 2 5 3 6 2" xfId="46043" xr:uid="{00000000-0005-0000-0000-0000C7C10000}"/>
    <cellStyle name="Output 2 2 5 3 6 3" xfId="49949" xr:uid="{00000000-0005-0000-0000-0000C8C10000}"/>
    <cellStyle name="Output 2 2 5 3 7" xfId="40302" xr:uid="{00000000-0005-0000-0000-0000C9C10000}"/>
    <cellStyle name="Output 2 2 5 3 8" xfId="39213" xr:uid="{00000000-0005-0000-0000-0000CAC10000}"/>
    <cellStyle name="Output 2 2 5 4" xfId="13282" xr:uid="{00000000-0005-0000-0000-0000CBC10000}"/>
    <cellStyle name="Output 2 2 5 4 2" xfId="42452" xr:uid="{00000000-0005-0000-0000-0000CCC10000}"/>
    <cellStyle name="Output 2 2 5 4 3" xfId="40540" xr:uid="{00000000-0005-0000-0000-0000CDC10000}"/>
    <cellStyle name="Output 2 2 5 4 4" xfId="30927" xr:uid="{00000000-0005-0000-0000-0000CEC10000}"/>
    <cellStyle name="Output 2 2 5 5" xfId="20372" xr:uid="{00000000-0005-0000-0000-0000CFC10000}"/>
    <cellStyle name="Output 2 2 5 5 2" xfId="45909" xr:uid="{00000000-0005-0000-0000-0000D0C10000}"/>
    <cellStyle name="Output 2 2 5 5 3" xfId="49815" xr:uid="{00000000-0005-0000-0000-0000D1C10000}"/>
    <cellStyle name="Output 2 2 5 5 4" xfId="37828" xr:uid="{00000000-0005-0000-0000-0000D2C10000}"/>
    <cellStyle name="Output 2 2 5 6" xfId="53305" xr:uid="{00000000-0005-0000-0000-0000D3C10000}"/>
    <cellStyle name="Output 2 2 6" xfId="7467" xr:uid="{00000000-0005-0000-0000-0000D4C10000}"/>
    <cellStyle name="Output 2 2 6 10" xfId="47626" xr:uid="{00000000-0005-0000-0000-0000D5C10000}"/>
    <cellStyle name="Output 2 2 6 11" xfId="53404" xr:uid="{00000000-0005-0000-0000-0000D6C10000}"/>
    <cellStyle name="Output 2 2 6 2" xfId="10740" xr:uid="{00000000-0005-0000-0000-0000D7C10000}"/>
    <cellStyle name="Output 2 2 6 2 2" xfId="18533" xr:uid="{00000000-0005-0000-0000-0000D8C10000}"/>
    <cellStyle name="Output 2 2 6 2 2 2" xfId="44080" xr:uid="{00000000-0005-0000-0000-0000D9C10000}"/>
    <cellStyle name="Output 2 2 6 2 2 3" xfId="47989" xr:uid="{00000000-0005-0000-0000-0000DAC10000}"/>
    <cellStyle name="Output 2 2 6 2 2 4" xfId="36170" xr:uid="{00000000-0005-0000-0000-0000DBC10000}"/>
    <cellStyle name="Output 2 2 6 2 3" xfId="19896" xr:uid="{00000000-0005-0000-0000-0000DCC10000}"/>
    <cellStyle name="Output 2 2 6 2 3 2" xfId="45433" xr:uid="{00000000-0005-0000-0000-0000DDC10000}"/>
    <cellStyle name="Output 2 2 6 2 3 3" xfId="49339" xr:uid="{00000000-0005-0000-0000-0000DEC10000}"/>
    <cellStyle name="Output 2 2 6 2 3 4" xfId="37410" xr:uid="{00000000-0005-0000-0000-0000DFC10000}"/>
    <cellStyle name="Output 2 2 6 2 4" xfId="11469" xr:uid="{00000000-0005-0000-0000-0000E0C10000}"/>
    <cellStyle name="Output 2 2 6 2 4 2" xfId="41480" xr:uid="{00000000-0005-0000-0000-0000E1C10000}"/>
    <cellStyle name="Output 2 2 6 2 4 3" xfId="39357" xr:uid="{00000000-0005-0000-0000-0000E2C10000}"/>
    <cellStyle name="Output 2 2 6 2 4 4" xfId="29186" xr:uid="{00000000-0005-0000-0000-0000E3C10000}"/>
    <cellStyle name="Output 2 2 6 2 5" xfId="20946" xr:uid="{00000000-0005-0000-0000-0000E4C10000}"/>
    <cellStyle name="Output 2 2 6 2 5 2" xfId="46483" xr:uid="{00000000-0005-0000-0000-0000E5C10000}"/>
    <cellStyle name="Output 2 2 6 2 5 3" xfId="50389" xr:uid="{00000000-0005-0000-0000-0000E6C10000}"/>
    <cellStyle name="Output 2 2 6 2 5 4" xfId="38352" xr:uid="{00000000-0005-0000-0000-0000E7C10000}"/>
    <cellStyle name="Output 2 2 6 2 6" xfId="21599" xr:uid="{00000000-0005-0000-0000-0000E8C10000}"/>
    <cellStyle name="Output 2 2 6 2 6 2" xfId="47136" xr:uid="{00000000-0005-0000-0000-0000E9C10000}"/>
    <cellStyle name="Output 2 2 6 2 6 3" xfId="51042" xr:uid="{00000000-0005-0000-0000-0000EAC10000}"/>
    <cellStyle name="Output 2 2 6 2 7" xfId="40939" xr:uid="{00000000-0005-0000-0000-0000EBC10000}"/>
    <cellStyle name="Output 2 2 6 2 8" xfId="40486" xr:uid="{00000000-0005-0000-0000-0000ECC10000}"/>
    <cellStyle name="Output 2 2 6 3" xfId="11035" xr:uid="{00000000-0005-0000-0000-0000EDC10000}"/>
    <cellStyle name="Output 2 2 6 3 2" xfId="18828" xr:uid="{00000000-0005-0000-0000-0000EEC10000}"/>
    <cellStyle name="Output 2 2 6 3 2 2" xfId="44375" xr:uid="{00000000-0005-0000-0000-0000EFC10000}"/>
    <cellStyle name="Output 2 2 6 3 2 3" xfId="48284" xr:uid="{00000000-0005-0000-0000-0000F0C10000}"/>
    <cellStyle name="Output 2 2 6 3 2 4" xfId="36465" xr:uid="{00000000-0005-0000-0000-0000F1C10000}"/>
    <cellStyle name="Output 2 2 6 3 3" xfId="20421" xr:uid="{00000000-0005-0000-0000-0000F2C10000}"/>
    <cellStyle name="Output 2 2 6 3 3 2" xfId="45958" xr:uid="{00000000-0005-0000-0000-0000F3C10000}"/>
    <cellStyle name="Output 2 2 6 3 3 3" xfId="49864" xr:uid="{00000000-0005-0000-0000-0000F4C10000}"/>
    <cellStyle name="Output 2 2 6 3 3 4" xfId="37875" xr:uid="{00000000-0005-0000-0000-0000F5C10000}"/>
    <cellStyle name="Output 2 2 6 3 4" xfId="20565" xr:uid="{00000000-0005-0000-0000-0000F6C10000}"/>
    <cellStyle name="Output 2 2 6 3 4 2" xfId="46102" xr:uid="{00000000-0005-0000-0000-0000F7C10000}"/>
    <cellStyle name="Output 2 2 6 3 4 3" xfId="50008" xr:uid="{00000000-0005-0000-0000-0000F8C10000}"/>
    <cellStyle name="Output 2 2 6 3 4 4" xfId="37992" xr:uid="{00000000-0005-0000-0000-0000F9C10000}"/>
    <cellStyle name="Output 2 2 6 3 5" xfId="21241" xr:uid="{00000000-0005-0000-0000-0000FAC10000}"/>
    <cellStyle name="Output 2 2 6 3 5 2" xfId="46778" xr:uid="{00000000-0005-0000-0000-0000FBC10000}"/>
    <cellStyle name="Output 2 2 6 3 5 3" xfId="50684" xr:uid="{00000000-0005-0000-0000-0000FCC10000}"/>
    <cellStyle name="Output 2 2 6 3 5 4" xfId="38647" xr:uid="{00000000-0005-0000-0000-0000FDC10000}"/>
    <cellStyle name="Output 2 2 6 3 6" xfId="21894" xr:uid="{00000000-0005-0000-0000-0000FEC10000}"/>
    <cellStyle name="Output 2 2 6 3 6 2" xfId="47431" xr:uid="{00000000-0005-0000-0000-0000FFC10000}"/>
    <cellStyle name="Output 2 2 6 3 6 3" xfId="51337" xr:uid="{00000000-0005-0000-0000-000000C20000}"/>
    <cellStyle name="Output 2 2 6 3 7" xfId="41234" xr:uid="{00000000-0005-0000-0000-000001C20000}"/>
    <cellStyle name="Output 2 2 6 3 8" xfId="39690" xr:uid="{00000000-0005-0000-0000-000002C20000}"/>
    <cellStyle name="Output 2 2 6 4" xfId="15255" xr:uid="{00000000-0005-0000-0000-000003C20000}"/>
    <cellStyle name="Output 2 2 6 4 2" xfId="43128" xr:uid="{00000000-0005-0000-0000-000004C20000}"/>
    <cellStyle name="Output 2 2 6 4 3" xfId="39426" xr:uid="{00000000-0005-0000-0000-000005C20000}"/>
    <cellStyle name="Output 2 2 6 4 4" xfId="32890" xr:uid="{00000000-0005-0000-0000-000006C20000}"/>
    <cellStyle name="Output 2 2 6 5" xfId="20089" xr:uid="{00000000-0005-0000-0000-000007C20000}"/>
    <cellStyle name="Output 2 2 6 5 2" xfId="45626" xr:uid="{00000000-0005-0000-0000-000008C20000}"/>
    <cellStyle name="Output 2 2 6 5 3" xfId="49532" xr:uid="{00000000-0005-0000-0000-000009C20000}"/>
    <cellStyle name="Output 2 2 6 5 4" xfId="37581" xr:uid="{00000000-0005-0000-0000-00000AC20000}"/>
    <cellStyle name="Output 2 2 6 6" xfId="19813" xr:uid="{00000000-0005-0000-0000-00000BC20000}"/>
    <cellStyle name="Output 2 2 6 6 2" xfId="45350" xr:uid="{00000000-0005-0000-0000-00000CC20000}"/>
    <cellStyle name="Output 2 2 6 6 3" xfId="49256" xr:uid="{00000000-0005-0000-0000-00000DC20000}"/>
    <cellStyle name="Output 2 2 6 6 4" xfId="37334" xr:uid="{00000000-0005-0000-0000-00000EC20000}"/>
    <cellStyle name="Output 2 2 6 7" xfId="11619" xr:uid="{00000000-0005-0000-0000-00000FC20000}"/>
    <cellStyle name="Output 2 2 6 7 2" xfId="41630" xr:uid="{00000000-0005-0000-0000-000010C20000}"/>
    <cellStyle name="Output 2 2 6 7 3" xfId="42711" xr:uid="{00000000-0005-0000-0000-000011C20000}"/>
    <cellStyle name="Output 2 2 6 7 4" xfId="29322" xr:uid="{00000000-0005-0000-0000-000012C20000}"/>
    <cellStyle name="Output 2 2 6 8" xfId="19976" xr:uid="{00000000-0005-0000-0000-000013C20000}"/>
    <cellStyle name="Output 2 2 6 8 2" xfId="45513" xr:uid="{00000000-0005-0000-0000-000014C20000}"/>
    <cellStyle name="Output 2 2 6 8 3" xfId="49419" xr:uid="{00000000-0005-0000-0000-000015C20000}"/>
    <cellStyle name="Output 2 2 6 9" xfId="39988" xr:uid="{00000000-0005-0000-0000-000016C20000}"/>
    <cellStyle name="Output 2 2 7" xfId="12103" xr:uid="{00000000-0005-0000-0000-000017C20000}"/>
    <cellStyle name="Output 2 2 7 2" xfId="41848" xr:uid="{00000000-0005-0000-0000-000018C20000}"/>
    <cellStyle name="Output 2 2 7 3" xfId="39129" xr:uid="{00000000-0005-0000-0000-000019C20000}"/>
    <cellStyle name="Output 2 2 7 4" xfId="29776" xr:uid="{00000000-0005-0000-0000-00001AC20000}"/>
    <cellStyle name="Output 2 2 8" xfId="20246" xr:uid="{00000000-0005-0000-0000-00001BC20000}"/>
    <cellStyle name="Output 2 2 8 2" xfId="45783" xr:uid="{00000000-0005-0000-0000-00001CC20000}"/>
    <cellStyle name="Output 2 2 8 3" xfId="49689" xr:uid="{00000000-0005-0000-0000-00001DC20000}"/>
    <cellStyle name="Output 2 2 8 4" xfId="37718" xr:uid="{00000000-0005-0000-0000-00001EC20000}"/>
    <cellStyle name="Output 2 2 9" xfId="53298" xr:uid="{00000000-0005-0000-0000-00001FC20000}"/>
    <cellStyle name="Output 2 2_Sheet1" xfId="3254" xr:uid="{00000000-0005-0000-0000-000020C20000}"/>
    <cellStyle name="Output 2 20" xfId="19979" xr:uid="{00000000-0005-0000-0000-000021C20000}"/>
    <cellStyle name="Output 2 20 2" xfId="45516" xr:uid="{00000000-0005-0000-0000-000022C20000}"/>
    <cellStyle name="Output 2 20 3" xfId="49422" xr:uid="{00000000-0005-0000-0000-000023C20000}"/>
    <cellStyle name="Output 2 20 4" xfId="37481" xr:uid="{00000000-0005-0000-0000-000024C20000}"/>
    <cellStyle name="Output 2 21" xfId="3245" xr:uid="{00000000-0005-0000-0000-000025C20000}"/>
    <cellStyle name="Output 2 22" xfId="52767" xr:uid="{00000000-0005-0000-0000-000026C20000}"/>
    <cellStyle name="Output 2 23" xfId="52775" xr:uid="{00000000-0005-0000-0000-000027C20000}"/>
    <cellStyle name="Output 2 24" xfId="52763" xr:uid="{00000000-0005-0000-0000-000028C20000}"/>
    <cellStyle name="Output 2 25" xfId="52739" xr:uid="{00000000-0005-0000-0000-000029C20000}"/>
    <cellStyle name="Output 2 26" xfId="52762" xr:uid="{00000000-0005-0000-0000-00002AC20000}"/>
    <cellStyle name="Output 2 27" xfId="52774" xr:uid="{00000000-0005-0000-0000-00002BC20000}"/>
    <cellStyle name="Output 2 28" xfId="52761" xr:uid="{00000000-0005-0000-0000-00002CC20000}"/>
    <cellStyle name="Output 2 29" xfId="52776" xr:uid="{00000000-0005-0000-0000-00002DC20000}"/>
    <cellStyle name="Output 2 3" xfId="3255" xr:uid="{00000000-0005-0000-0000-00002EC20000}"/>
    <cellStyle name="Output 2 3 2" xfId="7471" xr:uid="{00000000-0005-0000-0000-00002FC20000}"/>
    <cellStyle name="Output 2 3 2 10" xfId="39409" xr:uid="{00000000-0005-0000-0000-000030C20000}"/>
    <cellStyle name="Output 2 3 2 11" xfId="53307" xr:uid="{00000000-0005-0000-0000-000031C20000}"/>
    <cellStyle name="Output 2 3 2 2" xfId="10744" xr:uid="{00000000-0005-0000-0000-000032C20000}"/>
    <cellStyle name="Output 2 3 2 2 2" xfId="18537" xr:uid="{00000000-0005-0000-0000-000033C20000}"/>
    <cellStyle name="Output 2 3 2 2 2 2" xfId="44084" xr:uid="{00000000-0005-0000-0000-000034C20000}"/>
    <cellStyle name="Output 2 3 2 2 2 3" xfId="47993" xr:uid="{00000000-0005-0000-0000-000035C20000}"/>
    <cellStyle name="Output 2 3 2 2 2 4" xfId="36174" xr:uid="{00000000-0005-0000-0000-000036C20000}"/>
    <cellStyle name="Output 2 3 2 2 3" xfId="13331" xr:uid="{00000000-0005-0000-0000-000037C20000}"/>
    <cellStyle name="Output 2 3 2 2 3 2" xfId="42501" xr:uid="{00000000-0005-0000-0000-000038C20000}"/>
    <cellStyle name="Output 2 3 2 2 3 3" xfId="39286" xr:uid="{00000000-0005-0000-0000-000039C20000}"/>
    <cellStyle name="Output 2 3 2 2 3 4" xfId="30971" xr:uid="{00000000-0005-0000-0000-00003AC20000}"/>
    <cellStyle name="Output 2 3 2 2 4" xfId="18954" xr:uid="{00000000-0005-0000-0000-00003BC20000}"/>
    <cellStyle name="Output 2 3 2 2 4 2" xfId="44491" xr:uid="{00000000-0005-0000-0000-00003CC20000}"/>
    <cellStyle name="Output 2 3 2 2 4 3" xfId="48397" xr:uid="{00000000-0005-0000-0000-00003DC20000}"/>
    <cellStyle name="Output 2 3 2 2 4 4" xfId="36580" xr:uid="{00000000-0005-0000-0000-00003EC20000}"/>
    <cellStyle name="Output 2 3 2 2 5" xfId="20950" xr:uid="{00000000-0005-0000-0000-00003FC20000}"/>
    <cellStyle name="Output 2 3 2 2 5 2" xfId="46487" xr:uid="{00000000-0005-0000-0000-000040C20000}"/>
    <cellStyle name="Output 2 3 2 2 5 3" xfId="50393" xr:uid="{00000000-0005-0000-0000-000041C20000}"/>
    <cellStyle name="Output 2 3 2 2 5 4" xfId="38356" xr:uid="{00000000-0005-0000-0000-000042C20000}"/>
    <cellStyle name="Output 2 3 2 2 6" xfId="21603" xr:uid="{00000000-0005-0000-0000-000043C20000}"/>
    <cellStyle name="Output 2 3 2 2 6 2" xfId="47140" xr:uid="{00000000-0005-0000-0000-000044C20000}"/>
    <cellStyle name="Output 2 3 2 2 6 3" xfId="51046" xr:uid="{00000000-0005-0000-0000-000045C20000}"/>
    <cellStyle name="Output 2 3 2 2 7" xfId="40943" xr:uid="{00000000-0005-0000-0000-000046C20000}"/>
    <cellStyle name="Output 2 3 2 2 8" xfId="40380" xr:uid="{00000000-0005-0000-0000-000047C20000}"/>
    <cellStyle name="Output 2 3 2 2 9" xfId="53413" xr:uid="{00000000-0005-0000-0000-000048C20000}"/>
    <cellStyle name="Output 2 3 2 3" xfId="11039" xr:uid="{00000000-0005-0000-0000-000049C20000}"/>
    <cellStyle name="Output 2 3 2 3 2" xfId="18832" xr:uid="{00000000-0005-0000-0000-00004AC20000}"/>
    <cellStyle name="Output 2 3 2 3 2 2" xfId="44379" xr:uid="{00000000-0005-0000-0000-00004BC20000}"/>
    <cellStyle name="Output 2 3 2 3 2 3" xfId="48288" xr:uid="{00000000-0005-0000-0000-00004CC20000}"/>
    <cellStyle name="Output 2 3 2 3 2 4" xfId="36469" xr:uid="{00000000-0005-0000-0000-00004DC20000}"/>
    <cellStyle name="Output 2 3 2 3 3" xfId="20425" xr:uid="{00000000-0005-0000-0000-00004EC20000}"/>
    <cellStyle name="Output 2 3 2 3 3 2" xfId="45962" xr:uid="{00000000-0005-0000-0000-00004FC20000}"/>
    <cellStyle name="Output 2 3 2 3 3 3" xfId="49868" xr:uid="{00000000-0005-0000-0000-000050C20000}"/>
    <cellStyle name="Output 2 3 2 3 3 4" xfId="37879" xr:uid="{00000000-0005-0000-0000-000051C20000}"/>
    <cellStyle name="Output 2 3 2 3 4" xfId="20569" xr:uid="{00000000-0005-0000-0000-000052C20000}"/>
    <cellStyle name="Output 2 3 2 3 4 2" xfId="46106" xr:uid="{00000000-0005-0000-0000-000053C20000}"/>
    <cellStyle name="Output 2 3 2 3 4 3" xfId="50012" xr:uid="{00000000-0005-0000-0000-000054C20000}"/>
    <cellStyle name="Output 2 3 2 3 4 4" xfId="37996" xr:uid="{00000000-0005-0000-0000-000055C20000}"/>
    <cellStyle name="Output 2 3 2 3 5" xfId="21245" xr:uid="{00000000-0005-0000-0000-000056C20000}"/>
    <cellStyle name="Output 2 3 2 3 5 2" xfId="46782" xr:uid="{00000000-0005-0000-0000-000057C20000}"/>
    <cellStyle name="Output 2 3 2 3 5 3" xfId="50688" xr:uid="{00000000-0005-0000-0000-000058C20000}"/>
    <cellStyle name="Output 2 3 2 3 5 4" xfId="38651" xr:uid="{00000000-0005-0000-0000-000059C20000}"/>
    <cellStyle name="Output 2 3 2 3 6" xfId="21898" xr:uid="{00000000-0005-0000-0000-00005AC20000}"/>
    <cellStyle name="Output 2 3 2 3 6 2" xfId="47435" xr:uid="{00000000-0005-0000-0000-00005BC20000}"/>
    <cellStyle name="Output 2 3 2 3 6 3" xfId="51341" xr:uid="{00000000-0005-0000-0000-00005CC20000}"/>
    <cellStyle name="Output 2 3 2 3 7" xfId="41238" xr:uid="{00000000-0005-0000-0000-00005DC20000}"/>
    <cellStyle name="Output 2 3 2 3 8" xfId="39584" xr:uid="{00000000-0005-0000-0000-00005EC20000}"/>
    <cellStyle name="Output 2 3 2 4" xfId="15259" xr:uid="{00000000-0005-0000-0000-00005FC20000}"/>
    <cellStyle name="Output 2 3 2 4 2" xfId="43132" xr:uid="{00000000-0005-0000-0000-000060C20000}"/>
    <cellStyle name="Output 2 3 2 4 3" xfId="40036" xr:uid="{00000000-0005-0000-0000-000061C20000}"/>
    <cellStyle name="Output 2 3 2 4 4" xfId="32894" xr:uid="{00000000-0005-0000-0000-000062C20000}"/>
    <cellStyle name="Output 2 3 2 5" xfId="19817" xr:uid="{00000000-0005-0000-0000-000063C20000}"/>
    <cellStyle name="Output 2 3 2 5 2" xfId="45354" xr:uid="{00000000-0005-0000-0000-000064C20000}"/>
    <cellStyle name="Output 2 3 2 5 3" xfId="49260" xr:uid="{00000000-0005-0000-0000-000065C20000}"/>
    <cellStyle name="Output 2 3 2 5 4" xfId="37338" xr:uid="{00000000-0005-0000-0000-000066C20000}"/>
    <cellStyle name="Output 2 3 2 6" xfId="19337" xr:uid="{00000000-0005-0000-0000-000067C20000}"/>
    <cellStyle name="Output 2 3 2 6 2" xfId="44874" xr:uid="{00000000-0005-0000-0000-000068C20000}"/>
    <cellStyle name="Output 2 3 2 6 3" xfId="48780" xr:uid="{00000000-0005-0000-0000-000069C20000}"/>
    <cellStyle name="Output 2 3 2 6 4" xfId="36909" xr:uid="{00000000-0005-0000-0000-00006AC20000}"/>
    <cellStyle name="Output 2 3 2 7" xfId="19562" xr:uid="{00000000-0005-0000-0000-00006BC20000}"/>
    <cellStyle name="Output 2 3 2 7 2" xfId="45099" xr:uid="{00000000-0005-0000-0000-00006CC20000}"/>
    <cellStyle name="Output 2 3 2 7 3" xfId="49005" xr:uid="{00000000-0005-0000-0000-00006DC20000}"/>
    <cellStyle name="Output 2 3 2 7 4" xfId="37103" xr:uid="{00000000-0005-0000-0000-00006EC20000}"/>
    <cellStyle name="Output 2 3 2 8" xfId="20057" xr:uid="{00000000-0005-0000-0000-00006FC20000}"/>
    <cellStyle name="Output 2 3 2 8 2" xfId="45594" xr:uid="{00000000-0005-0000-0000-000070C20000}"/>
    <cellStyle name="Output 2 3 2 8 3" xfId="49500" xr:uid="{00000000-0005-0000-0000-000071C20000}"/>
    <cellStyle name="Output 2 3 2 9" xfId="39992" xr:uid="{00000000-0005-0000-0000-000072C20000}"/>
    <cellStyle name="Output 2 3 3" xfId="12106" xr:uid="{00000000-0005-0000-0000-000073C20000}"/>
    <cellStyle name="Output 2 3 3 2" xfId="41851" xr:uid="{00000000-0005-0000-0000-000074C20000}"/>
    <cellStyle name="Output 2 3 3 3" xfId="39327" xr:uid="{00000000-0005-0000-0000-000075C20000}"/>
    <cellStyle name="Output 2 3 3 4" xfId="29779" xr:uid="{00000000-0005-0000-0000-000076C20000}"/>
    <cellStyle name="Output 2 3 3 5" xfId="53412" xr:uid="{00000000-0005-0000-0000-000077C20000}"/>
    <cellStyle name="Output 2 3 4" xfId="19978" xr:uid="{00000000-0005-0000-0000-000078C20000}"/>
    <cellStyle name="Output 2 3 4 2" xfId="45515" xr:uid="{00000000-0005-0000-0000-000079C20000}"/>
    <cellStyle name="Output 2 3 4 3" xfId="49421" xr:uid="{00000000-0005-0000-0000-00007AC20000}"/>
    <cellStyle name="Output 2 3 4 4" xfId="37480" xr:uid="{00000000-0005-0000-0000-00007BC20000}"/>
    <cellStyle name="Output 2 3 5" xfId="53306" xr:uid="{00000000-0005-0000-0000-00007CC20000}"/>
    <cellStyle name="Output 2 30" xfId="52832" xr:uid="{00000000-0005-0000-0000-00007DC20000}"/>
    <cellStyle name="Output 2 31" xfId="52786" xr:uid="{00000000-0005-0000-0000-00007EC20000}"/>
    <cellStyle name="Output 2 32" xfId="52833" xr:uid="{00000000-0005-0000-0000-00007FC20000}"/>
    <cellStyle name="Output 2 33" xfId="52787" xr:uid="{00000000-0005-0000-0000-000080C20000}"/>
    <cellStyle name="Output 2 34" xfId="52830" xr:uid="{00000000-0005-0000-0000-000081C20000}"/>
    <cellStyle name="Output 2 35" xfId="52785" xr:uid="{00000000-0005-0000-0000-000082C20000}"/>
    <cellStyle name="Output 2 36" xfId="52827" xr:uid="{00000000-0005-0000-0000-000083C20000}"/>
    <cellStyle name="Output 2 37" xfId="52788" xr:uid="{00000000-0005-0000-0000-000084C20000}"/>
    <cellStyle name="Output 2 38" xfId="52828" xr:uid="{00000000-0005-0000-0000-000085C20000}"/>
    <cellStyle name="Output 2 39" xfId="52790" xr:uid="{00000000-0005-0000-0000-000086C20000}"/>
    <cellStyle name="Output 2 4" xfId="3256" xr:uid="{00000000-0005-0000-0000-000087C20000}"/>
    <cellStyle name="Output 2 4 2" xfId="7472" xr:uid="{00000000-0005-0000-0000-000088C20000}"/>
    <cellStyle name="Output 2 4 2 10" xfId="39238" xr:uid="{00000000-0005-0000-0000-000089C20000}"/>
    <cellStyle name="Output 2 4 2 11" xfId="53309" xr:uid="{00000000-0005-0000-0000-00008AC20000}"/>
    <cellStyle name="Output 2 4 2 2" xfId="10745" xr:uid="{00000000-0005-0000-0000-00008BC20000}"/>
    <cellStyle name="Output 2 4 2 2 2" xfId="18538" xr:uid="{00000000-0005-0000-0000-00008CC20000}"/>
    <cellStyle name="Output 2 4 2 2 2 2" xfId="44085" xr:uid="{00000000-0005-0000-0000-00008DC20000}"/>
    <cellStyle name="Output 2 4 2 2 2 3" xfId="47994" xr:uid="{00000000-0005-0000-0000-00008EC20000}"/>
    <cellStyle name="Output 2 4 2 2 2 4" xfId="36175" xr:uid="{00000000-0005-0000-0000-00008FC20000}"/>
    <cellStyle name="Output 2 4 2 2 3" xfId="12165" xr:uid="{00000000-0005-0000-0000-000090C20000}"/>
    <cellStyle name="Output 2 4 2 2 3 2" xfId="41910" xr:uid="{00000000-0005-0000-0000-000091C20000}"/>
    <cellStyle name="Output 2 4 2 2 3 3" xfId="42571" xr:uid="{00000000-0005-0000-0000-000092C20000}"/>
    <cellStyle name="Output 2 4 2 2 3 4" xfId="29837" xr:uid="{00000000-0005-0000-0000-000093C20000}"/>
    <cellStyle name="Output 2 4 2 2 4" xfId="20363" xr:uid="{00000000-0005-0000-0000-000094C20000}"/>
    <cellStyle name="Output 2 4 2 2 4 2" xfId="45900" xr:uid="{00000000-0005-0000-0000-000095C20000}"/>
    <cellStyle name="Output 2 4 2 2 4 3" xfId="49806" xr:uid="{00000000-0005-0000-0000-000096C20000}"/>
    <cellStyle name="Output 2 4 2 2 4 4" xfId="37819" xr:uid="{00000000-0005-0000-0000-000097C20000}"/>
    <cellStyle name="Output 2 4 2 2 5" xfId="20951" xr:uid="{00000000-0005-0000-0000-000098C20000}"/>
    <cellStyle name="Output 2 4 2 2 5 2" xfId="46488" xr:uid="{00000000-0005-0000-0000-000099C20000}"/>
    <cellStyle name="Output 2 4 2 2 5 3" xfId="50394" xr:uid="{00000000-0005-0000-0000-00009AC20000}"/>
    <cellStyle name="Output 2 4 2 2 5 4" xfId="38357" xr:uid="{00000000-0005-0000-0000-00009BC20000}"/>
    <cellStyle name="Output 2 4 2 2 6" xfId="21604" xr:uid="{00000000-0005-0000-0000-00009CC20000}"/>
    <cellStyle name="Output 2 4 2 2 6 2" xfId="47141" xr:uid="{00000000-0005-0000-0000-00009DC20000}"/>
    <cellStyle name="Output 2 4 2 2 6 3" xfId="51047" xr:uid="{00000000-0005-0000-0000-00009EC20000}"/>
    <cellStyle name="Output 2 4 2 2 7" xfId="40944" xr:uid="{00000000-0005-0000-0000-00009FC20000}"/>
    <cellStyle name="Output 2 4 2 2 8" xfId="39492" xr:uid="{00000000-0005-0000-0000-0000A0C20000}"/>
    <cellStyle name="Output 2 4 2 2 9" xfId="53415" xr:uid="{00000000-0005-0000-0000-0000A1C20000}"/>
    <cellStyle name="Output 2 4 2 3" xfId="11040" xr:uid="{00000000-0005-0000-0000-0000A2C20000}"/>
    <cellStyle name="Output 2 4 2 3 2" xfId="18833" xr:uid="{00000000-0005-0000-0000-0000A3C20000}"/>
    <cellStyle name="Output 2 4 2 3 2 2" xfId="44380" xr:uid="{00000000-0005-0000-0000-0000A4C20000}"/>
    <cellStyle name="Output 2 4 2 3 2 3" xfId="48289" xr:uid="{00000000-0005-0000-0000-0000A5C20000}"/>
    <cellStyle name="Output 2 4 2 3 2 4" xfId="36470" xr:uid="{00000000-0005-0000-0000-0000A6C20000}"/>
    <cellStyle name="Output 2 4 2 3 3" xfId="20426" xr:uid="{00000000-0005-0000-0000-0000A7C20000}"/>
    <cellStyle name="Output 2 4 2 3 3 2" xfId="45963" xr:uid="{00000000-0005-0000-0000-0000A8C20000}"/>
    <cellStyle name="Output 2 4 2 3 3 3" xfId="49869" xr:uid="{00000000-0005-0000-0000-0000A9C20000}"/>
    <cellStyle name="Output 2 4 2 3 3 4" xfId="37880" xr:uid="{00000000-0005-0000-0000-0000AAC20000}"/>
    <cellStyle name="Output 2 4 2 3 4" xfId="20570" xr:uid="{00000000-0005-0000-0000-0000ABC20000}"/>
    <cellStyle name="Output 2 4 2 3 4 2" xfId="46107" xr:uid="{00000000-0005-0000-0000-0000ACC20000}"/>
    <cellStyle name="Output 2 4 2 3 4 3" xfId="50013" xr:uid="{00000000-0005-0000-0000-0000ADC20000}"/>
    <cellStyle name="Output 2 4 2 3 4 4" xfId="37997" xr:uid="{00000000-0005-0000-0000-0000AEC20000}"/>
    <cellStyle name="Output 2 4 2 3 5" xfId="21246" xr:uid="{00000000-0005-0000-0000-0000AFC20000}"/>
    <cellStyle name="Output 2 4 2 3 5 2" xfId="46783" xr:uid="{00000000-0005-0000-0000-0000B0C20000}"/>
    <cellStyle name="Output 2 4 2 3 5 3" xfId="50689" xr:uid="{00000000-0005-0000-0000-0000B1C20000}"/>
    <cellStyle name="Output 2 4 2 3 5 4" xfId="38652" xr:uid="{00000000-0005-0000-0000-0000B2C20000}"/>
    <cellStyle name="Output 2 4 2 3 6" xfId="21899" xr:uid="{00000000-0005-0000-0000-0000B3C20000}"/>
    <cellStyle name="Output 2 4 2 3 6 2" xfId="47436" xr:uid="{00000000-0005-0000-0000-0000B4C20000}"/>
    <cellStyle name="Output 2 4 2 3 6 3" xfId="51342" xr:uid="{00000000-0005-0000-0000-0000B5C20000}"/>
    <cellStyle name="Output 2 4 2 3 7" xfId="41239" xr:uid="{00000000-0005-0000-0000-0000B6C20000}"/>
    <cellStyle name="Output 2 4 2 3 8" xfId="42592" xr:uid="{00000000-0005-0000-0000-0000B7C20000}"/>
    <cellStyle name="Output 2 4 2 4" xfId="15260" xr:uid="{00000000-0005-0000-0000-0000B8C20000}"/>
    <cellStyle name="Output 2 4 2 4 2" xfId="43133" xr:uid="{00000000-0005-0000-0000-0000B9C20000}"/>
    <cellStyle name="Output 2 4 2 4 3" xfId="42776" xr:uid="{00000000-0005-0000-0000-0000BAC20000}"/>
    <cellStyle name="Output 2 4 2 4 4" xfId="32895" xr:uid="{00000000-0005-0000-0000-0000BBC20000}"/>
    <cellStyle name="Output 2 4 2 5" xfId="11368" xr:uid="{00000000-0005-0000-0000-0000BCC20000}"/>
    <cellStyle name="Output 2 4 2 5 2" xfId="41404" xr:uid="{00000000-0005-0000-0000-0000BDC20000}"/>
    <cellStyle name="Output 2 4 2 5 3" xfId="43608" xr:uid="{00000000-0005-0000-0000-0000BEC20000}"/>
    <cellStyle name="Output 2 4 2 5 4" xfId="29091" xr:uid="{00000000-0005-0000-0000-0000BFC20000}"/>
    <cellStyle name="Output 2 4 2 6" xfId="12679" xr:uid="{00000000-0005-0000-0000-0000C0C20000}"/>
    <cellStyle name="Output 2 4 2 6 2" xfId="42158" xr:uid="{00000000-0005-0000-0000-0000C1C20000}"/>
    <cellStyle name="Output 2 4 2 6 3" xfId="39451" xr:uid="{00000000-0005-0000-0000-0000C2C20000}"/>
    <cellStyle name="Output 2 4 2 6 4" xfId="30341" xr:uid="{00000000-0005-0000-0000-0000C3C20000}"/>
    <cellStyle name="Output 2 4 2 7" xfId="20500" xr:uid="{00000000-0005-0000-0000-0000C4C20000}"/>
    <cellStyle name="Output 2 4 2 7 2" xfId="46037" xr:uid="{00000000-0005-0000-0000-0000C5C20000}"/>
    <cellStyle name="Output 2 4 2 7 3" xfId="49943" xr:uid="{00000000-0005-0000-0000-0000C6C20000}"/>
    <cellStyle name="Output 2 4 2 7 4" xfId="37944" xr:uid="{00000000-0005-0000-0000-0000C7C20000}"/>
    <cellStyle name="Output 2 4 2 8" xfId="19493" xr:uid="{00000000-0005-0000-0000-0000C8C20000}"/>
    <cellStyle name="Output 2 4 2 8 2" xfId="45030" xr:uid="{00000000-0005-0000-0000-0000C9C20000}"/>
    <cellStyle name="Output 2 4 2 8 3" xfId="48936" xr:uid="{00000000-0005-0000-0000-0000CAC20000}"/>
    <cellStyle name="Output 2 4 2 9" xfId="39993" xr:uid="{00000000-0005-0000-0000-0000CBC20000}"/>
    <cellStyle name="Output 2 4 3" xfId="12107" xr:uid="{00000000-0005-0000-0000-0000CCC20000}"/>
    <cellStyle name="Output 2 4 3 2" xfId="41852" xr:uid="{00000000-0005-0000-0000-0000CDC20000}"/>
    <cellStyle name="Output 2 4 3 3" xfId="39127" xr:uid="{00000000-0005-0000-0000-0000CEC20000}"/>
    <cellStyle name="Output 2 4 3 4" xfId="29780" xr:uid="{00000000-0005-0000-0000-0000CFC20000}"/>
    <cellStyle name="Output 2 4 3 5" xfId="53414" xr:uid="{00000000-0005-0000-0000-0000D0C20000}"/>
    <cellStyle name="Output 2 4 4" xfId="19213" xr:uid="{00000000-0005-0000-0000-0000D1C20000}"/>
    <cellStyle name="Output 2 4 4 2" xfId="44750" xr:uid="{00000000-0005-0000-0000-0000D2C20000}"/>
    <cellStyle name="Output 2 4 4 3" xfId="48656" xr:uid="{00000000-0005-0000-0000-0000D3C20000}"/>
    <cellStyle name="Output 2 4 4 4" xfId="36798" xr:uid="{00000000-0005-0000-0000-0000D4C20000}"/>
    <cellStyle name="Output 2 4 5" xfId="53308" xr:uid="{00000000-0005-0000-0000-0000D5C20000}"/>
    <cellStyle name="Output 2 40" xfId="52829" xr:uid="{00000000-0005-0000-0000-0000D6C20000}"/>
    <cellStyle name="Output 2 41" xfId="52791" xr:uid="{00000000-0005-0000-0000-0000D7C20000}"/>
    <cellStyle name="Output 2 42" xfId="52831" xr:uid="{00000000-0005-0000-0000-0000D8C20000}"/>
    <cellStyle name="Output 2 43" xfId="52835" xr:uid="{00000000-0005-0000-0000-0000D9C20000}"/>
    <cellStyle name="Output 2 44" xfId="52848" xr:uid="{00000000-0005-0000-0000-0000DAC20000}"/>
    <cellStyle name="Output 2 45" xfId="52845" xr:uid="{00000000-0005-0000-0000-0000DBC20000}"/>
    <cellStyle name="Output 2 46" xfId="52849" xr:uid="{00000000-0005-0000-0000-0000DCC20000}"/>
    <cellStyle name="Output 2 47" xfId="52890" xr:uid="{00000000-0005-0000-0000-0000DDC20000}"/>
    <cellStyle name="Output 2 48" xfId="52852" xr:uid="{00000000-0005-0000-0000-0000DEC20000}"/>
    <cellStyle name="Output 2 49" xfId="52889" xr:uid="{00000000-0005-0000-0000-0000DFC20000}"/>
    <cellStyle name="Output 2 5" xfId="3257" xr:uid="{00000000-0005-0000-0000-0000E0C20000}"/>
    <cellStyle name="Output 2 5 2" xfId="7473" xr:uid="{00000000-0005-0000-0000-0000E1C20000}"/>
    <cellStyle name="Output 2 5 2 10" xfId="47477" xr:uid="{00000000-0005-0000-0000-0000E2C20000}"/>
    <cellStyle name="Output 2 5 2 11" xfId="53311" xr:uid="{00000000-0005-0000-0000-0000E3C20000}"/>
    <cellStyle name="Output 2 5 2 2" xfId="10746" xr:uid="{00000000-0005-0000-0000-0000E4C20000}"/>
    <cellStyle name="Output 2 5 2 2 2" xfId="18539" xr:uid="{00000000-0005-0000-0000-0000E5C20000}"/>
    <cellStyle name="Output 2 5 2 2 2 2" xfId="44086" xr:uid="{00000000-0005-0000-0000-0000E6C20000}"/>
    <cellStyle name="Output 2 5 2 2 2 3" xfId="47995" xr:uid="{00000000-0005-0000-0000-0000E7C20000}"/>
    <cellStyle name="Output 2 5 2 2 2 4" xfId="36176" xr:uid="{00000000-0005-0000-0000-0000E8C20000}"/>
    <cellStyle name="Output 2 5 2 2 3" xfId="19600" xr:uid="{00000000-0005-0000-0000-0000E9C20000}"/>
    <cellStyle name="Output 2 5 2 2 3 2" xfId="45137" xr:uid="{00000000-0005-0000-0000-0000EAC20000}"/>
    <cellStyle name="Output 2 5 2 2 3 3" xfId="49043" xr:uid="{00000000-0005-0000-0000-0000EBC20000}"/>
    <cellStyle name="Output 2 5 2 2 3 4" xfId="37140" xr:uid="{00000000-0005-0000-0000-0000ECC20000}"/>
    <cellStyle name="Output 2 5 2 2 4" xfId="19320" xr:uid="{00000000-0005-0000-0000-0000EDC20000}"/>
    <cellStyle name="Output 2 5 2 2 4 2" xfId="44857" xr:uid="{00000000-0005-0000-0000-0000EEC20000}"/>
    <cellStyle name="Output 2 5 2 2 4 3" xfId="48763" xr:uid="{00000000-0005-0000-0000-0000EFC20000}"/>
    <cellStyle name="Output 2 5 2 2 4 4" xfId="36898" xr:uid="{00000000-0005-0000-0000-0000F0C20000}"/>
    <cellStyle name="Output 2 5 2 2 5" xfId="20952" xr:uid="{00000000-0005-0000-0000-0000F1C20000}"/>
    <cellStyle name="Output 2 5 2 2 5 2" xfId="46489" xr:uid="{00000000-0005-0000-0000-0000F2C20000}"/>
    <cellStyle name="Output 2 5 2 2 5 3" xfId="50395" xr:uid="{00000000-0005-0000-0000-0000F3C20000}"/>
    <cellStyle name="Output 2 5 2 2 5 4" xfId="38358" xr:uid="{00000000-0005-0000-0000-0000F4C20000}"/>
    <cellStyle name="Output 2 5 2 2 6" xfId="21605" xr:uid="{00000000-0005-0000-0000-0000F5C20000}"/>
    <cellStyle name="Output 2 5 2 2 6 2" xfId="47142" xr:uid="{00000000-0005-0000-0000-0000F6C20000}"/>
    <cellStyle name="Output 2 5 2 2 6 3" xfId="51048" xr:uid="{00000000-0005-0000-0000-0000F7C20000}"/>
    <cellStyle name="Output 2 5 2 2 7" xfId="40945" xr:uid="{00000000-0005-0000-0000-0000F8C20000}"/>
    <cellStyle name="Output 2 5 2 2 8" xfId="42063" xr:uid="{00000000-0005-0000-0000-0000F9C20000}"/>
    <cellStyle name="Output 2 5 2 2 9" xfId="53417" xr:uid="{00000000-0005-0000-0000-0000FAC20000}"/>
    <cellStyle name="Output 2 5 2 3" xfId="11041" xr:uid="{00000000-0005-0000-0000-0000FBC20000}"/>
    <cellStyle name="Output 2 5 2 3 2" xfId="18834" xr:uid="{00000000-0005-0000-0000-0000FCC20000}"/>
    <cellStyle name="Output 2 5 2 3 2 2" xfId="44381" xr:uid="{00000000-0005-0000-0000-0000FDC20000}"/>
    <cellStyle name="Output 2 5 2 3 2 3" xfId="48290" xr:uid="{00000000-0005-0000-0000-0000FEC20000}"/>
    <cellStyle name="Output 2 5 2 3 2 4" xfId="36471" xr:uid="{00000000-0005-0000-0000-0000FFC20000}"/>
    <cellStyle name="Output 2 5 2 3 3" xfId="20427" xr:uid="{00000000-0005-0000-0000-000000C30000}"/>
    <cellStyle name="Output 2 5 2 3 3 2" xfId="45964" xr:uid="{00000000-0005-0000-0000-000001C30000}"/>
    <cellStyle name="Output 2 5 2 3 3 3" xfId="49870" xr:uid="{00000000-0005-0000-0000-000002C30000}"/>
    <cellStyle name="Output 2 5 2 3 3 4" xfId="37881" xr:uid="{00000000-0005-0000-0000-000003C30000}"/>
    <cellStyle name="Output 2 5 2 3 4" xfId="20571" xr:uid="{00000000-0005-0000-0000-000004C30000}"/>
    <cellStyle name="Output 2 5 2 3 4 2" xfId="46108" xr:uid="{00000000-0005-0000-0000-000005C30000}"/>
    <cellStyle name="Output 2 5 2 3 4 3" xfId="50014" xr:uid="{00000000-0005-0000-0000-000006C30000}"/>
    <cellStyle name="Output 2 5 2 3 4 4" xfId="37998" xr:uid="{00000000-0005-0000-0000-000007C30000}"/>
    <cellStyle name="Output 2 5 2 3 5" xfId="21247" xr:uid="{00000000-0005-0000-0000-000008C30000}"/>
    <cellStyle name="Output 2 5 2 3 5 2" xfId="46784" xr:uid="{00000000-0005-0000-0000-000009C30000}"/>
    <cellStyle name="Output 2 5 2 3 5 3" xfId="50690" xr:uid="{00000000-0005-0000-0000-00000AC30000}"/>
    <cellStyle name="Output 2 5 2 3 5 4" xfId="38653" xr:uid="{00000000-0005-0000-0000-00000BC30000}"/>
    <cellStyle name="Output 2 5 2 3 6" xfId="21900" xr:uid="{00000000-0005-0000-0000-00000CC30000}"/>
    <cellStyle name="Output 2 5 2 3 6 2" xfId="47437" xr:uid="{00000000-0005-0000-0000-00000DC30000}"/>
    <cellStyle name="Output 2 5 2 3 6 3" xfId="51343" xr:uid="{00000000-0005-0000-0000-00000EC30000}"/>
    <cellStyle name="Output 2 5 2 3 7" xfId="41240" xr:uid="{00000000-0005-0000-0000-00000FC30000}"/>
    <cellStyle name="Output 2 5 2 3 8" xfId="43505" xr:uid="{00000000-0005-0000-0000-000010C30000}"/>
    <cellStyle name="Output 2 5 2 4" xfId="15261" xr:uid="{00000000-0005-0000-0000-000011C30000}"/>
    <cellStyle name="Output 2 5 2 4 2" xfId="43134" xr:uid="{00000000-0005-0000-0000-000012C30000}"/>
    <cellStyle name="Output 2 5 2 4 3" xfId="43663" xr:uid="{00000000-0005-0000-0000-000013C30000}"/>
    <cellStyle name="Output 2 5 2 4 4" xfId="32896" xr:uid="{00000000-0005-0000-0000-000014C30000}"/>
    <cellStyle name="Output 2 5 2 5" xfId="13248" xr:uid="{00000000-0005-0000-0000-000015C30000}"/>
    <cellStyle name="Output 2 5 2 5 2" xfId="42428" xr:uid="{00000000-0005-0000-0000-000016C30000}"/>
    <cellStyle name="Output 2 5 2 5 3" xfId="42553" xr:uid="{00000000-0005-0000-0000-000017C30000}"/>
    <cellStyle name="Output 2 5 2 5 4" xfId="30893" xr:uid="{00000000-0005-0000-0000-000018C30000}"/>
    <cellStyle name="Output 2 5 2 6" xfId="19375" xr:uid="{00000000-0005-0000-0000-000019C30000}"/>
    <cellStyle name="Output 2 5 2 6 2" xfId="44912" xr:uid="{00000000-0005-0000-0000-00001AC30000}"/>
    <cellStyle name="Output 2 5 2 6 3" xfId="48818" xr:uid="{00000000-0005-0000-0000-00001BC30000}"/>
    <cellStyle name="Output 2 5 2 6 4" xfId="36941" xr:uid="{00000000-0005-0000-0000-00001CC30000}"/>
    <cellStyle name="Output 2 5 2 7" xfId="20469" xr:uid="{00000000-0005-0000-0000-00001DC30000}"/>
    <cellStyle name="Output 2 5 2 7 2" xfId="46006" xr:uid="{00000000-0005-0000-0000-00001EC30000}"/>
    <cellStyle name="Output 2 5 2 7 3" xfId="49912" xr:uid="{00000000-0005-0000-0000-00001FC30000}"/>
    <cellStyle name="Output 2 5 2 7 4" xfId="37922" xr:uid="{00000000-0005-0000-0000-000020C30000}"/>
    <cellStyle name="Output 2 5 2 8" xfId="11470" xr:uid="{00000000-0005-0000-0000-000021C30000}"/>
    <cellStyle name="Output 2 5 2 8 2" xfId="41481" xr:uid="{00000000-0005-0000-0000-000022C30000}"/>
    <cellStyle name="Output 2 5 2 8 3" xfId="42031" xr:uid="{00000000-0005-0000-0000-000023C30000}"/>
    <cellStyle name="Output 2 5 2 9" xfId="39994" xr:uid="{00000000-0005-0000-0000-000024C30000}"/>
    <cellStyle name="Output 2 5 3" xfId="12108" xr:uid="{00000000-0005-0000-0000-000025C30000}"/>
    <cellStyle name="Output 2 5 3 2" xfId="41853" xr:uid="{00000000-0005-0000-0000-000026C30000}"/>
    <cellStyle name="Output 2 5 3 3" xfId="39126" xr:uid="{00000000-0005-0000-0000-000027C30000}"/>
    <cellStyle name="Output 2 5 3 4" xfId="29781" xr:uid="{00000000-0005-0000-0000-000028C30000}"/>
    <cellStyle name="Output 2 5 3 5" xfId="53416" xr:uid="{00000000-0005-0000-0000-000029C30000}"/>
    <cellStyle name="Output 2 5 4" xfId="19843" xr:uid="{00000000-0005-0000-0000-00002AC30000}"/>
    <cellStyle name="Output 2 5 4 2" xfId="45380" xr:uid="{00000000-0005-0000-0000-00002BC30000}"/>
    <cellStyle name="Output 2 5 4 3" xfId="49286" xr:uid="{00000000-0005-0000-0000-00002CC30000}"/>
    <cellStyle name="Output 2 5 4 4" xfId="37360" xr:uid="{00000000-0005-0000-0000-00002DC30000}"/>
    <cellStyle name="Output 2 5 5" xfId="53310" xr:uid="{00000000-0005-0000-0000-00002EC30000}"/>
    <cellStyle name="Output 2 50" xfId="52851" xr:uid="{00000000-0005-0000-0000-00002FC30000}"/>
    <cellStyle name="Output 2 51" xfId="52888" xr:uid="{00000000-0005-0000-0000-000030C30000}"/>
    <cellStyle name="Output 2 52" xfId="52853" xr:uid="{00000000-0005-0000-0000-000031C30000}"/>
    <cellStyle name="Output 2 53" xfId="52887" xr:uid="{00000000-0005-0000-0000-000032C30000}"/>
    <cellStyle name="Output 2 54" xfId="52854" xr:uid="{00000000-0005-0000-0000-000033C30000}"/>
    <cellStyle name="Output 2 55" xfId="52902" xr:uid="{00000000-0005-0000-0000-000034C30000}"/>
    <cellStyle name="Output 2 56" xfId="52898" xr:uid="{00000000-0005-0000-0000-000035C30000}"/>
    <cellStyle name="Output 2 57" xfId="52901" xr:uid="{00000000-0005-0000-0000-000036C30000}"/>
    <cellStyle name="Output 2 58" xfId="52899" xr:uid="{00000000-0005-0000-0000-000037C30000}"/>
    <cellStyle name="Output 2 59" xfId="52900" xr:uid="{00000000-0005-0000-0000-000038C30000}"/>
    <cellStyle name="Output 2 6" xfId="3258" xr:uid="{00000000-0005-0000-0000-000039C30000}"/>
    <cellStyle name="Output 2 6 2" xfId="7474" xr:uid="{00000000-0005-0000-0000-00003AC30000}"/>
    <cellStyle name="Output 2 6 2 10" xfId="41707" xr:uid="{00000000-0005-0000-0000-00003BC30000}"/>
    <cellStyle name="Output 2 6 2 11" xfId="53313" xr:uid="{00000000-0005-0000-0000-00003CC30000}"/>
    <cellStyle name="Output 2 6 2 2" xfId="10747" xr:uid="{00000000-0005-0000-0000-00003DC30000}"/>
    <cellStyle name="Output 2 6 2 2 2" xfId="18540" xr:uid="{00000000-0005-0000-0000-00003EC30000}"/>
    <cellStyle name="Output 2 6 2 2 2 2" xfId="44087" xr:uid="{00000000-0005-0000-0000-00003FC30000}"/>
    <cellStyle name="Output 2 6 2 2 2 3" xfId="47996" xr:uid="{00000000-0005-0000-0000-000040C30000}"/>
    <cellStyle name="Output 2 6 2 2 2 4" xfId="36177" xr:uid="{00000000-0005-0000-0000-000041C30000}"/>
    <cellStyle name="Output 2 6 2 2 3" xfId="20153" xr:uid="{00000000-0005-0000-0000-000042C30000}"/>
    <cellStyle name="Output 2 6 2 2 3 2" xfId="45690" xr:uid="{00000000-0005-0000-0000-000043C30000}"/>
    <cellStyle name="Output 2 6 2 2 3 3" xfId="49596" xr:uid="{00000000-0005-0000-0000-000044C30000}"/>
    <cellStyle name="Output 2 6 2 2 3 4" xfId="37639" xr:uid="{00000000-0005-0000-0000-000045C30000}"/>
    <cellStyle name="Output 2 6 2 2 4" xfId="19082" xr:uid="{00000000-0005-0000-0000-000046C30000}"/>
    <cellStyle name="Output 2 6 2 2 4 2" xfId="44619" xr:uid="{00000000-0005-0000-0000-000047C30000}"/>
    <cellStyle name="Output 2 6 2 2 4 3" xfId="48525" xr:uid="{00000000-0005-0000-0000-000048C30000}"/>
    <cellStyle name="Output 2 6 2 2 4 4" xfId="36678" xr:uid="{00000000-0005-0000-0000-000049C30000}"/>
    <cellStyle name="Output 2 6 2 2 5" xfId="20953" xr:uid="{00000000-0005-0000-0000-00004AC30000}"/>
    <cellStyle name="Output 2 6 2 2 5 2" xfId="46490" xr:uid="{00000000-0005-0000-0000-00004BC30000}"/>
    <cellStyle name="Output 2 6 2 2 5 3" xfId="50396" xr:uid="{00000000-0005-0000-0000-00004CC30000}"/>
    <cellStyle name="Output 2 6 2 2 5 4" xfId="38359" xr:uid="{00000000-0005-0000-0000-00004DC30000}"/>
    <cellStyle name="Output 2 6 2 2 6" xfId="21606" xr:uid="{00000000-0005-0000-0000-00004EC30000}"/>
    <cellStyle name="Output 2 6 2 2 6 2" xfId="47143" xr:uid="{00000000-0005-0000-0000-00004FC30000}"/>
    <cellStyle name="Output 2 6 2 2 6 3" xfId="51049" xr:uid="{00000000-0005-0000-0000-000050C30000}"/>
    <cellStyle name="Output 2 6 2 2 7" xfId="40946" xr:uid="{00000000-0005-0000-0000-000051C30000}"/>
    <cellStyle name="Output 2 6 2 2 8" xfId="43382" xr:uid="{00000000-0005-0000-0000-000052C30000}"/>
    <cellStyle name="Output 2 6 2 2 9" xfId="53419" xr:uid="{00000000-0005-0000-0000-000053C30000}"/>
    <cellStyle name="Output 2 6 2 3" xfId="11042" xr:uid="{00000000-0005-0000-0000-000054C30000}"/>
    <cellStyle name="Output 2 6 2 3 2" xfId="18835" xr:uid="{00000000-0005-0000-0000-000055C30000}"/>
    <cellStyle name="Output 2 6 2 3 2 2" xfId="44382" xr:uid="{00000000-0005-0000-0000-000056C30000}"/>
    <cellStyle name="Output 2 6 2 3 2 3" xfId="48291" xr:uid="{00000000-0005-0000-0000-000057C30000}"/>
    <cellStyle name="Output 2 6 2 3 2 4" xfId="36472" xr:uid="{00000000-0005-0000-0000-000058C30000}"/>
    <cellStyle name="Output 2 6 2 3 3" xfId="20428" xr:uid="{00000000-0005-0000-0000-000059C30000}"/>
    <cellStyle name="Output 2 6 2 3 3 2" xfId="45965" xr:uid="{00000000-0005-0000-0000-00005AC30000}"/>
    <cellStyle name="Output 2 6 2 3 3 3" xfId="49871" xr:uid="{00000000-0005-0000-0000-00005BC30000}"/>
    <cellStyle name="Output 2 6 2 3 3 4" xfId="37882" xr:uid="{00000000-0005-0000-0000-00005CC30000}"/>
    <cellStyle name="Output 2 6 2 3 4" xfId="20572" xr:uid="{00000000-0005-0000-0000-00005DC30000}"/>
    <cellStyle name="Output 2 6 2 3 4 2" xfId="46109" xr:uid="{00000000-0005-0000-0000-00005EC30000}"/>
    <cellStyle name="Output 2 6 2 3 4 3" xfId="50015" xr:uid="{00000000-0005-0000-0000-00005FC30000}"/>
    <cellStyle name="Output 2 6 2 3 4 4" xfId="37999" xr:uid="{00000000-0005-0000-0000-000060C30000}"/>
    <cellStyle name="Output 2 6 2 3 5" xfId="21248" xr:uid="{00000000-0005-0000-0000-000061C30000}"/>
    <cellStyle name="Output 2 6 2 3 5 2" xfId="46785" xr:uid="{00000000-0005-0000-0000-000062C30000}"/>
    <cellStyle name="Output 2 6 2 3 5 3" xfId="50691" xr:uid="{00000000-0005-0000-0000-000063C30000}"/>
    <cellStyle name="Output 2 6 2 3 5 4" xfId="38654" xr:uid="{00000000-0005-0000-0000-000064C30000}"/>
    <cellStyle name="Output 2 6 2 3 6" xfId="21901" xr:uid="{00000000-0005-0000-0000-000065C30000}"/>
    <cellStyle name="Output 2 6 2 3 6 2" xfId="47438" xr:uid="{00000000-0005-0000-0000-000066C30000}"/>
    <cellStyle name="Output 2 6 2 3 6 3" xfId="51344" xr:uid="{00000000-0005-0000-0000-000067C30000}"/>
    <cellStyle name="Output 2 6 2 3 7" xfId="41241" xr:uid="{00000000-0005-0000-0000-000068C30000}"/>
    <cellStyle name="Output 2 6 2 3 8" xfId="40368" xr:uid="{00000000-0005-0000-0000-000069C30000}"/>
    <cellStyle name="Output 2 6 2 4" xfId="15262" xr:uid="{00000000-0005-0000-0000-00006AC30000}"/>
    <cellStyle name="Output 2 6 2 4 2" xfId="43135" xr:uid="{00000000-0005-0000-0000-00006BC30000}"/>
    <cellStyle name="Output 2 6 2 4 3" xfId="40522" xr:uid="{00000000-0005-0000-0000-00006CC30000}"/>
    <cellStyle name="Output 2 6 2 4 4" xfId="32897" xr:uid="{00000000-0005-0000-0000-00006DC30000}"/>
    <cellStyle name="Output 2 6 2 5" xfId="19660" xr:uid="{00000000-0005-0000-0000-00006EC30000}"/>
    <cellStyle name="Output 2 6 2 5 2" xfId="45197" xr:uid="{00000000-0005-0000-0000-00006FC30000}"/>
    <cellStyle name="Output 2 6 2 5 3" xfId="49103" xr:uid="{00000000-0005-0000-0000-000070C30000}"/>
    <cellStyle name="Output 2 6 2 5 4" xfId="37194" xr:uid="{00000000-0005-0000-0000-000071C30000}"/>
    <cellStyle name="Output 2 6 2 6" xfId="19780" xr:uid="{00000000-0005-0000-0000-000072C30000}"/>
    <cellStyle name="Output 2 6 2 6 2" xfId="45317" xr:uid="{00000000-0005-0000-0000-000073C30000}"/>
    <cellStyle name="Output 2 6 2 6 3" xfId="49223" xr:uid="{00000000-0005-0000-0000-000074C30000}"/>
    <cellStyle name="Output 2 6 2 6 4" xfId="37306" xr:uid="{00000000-0005-0000-0000-000075C30000}"/>
    <cellStyle name="Output 2 6 2 7" xfId="19187" xr:uid="{00000000-0005-0000-0000-000076C30000}"/>
    <cellStyle name="Output 2 6 2 7 2" xfId="44724" xr:uid="{00000000-0005-0000-0000-000077C30000}"/>
    <cellStyle name="Output 2 6 2 7 3" xfId="48630" xr:uid="{00000000-0005-0000-0000-000078C30000}"/>
    <cellStyle name="Output 2 6 2 7 4" xfId="36774" xr:uid="{00000000-0005-0000-0000-000079C30000}"/>
    <cellStyle name="Output 2 6 2 8" xfId="19705" xr:uid="{00000000-0005-0000-0000-00007AC30000}"/>
    <cellStyle name="Output 2 6 2 8 2" xfId="45242" xr:uid="{00000000-0005-0000-0000-00007BC30000}"/>
    <cellStyle name="Output 2 6 2 8 3" xfId="49148" xr:uid="{00000000-0005-0000-0000-00007CC30000}"/>
    <cellStyle name="Output 2 6 2 9" xfId="39995" xr:uid="{00000000-0005-0000-0000-00007DC30000}"/>
    <cellStyle name="Output 2 6 3" xfId="12109" xr:uid="{00000000-0005-0000-0000-00007EC30000}"/>
    <cellStyle name="Output 2 6 3 2" xfId="41854" xr:uid="{00000000-0005-0000-0000-00007FC30000}"/>
    <cellStyle name="Output 2 6 3 3" xfId="39125" xr:uid="{00000000-0005-0000-0000-000080C30000}"/>
    <cellStyle name="Output 2 6 3 4" xfId="29782" xr:uid="{00000000-0005-0000-0000-000081C30000}"/>
    <cellStyle name="Output 2 6 3 5" xfId="53418" xr:uid="{00000000-0005-0000-0000-000082C30000}"/>
    <cellStyle name="Output 2 6 4" xfId="18974" xr:uid="{00000000-0005-0000-0000-000083C30000}"/>
    <cellStyle name="Output 2 6 4 2" xfId="44511" xr:uid="{00000000-0005-0000-0000-000084C30000}"/>
    <cellStyle name="Output 2 6 4 3" xfId="48417" xr:uid="{00000000-0005-0000-0000-000085C30000}"/>
    <cellStyle name="Output 2 6 4 4" xfId="36599" xr:uid="{00000000-0005-0000-0000-000086C30000}"/>
    <cellStyle name="Output 2 6 5" xfId="53312" xr:uid="{00000000-0005-0000-0000-000087C30000}"/>
    <cellStyle name="Output 2 60" xfId="52905" xr:uid="{00000000-0005-0000-0000-000088C30000}"/>
    <cellStyle name="Output 2 61" xfId="53288" xr:uid="{00000000-0005-0000-0000-000089C30000}"/>
    <cellStyle name="Output 2 7" xfId="3259" xr:uid="{00000000-0005-0000-0000-00008AC30000}"/>
    <cellStyle name="Output 2 7 2" xfId="7475" xr:uid="{00000000-0005-0000-0000-00008BC30000}"/>
    <cellStyle name="Output 2 7 2 10" xfId="43270" xr:uid="{00000000-0005-0000-0000-00008CC30000}"/>
    <cellStyle name="Output 2 7 2 11" xfId="53315" xr:uid="{00000000-0005-0000-0000-00008DC30000}"/>
    <cellStyle name="Output 2 7 2 2" xfId="10748" xr:uid="{00000000-0005-0000-0000-00008EC30000}"/>
    <cellStyle name="Output 2 7 2 2 2" xfId="18541" xr:uid="{00000000-0005-0000-0000-00008FC30000}"/>
    <cellStyle name="Output 2 7 2 2 2 2" xfId="44088" xr:uid="{00000000-0005-0000-0000-000090C30000}"/>
    <cellStyle name="Output 2 7 2 2 2 3" xfId="47997" xr:uid="{00000000-0005-0000-0000-000091C30000}"/>
    <cellStyle name="Output 2 7 2 2 2 4" xfId="36178" xr:uid="{00000000-0005-0000-0000-000092C30000}"/>
    <cellStyle name="Output 2 7 2 2 3" xfId="19412" xr:uid="{00000000-0005-0000-0000-000093C30000}"/>
    <cellStyle name="Output 2 7 2 2 3 2" xfId="44949" xr:uid="{00000000-0005-0000-0000-000094C30000}"/>
    <cellStyle name="Output 2 7 2 2 3 3" xfId="48855" xr:uid="{00000000-0005-0000-0000-000095C30000}"/>
    <cellStyle name="Output 2 7 2 2 3 4" xfId="36977" xr:uid="{00000000-0005-0000-0000-000096C30000}"/>
    <cellStyle name="Output 2 7 2 2 4" xfId="19567" xr:uid="{00000000-0005-0000-0000-000097C30000}"/>
    <cellStyle name="Output 2 7 2 2 4 2" xfId="45104" xr:uid="{00000000-0005-0000-0000-000098C30000}"/>
    <cellStyle name="Output 2 7 2 2 4 3" xfId="49010" xr:uid="{00000000-0005-0000-0000-000099C30000}"/>
    <cellStyle name="Output 2 7 2 2 4 4" xfId="37108" xr:uid="{00000000-0005-0000-0000-00009AC30000}"/>
    <cellStyle name="Output 2 7 2 2 5" xfId="20954" xr:uid="{00000000-0005-0000-0000-00009BC30000}"/>
    <cellStyle name="Output 2 7 2 2 5 2" xfId="46491" xr:uid="{00000000-0005-0000-0000-00009CC30000}"/>
    <cellStyle name="Output 2 7 2 2 5 3" xfId="50397" xr:uid="{00000000-0005-0000-0000-00009DC30000}"/>
    <cellStyle name="Output 2 7 2 2 5 4" xfId="38360" xr:uid="{00000000-0005-0000-0000-00009EC30000}"/>
    <cellStyle name="Output 2 7 2 2 6" xfId="21607" xr:uid="{00000000-0005-0000-0000-00009FC30000}"/>
    <cellStyle name="Output 2 7 2 2 6 2" xfId="47144" xr:uid="{00000000-0005-0000-0000-0000A0C30000}"/>
    <cellStyle name="Output 2 7 2 2 6 3" xfId="51050" xr:uid="{00000000-0005-0000-0000-0000A1C30000}"/>
    <cellStyle name="Output 2 7 2 2 7" xfId="40947" xr:uid="{00000000-0005-0000-0000-0000A2C30000}"/>
    <cellStyle name="Output 2 7 2 2 8" xfId="40244" xr:uid="{00000000-0005-0000-0000-0000A3C30000}"/>
    <cellStyle name="Output 2 7 2 2 9" xfId="53421" xr:uid="{00000000-0005-0000-0000-0000A4C30000}"/>
    <cellStyle name="Output 2 7 2 3" xfId="11043" xr:uid="{00000000-0005-0000-0000-0000A5C30000}"/>
    <cellStyle name="Output 2 7 2 3 2" xfId="18836" xr:uid="{00000000-0005-0000-0000-0000A6C30000}"/>
    <cellStyle name="Output 2 7 2 3 2 2" xfId="44383" xr:uid="{00000000-0005-0000-0000-0000A7C30000}"/>
    <cellStyle name="Output 2 7 2 3 2 3" xfId="48292" xr:uid="{00000000-0005-0000-0000-0000A8C30000}"/>
    <cellStyle name="Output 2 7 2 3 2 4" xfId="36473" xr:uid="{00000000-0005-0000-0000-0000A9C30000}"/>
    <cellStyle name="Output 2 7 2 3 3" xfId="20429" xr:uid="{00000000-0005-0000-0000-0000AAC30000}"/>
    <cellStyle name="Output 2 7 2 3 3 2" xfId="45966" xr:uid="{00000000-0005-0000-0000-0000ABC30000}"/>
    <cellStyle name="Output 2 7 2 3 3 3" xfId="49872" xr:uid="{00000000-0005-0000-0000-0000ACC30000}"/>
    <cellStyle name="Output 2 7 2 3 3 4" xfId="37883" xr:uid="{00000000-0005-0000-0000-0000ADC30000}"/>
    <cellStyle name="Output 2 7 2 3 4" xfId="20573" xr:uid="{00000000-0005-0000-0000-0000AEC30000}"/>
    <cellStyle name="Output 2 7 2 3 4 2" xfId="46110" xr:uid="{00000000-0005-0000-0000-0000AFC30000}"/>
    <cellStyle name="Output 2 7 2 3 4 3" xfId="50016" xr:uid="{00000000-0005-0000-0000-0000B0C30000}"/>
    <cellStyle name="Output 2 7 2 3 4 4" xfId="38000" xr:uid="{00000000-0005-0000-0000-0000B1C30000}"/>
    <cellStyle name="Output 2 7 2 3 5" xfId="21249" xr:uid="{00000000-0005-0000-0000-0000B2C30000}"/>
    <cellStyle name="Output 2 7 2 3 5 2" xfId="46786" xr:uid="{00000000-0005-0000-0000-0000B3C30000}"/>
    <cellStyle name="Output 2 7 2 3 5 3" xfId="50692" xr:uid="{00000000-0005-0000-0000-0000B4C30000}"/>
    <cellStyle name="Output 2 7 2 3 5 4" xfId="38655" xr:uid="{00000000-0005-0000-0000-0000B5C30000}"/>
    <cellStyle name="Output 2 7 2 3 6" xfId="21902" xr:uid="{00000000-0005-0000-0000-0000B6C30000}"/>
    <cellStyle name="Output 2 7 2 3 6 2" xfId="47439" xr:uid="{00000000-0005-0000-0000-0000B7C30000}"/>
    <cellStyle name="Output 2 7 2 3 6 3" xfId="51345" xr:uid="{00000000-0005-0000-0000-0000B8C30000}"/>
    <cellStyle name="Output 2 7 2 3 7" xfId="41242" xr:uid="{00000000-0005-0000-0000-0000B9C30000}"/>
    <cellStyle name="Output 2 7 2 3 8" xfId="39480" xr:uid="{00000000-0005-0000-0000-0000BAC30000}"/>
    <cellStyle name="Output 2 7 2 4" xfId="15263" xr:uid="{00000000-0005-0000-0000-0000BBC30000}"/>
    <cellStyle name="Output 2 7 2 4 2" xfId="43136" xr:uid="{00000000-0005-0000-0000-0000BCC30000}"/>
    <cellStyle name="Output 2 7 2 4 3" xfId="39630" xr:uid="{00000000-0005-0000-0000-0000BDC30000}"/>
    <cellStyle name="Output 2 7 2 4 4" xfId="32898" xr:uid="{00000000-0005-0000-0000-0000BEC30000}"/>
    <cellStyle name="Output 2 7 2 5" xfId="20219" xr:uid="{00000000-0005-0000-0000-0000BFC30000}"/>
    <cellStyle name="Output 2 7 2 5 2" xfId="45756" xr:uid="{00000000-0005-0000-0000-0000C0C30000}"/>
    <cellStyle name="Output 2 7 2 5 3" xfId="49662" xr:uid="{00000000-0005-0000-0000-0000C1C30000}"/>
    <cellStyle name="Output 2 7 2 5 4" xfId="37696" xr:uid="{00000000-0005-0000-0000-0000C2C30000}"/>
    <cellStyle name="Output 2 7 2 6" xfId="20475" xr:uid="{00000000-0005-0000-0000-0000C3C30000}"/>
    <cellStyle name="Output 2 7 2 6 2" xfId="46012" xr:uid="{00000000-0005-0000-0000-0000C4C30000}"/>
    <cellStyle name="Output 2 7 2 6 3" xfId="49918" xr:uid="{00000000-0005-0000-0000-0000C5C30000}"/>
    <cellStyle name="Output 2 7 2 6 4" xfId="37928" xr:uid="{00000000-0005-0000-0000-0000C6C30000}"/>
    <cellStyle name="Output 2 7 2 7" xfId="20283" xr:uid="{00000000-0005-0000-0000-0000C7C30000}"/>
    <cellStyle name="Output 2 7 2 7 2" xfId="45820" xr:uid="{00000000-0005-0000-0000-0000C8C30000}"/>
    <cellStyle name="Output 2 7 2 7 3" xfId="49726" xr:uid="{00000000-0005-0000-0000-0000C9C30000}"/>
    <cellStyle name="Output 2 7 2 7 4" xfId="37751" xr:uid="{00000000-0005-0000-0000-0000CAC30000}"/>
    <cellStyle name="Output 2 7 2 8" xfId="20197" xr:uid="{00000000-0005-0000-0000-0000CBC30000}"/>
    <cellStyle name="Output 2 7 2 8 2" xfId="45734" xr:uid="{00000000-0005-0000-0000-0000CCC30000}"/>
    <cellStyle name="Output 2 7 2 8 3" xfId="49640" xr:uid="{00000000-0005-0000-0000-0000CDC30000}"/>
    <cellStyle name="Output 2 7 2 9" xfId="39996" xr:uid="{00000000-0005-0000-0000-0000CEC30000}"/>
    <cellStyle name="Output 2 7 3" xfId="12110" xr:uid="{00000000-0005-0000-0000-0000CFC30000}"/>
    <cellStyle name="Output 2 7 3 2" xfId="41855" xr:uid="{00000000-0005-0000-0000-0000D0C30000}"/>
    <cellStyle name="Output 2 7 3 3" xfId="39326" xr:uid="{00000000-0005-0000-0000-0000D1C30000}"/>
    <cellStyle name="Output 2 7 3 4" xfId="29783" xr:uid="{00000000-0005-0000-0000-0000D2C30000}"/>
    <cellStyle name="Output 2 7 3 5" xfId="53420" xr:uid="{00000000-0005-0000-0000-0000D3C30000}"/>
    <cellStyle name="Output 2 7 4" xfId="11608" xr:uid="{00000000-0005-0000-0000-0000D4C30000}"/>
    <cellStyle name="Output 2 7 4 2" xfId="41619" xr:uid="{00000000-0005-0000-0000-0000D5C30000}"/>
    <cellStyle name="Output 2 7 4 3" xfId="40209" xr:uid="{00000000-0005-0000-0000-0000D6C30000}"/>
    <cellStyle name="Output 2 7 4 4" xfId="29311" xr:uid="{00000000-0005-0000-0000-0000D7C30000}"/>
    <cellStyle name="Output 2 7 5" xfId="53314" xr:uid="{00000000-0005-0000-0000-0000D8C30000}"/>
    <cellStyle name="Output 2 8" xfId="3260" xr:uid="{00000000-0005-0000-0000-0000D9C30000}"/>
    <cellStyle name="Output 2 8 2" xfId="7476" xr:uid="{00000000-0005-0000-0000-0000DAC30000}"/>
    <cellStyle name="Output 2 8 2 10" xfId="40129" xr:uid="{00000000-0005-0000-0000-0000DBC30000}"/>
    <cellStyle name="Output 2 8 2 11" xfId="53317" xr:uid="{00000000-0005-0000-0000-0000DCC30000}"/>
    <cellStyle name="Output 2 8 2 2" xfId="10749" xr:uid="{00000000-0005-0000-0000-0000DDC30000}"/>
    <cellStyle name="Output 2 8 2 2 2" xfId="18542" xr:uid="{00000000-0005-0000-0000-0000DEC30000}"/>
    <cellStyle name="Output 2 8 2 2 2 2" xfId="44089" xr:uid="{00000000-0005-0000-0000-0000DFC30000}"/>
    <cellStyle name="Output 2 8 2 2 2 3" xfId="47998" xr:uid="{00000000-0005-0000-0000-0000E0C30000}"/>
    <cellStyle name="Output 2 8 2 2 2 4" xfId="36179" xr:uid="{00000000-0005-0000-0000-0000E1C30000}"/>
    <cellStyle name="Output 2 8 2 2 3" xfId="20019" xr:uid="{00000000-0005-0000-0000-0000E2C30000}"/>
    <cellStyle name="Output 2 8 2 2 3 2" xfId="45556" xr:uid="{00000000-0005-0000-0000-0000E3C30000}"/>
    <cellStyle name="Output 2 8 2 2 3 3" xfId="49462" xr:uid="{00000000-0005-0000-0000-0000E4C30000}"/>
    <cellStyle name="Output 2 8 2 2 3 4" xfId="37517" xr:uid="{00000000-0005-0000-0000-0000E5C30000}"/>
    <cellStyle name="Output 2 8 2 2 4" xfId="12527" xr:uid="{00000000-0005-0000-0000-0000E6C30000}"/>
    <cellStyle name="Output 2 8 2 2 4 2" xfId="42035" xr:uid="{00000000-0005-0000-0000-0000E7C30000}"/>
    <cellStyle name="Output 2 8 2 2 4 3" xfId="39113" xr:uid="{00000000-0005-0000-0000-0000E8C30000}"/>
    <cellStyle name="Output 2 8 2 2 4 4" xfId="30195" xr:uid="{00000000-0005-0000-0000-0000E9C30000}"/>
    <cellStyle name="Output 2 8 2 2 5" xfId="20955" xr:uid="{00000000-0005-0000-0000-0000EAC30000}"/>
    <cellStyle name="Output 2 8 2 2 5 2" xfId="46492" xr:uid="{00000000-0005-0000-0000-0000EBC30000}"/>
    <cellStyle name="Output 2 8 2 2 5 3" xfId="50398" xr:uid="{00000000-0005-0000-0000-0000ECC30000}"/>
    <cellStyle name="Output 2 8 2 2 5 4" xfId="38361" xr:uid="{00000000-0005-0000-0000-0000EDC30000}"/>
    <cellStyle name="Output 2 8 2 2 6" xfId="21608" xr:uid="{00000000-0005-0000-0000-0000EEC30000}"/>
    <cellStyle name="Output 2 8 2 2 6 2" xfId="47145" xr:uid="{00000000-0005-0000-0000-0000EFC30000}"/>
    <cellStyle name="Output 2 8 2 2 6 3" xfId="51051" xr:uid="{00000000-0005-0000-0000-0000F0C30000}"/>
    <cellStyle name="Output 2 8 2 2 7" xfId="40948" xr:uid="{00000000-0005-0000-0000-0000F1C30000}"/>
    <cellStyle name="Output 2 8 2 2 8" xfId="39384" xr:uid="{00000000-0005-0000-0000-0000F2C30000}"/>
    <cellStyle name="Output 2 8 2 2 9" xfId="53423" xr:uid="{00000000-0005-0000-0000-0000F3C30000}"/>
    <cellStyle name="Output 2 8 2 3" xfId="11044" xr:uid="{00000000-0005-0000-0000-0000F4C30000}"/>
    <cellStyle name="Output 2 8 2 3 2" xfId="18837" xr:uid="{00000000-0005-0000-0000-0000F5C30000}"/>
    <cellStyle name="Output 2 8 2 3 2 2" xfId="44384" xr:uid="{00000000-0005-0000-0000-0000F6C30000}"/>
    <cellStyle name="Output 2 8 2 3 2 3" xfId="48293" xr:uid="{00000000-0005-0000-0000-0000F7C30000}"/>
    <cellStyle name="Output 2 8 2 3 2 4" xfId="36474" xr:uid="{00000000-0005-0000-0000-0000F8C30000}"/>
    <cellStyle name="Output 2 8 2 3 3" xfId="20430" xr:uid="{00000000-0005-0000-0000-0000F9C30000}"/>
    <cellStyle name="Output 2 8 2 3 3 2" xfId="45967" xr:uid="{00000000-0005-0000-0000-0000FAC30000}"/>
    <cellStyle name="Output 2 8 2 3 3 3" xfId="49873" xr:uid="{00000000-0005-0000-0000-0000FBC30000}"/>
    <cellStyle name="Output 2 8 2 3 3 4" xfId="37884" xr:uid="{00000000-0005-0000-0000-0000FCC30000}"/>
    <cellStyle name="Output 2 8 2 3 4" xfId="20574" xr:uid="{00000000-0005-0000-0000-0000FDC30000}"/>
    <cellStyle name="Output 2 8 2 3 4 2" xfId="46111" xr:uid="{00000000-0005-0000-0000-0000FEC30000}"/>
    <cellStyle name="Output 2 8 2 3 4 3" xfId="50017" xr:uid="{00000000-0005-0000-0000-0000FFC30000}"/>
    <cellStyle name="Output 2 8 2 3 4 4" xfId="38001" xr:uid="{00000000-0005-0000-0000-000000C40000}"/>
    <cellStyle name="Output 2 8 2 3 5" xfId="21250" xr:uid="{00000000-0005-0000-0000-000001C40000}"/>
    <cellStyle name="Output 2 8 2 3 5 2" xfId="46787" xr:uid="{00000000-0005-0000-0000-000002C40000}"/>
    <cellStyle name="Output 2 8 2 3 5 3" xfId="50693" xr:uid="{00000000-0005-0000-0000-000003C40000}"/>
    <cellStyle name="Output 2 8 2 3 5 4" xfId="38656" xr:uid="{00000000-0005-0000-0000-000004C40000}"/>
    <cellStyle name="Output 2 8 2 3 6" xfId="21903" xr:uid="{00000000-0005-0000-0000-000005C40000}"/>
    <cellStyle name="Output 2 8 2 3 6 2" xfId="47440" xr:uid="{00000000-0005-0000-0000-000006C40000}"/>
    <cellStyle name="Output 2 8 2 3 6 3" xfId="51346" xr:uid="{00000000-0005-0000-0000-000007C40000}"/>
    <cellStyle name="Output 2 8 2 3 7" xfId="41243" xr:uid="{00000000-0005-0000-0000-000008C40000}"/>
    <cellStyle name="Output 2 8 2 3 8" xfId="42045" xr:uid="{00000000-0005-0000-0000-000009C40000}"/>
    <cellStyle name="Output 2 8 2 4" xfId="15264" xr:uid="{00000000-0005-0000-0000-00000AC40000}"/>
    <cellStyle name="Output 2 8 2 4 2" xfId="43137" xr:uid="{00000000-0005-0000-0000-00000BC40000}"/>
    <cellStyle name="Output 2 8 2 4 3" xfId="42666" xr:uid="{00000000-0005-0000-0000-00000CC40000}"/>
    <cellStyle name="Output 2 8 2 4 4" xfId="32899" xr:uid="{00000000-0005-0000-0000-00000DC40000}"/>
    <cellStyle name="Output 2 8 2 5" xfId="19487" xr:uid="{00000000-0005-0000-0000-00000EC40000}"/>
    <cellStyle name="Output 2 8 2 5 2" xfId="45024" xr:uid="{00000000-0005-0000-0000-00000FC40000}"/>
    <cellStyle name="Output 2 8 2 5 3" xfId="48930" xr:uid="{00000000-0005-0000-0000-000010C40000}"/>
    <cellStyle name="Output 2 8 2 5 4" xfId="37043" xr:uid="{00000000-0005-0000-0000-000011C40000}"/>
    <cellStyle name="Output 2 8 2 6" xfId="11824" xr:uid="{00000000-0005-0000-0000-000012C40000}"/>
    <cellStyle name="Output 2 8 2 6 2" xfId="41762" xr:uid="{00000000-0005-0000-0000-000013C40000}"/>
    <cellStyle name="Output 2 8 2 6 3" xfId="41379" xr:uid="{00000000-0005-0000-0000-000014C40000}"/>
    <cellStyle name="Output 2 8 2 6 4" xfId="29509" xr:uid="{00000000-0005-0000-0000-000015C40000}"/>
    <cellStyle name="Output 2 8 2 7" xfId="11635" xr:uid="{00000000-0005-0000-0000-000016C40000}"/>
    <cellStyle name="Output 2 8 2 7 2" xfId="41646" xr:uid="{00000000-0005-0000-0000-000017C40000}"/>
    <cellStyle name="Output 2 8 2 7 3" xfId="40070" xr:uid="{00000000-0005-0000-0000-000018C40000}"/>
    <cellStyle name="Output 2 8 2 7 4" xfId="29336" xr:uid="{00000000-0005-0000-0000-000019C40000}"/>
    <cellStyle name="Output 2 8 2 8" xfId="20536" xr:uid="{00000000-0005-0000-0000-00001AC40000}"/>
    <cellStyle name="Output 2 8 2 8 2" xfId="46073" xr:uid="{00000000-0005-0000-0000-00001BC40000}"/>
    <cellStyle name="Output 2 8 2 8 3" xfId="49979" xr:uid="{00000000-0005-0000-0000-00001CC40000}"/>
    <cellStyle name="Output 2 8 2 9" xfId="39997" xr:uid="{00000000-0005-0000-0000-00001DC40000}"/>
    <cellStyle name="Output 2 8 3" xfId="12111" xr:uid="{00000000-0005-0000-0000-00001EC40000}"/>
    <cellStyle name="Output 2 8 3 2" xfId="41856" xr:uid="{00000000-0005-0000-0000-00001FC40000}"/>
    <cellStyle name="Output 2 8 3 3" xfId="39325" xr:uid="{00000000-0005-0000-0000-000020C40000}"/>
    <cellStyle name="Output 2 8 3 4" xfId="29784" xr:uid="{00000000-0005-0000-0000-000021C40000}"/>
    <cellStyle name="Output 2 8 3 5" xfId="53422" xr:uid="{00000000-0005-0000-0000-000022C40000}"/>
    <cellStyle name="Output 2 8 4" xfId="19683" xr:uid="{00000000-0005-0000-0000-000023C40000}"/>
    <cellStyle name="Output 2 8 4 2" xfId="45220" xr:uid="{00000000-0005-0000-0000-000024C40000}"/>
    <cellStyle name="Output 2 8 4 3" xfId="49126" xr:uid="{00000000-0005-0000-0000-000025C40000}"/>
    <cellStyle name="Output 2 8 4 4" xfId="37215" xr:uid="{00000000-0005-0000-0000-000026C40000}"/>
    <cellStyle name="Output 2 8 5" xfId="53316" xr:uid="{00000000-0005-0000-0000-000027C40000}"/>
    <cellStyle name="Output 2 9" xfId="3261" xr:uid="{00000000-0005-0000-0000-000028C40000}"/>
    <cellStyle name="Output 2 9 2" xfId="7477" xr:uid="{00000000-0005-0000-0000-000029C40000}"/>
    <cellStyle name="Output 2 9 2 10" xfId="43098" xr:uid="{00000000-0005-0000-0000-00002AC40000}"/>
    <cellStyle name="Output 2 9 2 11" xfId="53319" xr:uid="{00000000-0005-0000-0000-00002BC40000}"/>
    <cellStyle name="Output 2 9 2 2" xfId="10750" xr:uid="{00000000-0005-0000-0000-00002CC40000}"/>
    <cellStyle name="Output 2 9 2 2 2" xfId="18543" xr:uid="{00000000-0005-0000-0000-00002DC40000}"/>
    <cellStyle name="Output 2 9 2 2 2 2" xfId="44090" xr:uid="{00000000-0005-0000-0000-00002EC40000}"/>
    <cellStyle name="Output 2 9 2 2 2 3" xfId="47999" xr:uid="{00000000-0005-0000-0000-00002FC40000}"/>
    <cellStyle name="Output 2 9 2 2 2 4" xfId="36180" xr:uid="{00000000-0005-0000-0000-000030C40000}"/>
    <cellStyle name="Output 2 9 2 2 3" xfId="19285" xr:uid="{00000000-0005-0000-0000-000031C40000}"/>
    <cellStyle name="Output 2 9 2 2 3 2" xfId="44822" xr:uid="{00000000-0005-0000-0000-000032C40000}"/>
    <cellStyle name="Output 2 9 2 2 3 3" xfId="48728" xr:uid="{00000000-0005-0000-0000-000033C40000}"/>
    <cellStyle name="Output 2 9 2 2 3 4" xfId="36863" xr:uid="{00000000-0005-0000-0000-000034C40000}"/>
    <cellStyle name="Output 2 9 2 2 4" xfId="18925" xr:uid="{00000000-0005-0000-0000-000035C40000}"/>
    <cellStyle name="Output 2 9 2 2 4 2" xfId="44462" xr:uid="{00000000-0005-0000-0000-000036C40000}"/>
    <cellStyle name="Output 2 9 2 2 4 3" xfId="48368" xr:uid="{00000000-0005-0000-0000-000037C40000}"/>
    <cellStyle name="Output 2 9 2 2 4 4" xfId="36553" xr:uid="{00000000-0005-0000-0000-000038C40000}"/>
    <cellStyle name="Output 2 9 2 2 5" xfId="20956" xr:uid="{00000000-0005-0000-0000-000039C40000}"/>
    <cellStyle name="Output 2 9 2 2 5 2" xfId="46493" xr:uid="{00000000-0005-0000-0000-00003AC40000}"/>
    <cellStyle name="Output 2 9 2 2 5 3" xfId="50399" xr:uid="{00000000-0005-0000-0000-00003BC40000}"/>
    <cellStyle name="Output 2 9 2 2 5 4" xfId="38362" xr:uid="{00000000-0005-0000-0000-00003CC40000}"/>
    <cellStyle name="Output 2 9 2 2 6" xfId="21609" xr:uid="{00000000-0005-0000-0000-00003DC40000}"/>
    <cellStyle name="Output 2 9 2 2 6 2" xfId="47146" xr:uid="{00000000-0005-0000-0000-00003EC40000}"/>
    <cellStyle name="Output 2 9 2 2 6 3" xfId="51052" xr:uid="{00000000-0005-0000-0000-00003FC40000}"/>
    <cellStyle name="Output 2 9 2 2 7" xfId="40949" xr:uid="{00000000-0005-0000-0000-000040C40000}"/>
    <cellStyle name="Output 2 9 2 2 8" xfId="42065" xr:uid="{00000000-0005-0000-0000-000041C40000}"/>
    <cellStyle name="Output 2 9 2 2 9" xfId="53425" xr:uid="{00000000-0005-0000-0000-000042C40000}"/>
    <cellStyle name="Output 2 9 2 3" xfId="11045" xr:uid="{00000000-0005-0000-0000-000043C40000}"/>
    <cellStyle name="Output 2 9 2 3 2" xfId="18838" xr:uid="{00000000-0005-0000-0000-000044C40000}"/>
    <cellStyle name="Output 2 9 2 3 2 2" xfId="44385" xr:uid="{00000000-0005-0000-0000-000045C40000}"/>
    <cellStyle name="Output 2 9 2 3 2 3" xfId="48294" xr:uid="{00000000-0005-0000-0000-000046C40000}"/>
    <cellStyle name="Output 2 9 2 3 2 4" xfId="36475" xr:uid="{00000000-0005-0000-0000-000047C40000}"/>
    <cellStyle name="Output 2 9 2 3 3" xfId="20431" xr:uid="{00000000-0005-0000-0000-000048C40000}"/>
    <cellStyle name="Output 2 9 2 3 3 2" xfId="45968" xr:uid="{00000000-0005-0000-0000-000049C40000}"/>
    <cellStyle name="Output 2 9 2 3 3 3" xfId="49874" xr:uid="{00000000-0005-0000-0000-00004AC40000}"/>
    <cellStyle name="Output 2 9 2 3 3 4" xfId="37885" xr:uid="{00000000-0005-0000-0000-00004BC40000}"/>
    <cellStyle name="Output 2 9 2 3 4" xfId="20575" xr:uid="{00000000-0005-0000-0000-00004CC40000}"/>
    <cellStyle name="Output 2 9 2 3 4 2" xfId="46112" xr:uid="{00000000-0005-0000-0000-00004DC40000}"/>
    <cellStyle name="Output 2 9 2 3 4 3" xfId="50018" xr:uid="{00000000-0005-0000-0000-00004EC40000}"/>
    <cellStyle name="Output 2 9 2 3 4 4" xfId="38002" xr:uid="{00000000-0005-0000-0000-00004FC40000}"/>
    <cellStyle name="Output 2 9 2 3 5" xfId="21251" xr:uid="{00000000-0005-0000-0000-000050C40000}"/>
    <cellStyle name="Output 2 9 2 3 5 2" xfId="46788" xr:uid="{00000000-0005-0000-0000-000051C40000}"/>
    <cellStyle name="Output 2 9 2 3 5 3" xfId="50694" xr:uid="{00000000-0005-0000-0000-000052C40000}"/>
    <cellStyle name="Output 2 9 2 3 5 4" xfId="38657" xr:uid="{00000000-0005-0000-0000-000053C40000}"/>
    <cellStyle name="Output 2 9 2 3 6" xfId="21904" xr:uid="{00000000-0005-0000-0000-000054C40000}"/>
    <cellStyle name="Output 2 9 2 3 6 2" xfId="47441" xr:uid="{00000000-0005-0000-0000-000055C40000}"/>
    <cellStyle name="Output 2 9 2 3 6 3" xfId="51347" xr:uid="{00000000-0005-0000-0000-000056C40000}"/>
    <cellStyle name="Output 2 9 2 3 7" xfId="41244" xr:uid="{00000000-0005-0000-0000-000057C40000}"/>
    <cellStyle name="Output 2 9 2 3 8" xfId="43364" xr:uid="{00000000-0005-0000-0000-000058C40000}"/>
    <cellStyle name="Output 2 9 2 4" xfId="15265" xr:uid="{00000000-0005-0000-0000-000059C40000}"/>
    <cellStyle name="Output 2 9 2 4 2" xfId="43138" xr:uid="{00000000-0005-0000-0000-00005AC40000}"/>
    <cellStyle name="Output 2 9 2 4 3" xfId="43554" xr:uid="{00000000-0005-0000-0000-00005BC40000}"/>
    <cellStyle name="Output 2 9 2 4 4" xfId="32900" xr:uid="{00000000-0005-0000-0000-00005CC40000}"/>
    <cellStyle name="Output 2 9 2 5" xfId="20088" xr:uid="{00000000-0005-0000-0000-00005DC40000}"/>
    <cellStyle name="Output 2 9 2 5 2" xfId="45625" xr:uid="{00000000-0005-0000-0000-00005EC40000}"/>
    <cellStyle name="Output 2 9 2 5 3" xfId="49531" xr:uid="{00000000-0005-0000-0000-00005FC40000}"/>
    <cellStyle name="Output 2 9 2 5 4" xfId="37580" xr:uid="{00000000-0005-0000-0000-000060C40000}"/>
    <cellStyle name="Output 2 9 2 6" xfId="19078" xr:uid="{00000000-0005-0000-0000-000061C40000}"/>
    <cellStyle name="Output 2 9 2 6 2" xfId="44615" xr:uid="{00000000-0005-0000-0000-000062C40000}"/>
    <cellStyle name="Output 2 9 2 6 3" xfId="48521" xr:uid="{00000000-0005-0000-0000-000063C40000}"/>
    <cellStyle name="Output 2 9 2 6 4" xfId="36674" xr:uid="{00000000-0005-0000-0000-000064C40000}"/>
    <cellStyle name="Output 2 9 2 7" xfId="19218" xr:uid="{00000000-0005-0000-0000-000065C40000}"/>
    <cellStyle name="Output 2 9 2 7 2" xfId="44755" xr:uid="{00000000-0005-0000-0000-000066C40000}"/>
    <cellStyle name="Output 2 9 2 7 3" xfId="48661" xr:uid="{00000000-0005-0000-0000-000067C40000}"/>
    <cellStyle name="Output 2 9 2 7 4" xfId="36803" xr:uid="{00000000-0005-0000-0000-000068C40000}"/>
    <cellStyle name="Output 2 9 2 8" xfId="19549" xr:uid="{00000000-0005-0000-0000-000069C40000}"/>
    <cellStyle name="Output 2 9 2 8 2" xfId="45086" xr:uid="{00000000-0005-0000-0000-00006AC40000}"/>
    <cellStyle name="Output 2 9 2 8 3" xfId="48992" xr:uid="{00000000-0005-0000-0000-00006BC40000}"/>
    <cellStyle name="Output 2 9 2 9" xfId="39998" xr:uid="{00000000-0005-0000-0000-00006CC40000}"/>
    <cellStyle name="Output 2 9 3" xfId="12112" xr:uid="{00000000-0005-0000-0000-00006DC40000}"/>
    <cellStyle name="Output 2 9 3 2" xfId="41857" xr:uid="{00000000-0005-0000-0000-00006EC40000}"/>
    <cellStyle name="Output 2 9 3 3" xfId="39324" xr:uid="{00000000-0005-0000-0000-00006FC40000}"/>
    <cellStyle name="Output 2 9 3 4" xfId="29785" xr:uid="{00000000-0005-0000-0000-000070C40000}"/>
    <cellStyle name="Output 2 9 3 5" xfId="53424" xr:uid="{00000000-0005-0000-0000-000071C40000}"/>
    <cellStyle name="Output 2 9 4" xfId="20245" xr:uid="{00000000-0005-0000-0000-000072C40000}"/>
    <cellStyle name="Output 2 9 4 2" xfId="45782" xr:uid="{00000000-0005-0000-0000-000073C40000}"/>
    <cellStyle name="Output 2 9 4 3" xfId="49688" xr:uid="{00000000-0005-0000-0000-000074C40000}"/>
    <cellStyle name="Output 2 9 4 4" xfId="37717" xr:uid="{00000000-0005-0000-0000-000075C40000}"/>
    <cellStyle name="Output 2 9 5" xfId="53318" xr:uid="{00000000-0005-0000-0000-000076C40000}"/>
    <cellStyle name="Output 2_BallGrid" xfId="3262" xr:uid="{00000000-0005-0000-0000-000077C40000}"/>
    <cellStyle name="Output 3" xfId="137" xr:uid="{00000000-0005-0000-0000-000078C40000}"/>
    <cellStyle name="Output 3 10" xfId="7478" xr:uid="{00000000-0005-0000-0000-000079C40000}"/>
    <cellStyle name="Output 3 10 10" xfId="43765" xr:uid="{00000000-0005-0000-0000-00007AC40000}"/>
    <cellStyle name="Output 3 10 2" xfId="10751" xr:uid="{00000000-0005-0000-0000-00007BC40000}"/>
    <cellStyle name="Output 3 10 2 2" xfId="18544" xr:uid="{00000000-0005-0000-0000-00007CC40000}"/>
    <cellStyle name="Output 3 10 2 2 2" xfId="44091" xr:uid="{00000000-0005-0000-0000-00007DC40000}"/>
    <cellStyle name="Output 3 10 2 2 3" xfId="48000" xr:uid="{00000000-0005-0000-0000-00007EC40000}"/>
    <cellStyle name="Output 3 10 2 2 4" xfId="36181" xr:uid="{00000000-0005-0000-0000-00007FC40000}"/>
    <cellStyle name="Output 3 10 2 3" xfId="19894" xr:uid="{00000000-0005-0000-0000-000080C40000}"/>
    <cellStyle name="Output 3 10 2 3 2" xfId="45431" xr:uid="{00000000-0005-0000-0000-000081C40000}"/>
    <cellStyle name="Output 3 10 2 3 3" xfId="49337" xr:uid="{00000000-0005-0000-0000-000082C40000}"/>
    <cellStyle name="Output 3 10 2 3 4" xfId="37408" xr:uid="{00000000-0005-0000-0000-000083C40000}"/>
    <cellStyle name="Output 3 10 2 4" xfId="11547" xr:uid="{00000000-0005-0000-0000-000084C40000}"/>
    <cellStyle name="Output 3 10 2 4 2" xfId="41558" xr:uid="{00000000-0005-0000-0000-000085C40000}"/>
    <cellStyle name="Output 3 10 2 4 3" xfId="43493" xr:uid="{00000000-0005-0000-0000-000086C40000}"/>
    <cellStyle name="Output 3 10 2 4 4" xfId="29261" xr:uid="{00000000-0005-0000-0000-000087C40000}"/>
    <cellStyle name="Output 3 10 2 5" xfId="20957" xr:uid="{00000000-0005-0000-0000-000088C40000}"/>
    <cellStyle name="Output 3 10 2 5 2" xfId="46494" xr:uid="{00000000-0005-0000-0000-000089C40000}"/>
    <cellStyle name="Output 3 10 2 5 3" xfId="50400" xr:uid="{00000000-0005-0000-0000-00008AC40000}"/>
    <cellStyle name="Output 3 10 2 5 4" xfId="38363" xr:uid="{00000000-0005-0000-0000-00008BC40000}"/>
    <cellStyle name="Output 3 10 2 6" xfId="21610" xr:uid="{00000000-0005-0000-0000-00008CC40000}"/>
    <cellStyle name="Output 3 10 2 6 2" xfId="47147" xr:uid="{00000000-0005-0000-0000-00008DC40000}"/>
    <cellStyle name="Output 3 10 2 6 3" xfId="51053" xr:uid="{00000000-0005-0000-0000-00008EC40000}"/>
    <cellStyle name="Output 3 10 2 7" xfId="40950" xr:uid="{00000000-0005-0000-0000-00008FC40000}"/>
    <cellStyle name="Output 3 10 2 8" xfId="43384" xr:uid="{00000000-0005-0000-0000-000090C40000}"/>
    <cellStyle name="Output 3 10 3" xfId="11046" xr:uid="{00000000-0005-0000-0000-000091C40000}"/>
    <cellStyle name="Output 3 10 3 2" xfId="18839" xr:uid="{00000000-0005-0000-0000-000092C40000}"/>
    <cellStyle name="Output 3 10 3 2 2" xfId="44386" xr:uid="{00000000-0005-0000-0000-000093C40000}"/>
    <cellStyle name="Output 3 10 3 2 3" xfId="48295" xr:uid="{00000000-0005-0000-0000-000094C40000}"/>
    <cellStyle name="Output 3 10 3 2 4" xfId="36476" xr:uid="{00000000-0005-0000-0000-000095C40000}"/>
    <cellStyle name="Output 3 10 3 3" xfId="20432" xr:uid="{00000000-0005-0000-0000-000096C40000}"/>
    <cellStyle name="Output 3 10 3 3 2" xfId="45969" xr:uid="{00000000-0005-0000-0000-000097C40000}"/>
    <cellStyle name="Output 3 10 3 3 3" xfId="49875" xr:uid="{00000000-0005-0000-0000-000098C40000}"/>
    <cellStyle name="Output 3 10 3 3 4" xfId="37886" xr:uid="{00000000-0005-0000-0000-000099C40000}"/>
    <cellStyle name="Output 3 10 3 4" xfId="20576" xr:uid="{00000000-0005-0000-0000-00009AC40000}"/>
    <cellStyle name="Output 3 10 3 4 2" xfId="46113" xr:uid="{00000000-0005-0000-0000-00009BC40000}"/>
    <cellStyle name="Output 3 10 3 4 3" xfId="50019" xr:uid="{00000000-0005-0000-0000-00009CC40000}"/>
    <cellStyle name="Output 3 10 3 4 4" xfId="38003" xr:uid="{00000000-0005-0000-0000-00009DC40000}"/>
    <cellStyle name="Output 3 10 3 5" xfId="21252" xr:uid="{00000000-0005-0000-0000-00009EC40000}"/>
    <cellStyle name="Output 3 10 3 5 2" xfId="46789" xr:uid="{00000000-0005-0000-0000-00009FC40000}"/>
    <cellStyle name="Output 3 10 3 5 3" xfId="50695" xr:uid="{00000000-0005-0000-0000-0000A0C40000}"/>
    <cellStyle name="Output 3 10 3 5 4" xfId="38658" xr:uid="{00000000-0005-0000-0000-0000A1C40000}"/>
    <cellStyle name="Output 3 10 3 6" xfId="21905" xr:uid="{00000000-0005-0000-0000-0000A2C40000}"/>
    <cellStyle name="Output 3 10 3 6 2" xfId="47442" xr:uid="{00000000-0005-0000-0000-0000A3C40000}"/>
    <cellStyle name="Output 3 10 3 6 3" xfId="51348" xr:uid="{00000000-0005-0000-0000-0000A4C40000}"/>
    <cellStyle name="Output 3 10 3 7" xfId="41245" xr:uid="{00000000-0005-0000-0000-0000A5C40000}"/>
    <cellStyle name="Output 3 10 3 8" xfId="40226" xr:uid="{00000000-0005-0000-0000-0000A6C40000}"/>
    <cellStyle name="Output 3 10 4" xfId="15266" xr:uid="{00000000-0005-0000-0000-0000A7C40000}"/>
    <cellStyle name="Output 3 10 4 2" xfId="43139" xr:uid="{00000000-0005-0000-0000-0000A8C40000}"/>
    <cellStyle name="Output 3 10 4 3" xfId="40416" xr:uid="{00000000-0005-0000-0000-0000A9C40000}"/>
    <cellStyle name="Output 3 10 4 4" xfId="32901" xr:uid="{00000000-0005-0000-0000-0000AAC40000}"/>
    <cellStyle name="Output 3 10 5" xfId="19350" xr:uid="{00000000-0005-0000-0000-0000ABC40000}"/>
    <cellStyle name="Output 3 10 5 2" xfId="44887" xr:uid="{00000000-0005-0000-0000-0000ACC40000}"/>
    <cellStyle name="Output 3 10 5 3" xfId="48793" xr:uid="{00000000-0005-0000-0000-0000ADC40000}"/>
    <cellStyle name="Output 3 10 5 4" xfId="36921" xr:uid="{00000000-0005-0000-0000-0000AEC40000}"/>
    <cellStyle name="Output 3 10 6" xfId="11566" xr:uid="{00000000-0005-0000-0000-0000AFC40000}"/>
    <cellStyle name="Output 3 10 6 2" xfId="41577" xr:uid="{00000000-0005-0000-0000-0000B0C40000}"/>
    <cellStyle name="Output 3 10 6 3" xfId="43495" xr:uid="{00000000-0005-0000-0000-0000B1C40000}"/>
    <cellStyle name="Output 3 10 6 4" xfId="29277" xr:uid="{00000000-0005-0000-0000-0000B2C40000}"/>
    <cellStyle name="Output 3 10 7" xfId="12674" xr:uid="{00000000-0005-0000-0000-0000B3C40000}"/>
    <cellStyle name="Output 3 10 7 2" xfId="42153" xr:uid="{00000000-0005-0000-0000-0000B4C40000}"/>
    <cellStyle name="Output 3 10 7 3" xfId="40446" xr:uid="{00000000-0005-0000-0000-0000B5C40000}"/>
    <cellStyle name="Output 3 10 7 4" xfId="30338" xr:uid="{00000000-0005-0000-0000-0000B6C40000}"/>
    <cellStyle name="Output 3 10 8" xfId="20187" xr:uid="{00000000-0005-0000-0000-0000B7C40000}"/>
    <cellStyle name="Output 3 10 8 2" xfId="45724" xr:uid="{00000000-0005-0000-0000-0000B8C40000}"/>
    <cellStyle name="Output 3 10 8 3" xfId="49630" xr:uid="{00000000-0005-0000-0000-0000B9C40000}"/>
    <cellStyle name="Output 3 10 9" xfId="39999" xr:uid="{00000000-0005-0000-0000-0000BAC40000}"/>
    <cellStyle name="Output 3 11" xfId="12113" xr:uid="{00000000-0005-0000-0000-0000BBC40000}"/>
    <cellStyle name="Output 3 11 2" xfId="41858" xr:uid="{00000000-0005-0000-0000-0000BCC40000}"/>
    <cellStyle name="Output 3 11 3" xfId="39124" xr:uid="{00000000-0005-0000-0000-0000BDC40000}"/>
    <cellStyle name="Output 3 11 4" xfId="29786" xr:uid="{00000000-0005-0000-0000-0000BEC40000}"/>
    <cellStyle name="Output 3 12" xfId="20111" xr:uid="{00000000-0005-0000-0000-0000BFC40000}"/>
    <cellStyle name="Output 3 12 2" xfId="45648" xr:uid="{00000000-0005-0000-0000-0000C0C40000}"/>
    <cellStyle name="Output 3 12 3" xfId="49554" xr:uid="{00000000-0005-0000-0000-0000C1C40000}"/>
    <cellStyle name="Output 3 12 4" xfId="37599" xr:uid="{00000000-0005-0000-0000-0000C2C40000}"/>
    <cellStyle name="Output 3 13" xfId="3263" xr:uid="{00000000-0005-0000-0000-0000C3C40000}"/>
    <cellStyle name="Output 3 14" xfId="52768" xr:uid="{00000000-0005-0000-0000-0000C4C40000}"/>
    <cellStyle name="Output 3 2" xfId="3264" xr:uid="{00000000-0005-0000-0000-0000C5C40000}"/>
    <cellStyle name="Output 3 2 2" xfId="7479" xr:uid="{00000000-0005-0000-0000-0000C6C40000}"/>
    <cellStyle name="Output 3 2 2 10" xfId="40624" xr:uid="{00000000-0005-0000-0000-0000C7C40000}"/>
    <cellStyle name="Output 3 2 2 11" xfId="53321" xr:uid="{00000000-0005-0000-0000-0000C8C40000}"/>
    <cellStyle name="Output 3 2 2 2" xfId="10752" xr:uid="{00000000-0005-0000-0000-0000C9C40000}"/>
    <cellStyle name="Output 3 2 2 2 2" xfId="18545" xr:uid="{00000000-0005-0000-0000-0000CAC40000}"/>
    <cellStyle name="Output 3 2 2 2 2 2" xfId="44092" xr:uid="{00000000-0005-0000-0000-0000CBC40000}"/>
    <cellStyle name="Output 3 2 2 2 2 3" xfId="48001" xr:uid="{00000000-0005-0000-0000-0000CCC40000}"/>
    <cellStyle name="Output 3 2 2 2 2 4" xfId="36182" xr:uid="{00000000-0005-0000-0000-0000CDC40000}"/>
    <cellStyle name="Output 3 2 2 2 3" xfId="19117" xr:uid="{00000000-0005-0000-0000-0000CEC40000}"/>
    <cellStyle name="Output 3 2 2 2 3 2" xfId="44654" xr:uid="{00000000-0005-0000-0000-0000CFC40000}"/>
    <cellStyle name="Output 3 2 2 2 3 3" xfId="48560" xr:uid="{00000000-0005-0000-0000-0000D0C40000}"/>
    <cellStyle name="Output 3 2 2 2 3 4" xfId="36712" xr:uid="{00000000-0005-0000-0000-0000D1C40000}"/>
    <cellStyle name="Output 3 2 2 2 4" xfId="19991" xr:uid="{00000000-0005-0000-0000-0000D2C40000}"/>
    <cellStyle name="Output 3 2 2 2 4 2" xfId="45528" xr:uid="{00000000-0005-0000-0000-0000D3C40000}"/>
    <cellStyle name="Output 3 2 2 2 4 3" xfId="49434" xr:uid="{00000000-0005-0000-0000-0000D4C40000}"/>
    <cellStyle name="Output 3 2 2 2 4 4" xfId="37489" xr:uid="{00000000-0005-0000-0000-0000D5C40000}"/>
    <cellStyle name="Output 3 2 2 2 5" xfId="20958" xr:uid="{00000000-0005-0000-0000-0000D6C40000}"/>
    <cellStyle name="Output 3 2 2 2 5 2" xfId="46495" xr:uid="{00000000-0005-0000-0000-0000D7C40000}"/>
    <cellStyle name="Output 3 2 2 2 5 3" xfId="50401" xr:uid="{00000000-0005-0000-0000-0000D8C40000}"/>
    <cellStyle name="Output 3 2 2 2 5 4" xfId="38364" xr:uid="{00000000-0005-0000-0000-0000D9C40000}"/>
    <cellStyle name="Output 3 2 2 2 6" xfId="21611" xr:uid="{00000000-0005-0000-0000-0000DAC40000}"/>
    <cellStyle name="Output 3 2 2 2 6 2" xfId="47148" xr:uid="{00000000-0005-0000-0000-0000DBC40000}"/>
    <cellStyle name="Output 3 2 2 2 6 3" xfId="51054" xr:uid="{00000000-0005-0000-0000-0000DCC40000}"/>
    <cellStyle name="Output 3 2 2 2 7" xfId="40951" xr:uid="{00000000-0005-0000-0000-0000DDC40000}"/>
    <cellStyle name="Output 3 2 2 2 8" xfId="40246" xr:uid="{00000000-0005-0000-0000-0000DEC40000}"/>
    <cellStyle name="Output 3 2 2 2 9" xfId="53428" xr:uid="{00000000-0005-0000-0000-0000DFC40000}"/>
    <cellStyle name="Output 3 2 2 3" xfId="11047" xr:uid="{00000000-0005-0000-0000-0000E0C40000}"/>
    <cellStyle name="Output 3 2 2 3 2" xfId="18840" xr:uid="{00000000-0005-0000-0000-0000E1C40000}"/>
    <cellStyle name="Output 3 2 2 3 2 2" xfId="44387" xr:uid="{00000000-0005-0000-0000-0000E2C40000}"/>
    <cellStyle name="Output 3 2 2 3 2 3" xfId="48296" xr:uid="{00000000-0005-0000-0000-0000E3C40000}"/>
    <cellStyle name="Output 3 2 2 3 2 4" xfId="36477" xr:uid="{00000000-0005-0000-0000-0000E4C40000}"/>
    <cellStyle name="Output 3 2 2 3 3" xfId="20433" xr:uid="{00000000-0005-0000-0000-0000E5C40000}"/>
    <cellStyle name="Output 3 2 2 3 3 2" xfId="45970" xr:uid="{00000000-0005-0000-0000-0000E6C40000}"/>
    <cellStyle name="Output 3 2 2 3 3 3" xfId="49876" xr:uid="{00000000-0005-0000-0000-0000E7C40000}"/>
    <cellStyle name="Output 3 2 2 3 3 4" xfId="37887" xr:uid="{00000000-0005-0000-0000-0000E8C40000}"/>
    <cellStyle name="Output 3 2 2 3 4" xfId="20577" xr:uid="{00000000-0005-0000-0000-0000E9C40000}"/>
    <cellStyle name="Output 3 2 2 3 4 2" xfId="46114" xr:uid="{00000000-0005-0000-0000-0000EAC40000}"/>
    <cellStyle name="Output 3 2 2 3 4 3" xfId="50020" xr:uid="{00000000-0005-0000-0000-0000EBC40000}"/>
    <cellStyle name="Output 3 2 2 3 4 4" xfId="38004" xr:uid="{00000000-0005-0000-0000-0000ECC40000}"/>
    <cellStyle name="Output 3 2 2 3 5" xfId="21253" xr:uid="{00000000-0005-0000-0000-0000EDC40000}"/>
    <cellStyle name="Output 3 2 2 3 5 2" xfId="46790" xr:uid="{00000000-0005-0000-0000-0000EEC40000}"/>
    <cellStyle name="Output 3 2 2 3 5 3" xfId="50696" xr:uid="{00000000-0005-0000-0000-0000EFC40000}"/>
    <cellStyle name="Output 3 2 2 3 5 4" xfId="38659" xr:uid="{00000000-0005-0000-0000-0000F0C40000}"/>
    <cellStyle name="Output 3 2 2 3 6" xfId="21906" xr:uid="{00000000-0005-0000-0000-0000F1C40000}"/>
    <cellStyle name="Output 3 2 2 3 6 2" xfId="47443" xr:uid="{00000000-0005-0000-0000-0000F2C40000}"/>
    <cellStyle name="Output 3 2 2 3 6 3" xfId="51349" xr:uid="{00000000-0005-0000-0000-0000F3C40000}"/>
    <cellStyle name="Output 3 2 2 3 7" xfId="41246" xr:uid="{00000000-0005-0000-0000-0000F4C40000}"/>
    <cellStyle name="Output 3 2 2 3 8" xfId="39366" xr:uid="{00000000-0005-0000-0000-0000F5C40000}"/>
    <cellStyle name="Output 3 2 2 4" xfId="15267" xr:uid="{00000000-0005-0000-0000-0000F6C40000}"/>
    <cellStyle name="Output 3 2 2 4 2" xfId="43140" xr:uid="{00000000-0005-0000-0000-0000F7C40000}"/>
    <cellStyle name="Output 3 2 2 4 3" xfId="39525" xr:uid="{00000000-0005-0000-0000-0000F8C40000}"/>
    <cellStyle name="Output 3 2 2 4 4" xfId="32902" xr:uid="{00000000-0005-0000-0000-0000F9C40000}"/>
    <cellStyle name="Output 3 2 2 5" xfId="19959" xr:uid="{00000000-0005-0000-0000-0000FAC40000}"/>
    <cellStyle name="Output 3 2 2 5 2" xfId="45496" xr:uid="{00000000-0005-0000-0000-0000FBC40000}"/>
    <cellStyle name="Output 3 2 2 5 3" xfId="49402" xr:uid="{00000000-0005-0000-0000-0000FCC40000}"/>
    <cellStyle name="Output 3 2 2 5 4" xfId="37464" xr:uid="{00000000-0005-0000-0000-0000FDC40000}"/>
    <cellStyle name="Output 3 2 2 6" xfId="20332" xr:uid="{00000000-0005-0000-0000-0000FEC40000}"/>
    <cellStyle name="Output 3 2 2 6 2" xfId="45869" xr:uid="{00000000-0005-0000-0000-0000FFC40000}"/>
    <cellStyle name="Output 3 2 2 6 3" xfId="49775" xr:uid="{00000000-0005-0000-0000-000000C50000}"/>
    <cellStyle name="Output 3 2 2 6 4" xfId="37796" xr:uid="{00000000-0005-0000-0000-000001C50000}"/>
    <cellStyle name="Output 3 2 2 7" xfId="19776" xr:uid="{00000000-0005-0000-0000-000002C50000}"/>
    <cellStyle name="Output 3 2 2 7 2" xfId="45313" xr:uid="{00000000-0005-0000-0000-000003C50000}"/>
    <cellStyle name="Output 3 2 2 7 3" xfId="49219" xr:uid="{00000000-0005-0000-0000-000004C50000}"/>
    <cellStyle name="Output 3 2 2 7 4" xfId="37303" xr:uid="{00000000-0005-0000-0000-000005C50000}"/>
    <cellStyle name="Output 3 2 2 8" xfId="11600" xr:uid="{00000000-0005-0000-0000-000006C50000}"/>
    <cellStyle name="Output 3 2 2 8 2" xfId="41611" xr:uid="{00000000-0005-0000-0000-000007C50000}"/>
    <cellStyle name="Output 3 2 2 8 3" xfId="40460" xr:uid="{00000000-0005-0000-0000-000008C50000}"/>
    <cellStyle name="Output 3 2 2 9" xfId="40000" xr:uid="{00000000-0005-0000-0000-000009C50000}"/>
    <cellStyle name="Output 3 2 3" xfId="12114" xr:uid="{00000000-0005-0000-0000-00000AC50000}"/>
    <cellStyle name="Output 3 2 3 2" xfId="41859" xr:uid="{00000000-0005-0000-0000-00000BC50000}"/>
    <cellStyle name="Output 3 2 3 3" xfId="39123" xr:uid="{00000000-0005-0000-0000-00000CC50000}"/>
    <cellStyle name="Output 3 2 3 4" xfId="29787" xr:uid="{00000000-0005-0000-0000-00000DC50000}"/>
    <cellStyle name="Output 3 2 3 5" xfId="53427" xr:uid="{00000000-0005-0000-0000-00000EC50000}"/>
    <cellStyle name="Output 3 2 4" xfId="19371" xr:uid="{00000000-0005-0000-0000-00000FC50000}"/>
    <cellStyle name="Output 3 2 4 2" xfId="44908" xr:uid="{00000000-0005-0000-0000-000010C50000}"/>
    <cellStyle name="Output 3 2 4 3" xfId="48814" xr:uid="{00000000-0005-0000-0000-000011C50000}"/>
    <cellStyle name="Output 3 2 4 4" xfId="36939" xr:uid="{00000000-0005-0000-0000-000012C50000}"/>
    <cellStyle name="Output 3 2 5" xfId="53320" xr:uid="{00000000-0005-0000-0000-000013C50000}"/>
    <cellStyle name="Output 3 3" xfId="3265" xr:uid="{00000000-0005-0000-0000-000014C50000}"/>
    <cellStyle name="Output 3 3 2" xfId="7480" xr:uid="{00000000-0005-0000-0000-000015C50000}"/>
    <cellStyle name="Output 3 3 2 10" xfId="39958" xr:uid="{00000000-0005-0000-0000-000016C50000}"/>
    <cellStyle name="Output 3 3 2 11" xfId="53323" xr:uid="{00000000-0005-0000-0000-000017C50000}"/>
    <cellStyle name="Output 3 3 2 2" xfId="10753" xr:uid="{00000000-0005-0000-0000-000018C50000}"/>
    <cellStyle name="Output 3 3 2 2 2" xfId="18546" xr:uid="{00000000-0005-0000-0000-000019C50000}"/>
    <cellStyle name="Output 3 3 2 2 2 2" xfId="44093" xr:uid="{00000000-0005-0000-0000-00001AC50000}"/>
    <cellStyle name="Output 3 3 2 2 2 3" xfId="48002" xr:uid="{00000000-0005-0000-0000-00001BC50000}"/>
    <cellStyle name="Output 3 3 2 2 2 4" xfId="36183" xr:uid="{00000000-0005-0000-0000-00001CC50000}"/>
    <cellStyle name="Output 3 3 2 2 3" xfId="19733" xr:uid="{00000000-0005-0000-0000-00001DC50000}"/>
    <cellStyle name="Output 3 3 2 2 3 2" xfId="45270" xr:uid="{00000000-0005-0000-0000-00001EC50000}"/>
    <cellStyle name="Output 3 3 2 2 3 3" xfId="49176" xr:uid="{00000000-0005-0000-0000-00001FC50000}"/>
    <cellStyle name="Output 3 3 2 2 3 4" xfId="37260" xr:uid="{00000000-0005-0000-0000-000020C50000}"/>
    <cellStyle name="Output 3 3 2 2 4" xfId="20078" xr:uid="{00000000-0005-0000-0000-000021C50000}"/>
    <cellStyle name="Output 3 3 2 2 4 2" xfId="45615" xr:uid="{00000000-0005-0000-0000-000022C50000}"/>
    <cellStyle name="Output 3 3 2 2 4 3" xfId="49521" xr:uid="{00000000-0005-0000-0000-000023C50000}"/>
    <cellStyle name="Output 3 3 2 2 4 4" xfId="37572" xr:uid="{00000000-0005-0000-0000-000024C50000}"/>
    <cellStyle name="Output 3 3 2 2 5" xfId="20959" xr:uid="{00000000-0005-0000-0000-000025C50000}"/>
    <cellStyle name="Output 3 3 2 2 5 2" xfId="46496" xr:uid="{00000000-0005-0000-0000-000026C50000}"/>
    <cellStyle name="Output 3 3 2 2 5 3" xfId="50402" xr:uid="{00000000-0005-0000-0000-000027C50000}"/>
    <cellStyle name="Output 3 3 2 2 5 4" xfId="38365" xr:uid="{00000000-0005-0000-0000-000028C50000}"/>
    <cellStyle name="Output 3 3 2 2 6" xfId="21612" xr:uid="{00000000-0005-0000-0000-000029C50000}"/>
    <cellStyle name="Output 3 3 2 2 6 2" xfId="47149" xr:uid="{00000000-0005-0000-0000-00002AC50000}"/>
    <cellStyle name="Output 3 3 2 2 6 3" xfId="51055" xr:uid="{00000000-0005-0000-0000-00002BC50000}"/>
    <cellStyle name="Output 3 3 2 2 7" xfId="40952" xr:uid="{00000000-0005-0000-0000-00002CC50000}"/>
    <cellStyle name="Output 3 3 2 2 8" xfId="42845" xr:uid="{00000000-0005-0000-0000-00002DC50000}"/>
    <cellStyle name="Output 3 3 2 2 9" xfId="53430" xr:uid="{00000000-0005-0000-0000-00002EC50000}"/>
    <cellStyle name="Output 3 3 2 3" xfId="11048" xr:uid="{00000000-0005-0000-0000-00002FC50000}"/>
    <cellStyle name="Output 3 3 2 3 2" xfId="18841" xr:uid="{00000000-0005-0000-0000-000030C50000}"/>
    <cellStyle name="Output 3 3 2 3 2 2" xfId="44388" xr:uid="{00000000-0005-0000-0000-000031C50000}"/>
    <cellStyle name="Output 3 3 2 3 2 3" xfId="48297" xr:uid="{00000000-0005-0000-0000-000032C50000}"/>
    <cellStyle name="Output 3 3 2 3 2 4" xfId="36478" xr:uid="{00000000-0005-0000-0000-000033C50000}"/>
    <cellStyle name="Output 3 3 2 3 3" xfId="20434" xr:uid="{00000000-0005-0000-0000-000034C50000}"/>
    <cellStyle name="Output 3 3 2 3 3 2" xfId="45971" xr:uid="{00000000-0005-0000-0000-000035C50000}"/>
    <cellStyle name="Output 3 3 2 3 3 3" xfId="49877" xr:uid="{00000000-0005-0000-0000-000036C50000}"/>
    <cellStyle name="Output 3 3 2 3 3 4" xfId="37888" xr:uid="{00000000-0005-0000-0000-000037C50000}"/>
    <cellStyle name="Output 3 3 2 3 4" xfId="20578" xr:uid="{00000000-0005-0000-0000-000038C50000}"/>
    <cellStyle name="Output 3 3 2 3 4 2" xfId="46115" xr:uid="{00000000-0005-0000-0000-000039C50000}"/>
    <cellStyle name="Output 3 3 2 3 4 3" xfId="50021" xr:uid="{00000000-0005-0000-0000-00003AC50000}"/>
    <cellStyle name="Output 3 3 2 3 4 4" xfId="38005" xr:uid="{00000000-0005-0000-0000-00003BC50000}"/>
    <cellStyle name="Output 3 3 2 3 5" xfId="21254" xr:uid="{00000000-0005-0000-0000-00003CC50000}"/>
    <cellStyle name="Output 3 3 2 3 5 2" xfId="46791" xr:uid="{00000000-0005-0000-0000-00003DC50000}"/>
    <cellStyle name="Output 3 3 2 3 5 3" xfId="50697" xr:uid="{00000000-0005-0000-0000-00003EC50000}"/>
    <cellStyle name="Output 3 3 2 3 5 4" xfId="38660" xr:uid="{00000000-0005-0000-0000-00003FC50000}"/>
    <cellStyle name="Output 3 3 2 3 6" xfId="21907" xr:uid="{00000000-0005-0000-0000-000040C50000}"/>
    <cellStyle name="Output 3 3 2 3 6 2" xfId="47444" xr:uid="{00000000-0005-0000-0000-000041C50000}"/>
    <cellStyle name="Output 3 3 2 3 6 3" xfId="51350" xr:uid="{00000000-0005-0000-0000-000042C50000}"/>
    <cellStyle name="Output 3 3 2 3 7" xfId="41247" xr:uid="{00000000-0005-0000-0000-000043C50000}"/>
    <cellStyle name="Output 3 3 2 3 8" xfId="42046" xr:uid="{00000000-0005-0000-0000-000044C50000}"/>
    <cellStyle name="Output 3 3 2 4" xfId="15268" xr:uid="{00000000-0005-0000-0000-000045C50000}"/>
    <cellStyle name="Output 3 3 2 4 2" xfId="43141" xr:uid="{00000000-0005-0000-0000-000046C50000}"/>
    <cellStyle name="Output 3 3 2 4 3" xfId="42535" xr:uid="{00000000-0005-0000-0000-000047C50000}"/>
    <cellStyle name="Output 3 3 2 4 4" xfId="32903" xr:uid="{00000000-0005-0000-0000-000048C50000}"/>
    <cellStyle name="Output 3 3 2 5" xfId="19192" xr:uid="{00000000-0005-0000-0000-000049C50000}"/>
    <cellStyle name="Output 3 3 2 5 2" xfId="44729" xr:uid="{00000000-0005-0000-0000-00004AC50000}"/>
    <cellStyle name="Output 3 3 2 5 3" xfId="48635" xr:uid="{00000000-0005-0000-0000-00004BC50000}"/>
    <cellStyle name="Output 3 3 2 5 4" xfId="36779" xr:uid="{00000000-0005-0000-0000-00004CC50000}"/>
    <cellStyle name="Output 3 3 2 6" xfId="11584" xr:uid="{00000000-0005-0000-0000-00004DC50000}"/>
    <cellStyle name="Output 3 3 2 6 2" xfId="41595" xr:uid="{00000000-0005-0000-0000-00004EC50000}"/>
    <cellStyle name="Output 3 3 2 6 3" xfId="39467" xr:uid="{00000000-0005-0000-0000-00004FC50000}"/>
    <cellStyle name="Output 3 3 2 6 4" xfId="29293" xr:uid="{00000000-0005-0000-0000-000050C50000}"/>
    <cellStyle name="Output 3 3 2 7" xfId="11475" xr:uid="{00000000-0005-0000-0000-000051C50000}"/>
    <cellStyle name="Output 3 3 2 7 2" xfId="41486" xr:uid="{00000000-0005-0000-0000-000052C50000}"/>
    <cellStyle name="Output 3 3 2 7 3" xfId="41397" xr:uid="{00000000-0005-0000-0000-000053C50000}"/>
    <cellStyle name="Output 3 3 2 7 4" xfId="29191" xr:uid="{00000000-0005-0000-0000-000054C50000}"/>
    <cellStyle name="Output 3 3 2 8" xfId="13312" xr:uid="{00000000-0005-0000-0000-000055C50000}"/>
    <cellStyle name="Output 3 3 2 8 2" xfId="42482" xr:uid="{00000000-0005-0000-0000-000056C50000}"/>
    <cellStyle name="Output 3 3 2 8 3" xfId="41961" xr:uid="{00000000-0005-0000-0000-000057C50000}"/>
    <cellStyle name="Output 3 3 2 9" xfId="40001" xr:uid="{00000000-0005-0000-0000-000058C50000}"/>
    <cellStyle name="Output 3 3 3" xfId="12115" xr:uid="{00000000-0005-0000-0000-000059C50000}"/>
    <cellStyle name="Output 3 3 3 2" xfId="41860" xr:uid="{00000000-0005-0000-0000-00005AC50000}"/>
    <cellStyle name="Output 3 3 3 3" xfId="39122" xr:uid="{00000000-0005-0000-0000-00005BC50000}"/>
    <cellStyle name="Output 3 3 3 4" xfId="29788" xr:uid="{00000000-0005-0000-0000-00005CC50000}"/>
    <cellStyle name="Output 3 3 3 5" xfId="53429" xr:uid="{00000000-0005-0000-0000-00005DC50000}"/>
    <cellStyle name="Output 3 3 4" xfId="19977" xr:uid="{00000000-0005-0000-0000-00005EC50000}"/>
    <cellStyle name="Output 3 3 4 2" xfId="45514" xr:uid="{00000000-0005-0000-0000-00005FC50000}"/>
    <cellStyle name="Output 3 3 4 3" xfId="49420" xr:uid="{00000000-0005-0000-0000-000060C50000}"/>
    <cellStyle name="Output 3 3 4 4" xfId="37479" xr:uid="{00000000-0005-0000-0000-000061C50000}"/>
    <cellStyle name="Output 3 3 5" xfId="53322" xr:uid="{00000000-0005-0000-0000-000062C50000}"/>
    <cellStyle name="Output 3 4" xfId="3266" xr:uid="{00000000-0005-0000-0000-000063C50000}"/>
    <cellStyle name="Output 3 4 2" xfId="7481" xr:uid="{00000000-0005-0000-0000-000064C50000}"/>
    <cellStyle name="Output 3 4 2 10" xfId="42758" xr:uid="{00000000-0005-0000-0000-000065C50000}"/>
    <cellStyle name="Output 3 4 2 11" xfId="53325" xr:uid="{00000000-0005-0000-0000-000066C50000}"/>
    <cellStyle name="Output 3 4 2 2" xfId="10754" xr:uid="{00000000-0005-0000-0000-000067C50000}"/>
    <cellStyle name="Output 3 4 2 2 2" xfId="18547" xr:uid="{00000000-0005-0000-0000-000068C50000}"/>
    <cellStyle name="Output 3 4 2 2 2 2" xfId="44094" xr:uid="{00000000-0005-0000-0000-000069C50000}"/>
    <cellStyle name="Output 3 4 2 2 2 3" xfId="48003" xr:uid="{00000000-0005-0000-0000-00006AC50000}"/>
    <cellStyle name="Output 3 4 2 2 2 4" xfId="36184" xr:uid="{00000000-0005-0000-0000-00006BC50000}"/>
    <cellStyle name="Output 3 4 2 2 3" xfId="15303" xr:uid="{00000000-0005-0000-0000-00006CC50000}"/>
    <cellStyle name="Output 3 4 2 2 3 2" xfId="43171" xr:uid="{00000000-0005-0000-0000-00006DC50000}"/>
    <cellStyle name="Output 3 4 2 2 3 3" xfId="42774" xr:uid="{00000000-0005-0000-0000-00006EC50000}"/>
    <cellStyle name="Output 3 4 2 2 3 4" xfId="32938" xr:uid="{00000000-0005-0000-0000-00006FC50000}"/>
    <cellStyle name="Output 3 4 2 2 4" xfId="19356" xr:uid="{00000000-0005-0000-0000-000070C50000}"/>
    <cellStyle name="Output 3 4 2 2 4 2" xfId="44893" xr:uid="{00000000-0005-0000-0000-000071C50000}"/>
    <cellStyle name="Output 3 4 2 2 4 3" xfId="48799" xr:uid="{00000000-0005-0000-0000-000072C50000}"/>
    <cellStyle name="Output 3 4 2 2 4 4" xfId="36925" xr:uid="{00000000-0005-0000-0000-000073C50000}"/>
    <cellStyle name="Output 3 4 2 2 5" xfId="20960" xr:uid="{00000000-0005-0000-0000-000074C50000}"/>
    <cellStyle name="Output 3 4 2 2 5 2" xfId="46497" xr:uid="{00000000-0005-0000-0000-000075C50000}"/>
    <cellStyle name="Output 3 4 2 2 5 3" xfId="50403" xr:uid="{00000000-0005-0000-0000-000076C50000}"/>
    <cellStyle name="Output 3 4 2 2 5 4" xfId="38366" xr:uid="{00000000-0005-0000-0000-000077C50000}"/>
    <cellStyle name="Output 3 4 2 2 6" xfId="21613" xr:uid="{00000000-0005-0000-0000-000078C50000}"/>
    <cellStyle name="Output 3 4 2 2 6 2" xfId="47150" xr:uid="{00000000-0005-0000-0000-000079C50000}"/>
    <cellStyle name="Output 3 4 2 2 6 3" xfId="51056" xr:uid="{00000000-0005-0000-0000-00007AC50000}"/>
    <cellStyle name="Output 3 4 2 2 7" xfId="40953" xr:uid="{00000000-0005-0000-0000-00007BC50000}"/>
    <cellStyle name="Output 3 4 2 2 8" xfId="43734" xr:uid="{00000000-0005-0000-0000-00007CC50000}"/>
    <cellStyle name="Output 3 4 2 2 9" xfId="53432" xr:uid="{00000000-0005-0000-0000-00007DC50000}"/>
    <cellStyle name="Output 3 4 2 3" xfId="11049" xr:uid="{00000000-0005-0000-0000-00007EC50000}"/>
    <cellStyle name="Output 3 4 2 3 2" xfId="18842" xr:uid="{00000000-0005-0000-0000-00007FC50000}"/>
    <cellStyle name="Output 3 4 2 3 2 2" xfId="44389" xr:uid="{00000000-0005-0000-0000-000080C50000}"/>
    <cellStyle name="Output 3 4 2 3 2 3" xfId="48298" xr:uid="{00000000-0005-0000-0000-000081C50000}"/>
    <cellStyle name="Output 3 4 2 3 2 4" xfId="36479" xr:uid="{00000000-0005-0000-0000-000082C50000}"/>
    <cellStyle name="Output 3 4 2 3 3" xfId="20435" xr:uid="{00000000-0005-0000-0000-000083C50000}"/>
    <cellStyle name="Output 3 4 2 3 3 2" xfId="45972" xr:uid="{00000000-0005-0000-0000-000084C50000}"/>
    <cellStyle name="Output 3 4 2 3 3 3" xfId="49878" xr:uid="{00000000-0005-0000-0000-000085C50000}"/>
    <cellStyle name="Output 3 4 2 3 3 4" xfId="37889" xr:uid="{00000000-0005-0000-0000-000086C50000}"/>
    <cellStyle name="Output 3 4 2 3 4" xfId="20579" xr:uid="{00000000-0005-0000-0000-000087C50000}"/>
    <cellStyle name="Output 3 4 2 3 4 2" xfId="46116" xr:uid="{00000000-0005-0000-0000-000088C50000}"/>
    <cellStyle name="Output 3 4 2 3 4 3" xfId="50022" xr:uid="{00000000-0005-0000-0000-000089C50000}"/>
    <cellStyle name="Output 3 4 2 3 4 4" xfId="38006" xr:uid="{00000000-0005-0000-0000-00008AC50000}"/>
    <cellStyle name="Output 3 4 2 3 5" xfId="21255" xr:uid="{00000000-0005-0000-0000-00008BC50000}"/>
    <cellStyle name="Output 3 4 2 3 5 2" xfId="46792" xr:uid="{00000000-0005-0000-0000-00008CC50000}"/>
    <cellStyle name="Output 3 4 2 3 5 3" xfId="50698" xr:uid="{00000000-0005-0000-0000-00008DC50000}"/>
    <cellStyle name="Output 3 4 2 3 5 4" xfId="38661" xr:uid="{00000000-0005-0000-0000-00008EC50000}"/>
    <cellStyle name="Output 3 4 2 3 6" xfId="21908" xr:uid="{00000000-0005-0000-0000-00008FC50000}"/>
    <cellStyle name="Output 3 4 2 3 6 2" xfId="47445" xr:uid="{00000000-0005-0000-0000-000090C50000}"/>
    <cellStyle name="Output 3 4 2 3 6 3" xfId="51351" xr:uid="{00000000-0005-0000-0000-000091C50000}"/>
    <cellStyle name="Output 3 4 2 3 7" xfId="41248" xr:uid="{00000000-0005-0000-0000-000092C50000}"/>
    <cellStyle name="Output 3 4 2 3 8" xfId="43365" xr:uid="{00000000-0005-0000-0000-000093C50000}"/>
    <cellStyle name="Output 3 4 2 4" xfId="15269" xr:uid="{00000000-0005-0000-0000-000094C50000}"/>
    <cellStyle name="Output 3 4 2 4 2" xfId="43142" xr:uid="{00000000-0005-0000-0000-000095C50000}"/>
    <cellStyle name="Output 3 4 2 4 3" xfId="43446" xr:uid="{00000000-0005-0000-0000-000096C50000}"/>
    <cellStyle name="Output 3 4 2 4 4" xfId="32904" xr:uid="{00000000-0005-0000-0000-000097C50000}"/>
    <cellStyle name="Output 3 4 2 5" xfId="19816" xr:uid="{00000000-0005-0000-0000-000098C50000}"/>
    <cellStyle name="Output 3 4 2 5 2" xfId="45353" xr:uid="{00000000-0005-0000-0000-000099C50000}"/>
    <cellStyle name="Output 3 4 2 5 3" xfId="49259" xr:uid="{00000000-0005-0000-0000-00009AC50000}"/>
    <cellStyle name="Output 3 4 2 5 4" xfId="37337" xr:uid="{00000000-0005-0000-0000-00009BC50000}"/>
    <cellStyle name="Output 3 4 2 6" xfId="11809" xr:uid="{00000000-0005-0000-0000-00009CC50000}"/>
    <cellStyle name="Output 3 4 2 6 2" xfId="41757" xr:uid="{00000000-0005-0000-0000-00009DC50000}"/>
    <cellStyle name="Output 3 4 2 6 3" xfId="39670" xr:uid="{00000000-0005-0000-0000-00009EC50000}"/>
    <cellStyle name="Output 3 4 2 6 4" xfId="29495" xr:uid="{00000000-0005-0000-0000-00009FC50000}"/>
    <cellStyle name="Output 3 4 2 7" xfId="19808" xr:uid="{00000000-0005-0000-0000-0000A0C50000}"/>
    <cellStyle name="Output 3 4 2 7 2" xfId="45345" xr:uid="{00000000-0005-0000-0000-0000A1C50000}"/>
    <cellStyle name="Output 3 4 2 7 3" xfId="49251" xr:uid="{00000000-0005-0000-0000-0000A2C50000}"/>
    <cellStyle name="Output 3 4 2 7 4" xfId="37329" xr:uid="{00000000-0005-0000-0000-0000A3C50000}"/>
    <cellStyle name="Output 3 4 2 8" xfId="11466" xr:uid="{00000000-0005-0000-0000-0000A4C50000}"/>
    <cellStyle name="Output 3 4 2 8 2" xfId="41477" xr:uid="{00000000-0005-0000-0000-0000A5C50000}"/>
    <cellStyle name="Output 3 4 2 8 3" xfId="42030" xr:uid="{00000000-0005-0000-0000-0000A6C50000}"/>
    <cellStyle name="Output 3 4 2 9" xfId="40002" xr:uid="{00000000-0005-0000-0000-0000A7C50000}"/>
    <cellStyle name="Output 3 4 3" xfId="12116" xr:uid="{00000000-0005-0000-0000-0000A8C50000}"/>
    <cellStyle name="Output 3 4 3 2" xfId="41861" xr:uid="{00000000-0005-0000-0000-0000A9C50000}"/>
    <cellStyle name="Output 3 4 3 3" xfId="39121" xr:uid="{00000000-0005-0000-0000-0000AAC50000}"/>
    <cellStyle name="Output 3 4 3 4" xfId="29789" xr:uid="{00000000-0005-0000-0000-0000ABC50000}"/>
    <cellStyle name="Output 3 4 3 5" xfId="53431" xr:uid="{00000000-0005-0000-0000-0000ACC50000}"/>
    <cellStyle name="Output 3 4 4" xfId="19212" xr:uid="{00000000-0005-0000-0000-0000ADC50000}"/>
    <cellStyle name="Output 3 4 4 2" xfId="44749" xr:uid="{00000000-0005-0000-0000-0000AEC50000}"/>
    <cellStyle name="Output 3 4 4 3" xfId="48655" xr:uid="{00000000-0005-0000-0000-0000AFC50000}"/>
    <cellStyle name="Output 3 4 4 4" xfId="36797" xr:uid="{00000000-0005-0000-0000-0000B0C50000}"/>
    <cellStyle name="Output 3 4 5" xfId="53324" xr:uid="{00000000-0005-0000-0000-0000B1C50000}"/>
    <cellStyle name="Output 3 5" xfId="3267" xr:uid="{00000000-0005-0000-0000-0000B2C50000}"/>
    <cellStyle name="Output 3 5 2" xfId="7482" xr:uid="{00000000-0005-0000-0000-0000B3C50000}"/>
    <cellStyle name="Output 3 5 2 10" xfId="43646" xr:uid="{00000000-0005-0000-0000-0000B4C50000}"/>
    <cellStyle name="Output 3 5 2 11" xfId="53433" xr:uid="{00000000-0005-0000-0000-0000B5C50000}"/>
    <cellStyle name="Output 3 5 2 2" xfId="10755" xr:uid="{00000000-0005-0000-0000-0000B6C50000}"/>
    <cellStyle name="Output 3 5 2 2 2" xfId="18548" xr:uid="{00000000-0005-0000-0000-0000B7C50000}"/>
    <cellStyle name="Output 3 5 2 2 2 2" xfId="44095" xr:uid="{00000000-0005-0000-0000-0000B8C50000}"/>
    <cellStyle name="Output 3 5 2 2 2 3" xfId="48004" xr:uid="{00000000-0005-0000-0000-0000B9C50000}"/>
    <cellStyle name="Output 3 5 2 2 2 4" xfId="36185" xr:uid="{00000000-0005-0000-0000-0000BAC50000}"/>
    <cellStyle name="Output 3 5 2 2 3" xfId="13332" xr:uid="{00000000-0005-0000-0000-0000BBC50000}"/>
    <cellStyle name="Output 3 5 2 2 3 2" xfId="42502" xr:uid="{00000000-0005-0000-0000-0000BCC50000}"/>
    <cellStyle name="Output 3 5 2 2 3 3" xfId="41302" xr:uid="{00000000-0005-0000-0000-0000BDC50000}"/>
    <cellStyle name="Output 3 5 2 2 3 4" xfId="30972" xr:uid="{00000000-0005-0000-0000-0000BEC50000}"/>
    <cellStyle name="Output 3 5 2 2 4" xfId="20302" xr:uid="{00000000-0005-0000-0000-0000BFC50000}"/>
    <cellStyle name="Output 3 5 2 2 4 2" xfId="45839" xr:uid="{00000000-0005-0000-0000-0000C0C50000}"/>
    <cellStyle name="Output 3 5 2 2 4 3" xfId="49745" xr:uid="{00000000-0005-0000-0000-0000C1C50000}"/>
    <cellStyle name="Output 3 5 2 2 4 4" xfId="37768" xr:uid="{00000000-0005-0000-0000-0000C2C50000}"/>
    <cellStyle name="Output 3 5 2 2 5" xfId="20961" xr:uid="{00000000-0005-0000-0000-0000C3C50000}"/>
    <cellStyle name="Output 3 5 2 2 5 2" xfId="46498" xr:uid="{00000000-0005-0000-0000-0000C4C50000}"/>
    <cellStyle name="Output 3 5 2 2 5 3" xfId="50404" xr:uid="{00000000-0005-0000-0000-0000C5C50000}"/>
    <cellStyle name="Output 3 5 2 2 5 4" xfId="38367" xr:uid="{00000000-0005-0000-0000-0000C6C50000}"/>
    <cellStyle name="Output 3 5 2 2 6" xfId="21614" xr:uid="{00000000-0005-0000-0000-0000C7C50000}"/>
    <cellStyle name="Output 3 5 2 2 6 2" xfId="47151" xr:uid="{00000000-0005-0000-0000-0000C8C50000}"/>
    <cellStyle name="Output 3 5 2 2 6 3" xfId="51057" xr:uid="{00000000-0005-0000-0000-0000C9C50000}"/>
    <cellStyle name="Output 3 5 2 2 7" xfId="40954" xr:uid="{00000000-0005-0000-0000-0000CAC50000}"/>
    <cellStyle name="Output 3 5 2 2 8" xfId="40593" xr:uid="{00000000-0005-0000-0000-0000CBC50000}"/>
    <cellStyle name="Output 3 5 2 3" xfId="11050" xr:uid="{00000000-0005-0000-0000-0000CCC50000}"/>
    <cellStyle name="Output 3 5 2 3 2" xfId="18843" xr:uid="{00000000-0005-0000-0000-0000CDC50000}"/>
    <cellStyle name="Output 3 5 2 3 2 2" xfId="44390" xr:uid="{00000000-0005-0000-0000-0000CEC50000}"/>
    <cellStyle name="Output 3 5 2 3 2 3" xfId="48299" xr:uid="{00000000-0005-0000-0000-0000CFC50000}"/>
    <cellStyle name="Output 3 5 2 3 2 4" xfId="36480" xr:uid="{00000000-0005-0000-0000-0000D0C50000}"/>
    <cellStyle name="Output 3 5 2 3 3" xfId="20436" xr:uid="{00000000-0005-0000-0000-0000D1C50000}"/>
    <cellStyle name="Output 3 5 2 3 3 2" xfId="45973" xr:uid="{00000000-0005-0000-0000-0000D2C50000}"/>
    <cellStyle name="Output 3 5 2 3 3 3" xfId="49879" xr:uid="{00000000-0005-0000-0000-0000D3C50000}"/>
    <cellStyle name="Output 3 5 2 3 3 4" xfId="37890" xr:uid="{00000000-0005-0000-0000-0000D4C50000}"/>
    <cellStyle name="Output 3 5 2 3 4" xfId="20580" xr:uid="{00000000-0005-0000-0000-0000D5C50000}"/>
    <cellStyle name="Output 3 5 2 3 4 2" xfId="46117" xr:uid="{00000000-0005-0000-0000-0000D6C50000}"/>
    <cellStyle name="Output 3 5 2 3 4 3" xfId="50023" xr:uid="{00000000-0005-0000-0000-0000D7C50000}"/>
    <cellStyle name="Output 3 5 2 3 4 4" xfId="38007" xr:uid="{00000000-0005-0000-0000-0000D8C50000}"/>
    <cellStyle name="Output 3 5 2 3 5" xfId="21256" xr:uid="{00000000-0005-0000-0000-0000D9C50000}"/>
    <cellStyle name="Output 3 5 2 3 5 2" xfId="46793" xr:uid="{00000000-0005-0000-0000-0000DAC50000}"/>
    <cellStyle name="Output 3 5 2 3 5 3" xfId="50699" xr:uid="{00000000-0005-0000-0000-0000DBC50000}"/>
    <cellStyle name="Output 3 5 2 3 5 4" xfId="38662" xr:uid="{00000000-0005-0000-0000-0000DCC50000}"/>
    <cellStyle name="Output 3 5 2 3 6" xfId="21909" xr:uid="{00000000-0005-0000-0000-0000DDC50000}"/>
    <cellStyle name="Output 3 5 2 3 6 2" xfId="47446" xr:uid="{00000000-0005-0000-0000-0000DEC50000}"/>
    <cellStyle name="Output 3 5 2 3 6 3" xfId="51352" xr:uid="{00000000-0005-0000-0000-0000DFC50000}"/>
    <cellStyle name="Output 3 5 2 3 7" xfId="41249" xr:uid="{00000000-0005-0000-0000-0000E0C50000}"/>
    <cellStyle name="Output 3 5 2 3 8" xfId="40227" xr:uid="{00000000-0005-0000-0000-0000E1C50000}"/>
    <cellStyle name="Output 3 5 2 4" xfId="15270" xr:uid="{00000000-0005-0000-0000-0000E2C50000}"/>
    <cellStyle name="Output 3 5 2 4 2" xfId="43143" xr:uid="{00000000-0005-0000-0000-0000E3C50000}"/>
    <cellStyle name="Output 3 5 2 4 3" xfId="40308" xr:uid="{00000000-0005-0000-0000-0000E4C50000}"/>
    <cellStyle name="Output 3 5 2 4 4" xfId="32905" xr:uid="{00000000-0005-0000-0000-0000E5C50000}"/>
    <cellStyle name="Output 3 5 2 5" xfId="11369" xr:uid="{00000000-0005-0000-0000-0000E6C50000}"/>
    <cellStyle name="Output 3 5 2 5 2" xfId="41405" xr:uid="{00000000-0005-0000-0000-0000E7C50000}"/>
    <cellStyle name="Output 3 5 2 5 3" xfId="40468" xr:uid="{00000000-0005-0000-0000-0000E8C50000}"/>
    <cellStyle name="Output 3 5 2 5 4" xfId="29092" xr:uid="{00000000-0005-0000-0000-0000E9C50000}"/>
    <cellStyle name="Output 3 5 2 6" xfId="18909" xr:uid="{00000000-0005-0000-0000-0000EAC50000}"/>
    <cellStyle name="Output 3 5 2 6 2" xfId="44446" xr:uid="{00000000-0005-0000-0000-0000EBC50000}"/>
    <cellStyle name="Output 3 5 2 6 3" xfId="48352" xr:uid="{00000000-0005-0000-0000-0000ECC50000}"/>
    <cellStyle name="Output 3 5 2 6 4" xfId="36541" xr:uid="{00000000-0005-0000-0000-0000EDC50000}"/>
    <cellStyle name="Output 3 5 2 7" xfId="19041" xr:uid="{00000000-0005-0000-0000-0000EEC50000}"/>
    <cellStyle name="Output 3 5 2 7 2" xfId="44578" xr:uid="{00000000-0005-0000-0000-0000EFC50000}"/>
    <cellStyle name="Output 3 5 2 7 3" xfId="48484" xr:uid="{00000000-0005-0000-0000-0000F0C50000}"/>
    <cellStyle name="Output 3 5 2 7 4" xfId="36645" xr:uid="{00000000-0005-0000-0000-0000F1C50000}"/>
    <cellStyle name="Output 3 5 2 8" xfId="19373" xr:uid="{00000000-0005-0000-0000-0000F2C50000}"/>
    <cellStyle name="Output 3 5 2 8 2" xfId="44910" xr:uid="{00000000-0005-0000-0000-0000F3C50000}"/>
    <cellStyle name="Output 3 5 2 8 3" xfId="48816" xr:uid="{00000000-0005-0000-0000-0000F4C50000}"/>
    <cellStyle name="Output 3 5 2 9" xfId="40003" xr:uid="{00000000-0005-0000-0000-0000F5C50000}"/>
    <cellStyle name="Output 3 5 3" xfId="12117" xr:uid="{00000000-0005-0000-0000-0000F6C50000}"/>
    <cellStyle name="Output 3 5 3 2" xfId="41862" xr:uid="{00000000-0005-0000-0000-0000F7C50000}"/>
    <cellStyle name="Output 3 5 3 3" xfId="39120" xr:uid="{00000000-0005-0000-0000-0000F8C50000}"/>
    <cellStyle name="Output 3 5 3 4" xfId="29790" xr:uid="{00000000-0005-0000-0000-0000F9C50000}"/>
    <cellStyle name="Output 3 5 4" xfId="19842" xr:uid="{00000000-0005-0000-0000-0000FAC50000}"/>
    <cellStyle name="Output 3 5 4 2" xfId="45379" xr:uid="{00000000-0005-0000-0000-0000FBC50000}"/>
    <cellStyle name="Output 3 5 4 3" xfId="49285" xr:uid="{00000000-0005-0000-0000-0000FCC50000}"/>
    <cellStyle name="Output 3 5 4 4" xfId="37359" xr:uid="{00000000-0005-0000-0000-0000FDC50000}"/>
    <cellStyle name="Output 3 5 5" xfId="53326" xr:uid="{00000000-0005-0000-0000-0000FEC50000}"/>
    <cellStyle name="Output 3 6" xfId="3268" xr:uid="{00000000-0005-0000-0000-0000FFC50000}"/>
    <cellStyle name="Output 3 6 2" xfId="7483" xr:uid="{00000000-0005-0000-0000-000000C60000}"/>
    <cellStyle name="Output 3 6 2 10" xfId="40504" xr:uid="{00000000-0005-0000-0000-000001C60000}"/>
    <cellStyle name="Output 3 6 2 11" xfId="53434" xr:uid="{00000000-0005-0000-0000-000002C60000}"/>
    <cellStyle name="Output 3 6 2 2" xfId="10756" xr:uid="{00000000-0005-0000-0000-000003C60000}"/>
    <cellStyle name="Output 3 6 2 2 2" xfId="18549" xr:uid="{00000000-0005-0000-0000-000004C60000}"/>
    <cellStyle name="Output 3 6 2 2 2 2" xfId="44096" xr:uid="{00000000-0005-0000-0000-000005C60000}"/>
    <cellStyle name="Output 3 6 2 2 2 3" xfId="48005" xr:uid="{00000000-0005-0000-0000-000006C60000}"/>
    <cellStyle name="Output 3 6 2 2 2 4" xfId="36186" xr:uid="{00000000-0005-0000-0000-000007C60000}"/>
    <cellStyle name="Output 3 6 2 2 3" xfId="19599" xr:uid="{00000000-0005-0000-0000-000008C60000}"/>
    <cellStyle name="Output 3 6 2 2 3 2" xfId="45136" xr:uid="{00000000-0005-0000-0000-000009C60000}"/>
    <cellStyle name="Output 3 6 2 2 3 3" xfId="49042" xr:uid="{00000000-0005-0000-0000-00000AC60000}"/>
    <cellStyle name="Output 3 6 2 2 3 4" xfId="37139" xr:uid="{00000000-0005-0000-0000-00000BC60000}"/>
    <cellStyle name="Output 3 6 2 2 4" xfId="20085" xr:uid="{00000000-0005-0000-0000-00000CC60000}"/>
    <cellStyle name="Output 3 6 2 2 4 2" xfId="45622" xr:uid="{00000000-0005-0000-0000-00000DC60000}"/>
    <cellStyle name="Output 3 6 2 2 4 3" xfId="49528" xr:uid="{00000000-0005-0000-0000-00000EC60000}"/>
    <cellStyle name="Output 3 6 2 2 4 4" xfId="37578" xr:uid="{00000000-0005-0000-0000-00000FC60000}"/>
    <cellStyle name="Output 3 6 2 2 5" xfId="20962" xr:uid="{00000000-0005-0000-0000-000010C60000}"/>
    <cellStyle name="Output 3 6 2 2 5 2" xfId="46499" xr:uid="{00000000-0005-0000-0000-000011C60000}"/>
    <cellStyle name="Output 3 6 2 2 5 3" xfId="50405" xr:uid="{00000000-0005-0000-0000-000012C60000}"/>
    <cellStyle name="Output 3 6 2 2 5 4" xfId="38368" xr:uid="{00000000-0005-0000-0000-000013C60000}"/>
    <cellStyle name="Output 3 6 2 2 6" xfId="21615" xr:uid="{00000000-0005-0000-0000-000014C60000}"/>
    <cellStyle name="Output 3 6 2 2 6 2" xfId="47152" xr:uid="{00000000-0005-0000-0000-000015C60000}"/>
    <cellStyle name="Output 3 6 2 2 6 3" xfId="51058" xr:uid="{00000000-0005-0000-0000-000016C60000}"/>
    <cellStyle name="Output 3 6 2 2 7" xfId="40955" xr:uid="{00000000-0005-0000-0000-000017C60000}"/>
    <cellStyle name="Output 3 6 2 2 8" xfId="39704" xr:uid="{00000000-0005-0000-0000-000018C60000}"/>
    <cellStyle name="Output 3 6 2 3" xfId="11051" xr:uid="{00000000-0005-0000-0000-000019C60000}"/>
    <cellStyle name="Output 3 6 2 3 2" xfId="18844" xr:uid="{00000000-0005-0000-0000-00001AC60000}"/>
    <cellStyle name="Output 3 6 2 3 2 2" xfId="44391" xr:uid="{00000000-0005-0000-0000-00001BC60000}"/>
    <cellStyle name="Output 3 6 2 3 2 3" xfId="48300" xr:uid="{00000000-0005-0000-0000-00001CC60000}"/>
    <cellStyle name="Output 3 6 2 3 2 4" xfId="36481" xr:uid="{00000000-0005-0000-0000-00001DC60000}"/>
    <cellStyle name="Output 3 6 2 3 3" xfId="20437" xr:uid="{00000000-0005-0000-0000-00001EC60000}"/>
    <cellStyle name="Output 3 6 2 3 3 2" xfId="45974" xr:uid="{00000000-0005-0000-0000-00001FC60000}"/>
    <cellStyle name="Output 3 6 2 3 3 3" xfId="49880" xr:uid="{00000000-0005-0000-0000-000020C60000}"/>
    <cellStyle name="Output 3 6 2 3 3 4" xfId="37891" xr:uid="{00000000-0005-0000-0000-000021C60000}"/>
    <cellStyle name="Output 3 6 2 3 4" xfId="20581" xr:uid="{00000000-0005-0000-0000-000022C60000}"/>
    <cellStyle name="Output 3 6 2 3 4 2" xfId="46118" xr:uid="{00000000-0005-0000-0000-000023C60000}"/>
    <cellStyle name="Output 3 6 2 3 4 3" xfId="50024" xr:uid="{00000000-0005-0000-0000-000024C60000}"/>
    <cellStyle name="Output 3 6 2 3 4 4" xfId="38008" xr:uid="{00000000-0005-0000-0000-000025C60000}"/>
    <cellStyle name="Output 3 6 2 3 5" xfId="21257" xr:uid="{00000000-0005-0000-0000-000026C60000}"/>
    <cellStyle name="Output 3 6 2 3 5 2" xfId="46794" xr:uid="{00000000-0005-0000-0000-000027C60000}"/>
    <cellStyle name="Output 3 6 2 3 5 3" xfId="50700" xr:uid="{00000000-0005-0000-0000-000028C60000}"/>
    <cellStyle name="Output 3 6 2 3 5 4" xfId="38663" xr:uid="{00000000-0005-0000-0000-000029C60000}"/>
    <cellStyle name="Output 3 6 2 3 6" xfId="21910" xr:uid="{00000000-0005-0000-0000-00002AC60000}"/>
    <cellStyle name="Output 3 6 2 3 6 2" xfId="47447" xr:uid="{00000000-0005-0000-0000-00002BC60000}"/>
    <cellStyle name="Output 3 6 2 3 6 3" xfId="51353" xr:uid="{00000000-0005-0000-0000-00002CC60000}"/>
    <cellStyle name="Output 3 6 2 3 7" xfId="41250" xr:uid="{00000000-0005-0000-0000-00002DC60000}"/>
    <cellStyle name="Output 3 6 2 3 8" xfId="39367" xr:uid="{00000000-0005-0000-0000-00002EC60000}"/>
    <cellStyle name="Output 3 6 2 4" xfId="15271" xr:uid="{00000000-0005-0000-0000-00002FC60000}"/>
    <cellStyle name="Output 3 6 2 4 2" xfId="43144" xr:uid="{00000000-0005-0000-0000-000030C60000}"/>
    <cellStyle name="Output 3 6 2 4 3" xfId="39425" xr:uid="{00000000-0005-0000-0000-000031C60000}"/>
    <cellStyle name="Output 3 6 2 4 4" xfId="32906" xr:uid="{00000000-0005-0000-0000-000032C60000}"/>
    <cellStyle name="Output 3 6 2 5" xfId="12050" xr:uid="{00000000-0005-0000-0000-000033C60000}"/>
    <cellStyle name="Output 3 6 2 5 2" xfId="41805" xr:uid="{00000000-0005-0000-0000-000034C60000}"/>
    <cellStyle name="Output 3 6 2 5 3" xfId="47502" xr:uid="{00000000-0005-0000-0000-000035C60000}"/>
    <cellStyle name="Output 3 6 2 5 4" xfId="29729" xr:uid="{00000000-0005-0000-0000-000036C60000}"/>
    <cellStyle name="Output 3 6 2 6" xfId="19981" xr:uid="{00000000-0005-0000-0000-000037C60000}"/>
    <cellStyle name="Output 3 6 2 6 2" xfId="45518" xr:uid="{00000000-0005-0000-0000-000038C60000}"/>
    <cellStyle name="Output 3 6 2 6 3" xfId="49424" xr:uid="{00000000-0005-0000-0000-000039C60000}"/>
    <cellStyle name="Output 3 6 2 6 4" xfId="37482" xr:uid="{00000000-0005-0000-0000-00003AC60000}"/>
    <cellStyle name="Output 3 6 2 7" xfId="19633" xr:uid="{00000000-0005-0000-0000-00003BC60000}"/>
    <cellStyle name="Output 3 6 2 7 2" xfId="45170" xr:uid="{00000000-0005-0000-0000-00003CC60000}"/>
    <cellStyle name="Output 3 6 2 7 3" xfId="49076" xr:uid="{00000000-0005-0000-0000-00003DC60000}"/>
    <cellStyle name="Output 3 6 2 7 4" xfId="37171" xr:uid="{00000000-0005-0000-0000-00003EC60000}"/>
    <cellStyle name="Output 3 6 2 8" xfId="20480" xr:uid="{00000000-0005-0000-0000-00003FC60000}"/>
    <cellStyle name="Output 3 6 2 8 2" xfId="46017" xr:uid="{00000000-0005-0000-0000-000040C60000}"/>
    <cellStyle name="Output 3 6 2 8 3" xfId="49923" xr:uid="{00000000-0005-0000-0000-000041C60000}"/>
    <cellStyle name="Output 3 6 2 9" xfId="40004" xr:uid="{00000000-0005-0000-0000-000042C60000}"/>
    <cellStyle name="Output 3 6 3" xfId="12118" xr:uid="{00000000-0005-0000-0000-000043C60000}"/>
    <cellStyle name="Output 3 6 3 2" xfId="41863" xr:uid="{00000000-0005-0000-0000-000044C60000}"/>
    <cellStyle name="Output 3 6 3 3" xfId="39119" xr:uid="{00000000-0005-0000-0000-000045C60000}"/>
    <cellStyle name="Output 3 6 3 4" xfId="29791" xr:uid="{00000000-0005-0000-0000-000046C60000}"/>
    <cellStyle name="Output 3 6 4" xfId="18973" xr:uid="{00000000-0005-0000-0000-000047C60000}"/>
    <cellStyle name="Output 3 6 4 2" xfId="44510" xr:uid="{00000000-0005-0000-0000-000048C60000}"/>
    <cellStyle name="Output 3 6 4 3" xfId="48416" xr:uid="{00000000-0005-0000-0000-000049C60000}"/>
    <cellStyle name="Output 3 6 4 4" xfId="36598" xr:uid="{00000000-0005-0000-0000-00004AC60000}"/>
    <cellStyle name="Output 3 6 5" xfId="53327" xr:uid="{00000000-0005-0000-0000-00004BC60000}"/>
    <cellStyle name="Output 3 7" xfId="5315" xr:uid="{00000000-0005-0000-0000-00004CC60000}"/>
    <cellStyle name="Output 3 7 2" xfId="7484" xr:uid="{00000000-0005-0000-0000-00004DC60000}"/>
    <cellStyle name="Output 3 7 2 10" xfId="39614" xr:uid="{00000000-0005-0000-0000-00004EC60000}"/>
    <cellStyle name="Output 3 7 2 2" xfId="10757" xr:uid="{00000000-0005-0000-0000-00004FC60000}"/>
    <cellStyle name="Output 3 7 2 2 2" xfId="18550" xr:uid="{00000000-0005-0000-0000-000050C60000}"/>
    <cellStyle name="Output 3 7 2 2 2 2" xfId="44097" xr:uid="{00000000-0005-0000-0000-000051C60000}"/>
    <cellStyle name="Output 3 7 2 2 2 3" xfId="48006" xr:uid="{00000000-0005-0000-0000-000052C60000}"/>
    <cellStyle name="Output 3 7 2 2 2 4" xfId="36187" xr:uid="{00000000-0005-0000-0000-000053C60000}"/>
    <cellStyle name="Output 3 7 2 2 3" xfId="20152" xr:uid="{00000000-0005-0000-0000-000054C60000}"/>
    <cellStyle name="Output 3 7 2 2 3 2" xfId="45689" xr:uid="{00000000-0005-0000-0000-000055C60000}"/>
    <cellStyle name="Output 3 7 2 2 3 3" xfId="49595" xr:uid="{00000000-0005-0000-0000-000056C60000}"/>
    <cellStyle name="Output 3 7 2 2 3 4" xfId="37638" xr:uid="{00000000-0005-0000-0000-000057C60000}"/>
    <cellStyle name="Output 3 7 2 2 4" xfId="12692" xr:uid="{00000000-0005-0000-0000-000058C60000}"/>
    <cellStyle name="Output 3 7 2 2 4 2" xfId="42171" xr:uid="{00000000-0005-0000-0000-000059C60000}"/>
    <cellStyle name="Output 3 7 2 2 4 3" xfId="43586" xr:uid="{00000000-0005-0000-0000-00005AC60000}"/>
    <cellStyle name="Output 3 7 2 2 4 4" xfId="30353" xr:uid="{00000000-0005-0000-0000-00005BC60000}"/>
    <cellStyle name="Output 3 7 2 2 5" xfId="20963" xr:uid="{00000000-0005-0000-0000-00005CC60000}"/>
    <cellStyle name="Output 3 7 2 2 5 2" xfId="46500" xr:uid="{00000000-0005-0000-0000-00005DC60000}"/>
    <cellStyle name="Output 3 7 2 2 5 3" xfId="50406" xr:uid="{00000000-0005-0000-0000-00005EC60000}"/>
    <cellStyle name="Output 3 7 2 2 5 4" xfId="38369" xr:uid="{00000000-0005-0000-0000-00005FC60000}"/>
    <cellStyle name="Output 3 7 2 2 6" xfId="21616" xr:uid="{00000000-0005-0000-0000-000060C60000}"/>
    <cellStyle name="Output 3 7 2 2 6 2" xfId="47153" xr:uid="{00000000-0005-0000-0000-000061C60000}"/>
    <cellStyle name="Output 3 7 2 2 6 3" xfId="51059" xr:uid="{00000000-0005-0000-0000-000062C60000}"/>
    <cellStyle name="Output 3 7 2 2 7" xfId="40956" xr:uid="{00000000-0005-0000-0000-000063C60000}"/>
    <cellStyle name="Output 3 7 2 2 8" xfId="42741" xr:uid="{00000000-0005-0000-0000-000064C60000}"/>
    <cellStyle name="Output 3 7 2 3" xfId="11052" xr:uid="{00000000-0005-0000-0000-000065C60000}"/>
    <cellStyle name="Output 3 7 2 3 2" xfId="18845" xr:uid="{00000000-0005-0000-0000-000066C60000}"/>
    <cellStyle name="Output 3 7 2 3 2 2" xfId="44392" xr:uid="{00000000-0005-0000-0000-000067C60000}"/>
    <cellStyle name="Output 3 7 2 3 2 3" xfId="48301" xr:uid="{00000000-0005-0000-0000-000068C60000}"/>
    <cellStyle name="Output 3 7 2 3 2 4" xfId="36482" xr:uid="{00000000-0005-0000-0000-000069C60000}"/>
    <cellStyle name="Output 3 7 2 3 3" xfId="20438" xr:uid="{00000000-0005-0000-0000-00006AC60000}"/>
    <cellStyle name="Output 3 7 2 3 3 2" xfId="45975" xr:uid="{00000000-0005-0000-0000-00006BC60000}"/>
    <cellStyle name="Output 3 7 2 3 3 3" xfId="49881" xr:uid="{00000000-0005-0000-0000-00006CC60000}"/>
    <cellStyle name="Output 3 7 2 3 3 4" xfId="37892" xr:uid="{00000000-0005-0000-0000-00006DC60000}"/>
    <cellStyle name="Output 3 7 2 3 4" xfId="20582" xr:uid="{00000000-0005-0000-0000-00006EC60000}"/>
    <cellStyle name="Output 3 7 2 3 4 2" xfId="46119" xr:uid="{00000000-0005-0000-0000-00006FC60000}"/>
    <cellStyle name="Output 3 7 2 3 4 3" xfId="50025" xr:uid="{00000000-0005-0000-0000-000070C60000}"/>
    <cellStyle name="Output 3 7 2 3 4 4" xfId="38009" xr:uid="{00000000-0005-0000-0000-000071C60000}"/>
    <cellStyle name="Output 3 7 2 3 5" xfId="21258" xr:uid="{00000000-0005-0000-0000-000072C60000}"/>
    <cellStyle name="Output 3 7 2 3 5 2" xfId="46795" xr:uid="{00000000-0005-0000-0000-000073C60000}"/>
    <cellStyle name="Output 3 7 2 3 5 3" xfId="50701" xr:uid="{00000000-0005-0000-0000-000074C60000}"/>
    <cellStyle name="Output 3 7 2 3 5 4" xfId="38664" xr:uid="{00000000-0005-0000-0000-000075C60000}"/>
    <cellStyle name="Output 3 7 2 3 6" xfId="21911" xr:uid="{00000000-0005-0000-0000-000076C60000}"/>
    <cellStyle name="Output 3 7 2 3 6 2" xfId="47448" xr:uid="{00000000-0005-0000-0000-000077C60000}"/>
    <cellStyle name="Output 3 7 2 3 6 3" xfId="51354" xr:uid="{00000000-0005-0000-0000-000078C60000}"/>
    <cellStyle name="Output 3 7 2 3 7" xfId="41251" xr:uid="{00000000-0005-0000-0000-000079C60000}"/>
    <cellStyle name="Output 3 7 2 3 8" xfId="39180" xr:uid="{00000000-0005-0000-0000-00007AC60000}"/>
    <cellStyle name="Output 3 7 2 4" xfId="15272" xr:uid="{00000000-0005-0000-0000-00007BC60000}"/>
    <cellStyle name="Output 3 7 2 4 2" xfId="43145" xr:uid="{00000000-0005-0000-0000-00007CC60000}"/>
    <cellStyle name="Output 3 7 2 4 3" xfId="41937" xr:uid="{00000000-0005-0000-0000-00007DC60000}"/>
    <cellStyle name="Output 3 7 2 4 4" xfId="32907" xr:uid="{00000000-0005-0000-0000-00007EC60000}"/>
    <cellStyle name="Output 3 7 2 5" xfId="19659" xr:uid="{00000000-0005-0000-0000-00007FC60000}"/>
    <cellStyle name="Output 3 7 2 5 2" xfId="45196" xr:uid="{00000000-0005-0000-0000-000080C60000}"/>
    <cellStyle name="Output 3 7 2 5 3" xfId="49102" xr:uid="{00000000-0005-0000-0000-000081C60000}"/>
    <cellStyle name="Output 3 7 2 5 4" xfId="37193" xr:uid="{00000000-0005-0000-0000-000082C60000}"/>
    <cellStyle name="Output 3 7 2 6" xfId="19657" xr:uid="{00000000-0005-0000-0000-000083C60000}"/>
    <cellStyle name="Output 3 7 2 6 2" xfId="45194" xr:uid="{00000000-0005-0000-0000-000084C60000}"/>
    <cellStyle name="Output 3 7 2 6 3" xfId="49100" xr:uid="{00000000-0005-0000-0000-000085C60000}"/>
    <cellStyle name="Output 3 7 2 6 4" xfId="37191" xr:uid="{00000000-0005-0000-0000-000086C60000}"/>
    <cellStyle name="Output 3 7 2 7" xfId="20274" xr:uid="{00000000-0005-0000-0000-000087C60000}"/>
    <cellStyle name="Output 3 7 2 7 2" xfId="45811" xr:uid="{00000000-0005-0000-0000-000088C60000}"/>
    <cellStyle name="Output 3 7 2 7 3" xfId="49717" xr:uid="{00000000-0005-0000-0000-000089C60000}"/>
    <cellStyle name="Output 3 7 2 7 4" xfId="37742" xr:uid="{00000000-0005-0000-0000-00008AC60000}"/>
    <cellStyle name="Output 3 7 2 8" xfId="20508" xr:uid="{00000000-0005-0000-0000-00008BC60000}"/>
    <cellStyle name="Output 3 7 2 8 2" xfId="46045" xr:uid="{00000000-0005-0000-0000-00008CC60000}"/>
    <cellStyle name="Output 3 7 2 8 3" xfId="49951" xr:uid="{00000000-0005-0000-0000-00008DC60000}"/>
    <cellStyle name="Output 3 7 2 9" xfId="40005" xr:uid="{00000000-0005-0000-0000-00008EC60000}"/>
    <cellStyle name="Output 3 7 3" xfId="13283" xr:uid="{00000000-0005-0000-0000-00008FC60000}"/>
    <cellStyle name="Output 3 7 3 2" xfId="42453" xr:uid="{00000000-0005-0000-0000-000090C60000}"/>
    <cellStyle name="Output 3 7 3 3" xfId="39649" xr:uid="{00000000-0005-0000-0000-000091C60000}"/>
    <cellStyle name="Output 3 7 3 4" xfId="30928" xr:uid="{00000000-0005-0000-0000-000092C60000}"/>
    <cellStyle name="Output 3 7 4" xfId="20312" xr:uid="{00000000-0005-0000-0000-000093C60000}"/>
    <cellStyle name="Output 3 7 4 2" xfId="45849" xr:uid="{00000000-0005-0000-0000-000094C60000}"/>
    <cellStyle name="Output 3 7 4 3" xfId="49755" xr:uid="{00000000-0005-0000-0000-000095C60000}"/>
    <cellStyle name="Output 3 7 4 4" xfId="37777" xr:uid="{00000000-0005-0000-0000-000096C60000}"/>
    <cellStyle name="Output 3 7 5" xfId="53426" xr:uid="{00000000-0005-0000-0000-000097C60000}"/>
    <cellStyle name="Output 3 8" xfId="5316" xr:uid="{00000000-0005-0000-0000-000098C60000}"/>
    <cellStyle name="Output 3 8 2" xfId="7485" xr:uid="{00000000-0005-0000-0000-000099C60000}"/>
    <cellStyle name="Output 3 8 2 10" xfId="47550" xr:uid="{00000000-0005-0000-0000-00009AC60000}"/>
    <cellStyle name="Output 3 8 2 2" xfId="10758" xr:uid="{00000000-0005-0000-0000-00009BC60000}"/>
    <cellStyle name="Output 3 8 2 2 2" xfId="18551" xr:uid="{00000000-0005-0000-0000-00009CC60000}"/>
    <cellStyle name="Output 3 8 2 2 2 2" xfId="44098" xr:uid="{00000000-0005-0000-0000-00009DC60000}"/>
    <cellStyle name="Output 3 8 2 2 2 3" xfId="48007" xr:uid="{00000000-0005-0000-0000-00009EC60000}"/>
    <cellStyle name="Output 3 8 2 2 2 4" xfId="36188" xr:uid="{00000000-0005-0000-0000-00009FC60000}"/>
    <cellStyle name="Output 3 8 2 2 3" xfId="19411" xr:uid="{00000000-0005-0000-0000-0000A0C60000}"/>
    <cellStyle name="Output 3 8 2 2 3 2" xfId="44948" xr:uid="{00000000-0005-0000-0000-0000A1C60000}"/>
    <cellStyle name="Output 3 8 2 2 3 3" xfId="48854" xr:uid="{00000000-0005-0000-0000-0000A2C60000}"/>
    <cellStyle name="Output 3 8 2 2 3 4" xfId="36976" xr:uid="{00000000-0005-0000-0000-0000A3C60000}"/>
    <cellStyle name="Output 3 8 2 2 4" xfId="11642" xr:uid="{00000000-0005-0000-0000-0000A4C60000}"/>
    <cellStyle name="Output 3 8 2 2 4 2" xfId="41653" xr:uid="{00000000-0005-0000-0000-0000A5C60000}"/>
    <cellStyle name="Output 3 8 2 2 4 3" xfId="40029" xr:uid="{00000000-0005-0000-0000-0000A6C60000}"/>
    <cellStyle name="Output 3 8 2 2 4 4" xfId="29343" xr:uid="{00000000-0005-0000-0000-0000A7C60000}"/>
    <cellStyle name="Output 3 8 2 2 5" xfId="20964" xr:uid="{00000000-0005-0000-0000-0000A8C60000}"/>
    <cellStyle name="Output 3 8 2 2 5 2" xfId="46501" xr:uid="{00000000-0005-0000-0000-0000A9C60000}"/>
    <cellStyle name="Output 3 8 2 2 5 3" xfId="50407" xr:uid="{00000000-0005-0000-0000-0000AAC60000}"/>
    <cellStyle name="Output 3 8 2 2 5 4" xfId="38370" xr:uid="{00000000-0005-0000-0000-0000ABC60000}"/>
    <cellStyle name="Output 3 8 2 2 6" xfId="21617" xr:uid="{00000000-0005-0000-0000-0000ACC60000}"/>
    <cellStyle name="Output 3 8 2 2 6 2" xfId="47154" xr:uid="{00000000-0005-0000-0000-0000ADC60000}"/>
    <cellStyle name="Output 3 8 2 2 6 3" xfId="51060" xr:uid="{00000000-0005-0000-0000-0000AEC60000}"/>
    <cellStyle name="Output 3 8 2 2 7" xfId="40957" xr:uid="{00000000-0005-0000-0000-0000AFC60000}"/>
    <cellStyle name="Output 3 8 2 2 8" xfId="43630" xr:uid="{00000000-0005-0000-0000-0000B0C60000}"/>
    <cellStyle name="Output 3 8 2 3" xfId="11053" xr:uid="{00000000-0005-0000-0000-0000B1C60000}"/>
    <cellStyle name="Output 3 8 2 3 2" xfId="18846" xr:uid="{00000000-0005-0000-0000-0000B2C60000}"/>
    <cellStyle name="Output 3 8 2 3 2 2" xfId="44393" xr:uid="{00000000-0005-0000-0000-0000B3C60000}"/>
    <cellStyle name="Output 3 8 2 3 2 3" xfId="48302" xr:uid="{00000000-0005-0000-0000-0000B4C60000}"/>
    <cellStyle name="Output 3 8 2 3 2 4" xfId="36483" xr:uid="{00000000-0005-0000-0000-0000B5C60000}"/>
    <cellStyle name="Output 3 8 2 3 3" xfId="20439" xr:uid="{00000000-0005-0000-0000-0000B6C60000}"/>
    <cellStyle name="Output 3 8 2 3 3 2" xfId="45976" xr:uid="{00000000-0005-0000-0000-0000B7C60000}"/>
    <cellStyle name="Output 3 8 2 3 3 3" xfId="49882" xr:uid="{00000000-0005-0000-0000-0000B8C60000}"/>
    <cellStyle name="Output 3 8 2 3 3 4" xfId="37893" xr:uid="{00000000-0005-0000-0000-0000B9C60000}"/>
    <cellStyle name="Output 3 8 2 3 4" xfId="20583" xr:uid="{00000000-0005-0000-0000-0000BAC60000}"/>
    <cellStyle name="Output 3 8 2 3 4 2" xfId="46120" xr:uid="{00000000-0005-0000-0000-0000BBC60000}"/>
    <cellStyle name="Output 3 8 2 3 4 3" xfId="50026" xr:uid="{00000000-0005-0000-0000-0000BCC60000}"/>
    <cellStyle name="Output 3 8 2 3 4 4" xfId="38010" xr:uid="{00000000-0005-0000-0000-0000BDC60000}"/>
    <cellStyle name="Output 3 8 2 3 5" xfId="21259" xr:uid="{00000000-0005-0000-0000-0000BEC60000}"/>
    <cellStyle name="Output 3 8 2 3 5 2" xfId="46796" xr:uid="{00000000-0005-0000-0000-0000BFC60000}"/>
    <cellStyle name="Output 3 8 2 3 5 3" xfId="50702" xr:uid="{00000000-0005-0000-0000-0000C0C60000}"/>
    <cellStyle name="Output 3 8 2 3 5 4" xfId="38665" xr:uid="{00000000-0005-0000-0000-0000C1C60000}"/>
    <cellStyle name="Output 3 8 2 3 6" xfId="21912" xr:uid="{00000000-0005-0000-0000-0000C2C60000}"/>
    <cellStyle name="Output 3 8 2 3 6 2" xfId="47449" xr:uid="{00000000-0005-0000-0000-0000C3C60000}"/>
    <cellStyle name="Output 3 8 2 3 6 3" xfId="51355" xr:uid="{00000000-0005-0000-0000-0000C4C60000}"/>
    <cellStyle name="Output 3 8 2 3 7" xfId="41252" xr:uid="{00000000-0005-0000-0000-0000C5C60000}"/>
    <cellStyle name="Output 3 8 2 3 8" xfId="41421" xr:uid="{00000000-0005-0000-0000-0000C6C60000}"/>
    <cellStyle name="Output 3 8 2 4" xfId="15273" xr:uid="{00000000-0005-0000-0000-0000C7C60000}"/>
    <cellStyle name="Output 3 8 2 4 2" xfId="43146" xr:uid="{00000000-0005-0000-0000-0000C8C60000}"/>
    <cellStyle name="Output 3 8 2 4 3" xfId="43291" xr:uid="{00000000-0005-0000-0000-0000C9C60000}"/>
    <cellStyle name="Output 3 8 2 4 4" xfId="32908" xr:uid="{00000000-0005-0000-0000-0000CAC60000}"/>
    <cellStyle name="Output 3 8 2 5" xfId="20218" xr:uid="{00000000-0005-0000-0000-0000CBC60000}"/>
    <cellStyle name="Output 3 8 2 5 2" xfId="45755" xr:uid="{00000000-0005-0000-0000-0000CCC60000}"/>
    <cellStyle name="Output 3 8 2 5 3" xfId="49661" xr:uid="{00000000-0005-0000-0000-0000CDC60000}"/>
    <cellStyle name="Output 3 8 2 5 4" xfId="37695" xr:uid="{00000000-0005-0000-0000-0000CEC60000}"/>
    <cellStyle name="Output 3 8 2 6" xfId="20474" xr:uid="{00000000-0005-0000-0000-0000CFC60000}"/>
    <cellStyle name="Output 3 8 2 6 2" xfId="46011" xr:uid="{00000000-0005-0000-0000-0000D0C60000}"/>
    <cellStyle name="Output 3 8 2 6 3" xfId="49917" xr:uid="{00000000-0005-0000-0000-0000D1C60000}"/>
    <cellStyle name="Output 3 8 2 6 4" xfId="37927" xr:uid="{00000000-0005-0000-0000-0000D2C60000}"/>
    <cellStyle name="Output 3 8 2 7" xfId="19022" xr:uid="{00000000-0005-0000-0000-0000D3C60000}"/>
    <cellStyle name="Output 3 8 2 7 2" xfId="44559" xr:uid="{00000000-0005-0000-0000-0000D4C60000}"/>
    <cellStyle name="Output 3 8 2 7 3" xfId="48465" xr:uid="{00000000-0005-0000-0000-0000D5C60000}"/>
    <cellStyle name="Output 3 8 2 7 4" xfId="36630" xr:uid="{00000000-0005-0000-0000-0000D6C60000}"/>
    <cellStyle name="Output 3 8 2 8" xfId="12501" xr:uid="{00000000-0005-0000-0000-0000D7C60000}"/>
    <cellStyle name="Output 3 8 2 8 2" xfId="42014" xr:uid="{00000000-0005-0000-0000-0000D8C60000}"/>
    <cellStyle name="Output 3 8 2 8 3" xfId="40452" xr:uid="{00000000-0005-0000-0000-0000D9C60000}"/>
    <cellStyle name="Output 3 8 2 9" xfId="40006" xr:uid="{00000000-0005-0000-0000-0000DAC60000}"/>
    <cellStyle name="Output 3 8 3" xfId="13284" xr:uid="{00000000-0005-0000-0000-0000DBC60000}"/>
    <cellStyle name="Output 3 8 3 2" xfId="42454" xr:uid="{00000000-0005-0000-0000-0000DCC60000}"/>
    <cellStyle name="Output 3 8 3 3" xfId="42685" xr:uid="{00000000-0005-0000-0000-0000DDC60000}"/>
    <cellStyle name="Output 3 8 3 4" xfId="30929" xr:uid="{00000000-0005-0000-0000-0000DEC60000}"/>
    <cellStyle name="Output 3 8 4" xfId="19523" xr:uid="{00000000-0005-0000-0000-0000DFC60000}"/>
    <cellStyle name="Output 3 8 4 2" xfId="45060" xr:uid="{00000000-0005-0000-0000-0000E0C60000}"/>
    <cellStyle name="Output 3 8 4 3" xfId="48966" xr:uid="{00000000-0005-0000-0000-0000E1C60000}"/>
    <cellStyle name="Output 3 8 4 4" xfId="37071" xr:uid="{00000000-0005-0000-0000-0000E2C60000}"/>
    <cellStyle name="Output 3 9" xfId="5317" xr:uid="{00000000-0005-0000-0000-0000E3C60000}"/>
    <cellStyle name="Output 3 9 2" xfId="10479" xr:uid="{00000000-0005-0000-0000-0000E4C60000}"/>
    <cellStyle name="Output 3 9 2 2" xfId="18272" xr:uid="{00000000-0005-0000-0000-0000E5C60000}"/>
    <cellStyle name="Output 3 9 2 2 2" xfId="43819" xr:uid="{00000000-0005-0000-0000-0000E6C60000}"/>
    <cellStyle name="Output 3 9 2 2 3" xfId="47728" xr:uid="{00000000-0005-0000-0000-0000E7C60000}"/>
    <cellStyle name="Output 3 9 2 2 4" xfId="35909" xr:uid="{00000000-0005-0000-0000-0000E8C60000}"/>
    <cellStyle name="Output 3 9 2 3" xfId="19920" xr:uid="{00000000-0005-0000-0000-0000E9C60000}"/>
    <cellStyle name="Output 3 9 2 3 2" xfId="45457" xr:uid="{00000000-0005-0000-0000-0000EAC60000}"/>
    <cellStyle name="Output 3 9 2 3 3" xfId="49363" xr:uid="{00000000-0005-0000-0000-0000EBC60000}"/>
    <cellStyle name="Output 3 9 2 3 4" xfId="37434" xr:uid="{00000000-0005-0000-0000-0000ECC60000}"/>
    <cellStyle name="Output 3 9 2 4" xfId="11460" xr:uid="{00000000-0005-0000-0000-0000EDC60000}"/>
    <cellStyle name="Output 3 9 2 4 2" xfId="41471" xr:uid="{00000000-0005-0000-0000-0000EEC60000}"/>
    <cellStyle name="Output 3 9 2 4 3" xfId="40467" xr:uid="{00000000-0005-0000-0000-0000EFC60000}"/>
    <cellStyle name="Output 3 9 2 4 4" xfId="29179" xr:uid="{00000000-0005-0000-0000-0000F0C60000}"/>
    <cellStyle name="Output 3 9 2 5" xfId="20685" xr:uid="{00000000-0005-0000-0000-0000F1C60000}"/>
    <cellStyle name="Output 3 9 2 5 2" xfId="46222" xr:uid="{00000000-0005-0000-0000-0000F2C60000}"/>
    <cellStyle name="Output 3 9 2 5 3" xfId="50128" xr:uid="{00000000-0005-0000-0000-0000F3C60000}"/>
    <cellStyle name="Output 3 9 2 5 4" xfId="38091" xr:uid="{00000000-0005-0000-0000-0000F4C60000}"/>
    <cellStyle name="Output 3 9 2 6" xfId="21338" xr:uid="{00000000-0005-0000-0000-0000F5C60000}"/>
    <cellStyle name="Output 3 9 2 6 2" xfId="46875" xr:uid="{00000000-0005-0000-0000-0000F6C60000}"/>
    <cellStyle name="Output 3 9 2 6 3" xfId="50781" xr:uid="{00000000-0005-0000-0000-0000F7C60000}"/>
    <cellStyle name="Output 3 9 2 7" xfId="40678" xr:uid="{00000000-0005-0000-0000-0000F8C60000}"/>
    <cellStyle name="Output 3 9 2 8" xfId="39403" xr:uid="{00000000-0005-0000-0000-0000F9C60000}"/>
    <cellStyle name="Output 3 9 3" xfId="8804" xr:uid="{00000000-0005-0000-0000-0000FAC60000}"/>
    <cellStyle name="Output 3 9 3 2" xfId="16600" xr:uid="{00000000-0005-0000-0000-0000FBC60000}"/>
    <cellStyle name="Output 3 9 3 2 2" xfId="43441" xr:uid="{00000000-0005-0000-0000-0000FCC60000}"/>
    <cellStyle name="Output 3 9 3 2 3" xfId="39627" xr:uid="{00000000-0005-0000-0000-0000FDC60000}"/>
    <cellStyle name="Output 3 9 3 2 4" xfId="34235" xr:uid="{00000000-0005-0000-0000-0000FEC60000}"/>
    <cellStyle name="Output 3 9 3 3" xfId="19472" xr:uid="{00000000-0005-0000-0000-0000FFC60000}"/>
    <cellStyle name="Output 3 9 3 3 2" xfId="45009" xr:uid="{00000000-0005-0000-0000-000000C70000}"/>
    <cellStyle name="Output 3 9 3 3 3" xfId="48915" xr:uid="{00000000-0005-0000-0000-000001C70000}"/>
    <cellStyle name="Output 3 9 3 3 4" xfId="37030" xr:uid="{00000000-0005-0000-0000-000002C70000}"/>
    <cellStyle name="Output 3 9 3 4" xfId="19362" xr:uid="{00000000-0005-0000-0000-000003C70000}"/>
    <cellStyle name="Output 3 9 3 4 2" xfId="44899" xr:uid="{00000000-0005-0000-0000-000004C70000}"/>
    <cellStyle name="Output 3 9 3 4 3" xfId="48805" xr:uid="{00000000-0005-0000-0000-000005C70000}"/>
    <cellStyle name="Output 3 9 3 4 4" xfId="36930" xr:uid="{00000000-0005-0000-0000-000006C70000}"/>
    <cellStyle name="Output 3 9 3 5" xfId="19025" xr:uid="{00000000-0005-0000-0000-000007C70000}"/>
    <cellStyle name="Output 3 9 3 5 2" xfId="44562" xr:uid="{00000000-0005-0000-0000-000008C70000}"/>
    <cellStyle name="Output 3 9 3 5 3" xfId="48468" xr:uid="{00000000-0005-0000-0000-000009C70000}"/>
    <cellStyle name="Output 3 9 3 5 4" xfId="36633" xr:uid="{00000000-0005-0000-0000-00000AC70000}"/>
    <cellStyle name="Output 3 9 3 6" xfId="19539" xr:uid="{00000000-0005-0000-0000-00000BC70000}"/>
    <cellStyle name="Output 3 9 3 6 2" xfId="45076" xr:uid="{00000000-0005-0000-0000-00000CC70000}"/>
    <cellStyle name="Output 3 9 3 6 3" xfId="48982" xr:uid="{00000000-0005-0000-0000-00000DC70000}"/>
    <cellStyle name="Output 3 9 3 7" xfId="40303" xr:uid="{00000000-0005-0000-0000-00000EC70000}"/>
    <cellStyle name="Output 3 9 3 8" xfId="39212" xr:uid="{00000000-0005-0000-0000-00000FC70000}"/>
    <cellStyle name="Output 3 9 4" xfId="13285" xr:uid="{00000000-0005-0000-0000-000010C70000}"/>
    <cellStyle name="Output 3 9 4 2" xfId="42455" xr:uid="{00000000-0005-0000-0000-000011C70000}"/>
    <cellStyle name="Output 3 9 4 3" xfId="43573" xr:uid="{00000000-0005-0000-0000-000012C70000}"/>
    <cellStyle name="Output 3 9 4 4" xfId="30930" xr:uid="{00000000-0005-0000-0000-000013C70000}"/>
    <cellStyle name="Output 3 9 5" xfId="11737" xr:uid="{00000000-0005-0000-0000-000014C70000}"/>
    <cellStyle name="Output 3 9 5 2" xfId="41723" xr:uid="{00000000-0005-0000-0000-000015C70000}"/>
    <cellStyle name="Output 3 9 5 3" xfId="42706" xr:uid="{00000000-0005-0000-0000-000016C70000}"/>
    <cellStyle name="Output 3 9 5 4" xfId="29424" xr:uid="{00000000-0005-0000-0000-000017C70000}"/>
    <cellStyle name="Output 3_BallGrid" xfId="3269" xr:uid="{00000000-0005-0000-0000-000018C70000}"/>
    <cellStyle name="Output 4" xfId="138" xr:uid="{00000000-0005-0000-0000-000019C70000}"/>
    <cellStyle name="Output 4 10" xfId="12119" xr:uid="{00000000-0005-0000-0000-00001AC70000}"/>
    <cellStyle name="Output 4 10 2" xfId="41864" xr:uid="{00000000-0005-0000-0000-00001BC70000}"/>
    <cellStyle name="Output 4 10 3" xfId="47471" xr:uid="{00000000-0005-0000-0000-00001CC70000}"/>
    <cellStyle name="Output 4 10 4" xfId="29792" xr:uid="{00000000-0005-0000-0000-00001DC70000}"/>
    <cellStyle name="Output 4 11" xfId="19682" xr:uid="{00000000-0005-0000-0000-00001EC70000}"/>
    <cellStyle name="Output 4 11 2" xfId="45219" xr:uid="{00000000-0005-0000-0000-00001FC70000}"/>
    <cellStyle name="Output 4 11 3" xfId="49125" xr:uid="{00000000-0005-0000-0000-000020C70000}"/>
    <cellStyle name="Output 4 11 4" xfId="37214" xr:uid="{00000000-0005-0000-0000-000021C70000}"/>
    <cellStyle name="Output 4 12" xfId="3270" xr:uid="{00000000-0005-0000-0000-000022C70000}"/>
    <cellStyle name="Output 4 13" xfId="52769" xr:uid="{00000000-0005-0000-0000-000023C70000}"/>
    <cellStyle name="Output 4 2" xfId="3271" xr:uid="{00000000-0005-0000-0000-000024C70000}"/>
    <cellStyle name="Output 4 2 2" xfId="7487" xr:uid="{00000000-0005-0000-0000-000025C70000}"/>
    <cellStyle name="Output 4 2 2 10" xfId="43535" xr:uid="{00000000-0005-0000-0000-000026C70000}"/>
    <cellStyle name="Output 4 2 2 11" xfId="53329" xr:uid="{00000000-0005-0000-0000-000027C70000}"/>
    <cellStyle name="Output 4 2 2 2" xfId="10760" xr:uid="{00000000-0005-0000-0000-000028C70000}"/>
    <cellStyle name="Output 4 2 2 2 2" xfId="18553" xr:uid="{00000000-0005-0000-0000-000029C70000}"/>
    <cellStyle name="Output 4 2 2 2 2 2" xfId="44100" xr:uid="{00000000-0005-0000-0000-00002AC70000}"/>
    <cellStyle name="Output 4 2 2 2 2 3" xfId="48009" xr:uid="{00000000-0005-0000-0000-00002BC70000}"/>
    <cellStyle name="Output 4 2 2 2 2 4" xfId="36190" xr:uid="{00000000-0005-0000-0000-00002CC70000}"/>
    <cellStyle name="Output 4 2 2 2 3" xfId="19284" xr:uid="{00000000-0005-0000-0000-00002DC70000}"/>
    <cellStyle name="Output 4 2 2 2 3 2" xfId="44821" xr:uid="{00000000-0005-0000-0000-00002EC70000}"/>
    <cellStyle name="Output 4 2 2 2 3 3" xfId="48727" xr:uid="{00000000-0005-0000-0000-00002FC70000}"/>
    <cellStyle name="Output 4 2 2 2 3 4" xfId="36862" xr:uid="{00000000-0005-0000-0000-000030C70000}"/>
    <cellStyle name="Output 4 2 2 2 4" xfId="11656" xr:uid="{00000000-0005-0000-0000-000031C70000}"/>
    <cellStyle name="Output 4 2 2 2 4 2" xfId="41667" xr:uid="{00000000-0005-0000-0000-000032C70000}"/>
    <cellStyle name="Output 4 2 2 2 4 3" xfId="43490" xr:uid="{00000000-0005-0000-0000-000033C70000}"/>
    <cellStyle name="Output 4 2 2 2 4 4" xfId="29355" xr:uid="{00000000-0005-0000-0000-000034C70000}"/>
    <cellStyle name="Output 4 2 2 2 5" xfId="20966" xr:uid="{00000000-0005-0000-0000-000035C70000}"/>
    <cellStyle name="Output 4 2 2 2 5 2" xfId="46503" xr:uid="{00000000-0005-0000-0000-000036C70000}"/>
    <cellStyle name="Output 4 2 2 2 5 3" xfId="50409" xr:uid="{00000000-0005-0000-0000-000037C70000}"/>
    <cellStyle name="Output 4 2 2 2 5 4" xfId="38372" xr:uid="{00000000-0005-0000-0000-000038C70000}"/>
    <cellStyle name="Output 4 2 2 2 6" xfId="21619" xr:uid="{00000000-0005-0000-0000-000039C70000}"/>
    <cellStyle name="Output 4 2 2 2 6 2" xfId="47156" xr:uid="{00000000-0005-0000-0000-00003AC70000}"/>
    <cellStyle name="Output 4 2 2 2 6 3" xfId="51062" xr:uid="{00000000-0005-0000-0000-00003BC70000}"/>
    <cellStyle name="Output 4 2 2 2 7" xfId="40959" xr:uid="{00000000-0005-0000-0000-00003CC70000}"/>
    <cellStyle name="Output 4 2 2 2 8" xfId="39598" xr:uid="{00000000-0005-0000-0000-00003DC70000}"/>
    <cellStyle name="Output 4 2 2 2 9" xfId="53437" xr:uid="{00000000-0005-0000-0000-00003EC70000}"/>
    <cellStyle name="Output 4 2 2 3" xfId="11055" xr:uid="{00000000-0005-0000-0000-00003FC70000}"/>
    <cellStyle name="Output 4 2 2 3 2" xfId="18848" xr:uid="{00000000-0005-0000-0000-000040C70000}"/>
    <cellStyle name="Output 4 2 2 3 2 2" xfId="44395" xr:uid="{00000000-0005-0000-0000-000041C70000}"/>
    <cellStyle name="Output 4 2 2 3 2 3" xfId="48304" xr:uid="{00000000-0005-0000-0000-000042C70000}"/>
    <cellStyle name="Output 4 2 2 3 2 4" xfId="36485" xr:uid="{00000000-0005-0000-0000-000043C70000}"/>
    <cellStyle name="Output 4 2 2 3 3" xfId="20441" xr:uid="{00000000-0005-0000-0000-000044C70000}"/>
    <cellStyle name="Output 4 2 2 3 3 2" xfId="45978" xr:uid="{00000000-0005-0000-0000-000045C70000}"/>
    <cellStyle name="Output 4 2 2 3 3 3" xfId="49884" xr:uid="{00000000-0005-0000-0000-000046C70000}"/>
    <cellStyle name="Output 4 2 2 3 3 4" xfId="37895" xr:uid="{00000000-0005-0000-0000-000047C70000}"/>
    <cellStyle name="Output 4 2 2 3 4" xfId="20585" xr:uid="{00000000-0005-0000-0000-000048C70000}"/>
    <cellStyle name="Output 4 2 2 3 4 2" xfId="46122" xr:uid="{00000000-0005-0000-0000-000049C70000}"/>
    <cellStyle name="Output 4 2 2 3 4 3" xfId="50028" xr:uid="{00000000-0005-0000-0000-00004AC70000}"/>
    <cellStyle name="Output 4 2 2 3 4 4" xfId="38012" xr:uid="{00000000-0005-0000-0000-00004BC70000}"/>
    <cellStyle name="Output 4 2 2 3 5" xfId="21261" xr:uid="{00000000-0005-0000-0000-00004CC70000}"/>
    <cellStyle name="Output 4 2 2 3 5 2" xfId="46798" xr:uid="{00000000-0005-0000-0000-00004DC70000}"/>
    <cellStyle name="Output 4 2 2 3 5 3" xfId="50704" xr:uid="{00000000-0005-0000-0000-00004EC70000}"/>
    <cellStyle name="Output 4 2 2 3 5 4" xfId="38667" xr:uid="{00000000-0005-0000-0000-00004FC70000}"/>
    <cellStyle name="Output 4 2 2 3 6" xfId="21914" xr:uid="{00000000-0005-0000-0000-000050C70000}"/>
    <cellStyle name="Output 4 2 2 3 6 2" xfId="47451" xr:uid="{00000000-0005-0000-0000-000051C70000}"/>
    <cellStyle name="Output 4 2 2 3 6 3" xfId="51357" xr:uid="{00000000-0005-0000-0000-000052C70000}"/>
    <cellStyle name="Output 4 2 2 3 7" xfId="41254" xr:uid="{00000000-0005-0000-0000-000053C70000}"/>
    <cellStyle name="Output 4 2 2 3 8" xfId="40083" xr:uid="{00000000-0005-0000-0000-000054C70000}"/>
    <cellStyle name="Output 4 2 2 4" xfId="15275" xr:uid="{00000000-0005-0000-0000-000055C70000}"/>
    <cellStyle name="Output 4 2 2 4 2" xfId="43148" xr:uid="{00000000-0005-0000-0000-000056C70000}"/>
    <cellStyle name="Output 4 2 2 4 3" xfId="39264" xr:uid="{00000000-0005-0000-0000-000057C70000}"/>
    <cellStyle name="Output 4 2 2 4 4" xfId="32910" xr:uid="{00000000-0005-0000-0000-000058C70000}"/>
    <cellStyle name="Output 4 2 2 5" xfId="20087" xr:uid="{00000000-0005-0000-0000-000059C70000}"/>
    <cellStyle name="Output 4 2 2 5 2" xfId="45624" xr:uid="{00000000-0005-0000-0000-00005AC70000}"/>
    <cellStyle name="Output 4 2 2 5 3" xfId="49530" xr:uid="{00000000-0005-0000-0000-00005BC70000}"/>
    <cellStyle name="Output 4 2 2 5 4" xfId="37579" xr:uid="{00000000-0005-0000-0000-00005CC70000}"/>
    <cellStyle name="Output 4 2 2 6" xfId="11625" xr:uid="{00000000-0005-0000-0000-00005DC70000}"/>
    <cellStyle name="Output 4 2 2 6 2" xfId="41636" xr:uid="{00000000-0005-0000-0000-00005EC70000}"/>
    <cellStyle name="Output 4 2 2 6 3" xfId="40352" xr:uid="{00000000-0005-0000-0000-00005FC70000}"/>
    <cellStyle name="Output 4 2 2 6 4" xfId="29328" xr:uid="{00000000-0005-0000-0000-000060C70000}"/>
    <cellStyle name="Output 4 2 2 7" xfId="19023" xr:uid="{00000000-0005-0000-0000-000061C70000}"/>
    <cellStyle name="Output 4 2 2 7 2" xfId="44560" xr:uid="{00000000-0005-0000-0000-000062C70000}"/>
    <cellStyle name="Output 4 2 2 7 3" xfId="48466" xr:uid="{00000000-0005-0000-0000-000063C70000}"/>
    <cellStyle name="Output 4 2 2 7 4" xfId="36631" xr:uid="{00000000-0005-0000-0000-000064C70000}"/>
    <cellStyle name="Output 4 2 2 8" xfId="19841" xr:uid="{00000000-0005-0000-0000-000065C70000}"/>
    <cellStyle name="Output 4 2 2 8 2" xfId="45378" xr:uid="{00000000-0005-0000-0000-000066C70000}"/>
    <cellStyle name="Output 4 2 2 8 3" xfId="49284" xr:uid="{00000000-0005-0000-0000-000067C70000}"/>
    <cellStyle name="Output 4 2 2 9" xfId="40008" xr:uid="{00000000-0005-0000-0000-000068C70000}"/>
    <cellStyle name="Output 4 2 3" xfId="12120" xr:uid="{00000000-0005-0000-0000-000069C70000}"/>
    <cellStyle name="Output 4 2 3 2" xfId="41865" xr:uid="{00000000-0005-0000-0000-00006AC70000}"/>
    <cellStyle name="Output 4 2 3 3" xfId="47494" xr:uid="{00000000-0005-0000-0000-00006BC70000}"/>
    <cellStyle name="Output 4 2 3 4" xfId="29793" xr:uid="{00000000-0005-0000-0000-00006CC70000}"/>
    <cellStyle name="Output 4 2 3 5" xfId="53436" xr:uid="{00000000-0005-0000-0000-00006DC70000}"/>
    <cellStyle name="Output 4 2 4" xfId="20244" xr:uid="{00000000-0005-0000-0000-00006EC70000}"/>
    <cellStyle name="Output 4 2 4 2" xfId="45781" xr:uid="{00000000-0005-0000-0000-00006FC70000}"/>
    <cellStyle name="Output 4 2 4 3" xfId="49687" xr:uid="{00000000-0005-0000-0000-000070C70000}"/>
    <cellStyle name="Output 4 2 4 4" xfId="37716" xr:uid="{00000000-0005-0000-0000-000071C70000}"/>
    <cellStyle name="Output 4 2 5" xfId="23023" xr:uid="{00000000-0005-0000-0000-000072C70000}"/>
    <cellStyle name="Output 4 2 5 2" xfId="47629" xr:uid="{00000000-0005-0000-0000-000073C70000}"/>
    <cellStyle name="Output 4 2 5 3" xfId="51440" xr:uid="{00000000-0005-0000-0000-000074C70000}"/>
    <cellStyle name="Output 4 2 6" xfId="53328" xr:uid="{00000000-0005-0000-0000-000075C70000}"/>
    <cellStyle name="Output 4 3" xfId="3272" xr:uid="{00000000-0005-0000-0000-000076C70000}"/>
    <cellStyle name="Output 4 3 2" xfId="7488" xr:uid="{00000000-0005-0000-0000-000077C70000}"/>
    <cellStyle name="Output 4 3 2 10" xfId="40398" xr:uid="{00000000-0005-0000-0000-000078C70000}"/>
    <cellStyle name="Output 4 3 2 11" xfId="53331" xr:uid="{00000000-0005-0000-0000-000079C70000}"/>
    <cellStyle name="Output 4 3 2 2" xfId="10761" xr:uid="{00000000-0005-0000-0000-00007AC70000}"/>
    <cellStyle name="Output 4 3 2 2 2" xfId="18554" xr:uid="{00000000-0005-0000-0000-00007BC70000}"/>
    <cellStyle name="Output 4 3 2 2 2 2" xfId="44101" xr:uid="{00000000-0005-0000-0000-00007CC70000}"/>
    <cellStyle name="Output 4 3 2 2 2 3" xfId="48010" xr:uid="{00000000-0005-0000-0000-00007DC70000}"/>
    <cellStyle name="Output 4 3 2 2 2 4" xfId="36191" xr:uid="{00000000-0005-0000-0000-00007EC70000}"/>
    <cellStyle name="Output 4 3 2 2 3" xfId="19893" xr:uid="{00000000-0005-0000-0000-00007FC70000}"/>
    <cellStyle name="Output 4 3 2 2 3 2" xfId="45430" xr:uid="{00000000-0005-0000-0000-000080C70000}"/>
    <cellStyle name="Output 4 3 2 2 3 3" xfId="49336" xr:uid="{00000000-0005-0000-0000-000081C70000}"/>
    <cellStyle name="Output 4 3 2 2 3 4" xfId="37407" xr:uid="{00000000-0005-0000-0000-000082C70000}"/>
    <cellStyle name="Output 4 3 2 2 4" xfId="12695" xr:uid="{00000000-0005-0000-0000-000083C70000}"/>
    <cellStyle name="Output 4 3 2 2 4 2" xfId="42174" xr:uid="{00000000-0005-0000-0000-000084C70000}"/>
    <cellStyle name="Output 4 3 2 2 4 3" xfId="42563" xr:uid="{00000000-0005-0000-0000-000085C70000}"/>
    <cellStyle name="Output 4 3 2 2 4 4" xfId="30356" xr:uid="{00000000-0005-0000-0000-000086C70000}"/>
    <cellStyle name="Output 4 3 2 2 5" xfId="20967" xr:uid="{00000000-0005-0000-0000-000087C70000}"/>
    <cellStyle name="Output 4 3 2 2 5 2" xfId="46504" xr:uid="{00000000-0005-0000-0000-000088C70000}"/>
    <cellStyle name="Output 4 3 2 2 5 3" xfId="50410" xr:uid="{00000000-0005-0000-0000-000089C70000}"/>
    <cellStyle name="Output 4 3 2 2 5 4" xfId="38373" xr:uid="{00000000-0005-0000-0000-00008AC70000}"/>
    <cellStyle name="Output 4 3 2 2 6" xfId="21620" xr:uid="{00000000-0005-0000-0000-00008BC70000}"/>
    <cellStyle name="Output 4 3 2 2 6 2" xfId="47157" xr:uid="{00000000-0005-0000-0000-00008CC70000}"/>
    <cellStyle name="Output 4 3 2 2 6 3" xfId="51063" xr:uid="{00000000-0005-0000-0000-00008DC70000}"/>
    <cellStyle name="Output 4 3 2 2 7" xfId="40960" xr:uid="{00000000-0005-0000-0000-00008EC70000}"/>
    <cellStyle name="Output 4 3 2 2 8" xfId="42606" xr:uid="{00000000-0005-0000-0000-00008FC70000}"/>
    <cellStyle name="Output 4 3 2 2 9" xfId="53439" xr:uid="{00000000-0005-0000-0000-000090C70000}"/>
    <cellStyle name="Output 4 3 2 3" xfId="11056" xr:uid="{00000000-0005-0000-0000-000091C70000}"/>
    <cellStyle name="Output 4 3 2 3 2" xfId="18849" xr:uid="{00000000-0005-0000-0000-000092C70000}"/>
    <cellStyle name="Output 4 3 2 3 2 2" xfId="44396" xr:uid="{00000000-0005-0000-0000-000093C70000}"/>
    <cellStyle name="Output 4 3 2 3 2 3" xfId="48305" xr:uid="{00000000-0005-0000-0000-000094C70000}"/>
    <cellStyle name="Output 4 3 2 3 2 4" xfId="36486" xr:uid="{00000000-0005-0000-0000-000095C70000}"/>
    <cellStyle name="Output 4 3 2 3 3" xfId="20442" xr:uid="{00000000-0005-0000-0000-000096C70000}"/>
    <cellStyle name="Output 4 3 2 3 3 2" xfId="45979" xr:uid="{00000000-0005-0000-0000-000097C70000}"/>
    <cellStyle name="Output 4 3 2 3 3 3" xfId="49885" xr:uid="{00000000-0005-0000-0000-000098C70000}"/>
    <cellStyle name="Output 4 3 2 3 3 4" xfId="37896" xr:uid="{00000000-0005-0000-0000-000099C70000}"/>
    <cellStyle name="Output 4 3 2 3 4" xfId="20586" xr:uid="{00000000-0005-0000-0000-00009AC70000}"/>
    <cellStyle name="Output 4 3 2 3 4 2" xfId="46123" xr:uid="{00000000-0005-0000-0000-00009BC70000}"/>
    <cellStyle name="Output 4 3 2 3 4 3" xfId="50029" xr:uid="{00000000-0005-0000-0000-00009CC70000}"/>
    <cellStyle name="Output 4 3 2 3 4 4" xfId="38013" xr:uid="{00000000-0005-0000-0000-00009DC70000}"/>
    <cellStyle name="Output 4 3 2 3 5" xfId="21262" xr:uid="{00000000-0005-0000-0000-00009EC70000}"/>
    <cellStyle name="Output 4 3 2 3 5 2" xfId="46799" xr:uid="{00000000-0005-0000-0000-00009FC70000}"/>
    <cellStyle name="Output 4 3 2 3 5 3" xfId="50705" xr:uid="{00000000-0005-0000-0000-0000A0C70000}"/>
    <cellStyle name="Output 4 3 2 3 5 4" xfId="38668" xr:uid="{00000000-0005-0000-0000-0000A1C70000}"/>
    <cellStyle name="Output 4 3 2 3 6" xfId="21915" xr:uid="{00000000-0005-0000-0000-0000A2C70000}"/>
    <cellStyle name="Output 4 3 2 3 6 2" xfId="47452" xr:uid="{00000000-0005-0000-0000-0000A3C70000}"/>
    <cellStyle name="Output 4 3 2 3 6 3" xfId="51358" xr:uid="{00000000-0005-0000-0000-0000A4C70000}"/>
    <cellStyle name="Output 4 3 2 3 7" xfId="41255" xr:uid="{00000000-0005-0000-0000-0000A5C70000}"/>
    <cellStyle name="Output 4 3 2 3 8" xfId="42830" xr:uid="{00000000-0005-0000-0000-0000A6C70000}"/>
    <cellStyle name="Output 4 3 2 4" xfId="15276" xr:uid="{00000000-0005-0000-0000-0000A7C70000}"/>
    <cellStyle name="Output 4 3 2 4 2" xfId="43149" xr:uid="{00000000-0005-0000-0000-0000A8C70000}"/>
    <cellStyle name="Output 4 3 2 4 3" xfId="39056" xr:uid="{00000000-0005-0000-0000-0000A9C70000}"/>
    <cellStyle name="Output 4 3 2 4 4" xfId="32911" xr:uid="{00000000-0005-0000-0000-0000AAC70000}"/>
    <cellStyle name="Output 4 3 2 5" xfId="19349" xr:uid="{00000000-0005-0000-0000-0000ABC70000}"/>
    <cellStyle name="Output 4 3 2 5 2" xfId="44886" xr:uid="{00000000-0005-0000-0000-0000ACC70000}"/>
    <cellStyle name="Output 4 3 2 5 3" xfId="48792" xr:uid="{00000000-0005-0000-0000-0000ADC70000}"/>
    <cellStyle name="Output 4 3 2 5 4" xfId="36920" xr:uid="{00000000-0005-0000-0000-0000AEC70000}"/>
    <cellStyle name="Output 4 3 2 6" xfId="11567" xr:uid="{00000000-0005-0000-0000-0000AFC70000}"/>
    <cellStyle name="Output 4 3 2 6 2" xfId="41578" xr:uid="{00000000-0005-0000-0000-0000B0C70000}"/>
    <cellStyle name="Output 4 3 2 6 3" xfId="40356" xr:uid="{00000000-0005-0000-0000-0000B1C70000}"/>
    <cellStyle name="Output 4 3 2 6 4" xfId="29278" xr:uid="{00000000-0005-0000-0000-0000B2C70000}"/>
    <cellStyle name="Output 4 3 2 7" xfId="12502" xr:uid="{00000000-0005-0000-0000-0000B3C70000}"/>
    <cellStyle name="Output 4 3 2 7 2" xfId="42015" xr:uid="{00000000-0005-0000-0000-0000B4C70000}"/>
    <cellStyle name="Output 4 3 2 7 3" xfId="39562" xr:uid="{00000000-0005-0000-0000-0000B5C70000}"/>
    <cellStyle name="Output 4 3 2 7 4" xfId="30171" xr:uid="{00000000-0005-0000-0000-0000B6C70000}"/>
    <cellStyle name="Output 4 3 2 8" xfId="18907" xr:uid="{00000000-0005-0000-0000-0000B7C70000}"/>
    <cellStyle name="Output 4 3 2 8 2" xfId="44444" xr:uid="{00000000-0005-0000-0000-0000B8C70000}"/>
    <cellStyle name="Output 4 3 2 8 3" xfId="48350" xr:uid="{00000000-0005-0000-0000-0000B9C70000}"/>
    <cellStyle name="Output 4 3 2 9" xfId="40009" xr:uid="{00000000-0005-0000-0000-0000BAC70000}"/>
    <cellStyle name="Output 4 3 3" xfId="12121" xr:uid="{00000000-0005-0000-0000-0000BBC70000}"/>
    <cellStyle name="Output 4 3 3 2" xfId="41866" xr:uid="{00000000-0005-0000-0000-0000BCC70000}"/>
    <cellStyle name="Output 4 3 3 3" xfId="47581" xr:uid="{00000000-0005-0000-0000-0000BDC70000}"/>
    <cellStyle name="Output 4 3 3 4" xfId="29794" xr:uid="{00000000-0005-0000-0000-0000BEC70000}"/>
    <cellStyle name="Output 4 3 3 5" xfId="53438" xr:uid="{00000000-0005-0000-0000-0000BFC70000}"/>
    <cellStyle name="Output 4 3 4" xfId="19544" xr:uid="{00000000-0005-0000-0000-0000C0C70000}"/>
    <cellStyle name="Output 4 3 4 2" xfId="45081" xr:uid="{00000000-0005-0000-0000-0000C1C70000}"/>
    <cellStyle name="Output 4 3 4 3" xfId="48987" xr:uid="{00000000-0005-0000-0000-0000C2C70000}"/>
    <cellStyle name="Output 4 3 4 4" xfId="37088" xr:uid="{00000000-0005-0000-0000-0000C3C70000}"/>
    <cellStyle name="Output 4 3 5" xfId="22620" xr:uid="{00000000-0005-0000-0000-0000C4C70000}"/>
    <cellStyle name="Output 4 3 5 2" xfId="47561" xr:uid="{00000000-0005-0000-0000-0000C5C70000}"/>
    <cellStyle name="Output 4 3 5 3" xfId="51410" xr:uid="{00000000-0005-0000-0000-0000C6C70000}"/>
    <cellStyle name="Output 4 3 6" xfId="53330" xr:uid="{00000000-0005-0000-0000-0000C7C70000}"/>
    <cellStyle name="Output 4 4" xfId="3273" xr:uid="{00000000-0005-0000-0000-0000C8C70000}"/>
    <cellStyle name="Output 4 4 2" xfId="7489" xr:uid="{00000000-0005-0000-0000-0000C9C70000}"/>
    <cellStyle name="Output 4 4 2 10" xfId="39510" xr:uid="{00000000-0005-0000-0000-0000CAC70000}"/>
    <cellStyle name="Output 4 4 2 11" xfId="53440" xr:uid="{00000000-0005-0000-0000-0000CBC70000}"/>
    <cellStyle name="Output 4 4 2 2" xfId="10762" xr:uid="{00000000-0005-0000-0000-0000CCC70000}"/>
    <cellStyle name="Output 4 4 2 2 2" xfId="18555" xr:uid="{00000000-0005-0000-0000-0000CDC70000}"/>
    <cellStyle name="Output 4 4 2 2 2 2" xfId="44102" xr:uid="{00000000-0005-0000-0000-0000CEC70000}"/>
    <cellStyle name="Output 4 4 2 2 2 3" xfId="48011" xr:uid="{00000000-0005-0000-0000-0000CFC70000}"/>
    <cellStyle name="Output 4 4 2 2 2 4" xfId="36192" xr:uid="{00000000-0005-0000-0000-0000D0C70000}"/>
    <cellStyle name="Output 4 4 2 2 3" xfId="19116" xr:uid="{00000000-0005-0000-0000-0000D1C70000}"/>
    <cellStyle name="Output 4 4 2 2 3 2" xfId="44653" xr:uid="{00000000-0005-0000-0000-0000D2C70000}"/>
    <cellStyle name="Output 4 4 2 2 3 3" xfId="48559" xr:uid="{00000000-0005-0000-0000-0000D3C70000}"/>
    <cellStyle name="Output 4 4 2 2 3 4" xfId="36711" xr:uid="{00000000-0005-0000-0000-0000D4C70000}"/>
    <cellStyle name="Output 4 4 2 2 4" xfId="11669" xr:uid="{00000000-0005-0000-0000-0000D5C70000}"/>
    <cellStyle name="Output 4 4 2 2 4 2" xfId="41680" xr:uid="{00000000-0005-0000-0000-0000D6C70000}"/>
    <cellStyle name="Output 4 4 2 2 4 3" xfId="43703" xr:uid="{00000000-0005-0000-0000-0000D7C70000}"/>
    <cellStyle name="Output 4 4 2 2 4 4" xfId="29365" xr:uid="{00000000-0005-0000-0000-0000D8C70000}"/>
    <cellStyle name="Output 4 4 2 2 5" xfId="20968" xr:uid="{00000000-0005-0000-0000-0000D9C70000}"/>
    <cellStyle name="Output 4 4 2 2 5 2" xfId="46505" xr:uid="{00000000-0005-0000-0000-0000DAC70000}"/>
    <cellStyle name="Output 4 4 2 2 5 3" xfId="50411" xr:uid="{00000000-0005-0000-0000-0000DBC70000}"/>
    <cellStyle name="Output 4 4 2 2 5 4" xfId="38374" xr:uid="{00000000-0005-0000-0000-0000DCC70000}"/>
    <cellStyle name="Output 4 4 2 2 6" xfId="21621" xr:uid="{00000000-0005-0000-0000-0000DDC70000}"/>
    <cellStyle name="Output 4 4 2 2 6 2" xfId="47158" xr:uid="{00000000-0005-0000-0000-0000DEC70000}"/>
    <cellStyle name="Output 4 4 2 2 6 3" xfId="51064" xr:uid="{00000000-0005-0000-0000-0000DFC70000}"/>
    <cellStyle name="Output 4 4 2 2 7" xfId="40961" xr:uid="{00000000-0005-0000-0000-0000E0C70000}"/>
    <cellStyle name="Output 4 4 2 2 8" xfId="43519" xr:uid="{00000000-0005-0000-0000-0000E1C70000}"/>
    <cellStyle name="Output 4 4 2 3" xfId="11057" xr:uid="{00000000-0005-0000-0000-0000E2C70000}"/>
    <cellStyle name="Output 4 4 2 3 2" xfId="18850" xr:uid="{00000000-0005-0000-0000-0000E3C70000}"/>
    <cellStyle name="Output 4 4 2 3 2 2" xfId="44397" xr:uid="{00000000-0005-0000-0000-0000E4C70000}"/>
    <cellStyle name="Output 4 4 2 3 2 3" xfId="48306" xr:uid="{00000000-0005-0000-0000-0000E5C70000}"/>
    <cellStyle name="Output 4 4 2 3 2 4" xfId="36487" xr:uid="{00000000-0005-0000-0000-0000E6C70000}"/>
    <cellStyle name="Output 4 4 2 3 3" xfId="20443" xr:uid="{00000000-0005-0000-0000-0000E7C70000}"/>
    <cellStyle name="Output 4 4 2 3 3 2" xfId="45980" xr:uid="{00000000-0005-0000-0000-0000E8C70000}"/>
    <cellStyle name="Output 4 4 2 3 3 3" xfId="49886" xr:uid="{00000000-0005-0000-0000-0000E9C70000}"/>
    <cellStyle name="Output 4 4 2 3 3 4" xfId="37897" xr:uid="{00000000-0005-0000-0000-0000EAC70000}"/>
    <cellStyle name="Output 4 4 2 3 4" xfId="20587" xr:uid="{00000000-0005-0000-0000-0000EBC70000}"/>
    <cellStyle name="Output 4 4 2 3 4 2" xfId="46124" xr:uid="{00000000-0005-0000-0000-0000ECC70000}"/>
    <cellStyle name="Output 4 4 2 3 4 3" xfId="50030" xr:uid="{00000000-0005-0000-0000-0000EDC70000}"/>
    <cellStyle name="Output 4 4 2 3 4 4" xfId="38014" xr:uid="{00000000-0005-0000-0000-0000EEC70000}"/>
    <cellStyle name="Output 4 4 2 3 5" xfId="21263" xr:uid="{00000000-0005-0000-0000-0000EFC70000}"/>
    <cellStyle name="Output 4 4 2 3 5 2" xfId="46800" xr:uid="{00000000-0005-0000-0000-0000F0C70000}"/>
    <cellStyle name="Output 4 4 2 3 5 3" xfId="50706" xr:uid="{00000000-0005-0000-0000-0000F1C70000}"/>
    <cellStyle name="Output 4 4 2 3 5 4" xfId="38669" xr:uid="{00000000-0005-0000-0000-0000F2C70000}"/>
    <cellStyle name="Output 4 4 2 3 6" xfId="21916" xr:uid="{00000000-0005-0000-0000-0000F3C70000}"/>
    <cellStyle name="Output 4 4 2 3 6 2" xfId="47453" xr:uid="{00000000-0005-0000-0000-0000F4C70000}"/>
    <cellStyle name="Output 4 4 2 3 6 3" xfId="51359" xr:uid="{00000000-0005-0000-0000-0000F5C70000}"/>
    <cellStyle name="Output 4 4 2 3 7" xfId="41256" xr:uid="{00000000-0005-0000-0000-0000F6C70000}"/>
    <cellStyle name="Output 4 4 2 3 8" xfId="43719" xr:uid="{00000000-0005-0000-0000-0000F7C70000}"/>
    <cellStyle name="Output 4 4 2 4" xfId="15277" xr:uid="{00000000-0005-0000-0000-0000F8C70000}"/>
    <cellStyle name="Output 4 4 2 4 2" xfId="43150" xr:uid="{00000000-0005-0000-0000-0000F9C70000}"/>
    <cellStyle name="Output 4 4 2 4 3" xfId="47480" xr:uid="{00000000-0005-0000-0000-0000FAC70000}"/>
    <cellStyle name="Output 4 4 2 4 4" xfId="32912" xr:uid="{00000000-0005-0000-0000-0000FBC70000}"/>
    <cellStyle name="Output 4 4 2 5" xfId="19958" xr:uid="{00000000-0005-0000-0000-0000FCC70000}"/>
    <cellStyle name="Output 4 4 2 5 2" xfId="45495" xr:uid="{00000000-0005-0000-0000-0000FDC70000}"/>
    <cellStyle name="Output 4 4 2 5 3" xfId="49401" xr:uid="{00000000-0005-0000-0000-0000FEC70000}"/>
    <cellStyle name="Output 4 4 2 5 4" xfId="37463" xr:uid="{00000000-0005-0000-0000-0000FFC70000}"/>
    <cellStyle name="Output 4 4 2 6" xfId="19366" xr:uid="{00000000-0005-0000-0000-000000C80000}"/>
    <cellStyle name="Output 4 4 2 6 2" xfId="44903" xr:uid="{00000000-0005-0000-0000-000001C80000}"/>
    <cellStyle name="Output 4 4 2 6 3" xfId="48809" xr:uid="{00000000-0005-0000-0000-000002C80000}"/>
    <cellStyle name="Output 4 4 2 6 4" xfId="36934" xr:uid="{00000000-0005-0000-0000-000003C80000}"/>
    <cellStyle name="Output 4 4 2 7" xfId="20063" xr:uid="{00000000-0005-0000-0000-000004C80000}"/>
    <cellStyle name="Output 4 4 2 7 2" xfId="45600" xr:uid="{00000000-0005-0000-0000-000005C80000}"/>
    <cellStyle name="Output 4 4 2 7 3" xfId="49506" xr:uid="{00000000-0005-0000-0000-000006C80000}"/>
    <cellStyle name="Output 4 4 2 7 4" xfId="37558" xr:uid="{00000000-0005-0000-0000-000007C80000}"/>
    <cellStyle name="Output 4 4 2 8" xfId="19354" xr:uid="{00000000-0005-0000-0000-000008C80000}"/>
    <cellStyle name="Output 4 4 2 8 2" xfId="44891" xr:uid="{00000000-0005-0000-0000-000009C80000}"/>
    <cellStyle name="Output 4 4 2 8 3" xfId="48797" xr:uid="{00000000-0005-0000-0000-00000AC80000}"/>
    <cellStyle name="Output 4 4 2 9" xfId="40010" xr:uid="{00000000-0005-0000-0000-00000BC80000}"/>
    <cellStyle name="Output 4 4 3" xfId="12122" xr:uid="{00000000-0005-0000-0000-00000CC80000}"/>
    <cellStyle name="Output 4 4 3 2" xfId="41867" xr:uid="{00000000-0005-0000-0000-00000DC80000}"/>
    <cellStyle name="Output 4 4 3 3" xfId="47500" xr:uid="{00000000-0005-0000-0000-00000EC80000}"/>
    <cellStyle name="Output 4 4 3 4" xfId="29795" xr:uid="{00000000-0005-0000-0000-00000FC80000}"/>
    <cellStyle name="Output 4 4 4" xfId="20110" xr:uid="{00000000-0005-0000-0000-000010C80000}"/>
    <cellStyle name="Output 4 4 4 2" xfId="45647" xr:uid="{00000000-0005-0000-0000-000011C80000}"/>
    <cellStyle name="Output 4 4 4 3" xfId="49553" xr:uid="{00000000-0005-0000-0000-000012C80000}"/>
    <cellStyle name="Output 4 4 4 4" xfId="37598" xr:uid="{00000000-0005-0000-0000-000013C80000}"/>
    <cellStyle name="Output 4 4 5" xfId="53332" xr:uid="{00000000-0005-0000-0000-000014C80000}"/>
    <cellStyle name="Output 4 5" xfId="3274" xr:uid="{00000000-0005-0000-0000-000015C80000}"/>
    <cellStyle name="Output 4 5 2" xfId="7490" xr:uid="{00000000-0005-0000-0000-000016C80000}"/>
    <cellStyle name="Output 4 5 2 10" xfId="47625" xr:uid="{00000000-0005-0000-0000-000017C80000}"/>
    <cellStyle name="Output 4 5 2 11" xfId="53441" xr:uid="{00000000-0005-0000-0000-000018C80000}"/>
    <cellStyle name="Output 4 5 2 2" xfId="10763" xr:uid="{00000000-0005-0000-0000-000019C80000}"/>
    <cellStyle name="Output 4 5 2 2 2" xfId="18556" xr:uid="{00000000-0005-0000-0000-00001AC80000}"/>
    <cellStyle name="Output 4 5 2 2 2 2" xfId="44103" xr:uid="{00000000-0005-0000-0000-00001BC80000}"/>
    <cellStyle name="Output 4 5 2 2 2 3" xfId="48012" xr:uid="{00000000-0005-0000-0000-00001CC80000}"/>
    <cellStyle name="Output 4 5 2 2 2 4" xfId="36193" xr:uid="{00000000-0005-0000-0000-00001DC80000}"/>
    <cellStyle name="Output 4 5 2 2 3" xfId="19732" xr:uid="{00000000-0005-0000-0000-00001EC80000}"/>
    <cellStyle name="Output 4 5 2 2 3 2" xfId="45269" xr:uid="{00000000-0005-0000-0000-00001FC80000}"/>
    <cellStyle name="Output 4 5 2 2 3 3" xfId="49175" xr:uid="{00000000-0005-0000-0000-000020C80000}"/>
    <cellStyle name="Output 4 5 2 2 3 4" xfId="37259" xr:uid="{00000000-0005-0000-0000-000021C80000}"/>
    <cellStyle name="Output 4 5 2 2 4" xfId="19364" xr:uid="{00000000-0005-0000-0000-000022C80000}"/>
    <cellStyle name="Output 4 5 2 2 4 2" xfId="44901" xr:uid="{00000000-0005-0000-0000-000023C80000}"/>
    <cellStyle name="Output 4 5 2 2 4 3" xfId="48807" xr:uid="{00000000-0005-0000-0000-000024C80000}"/>
    <cellStyle name="Output 4 5 2 2 4 4" xfId="36932" xr:uid="{00000000-0005-0000-0000-000025C80000}"/>
    <cellStyle name="Output 4 5 2 2 5" xfId="20969" xr:uid="{00000000-0005-0000-0000-000026C80000}"/>
    <cellStyle name="Output 4 5 2 2 5 2" xfId="46506" xr:uid="{00000000-0005-0000-0000-000027C80000}"/>
    <cellStyle name="Output 4 5 2 2 5 3" xfId="50412" xr:uid="{00000000-0005-0000-0000-000028C80000}"/>
    <cellStyle name="Output 4 5 2 2 5 4" xfId="38375" xr:uid="{00000000-0005-0000-0000-000029C80000}"/>
    <cellStyle name="Output 4 5 2 2 6" xfId="21622" xr:uid="{00000000-0005-0000-0000-00002AC80000}"/>
    <cellStyle name="Output 4 5 2 2 6 2" xfId="47159" xr:uid="{00000000-0005-0000-0000-00002BC80000}"/>
    <cellStyle name="Output 4 5 2 2 6 3" xfId="51065" xr:uid="{00000000-0005-0000-0000-00002CC80000}"/>
    <cellStyle name="Output 4 5 2 2 7" xfId="40962" xr:uid="{00000000-0005-0000-0000-00002DC80000}"/>
    <cellStyle name="Output 4 5 2 2 8" xfId="40382" xr:uid="{00000000-0005-0000-0000-00002EC80000}"/>
    <cellStyle name="Output 4 5 2 3" xfId="11058" xr:uid="{00000000-0005-0000-0000-00002FC80000}"/>
    <cellStyle name="Output 4 5 2 3 2" xfId="18851" xr:uid="{00000000-0005-0000-0000-000030C80000}"/>
    <cellStyle name="Output 4 5 2 3 2 2" xfId="44398" xr:uid="{00000000-0005-0000-0000-000031C80000}"/>
    <cellStyle name="Output 4 5 2 3 2 3" xfId="48307" xr:uid="{00000000-0005-0000-0000-000032C80000}"/>
    <cellStyle name="Output 4 5 2 3 2 4" xfId="36488" xr:uid="{00000000-0005-0000-0000-000033C80000}"/>
    <cellStyle name="Output 4 5 2 3 3" xfId="20444" xr:uid="{00000000-0005-0000-0000-000034C80000}"/>
    <cellStyle name="Output 4 5 2 3 3 2" xfId="45981" xr:uid="{00000000-0005-0000-0000-000035C80000}"/>
    <cellStyle name="Output 4 5 2 3 3 3" xfId="49887" xr:uid="{00000000-0005-0000-0000-000036C80000}"/>
    <cellStyle name="Output 4 5 2 3 3 4" xfId="37898" xr:uid="{00000000-0005-0000-0000-000037C80000}"/>
    <cellStyle name="Output 4 5 2 3 4" xfId="20588" xr:uid="{00000000-0005-0000-0000-000038C80000}"/>
    <cellStyle name="Output 4 5 2 3 4 2" xfId="46125" xr:uid="{00000000-0005-0000-0000-000039C80000}"/>
    <cellStyle name="Output 4 5 2 3 4 3" xfId="50031" xr:uid="{00000000-0005-0000-0000-00003AC80000}"/>
    <cellStyle name="Output 4 5 2 3 4 4" xfId="38015" xr:uid="{00000000-0005-0000-0000-00003BC80000}"/>
    <cellStyle name="Output 4 5 2 3 5" xfId="21264" xr:uid="{00000000-0005-0000-0000-00003CC80000}"/>
    <cellStyle name="Output 4 5 2 3 5 2" xfId="46801" xr:uid="{00000000-0005-0000-0000-00003DC80000}"/>
    <cellStyle name="Output 4 5 2 3 5 3" xfId="50707" xr:uid="{00000000-0005-0000-0000-00003EC80000}"/>
    <cellStyle name="Output 4 5 2 3 5 4" xfId="38670" xr:uid="{00000000-0005-0000-0000-00003FC80000}"/>
    <cellStyle name="Output 4 5 2 3 6" xfId="21917" xr:uid="{00000000-0005-0000-0000-000040C80000}"/>
    <cellStyle name="Output 4 5 2 3 6 2" xfId="47454" xr:uid="{00000000-0005-0000-0000-000041C80000}"/>
    <cellStyle name="Output 4 5 2 3 6 3" xfId="51360" xr:uid="{00000000-0005-0000-0000-000042C80000}"/>
    <cellStyle name="Output 4 5 2 3 7" xfId="41257" xr:uid="{00000000-0005-0000-0000-000043C80000}"/>
    <cellStyle name="Output 4 5 2 3 8" xfId="40578" xr:uid="{00000000-0005-0000-0000-000044C80000}"/>
    <cellStyle name="Output 4 5 2 4" xfId="15278" xr:uid="{00000000-0005-0000-0000-000045C80000}"/>
    <cellStyle name="Output 4 5 2 4 2" xfId="43151" xr:uid="{00000000-0005-0000-0000-000046C80000}"/>
    <cellStyle name="Output 4 5 2 4 3" xfId="39055" xr:uid="{00000000-0005-0000-0000-000047C80000}"/>
    <cellStyle name="Output 4 5 2 4 4" xfId="32913" xr:uid="{00000000-0005-0000-0000-000048C80000}"/>
    <cellStyle name="Output 4 5 2 5" xfId="19191" xr:uid="{00000000-0005-0000-0000-000049C80000}"/>
    <cellStyle name="Output 4 5 2 5 2" xfId="44728" xr:uid="{00000000-0005-0000-0000-00004AC80000}"/>
    <cellStyle name="Output 4 5 2 5 3" xfId="48634" xr:uid="{00000000-0005-0000-0000-00004BC80000}"/>
    <cellStyle name="Output 4 5 2 5 4" xfId="36778" xr:uid="{00000000-0005-0000-0000-00004CC80000}"/>
    <cellStyle name="Output 4 5 2 6" xfId="18923" xr:uid="{00000000-0005-0000-0000-00004DC80000}"/>
    <cellStyle name="Output 4 5 2 6 2" xfId="44460" xr:uid="{00000000-0005-0000-0000-00004EC80000}"/>
    <cellStyle name="Output 4 5 2 6 3" xfId="48366" xr:uid="{00000000-0005-0000-0000-00004FC80000}"/>
    <cellStyle name="Output 4 5 2 6 4" xfId="36551" xr:uid="{00000000-0005-0000-0000-000050C80000}"/>
    <cellStyle name="Output 4 5 2 7" xfId="12615" xr:uid="{00000000-0005-0000-0000-000051C80000}"/>
    <cellStyle name="Output 4 5 2 7 2" xfId="42094" xr:uid="{00000000-0005-0000-0000-000052C80000}"/>
    <cellStyle name="Output 4 5 2 7 3" xfId="39559" xr:uid="{00000000-0005-0000-0000-000053C80000}"/>
    <cellStyle name="Output 4 5 2 7 4" xfId="30281" xr:uid="{00000000-0005-0000-0000-000054C80000}"/>
    <cellStyle name="Output 4 5 2 8" xfId="19503" xr:uid="{00000000-0005-0000-0000-000055C80000}"/>
    <cellStyle name="Output 4 5 2 8 2" xfId="45040" xr:uid="{00000000-0005-0000-0000-000056C80000}"/>
    <cellStyle name="Output 4 5 2 8 3" xfId="48946" xr:uid="{00000000-0005-0000-0000-000057C80000}"/>
    <cellStyle name="Output 4 5 2 9" xfId="40011" xr:uid="{00000000-0005-0000-0000-000058C80000}"/>
    <cellStyle name="Output 4 5 3" xfId="12123" xr:uid="{00000000-0005-0000-0000-000059C80000}"/>
    <cellStyle name="Output 4 5 3 2" xfId="41868" xr:uid="{00000000-0005-0000-0000-00005AC80000}"/>
    <cellStyle name="Output 4 5 3 3" xfId="47499" xr:uid="{00000000-0005-0000-0000-00005BC80000}"/>
    <cellStyle name="Output 4 5 3 4" xfId="29796" xr:uid="{00000000-0005-0000-0000-00005CC80000}"/>
    <cellStyle name="Output 4 5 4" xfId="19370" xr:uid="{00000000-0005-0000-0000-00005DC80000}"/>
    <cellStyle name="Output 4 5 4 2" xfId="44907" xr:uid="{00000000-0005-0000-0000-00005EC80000}"/>
    <cellStyle name="Output 4 5 4 3" xfId="48813" xr:uid="{00000000-0005-0000-0000-00005FC80000}"/>
    <cellStyle name="Output 4 5 4 4" xfId="36938" xr:uid="{00000000-0005-0000-0000-000060C80000}"/>
    <cellStyle name="Output 4 5 5" xfId="53333" xr:uid="{00000000-0005-0000-0000-000061C80000}"/>
    <cellStyle name="Output 4 6" xfId="5318" xr:uid="{00000000-0005-0000-0000-000062C80000}"/>
    <cellStyle name="Output 4 6 2" xfId="7491" xr:uid="{00000000-0005-0000-0000-000063C80000}"/>
    <cellStyle name="Output 4 6 2 10" xfId="42185" xr:uid="{00000000-0005-0000-0000-000064C80000}"/>
    <cellStyle name="Output 4 6 2 2" xfId="10764" xr:uid="{00000000-0005-0000-0000-000065C80000}"/>
    <cellStyle name="Output 4 6 2 2 2" xfId="18557" xr:uid="{00000000-0005-0000-0000-000066C80000}"/>
    <cellStyle name="Output 4 6 2 2 2 2" xfId="44104" xr:uid="{00000000-0005-0000-0000-000067C80000}"/>
    <cellStyle name="Output 4 6 2 2 2 3" xfId="48013" xr:uid="{00000000-0005-0000-0000-000068C80000}"/>
    <cellStyle name="Output 4 6 2 2 2 4" xfId="36194" xr:uid="{00000000-0005-0000-0000-000069C80000}"/>
    <cellStyle name="Output 4 6 2 2 3" xfId="11507" xr:uid="{00000000-0005-0000-0000-00006AC80000}"/>
    <cellStyle name="Output 4 6 2 2 3 2" xfId="41518" xr:uid="{00000000-0005-0000-0000-00006BC80000}"/>
    <cellStyle name="Output 4 6 2 2 3 3" xfId="43497" xr:uid="{00000000-0005-0000-0000-00006CC80000}"/>
    <cellStyle name="Output 4 6 2 2 3 4" xfId="29222" xr:uid="{00000000-0005-0000-0000-00006DC80000}"/>
    <cellStyle name="Output 4 6 2 2 4" xfId="12683" xr:uid="{00000000-0005-0000-0000-00006EC80000}"/>
    <cellStyle name="Output 4 6 2 2 4 2" xfId="42162" xr:uid="{00000000-0005-0000-0000-00006FC80000}"/>
    <cellStyle name="Output 4 6 2 2 4 3" xfId="39312" xr:uid="{00000000-0005-0000-0000-000070C80000}"/>
    <cellStyle name="Output 4 6 2 2 4 4" xfId="30345" xr:uid="{00000000-0005-0000-0000-000071C80000}"/>
    <cellStyle name="Output 4 6 2 2 5" xfId="20970" xr:uid="{00000000-0005-0000-0000-000072C80000}"/>
    <cellStyle name="Output 4 6 2 2 5 2" xfId="46507" xr:uid="{00000000-0005-0000-0000-000073C80000}"/>
    <cellStyle name="Output 4 6 2 2 5 3" xfId="50413" xr:uid="{00000000-0005-0000-0000-000074C80000}"/>
    <cellStyle name="Output 4 6 2 2 5 4" xfId="38376" xr:uid="{00000000-0005-0000-0000-000075C80000}"/>
    <cellStyle name="Output 4 6 2 2 6" xfId="21623" xr:uid="{00000000-0005-0000-0000-000076C80000}"/>
    <cellStyle name="Output 4 6 2 2 6 2" xfId="47160" xr:uid="{00000000-0005-0000-0000-000077C80000}"/>
    <cellStyle name="Output 4 6 2 2 6 3" xfId="51066" xr:uid="{00000000-0005-0000-0000-000078C80000}"/>
    <cellStyle name="Output 4 6 2 2 7" xfId="40963" xr:uid="{00000000-0005-0000-0000-000079C80000}"/>
    <cellStyle name="Output 4 6 2 2 8" xfId="39494" xr:uid="{00000000-0005-0000-0000-00007AC80000}"/>
    <cellStyle name="Output 4 6 2 3" xfId="11059" xr:uid="{00000000-0005-0000-0000-00007BC80000}"/>
    <cellStyle name="Output 4 6 2 3 2" xfId="18852" xr:uid="{00000000-0005-0000-0000-00007CC80000}"/>
    <cellStyle name="Output 4 6 2 3 2 2" xfId="44399" xr:uid="{00000000-0005-0000-0000-00007DC80000}"/>
    <cellStyle name="Output 4 6 2 3 2 3" xfId="48308" xr:uid="{00000000-0005-0000-0000-00007EC80000}"/>
    <cellStyle name="Output 4 6 2 3 2 4" xfId="36489" xr:uid="{00000000-0005-0000-0000-00007FC80000}"/>
    <cellStyle name="Output 4 6 2 3 3" xfId="20445" xr:uid="{00000000-0005-0000-0000-000080C80000}"/>
    <cellStyle name="Output 4 6 2 3 3 2" xfId="45982" xr:uid="{00000000-0005-0000-0000-000081C80000}"/>
    <cellStyle name="Output 4 6 2 3 3 3" xfId="49888" xr:uid="{00000000-0005-0000-0000-000082C80000}"/>
    <cellStyle name="Output 4 6 2 3 3 4" xfId="37899" xr:uid="{00000000-0005-0000-0000-000083C80000}"/>
    <cellStyle name="Output 4 6 2 3 4" xfId="20589" xr:uid="{00000000-0005-0000-0000-000084C80000}"/>
    <cellStyle name="Output 4 6 2 3 4 2" xfId="46126" xr:uid="{00000000-0005-0000-0000-000085C80000}"/>
    <cellStyle name="Output 4 6 2 3 4 3" xfId="50032" xr:uid="{00000000-0005-0000-0000-000086C80000}"/>
    <cellStyle name="Output 4 6 2 3 4 4" xfId="38016" xr:uid="{00000000-0005-0000-0000-000087C80000}"/>
    <cellStyle name="Output 4 6 2 3 5" xfId="21265" xr:uid="{00000000-0005-0000-0000-000088C80000}"/>
    <cellStyle name="Output 4 6 2 3 5 2" xfId="46802" xr:uid="{00000000-0005-0000-0000-000089C80000}"/>
    <cellStyle name="Output 4 6 2 3 5 3" xfId="50708" xr:uid="{00000000-0005-0000-0000-00008AC80000}"/>
    <cellStyle name="Output 4 6 2 3 5 4" xfId="38671" xr:uid="{00000000-0005-0000-0000-00008BC80000}"/>
    <cellStyle name="Output 4 6 2 3 6" xfId="21918" xr:uid="{00000000-0005-0000-0000-00008CC80000}"/>
    <cellStyle name="Output 4 6 2 3 6 2" xfId="47455" xr:uid="{00000000-0005-0000-0000-00008DC80000}"/>
    <cellStyle name="Output 4 6 2 3 6 3" xfId="51361" xr:uid="{00000000-0005-0000-0000-00008EC80000}"/>
    <cellStyle name="Output 4 6 2 3 7" xfId="41258" xr:uid="{00000000-0005-0000-0000-00008FC80000}"/>
    <cellStyle name="Output 4 6 2 3 8" xfId="39689" xr:uid="{00000000-0005-0000-0000-000090C80000}"/>
    <cellStyle name="Output 4 6 2 4" xfId="15279" xr:uid="{00000000-0005-0000-0000-000091C80000}"/>
    <cellStyle name="Output 4 6 2 4 2" xfId="43152" xr:uid="{00000000-0005-0000-0000-000092C80000}"/>
    <cellStyle name="Output 4 6 2 4 3" xfId="47606" xr:uid="{00000000-0005-0000-0000-000093C80000}"/>
    <cellStyle name="Output 4 6 2 4 4" xfId="32914" xr:uid="{00000000-0005-0000-0000-000094C80000}"/>
    <cellStyle name="Output 4 6 2 5" xfId="19814" xr:uid="{00000000-0005-0000-0000-000095C80000}"/>
    <cellStyle name="Output 4 6 2 5 2" xfId="45351" xr:uid="{00000000-0005-0000-0000-000096C80000}"/>
    <cellStyle name="Output 4 6 2 5 3" xfId="49257" xr:uid="{00000000-0005-0000-0000-000097C80000}"/>
    <cellStyle name="Output 4 6 2 5 4" xfId="37335" xr:uid="{00000000-0005-0000-0000-000098C80000}"/>
    <cellStyle name="Output 4 6 2 6" xfId="12944" xr:uid="{00000000-0005-0000-0000-000099C80000}"/>
    <cellStyle name="Output 4 6 2 6 2" xfId="42260" xr:uid="{00000000-0005-0000-0000-00009AC80000}"/>
    <cellStyle name="Output 4 6 2 6 3" xfId="39549" xr:uid="{00000000-0005-0000-0000-00009BC80000}"/>
    <cellStyle name="Output 4 6 2 6 4" xfId="30593" xr:uid="{00000000-0005-0000-0000-00009CC80000}"/>
    <cellStyle name="Output 4 6 2 7" xfId="19871" xr:uid="{00000000-0005-0000-0000-00009DC80000}"/>
    <cellStyle name="Output 4 6 2 7 2" xfId="45408" xr:uid="{00000000-0005-0000-0000-00009EC80000}"/>
    <cellStyle name="Output 4 6 2 7 3" xfId="49314" xr:uid="{00000000-0005-0000-0000-00009FC80000}"/>
    <cellStyle name="Output 4 6 2 7 4" xfId="37385" xr:uid="{00000000-0005-0000-0000-0000A0C80000}"/>
    <cellStyle name="Output 4 6 2 8" xfId="20489" xr:uid="{00000000-0005-0000-0000-0000A1C80000}"/>
    <cellStyle name="Output 4 6 2 8 2" xfId="46026" xr:uid="{00000000-0005-0000-0000-0000A2C80000}"/>
    <cellStyle name="Output 4 6 2 8 3" xfId="49932" xr:uid="{00000000-0005-0000-0000-0000A3C80000}"/>
    <cellStyle name="Output 4 6 2 9" xfId="40012" xr:uid="{00000000-0005-0000-0000-0000A4C80000}"/>
    <cellStyle name="Output 4 6 3" xfId="13286" xr:uid="{00000000-0005-0000-0000-0000A5C80000}"/>
    <cellStyle name="Output 4 6 3 2" xfId="42456" xr:uid="{00000000-0005-0000-0000-0000A6C80000}"/>
    <cellStyle name="Output 4 6 3 3" xfId="40434" xr:uid="{00000000-0005-0000-0000-0000A7C80000}"/>
    <cellStyle name="Output 4 6 3 4" xfId="30931" xr:uid="{00000000-0005-0000-0000-0000A8C80000}"/>
    <cellStyle name="Output 4 6 4" xfId="20371" xr:uid="{00000000-0005-0000-0000-0000A9C80000}"/>
    <cellStyle name="Output 4 6 4 2" xfId="45908" xr:uid="{00000000-0005-0000-0000-0000AAC80000}"/>
    <cellStyle name="Output 4 6 4 3" xfId="49814" xr:uid="{00000000-0005-0000-0000-0000ABC80000}"/>
    <cellStyle name="Output 4 6 4 4" xfId="37827" xr:uid="{00000000-0005-0000-0000-0000ACC80000}"/>
    <cellStyle name="Output 4 6 5" xfId="53435" xr:uid="{00000000-0005-0000-0000-0000ADC80000}"/>
    <cellStyle name="Output 4 7" xfId="5319" xr:uid="{00000000-0005-0000-0000-0000AEC80000}"/>
    <cellStyle name="Output 4 7 2" xfId="7492" xr:uid="{00000000-0005-0000-0000-0000AFC80000}"/>
    <cellStyle name="Output 4 7 2 10" xfId="43419" xr:uid="{00000000-0005-0000-0000-0000B0C80000}"/>
    <cellStyle name="Output 4 7 2 2" xfId="10765" xr:uid="{00000000-0005-0000-0000-0000B1C80000}"/>
    <cellStyle name="Output 4 7 2 2 2" xfId="18558" xr:uid="{00000000-0005-0000-0000-0000B2C80000}"/>
    <cellStyle name="Output 4 7 2 2 2 2" xfId="44105" xr:uid="{00000000-0005-0000-0000-0000B3C80000}"/>
    <cellStyle name="Output 4 7 2 2 2 3" xfId="48014" xr:uid="{00000000-0005-0000-0000-0000B4C80000}"/>
    <cellStyle name="Output 4 7 2 2 2 4" xfId="36195" xr:uid="{00000000-0005-0000-0000-0000B5C80000}"/>
    <cellStyle name="Output 4 7 2 2 3" xfId="13333" xr:uid="{00000000-0005-0000-0000-0000B6C80000}"/>
    <cellStyle name="Output 4 7 2 2 3 2" xfId="42503" xr:uid="{00000000-0005-0000-0000-0000B7C80000}"/>
    <cellStyle name="Output 4 7 2 2 3 3" xfId="43191" xr:uid="{00000000-0005-0000-0000-0000B8C80000}"/>
    <cellStyle name="Output 4 7 2 2 3 4" xfId="30973" xr:uid="{00000000-0005-0000-0000-0000B9C80000}"/>
    <cellStyle name="Output 4 7 2 2 4" xfId="12805" xr:uid="{00000000-0005-0000-0000-0000BAC80000}"/>
    <cellStyle name="Output 4 7 2 2 4 2" xfId="42220" xr:uid="{00000000-0005-0000-0000-0000BBC80000}"/>
    <cellStyle name="Output 4 7 2 2 4 3" xfId="39552" xr:uid="{00000000-0005-0000-0000-0000BCC80000}"/>
    <cellStyle name="Output 4 7 2 2 4 4" xfId="30462" xr:uid="{00000000-0005-0000-0000-0000BDC80000}"/>
    <cellStyle name="Output 4 7 2 2 5" xfId="20971" xr:uid="{00000000-0005-0000-0000-0000BEC80000}"/>
    <cellStyle name="Output 4 7 2 2 5 2" xfId="46508" xr:uid="{00000000-0005-0000-0000-0000BFC80000}"/>
    <cellStyle name="Output 4 7 2 2 5 3" xfId="50414" xr:uid="{00000000-0005-0000-0000-0000C0C80000}"/>
    <cellStyle name="Output 4 7 2 2 5 4" xfId="38377" xr:uid="{00000000-0005-0000-0000-0000C1C80000}"/>
    <cellStyle name="Output 4 7 2 2 6" xfId="21624" xr:uid="{00000000-0005-0000-0000-0000C2C80000}"/>
    <cellStyle name="Output 4 7 2 2 6 2" xfId="47161" xr:uid="{00000000-0005-0000-0000-0000C3C80000}"/>
    <cellStyle name="Output 4 7 2 2 6 3" xfId="51067" xr:uid="{00000000-0005-0000-0000-0000C4C80000}"/>
    <cellStyle name="Output 4 7 2 2 7" xfId="40964" xr:uid="{00000000-0005-0000-0000-0000C5C80000}"/>
    <cellStyle name="Output 4 7 2 2 8" xfId="39386" xr:uid="{00000000-0005-0000-0000-0000C6C80000}"/>
    <cellStyle name="Output 4 7 2 3" xfId="11060" xr:uid="{00000000-0005-0000-0000-0000C7C80000}"/>
    <cellStyle name="Output 4 7 2 3 2" xfId="18853" xr:uid="{00000000-0005-0000-0000-0000C8C80000}"/>
    <cellStyle name="Output 4 7 2 3 2 2" xfId="44400" xr:uid="{00000000-0005-0000-0000-0000C9C80000}"/>
    <cellStyle name="Output 4 7 2 3 2 3" xfId="48309" xr:uid="{00000000-0005-0000-0000-0000CAC80000}"/>
    <cellStyle name="Output 4 7 2 3 2 4" xfId="36490" xr:uid="{00000000-0005-0000-0000-0000CBC80000}"/>
    <cellStyle name="Output 4 7 2 3 3" xfId="20446" xr:uid="{00000000-0005-0000-0000-0000CCC80000}"/>
    <cellStyle name="Output 4 7 2 3 3 2" xfId="45983" xr:uid="{00000000-0005-0000-0000-0000CDC80000}"/>
    <cellStyle name="Output 4 7 2 3 3 3" xfId="49889" xr:uid="{00000000-0005-0000-0000-0000CEC80000}"/>
    <cellStyle name="Output 4 7 2 3 3 4" xfId="37900" xr:uid="{00000000-0005-0000-0000-0000CFC80000}"/>
    <cellStyle name="Output 4 7 2 3 4" xfId="20590" xr:uid="{00000000-0005-0000-0000-0000D0C80000}"/>
    <cellStyle name="Output 4 7 2 3 4 2" xfId="46127" xr:uid="{00000000-0005-0000-0000-0000D1C80000}"/>
    <cellStyle name="Output 4 7 2 3 4 3" xfId="50033" xr:uid="{00000000-0005-0000-0000-0000D2C80000}"/>
    <cellStyle name="Output 4 7 2 3 4 4" xfId="38017" xr:uid="{00000000-0005-0000-0000-0000D3C80000}"/>
    <cellStyle name="Output 4 7 2 3 5" xfId="21266" xr:uid="{00000000-0005-0000-0000-0000D4C80000}"/>
    <cellStyle name="Output 4 7 2 3 5 2" xfId="46803" xr:uid="{00000000-0005-0000-0000-0000D5C80000}"/>
    <cellStyle name="Output 4 7 2 3 5 3" xfId="50709" xr:uid="{00000000-0005-0000-0000-0000D6C80000}"/>
    <cellStyle name="Output 4 7 2 3 5 4" xfId="38672" xr:uid="{00000000-0005-0000-0000-0000D7C80000}"/>
    <cellStyle name="Output 4 7 2 3 6" xfId="21919" xr:uid="{00000000-0005-0000-0000-0000D8C80000}"/>
    <cellStyle name="Output 4 7 2 3 6 2" xfId="47456" xr:uid="{00000000-0005-0000-0000-0000D9C80000}"/>
    <cellStyle name="Output 4 7 2 3 6 3" xfId="51362" xr:uid="{00000000-0005-0000-0000-0000DAC80000}"/>
    <cellStyle name="Output 4 7 2 3 7" xfId="41259" xr:uid="{00000000-0005-0000-0000-0000DBC80000}"/>
    <cellStyle name="Output 4 7 2 3 8" xfId="42726" xr:uid="{00000000-0005-0000-0000-0000DCC80000}"/>
    <cellStyle name="Output 4 7 2 4" xfId="15280" xr:uid="{00000000-0005-0000-0000-0000DDC80000}"/>
    <cellStyle name="Output 4 7 2 4 2" xfId="43153" xr:uid="{00000000-0005-0000-0000-0000DEC80000}"/>
    <cellStyle name="Output 4 7 2 4 3" xfId="41283" xr:uid="{00000000-0005-0000-0000-0000DFC80000}"/>
    <cellStyle name="Output 4 7 2 4 4" xfId="32915" xr:uid="{00000000-0005-0000-0000-0000E0C80000}"/>
    <cellStyle name="Output 4 7 2 5" xfId="11372" xr:uid="{00000000-0005-0000-0000-0000E1C80000}"/>
    <cellStyle name="Output 4 7 2 5 2" xfId="41408" xr:uid="{00000000-0005-0000-0000-0000E2C80000}"/>
    <cellStyle name="Output 4 7 2 5 3" xfId="43500" xr:uid="{00000000-0005-0000-0000-0000E3C80000}"/>
    <cellStyle name="Output 4 7 2 5 4" xfId="29095" xr:uid="{00000000-0005-0000-0000-0000E4C80000}"/>
    <cellStyle name="Output 4 7 2 6" xfId="19858" xr:uid="{00000000-0005-0000-0000-0000E5C80000}"/>
    <cellStyle name="Output 4 7 2 6 2" xfId="45395" xr:uid="{00000000-0005-0000-0000-0000E6C80000}"/>
    <cellStyle name="Output 4 7 2 6 3" xfId="49301" xr:uid="{00000000-0005-0000-0000-0000E7C80000}"/>
    <cellStyle name="Output 4 7 2 6 4" xfId="37373" xr:uid="{00000000-0005-0000-0000-0000E8C80000}"/>
    <cellStyle name="Output 4 7 2 7" xfId="11589" xr:uid="{00000000-0005-0000-0000-0000E9C80000}"/>
    <cellStyle name="Output 4 7 2 7 2" xfId="41600" xr:uid="{00000000-0005-0000-0000-0000EAC80000}"/>
    <cellStyle name="Output 4 7 2 7 3" xfId="39169" xr:uid="{00000000-0005-0000-0000-0000EBC80000}"/>
    <cellStyle name="Output 4 7 2 7 4" xfId="29297" xr:uid="{00000000-0005-0000-0000-0000ECC80000}"/>
    <cellStyle name="Output 4 7 2 8" xfId="20525" xr:uid="{00000000-0005-0000-0000-0000EDC80000}"/>
    <cellStyle name="Output 4 7 2 8 2" xfId="46062" xr:uid="{00000000-0005-0000-0000-0000EEC80000}"/>
    <cellStyle name="Output 4 7 2 8 3" xfId="49968" xr:uid="{00000000-0005-0000-0000-0000EFC80000}"/>
    <cellStyle name="Output 4 7 2 9" xfId="40013" xr:uid="{00000000-0005-0000-0000-0000F0C80000}"/>
    <cellStyle name="Output 4 7 3" xfId="13287" xr:uid="{00000000-0005-0000-0000-0000F1C80000}"/>
    <cellStyle name="Output 4 7 3 2" xfId="42457" xr:uid="{00000000-0005-0000-0000-0000F2C80000}"/>
    <cellStyle name="Output 4 7 3 3" xfId="39542" xr:uid="{00000000-0005-0000-0000-0000F3C80000}"/>
    <cellStyle name="Output 4 7 3 4" xfId="30932" xr:uid="{00000000-0005-0000-0000-0000F4C80000}"/>
    <cellStyle name="Output 4 7 4" xfId="20311" xr:uid="{00000000-0005-0000-0000-0000F5C80000}"/>
    <cellStyle name="Output 4 7 4 2" xfId="45848" xr:uid="{00000000-0005-0000-0000-0000F6C80000}"/>
    <cellStyle name="Output 4 7 4 3" xfId="49754" xr:uid="{00000000-0005-0000-0000-0000F7C80000}"/>
    <cellStyle name="Output 4 7 4 4" xfId="37776" xr:uid="{00000000-0005-0000-0000-0000F8C80000}"/>
    <cellStyle name="Output 4 8" xfId="5320" xr:uid="{00000000-0005-0000-0000-0000F9C80000}"/>
    <cellStyle name="Output 4 8 2" xfId="10480" xr:uid="{00000000-0005-0000-0000-0000FAC80000}"/>
    <cellStyle name="Output 4 8 2 2" xfId="18273" xr:uid="{00000000-0005-0000-0000-0000FBC80000}"/>
    <cellStyle name="Output 4 8 2 2 2" xfId="43820" xr:uid="{00000000-0005-0000-0000-0000FCC80000}"/>
    <cellStyle name="Output 4 8 2 2 3" xfId="47729" xr:uid="{00000000-0005-0000-0000-0000FDC80000}"/>
    <cellStyle name="Output 4 8 2 2 4" xfId="35910" xr:uid="{00000000-0005-0000-0000-0000FEC80000}"/>
    <cellStyle name="Output 4 8 2 3" xfId="19143" xr:uid="{00000000-0005-0000-0000-0000FFC80000}"/>
    <cellStyle name="Output 4 8 2 3 2" xfId="44680" xr:uid="{00000000-0005-0000-0000-000000C90000}"/>
    <cellStyle name="Output 4 8 2 3 3" xfId="48586" xr:uid="{00000000-0005-0000-0000-000001C90000}"/>
    <cellStyle name="Output 4 8 2 3 4" xfId="36738" xr:uid="{00000000-0005-0000-0000-000002C90000}"/>
    <cellStyle name="Output 4 8 2 4" xfId="19869" xr:uid="{00000000-0005-0000-0000-000003C90000}"/>
    <cellStyle name="Output 4 8 2 4 2" xfId="45406" xr:uid="{00000000-0005-0000-0000-000004C90000}"/>
    <cellStyle name="Output 4 8 2 4 3" xfId="49312" xr:uid="{00000000-0005-0000-0000-000005C90000}"/>
    <cellStyle name="Output 4 8 2 4 4" xfId="37383" xr:uid="{00000000-0005-0000-0000-000006C90000}"/>
    <cellStyle name="Output 4 8 2 5" xfId="20686" xr:uid="{00000000-0005-0000-0000-000007C90000}"/>
    <cellStyle name="Output 4 8 2 5 2" xfId="46223" xr:uid="{00000000-0005-0000-0000-000008C90000}"/>
    <cellStyle name="Output 4 8 2 5 3" xfId="50129" xr:uid="{00000000-0005-0000-0000-000009C90000}"/>
    <cellStyle name="Output 4 8 2 5 4" xfId="38092" xr:uid="{00000000-0005-0000-0000-00000AC90000}"/>
    <cellStyle name="Output 4 8 2 6" xfId="21339" xr:uid="{00000000-0005-0000-0000-00000BC90000}"/>
    <cellStyle name="Output 4 8 2 6 2" xfId="46876" xr:uid="{00000000-0005-0000-0000-00000CC90000}"/>
    <cellStyle name="Output 4 8 2 6 3" xfId="50782" xr:uid="{00000000-0005-0000-0000-00000DC90000}"/>
    <cellStyle name="Output 4 8 2 7" xfId="40679" xr:uid="{00000000-0005-0000-0000-00000EC90000}"/>
    <cellStyle name="Output 4 8 2 8" xfId="39204" xr:uid="{00000000-0005-0000-0000-00000FC90000}"/>
    <cellStyle name="Output 4 8 3" xfId="8805" xr:uid="{00000000-0005-0000-0000-000010C90000}"/>
    <cellStyle name="Output 4 8 3 2" xfId="16601" xr:uid="{00000000-0005-0000-0000-000011C90000}"/>
    <cellStyle name="Output 4 8 3 2 2" xfId="43442" xr:uid="{00000000-0005-0000-0000-000012C90000}"/>
    <cellStyle name="Output 4 8 3 2 3" xfId="42662" xr:uid="{00000000-0005-0000-0000-000013C90000}"/>
    <cellStyle name="Output 4 8 3 2 4" xfId="34236" xr:uid="{00000000-0005-0000-0000-000014C90000}"/>
    <cellStyle name="Output 4 8 3 3" xfId="20073" xr:uid="{00000000-0005-0000-0000-000015C90000}"/>
    <cellStyle name="Output 4 8 3 3 2" xfId="45610" xr:uid="{00000000-0005-0000-0000-000016C90000}"/>
    <cellStyle name="Output 4 8 3 3 3" xfId="49516" xr:uid="{00000000-0005-0000-0000-000017C90000}"/>
    <cellStyle name="Output 4 8 3 3 4" xfId="37567" xr:uid="{00000000-0005-0000-0000-000018C90000}"/>
    <cellStyle name="Output 4 8 3 4" xfId="19470" xr:uid="{00000000-0005-0000-0000-000019C90000}"/>
    <cellStyle name="Output 4 8 3 4 2" xfId="45007" xr:uid="{00000000-0005-0000-0000-00001AC90000}"/>
    <cellStyle name="Output 4 8 3 4 3" xfId="48913" xr:uid="{00000000-0005-0000-0000-00001BC90000}"/>
    <cellStyle name="Output 4 8 3 4 4" xfId="37028" xr:uid="{00000000-0005-0000-0000-00001CC90000}"/>
    <cellStyle name="Output 4 8 3 5" xfId="19653" xr:uid="{00000000-0005-0000-0000-00001DC90000}"/>
    <cellStyle name="Output 4 8 3 5 2" xfId="45190" xr:uid="{00000000-0005-0000-0000-00001EC90000}"/>
    <cellStyle name="Output 4 8 3 5 3" xfId="49096" xr:uid="{00000000-0005-0000-0000-00001FC90000}"/>
    <cellStyle name="Output 4 8 3 5 4" xfId="37187" xr:uid="{00000000-0005-0000-0000-000020C90000}"/>
    <cellStyle name="Output 4 8 3 6" xfId="19527" xr:uid="{00000000-0005-0000-0000-000021C90000}"/>
    <cellStyle name="Output 4 8 3 6 2" xfId="45064" xr:uid="{00000000-0005-0000-0000-000022C90000}"/>
    <cellStyle name="Output 4 8 3 6 3" xfId="48970" xr:uid="{00000000-0005-0000-0000-000023C90000}"/>
    <cellStyle name="Output 4 8 3 7" xfId="40304" xr:uid="{00000000-0005-0000-0000-000024C90000}"/>
    <cellStyle name="Output 4 8 3 8" xfId="39211" xr:uid="{00000000-0005-0000-0000-000025C90000}"/>
    <cellStyle name="Output 4 8 4" xfId="13288" xr:uid="{00000000-0005-0000-0000-000026C90000}"/>
    <cellStyle name="Output 4 8 4 2" xfId="42458" xr:uid="{00000000-0005-0000-0000-000027C90000}"/>
    <cellStyle name="Output 4 8 4 3" xfId="42551" xr:uid="{00000000-0005-0000-0000-000028C90000}"/>
    <cellStyle name="Output 4 8 4 4" xfId="30933" xr:uid="{00000000-0005-0000-0000-000029C90000}"/>
    <cellStyle name="Output 4 8 5" xfId="19522" xr:uid="{00000000-0005-0000-0000-00002AC90000}"/>
    <cellStyle name="Output 4 8 5 2" xfId="45059" xr:uid="{00000000-0005-0000-0000-00002BC90000}"/>
    <cellStyle name="Output 4 8 5 3" xfId="48965" xr:uid="{00000000-0005-0000-0000-00002CC90000}"/>
    <cellStyle name="Output 4 8 5 4" xfId="37070" xr:uid="{00000000-0005-0000-0000-00002DC90000}"/>
    <cellStyle name="Output 4 9" xfId="7486" xr:uid="{00000000-0005-0000-0000-00002EC90000}"/>
    <cellStyle name="Output 4 9 10" xfId="42622" xr:uid="{00000000-0005-0000-0000-00002FC90000}"/>
    <cellStyle name="Output 4 9 2" xfId="10759" xr:uid="{00000000-0005-0000-0000-000030C90000}"/>
    <cellStyle name="Output 4 9 2 2" xfId="18552" xr:uid="{00000000-0005-0000-0000-000031C90000}"/>
    <cellStyle name="Output 4 9 2 2 2" xfId="44099" xr:uid="{00000000-0005-0000-0000-000032C90000}"/>
    <cellStyle name="Output 4 9 2 2 3" xfId="48008" xr:uid="{00000000-0005-0000-0000-000033C90000}"/>
    <cellStyle name="Output 4 9 2 2 4" xfId="36189" xr:uid="{00000000-0005-0000-0000-000034C90000}"/>
    <cellStyle name="Output 4 9 2 3" xfId="20018" xr:uid="{00000000-0005-0000-0000-000035C90000}"/>
    <cellStyle name="Output 4 9 2 3 2" xfId="45555" xr:uid="{00000000-0005-0000-0000-000036C90000}"/>
    <cellStyle name="Output 4 9 2 3 3" xfId="49461" xr:uid="{00000000-0005-0000-0000-000037C90000}"/>
    <cellStyle name="Output 4 9 2 3 4" xfId="37516" xr:uid="{00000000-0005-0000-0000-000038C90000}"/>
    <cellStyle name="Output 4 9 2 4" xfId="19264" xr:uid="{00000000-0005-0000-0000-000039C90000}"/>
    <cellStyle name="Output 4 9 2 4 2" xfId="44801" xr:uid="{00000000-0005-0000-0000-00003AC90000}"/>
    <cellStyle name="Output 4 9 2 4 3" xfId="48707" xr:uid="{00000000-0005-0000-0000-00003BC90000}"/>
    <cellStyle name="Output 4 9 2 4 4" xfId="36842" xr:uid="{00000000-0005-0000-0000-00003CC90000}"/>
    <cellStyle name="Output 4 9 2 5" xfId="20965" xr:uid="{00000000-0005-0000-0000-00003DC90000}"/>
    <cellStyle name="Output 4 9 2 5 2" xfId="46502" xr:uid="{00000000-0005-0000-0000-00003EC90000}"/>
    <cellStyle name="Output 4 9 2 5 3" xfId="50408" xr:uid="{00000000-0005-0000-0000-00003FC90000}"/>
    <cellStyle name="Output 4 9 2 5 4" xfId="38371" xr:uid="{00000000-0005-0000-0000-000040C90000}"/>
    <cellStyle name="Output 4 9 2 6" xfId="21618" xr:uid="{00000000-0005-0000-0000-000041C90000}"/>
    <cellStyle name="Output 4 9 2 6 2" xfId="47155" xr:uid="{00000000-0005-0000-0000-000042C90000}"/>
    <cellStyle name="Output 4 9 2 6 3" xfId="51061" xr:uid="{00000000-0005-0000-0000-000043C90000}"/>
    <cellStyle name="Output 4 9 2 7" xfId="40958" xr:uid="{00000000-0005-0000-0000-000044C90000}"/>
    <cellStyle name="Output 4 9 2 8" xfId="40488" xr:uid="{00000000-0005-0000-0000-000045C90000}"/>
    <cellStyle name="Output 4 9 3" xfId="11054" xr:uid="{00000000-0005-0000-0000-000046C90000}"/>
    <cellStyle name="Output 4 9 3 2" xfId="18847" xr:uid="{00000000-0005-0000-0000-000047C90000}"/>
    <cellStyle name="Output 4 9 3 2 2" xfId="44394" xr:uid="{00000000-0005-0000-0000-000048C90000}"/>
    <cellStyle name="Output 4 9 3 2 3" xfId="48303" xr:uid="{00000000-0005-0000-0000-000049C90000}"/>
    <cellStyle name="Output 4 9 3 2 4" xfId="36484" xr:uid="{00000000-0005-0000-0000-00004AC90000}"/>
    <cellStyle name="Output 4 9 3 3" xfId="20440" xr:uid="{00000000-0005-0000-0000-00004BC90000}"/>
    <cellStyle name="Output 4 9 3 3 2" xfId="45977" xr:uid="{00000000-0005-0000-0000-00004CC90000}"/>
    <cellStyle name="Output 4 9 3 3 3" xfId="49883" xr:uid="{00000000-0005-0000-0000-00004DC90000}"/>
    <cellStyle name="Output 4 9 3 3 4" xfId="37894" xr:uid="{00000000-0005-0000-0000-00004EC90000}"/>
    <cellStyle name="Output 4 9 3 4" xfId="20584" xr:uid="{00000000-0005-0000-0000-00004FC90000}"/>
    <cellStyle name="Output 4 9 3 4 2" xfId="46121" xr:uid="{00000000-0005-0000-0000-000050C90000}"/>
    <cellStyle name="Output 4 9 3 4 3" xfId="50027" xr:uid="{00000000-0005-0000-0000-000051C90000}"/>
    <cellStyle name="Output 4 9 3 4 4" xfId="38011" xr:uid="{00000000-0005-0000-0000-000052C90000}"/>
    <cellStyle name="Output 4 9 3 5" xfId="21260" xr:uid="{00000000-0005-0000-0000-000053C90000}"/>
    <cellStyle name="Output 4 9 3 5 2" xfId="46797" xr:uid="{00000000-0005-0000-0000-000054C90000}"/>
    <cellStyle name="Output 4 9 3 5 3" xfId="50703" xr:uid="{00000000-0005-0000-0000-000055C90000}"/>
    <cellStyle name="Output 4 9 3 5 4" xfId="38666" xr:uid="{00000000-0005-0000-0000-000056C90000}"/>
    <cellStyle name="Output 4 9 3 6" xfId="21913" xr:uid="{00000000-0005-0000-0000-000057C90000}"/>
    <cellStyle name="Output 4 9 3 6 2" xfId="47450" xr:uid="{00000000-0005-0000-0000-000058C90000}"/>
    <cellStyle name="Output 4 9 3 6 3" xfId="51356" xr:uid="{00000000-0005-0000-0000-000059C90000}"/>
    <cellStyle name="Output 4 9 3 7" xfId="41253" xr:uid="{00000000-0005-0000-0000-00005AC90000}"/>
    <cellStyle name="Output 4 9 3 8" xfId="43224" xr:uid="{00000000-0005-0000-0000-00005BC90000}"/>
    <cellStyle name="Output 4 9 4" xfId="15274" xr:uid="{00000000-0005-0000-0000-00005CC90000}"/>
    <cellStyle name="Output 4 9 4 2" xfId="43147" xr:uid="{00000000-0005-0000-0000-00005DC90000}"/>
    <cellStyle name="Output 4 9 4 3" xfId="40150" xr:uid="{00000000-0005-0000-0000-00005EC90000}"/>
    <cellStyle name="Output 4 9 4 4" xfId="32909" xr:uid="{00000000-0005-0000-0000-00005FC90000}"/>
    <cellStyle name="Output 4 9 5" xfId="19486" xr:uid="{00000000-0005-0000-0000-000060C90000}"/>
    <cellStyle name="Output 4 9 5 2" xfId="45023" xr:uid="{00000000-0005-0000-0000-000061C90000}"/>
    <cellStyle name="Output 4 9 5 3" xfId="48929" xr:uid="{00000000-0005-0000-0000-000062C90000}"/>
    <cellStyle name="Output 4 9 5 4" xfId="37042" xr:uid="{00000000-0005-0000-0000-000063C90000}"/>
    <cellStyle name="Output 4 9 6" xfId="19160" xr:uid="{00000000-0005-0000-0000-000064C90000}"/>
    <cellStyle name="Output 4 9 6 2" xfId="44697" xr:uid="{00000000-0005-0000-0000-000065C90000}"/>
    <cellStyle name="Output 4 9 6 3" xfId="48603" xr:uid="{00000000-0005-0000-0000-000066C90000}"/>
    <cellStyle name="Output 4 9 6 4" xfId="36752" xr:uid="{00000000-0005-0000-0000-000067C90000}"/>
    <cellStyle name="Output 4 9 7" xfId="19233" xr:uid="{00000000-0005-0000-0000-000068C90000}"/>
    <cellStyle name="Output 4 9 7 2" xfId="44770" xr:uid="{00000000-0005-0000-0000-000069C90000}"/>
    <cellStyle name="Output 4 9 7 3" xfId="48676" xr:uid="{00000000-0005-0000-0000-00006AC90000}"/>
    <cellStyle name="Output 4 9 7 4" xfId="36815" xr:uid="{00000000-0005-0000-0000-00006BC90000}"/>
    <cellStyle name="Output 4 9 8" xfId="11672" xr:uid="{00000000-0005-0000-0000-00006CC90000}"/>
    <cellStyle name="Output 4 9 8 2" xfId="41683" xr:uid="{00000000-0005-0000-0000-00006DC90000}"/>
    <cellStyle name="Output 4 9 8 3" xfId="42709" xr:uid="{00000000-0005-0000-0000-00006EC90000}"/>
    <cellStyle name="Output 4 9 9" xfId="40007" xr:uid="{00000000-0005-0000-0000-00006FC90000}"/>
    <cellStyle name="Output 5" xfId="3275" xr:uid="{00000000-0005-0000-0000-000070C90000}"/>
    <cellStyle name="Output 5 2" xfId="5321" xr:uid="{00000000-0005-0000-0000-000071C90000}"/>
    <cellStyle name="Output 5 3" xfId="5322" xr:uid="{00000000-0005-0000-0000-000072C90000}"/>
    <cellStyle name="Output 5 3 2" xfId="10481" xr:uid="{00000000-0005-0000-0000-000073C90000}"/>
    <cellStyle name="Output 5 3 2 2" xfId="18274" xr:uid="{00000000-0005-0000-0000-000074C90000}"/>
    <cellStyle name="Output 5 3 2 2 2" xfId="43821" xr:uid="{00000000-0005-0000-0000-000075C90000}"/>
    <cellStyle name="Output 5 3 2 2 3" xfId="47730" xr:uid="{00000000-0005-0000-0000-000076C90000}"/>
    <cellStyle name="Output 5 3 2 2 4" xfId="35911" xr:uid="{00000000-0005-0000-0000-000077C90000}"/>
    <cellStyle name="Output 5 3 2 2 5" xfId="53443" xr:uid="{00000000-0005-0000-0000-000078C90000}"/>
    <cellStyle name="Output 5 3 2 3" xfId="19768" xr:uid="{00000000-0005-0000-0000-000079C90000}"/>
    <cellStyle name="Output 5 3 2 3 2" xfId="45305" xr:uid="{00000000-0005-0000-0000-00007AC90000}"/>
    <cellStyle name="Output 5 3 2 3 3" xfId="49211" xr:uid="{00000000-0005-0000-0000-00007BC90000}"/>
    <cellStyle name="Output 5 3 2 3 4" xfId="37295" xr:uid="{00000000-0005-0000-0000-00007CC90000}"/>
    <cellStyle name="Output 5 3 2 4" xfId="19972" xr:uid="{00000000-0005-0000-0000-00007DC90000}"/>
    <cellStyle name="Output 5 3 2 4 2" xfId="45509" xr:uid="{00000000-0005-0000-0000-00007EC90000}"/>
    <cellStyle name="Output 5 3 2 4 3" xfId="49415" xr:uid="{00000000-0005-0000-0000-00007FC90000}"/>
    <cellStyle name="Output 5 3 2 4 4" xfId="37476" xr:uid="{00000000-0005-0000-0000-000080C90000}"/>
    <cellStyle name="Output 5 3 2 5" xfId="20687" xr:uid="{00000000-0005-0000-0000-000081C90000}"/>
    <cellStyle name="Output 5 3 2 5 2" xfId="46224" xr:uid="{00000000-0005-0000-0000-000082C90000}"/>
    <cellStyle name="Output 5 3 2 5 3" xfId="50130" xr:uid="{00000000-0005-0000-0000-000083C90000}"/>
    <cellStyle name="Output 5 3 2 5 4" xfId="38093" xr:uid="{00000000-0005-0000-0000-000084C90000}"/>
    <cellStyle name="Output 5 3 2 6" xfId="21340" xr:uid="{00000000-0005-0000-0000-000085C90000}"/>
    <cellStyle name="Output 5 3 2 6 2" xfId="46877" xr:uid="{00000000-0005-0000-0000-000086C90000}"/>
    <cellStyle name="Output 5 3 2 6 3" xfId="50783" xr:uid="{00000000-0005-0000-0000-000087C90000}"/>
    <cellStyle name="Output 5 3 2 7" xfId="40680" xr:uid="{00000000-0005-0000-0000-000088C90000}"/>
    <cellStyle name="Output 5 3 2 8" xfId="41445" xr:uid="{00000000-0005-0000-0000-000089C90000}"/>
    <cellStyle name="Output 5 3 2 9" xfId="53336" xr:uid="{00000000-0005-0000-0000-00008AC90000}"/>
    <cellStyle name="Output 5 3 3" xfId="8806" xr:uid="{00000000-0005-0000-0000-00008BC90000}"/>
    <cellStyle name="Output 5 3 3 2" xfId="16602" xr:uid="{00000000-0005-0000-0000-00008CC90000}"/>
    <cellStyle name="Output 5 3 3 2 2" xfId="43443" xr:uid="{00000000-0005-0000-0000-00008DC90000}"/>
    <cellStyle name="Output 5 3 3 2 3" xfId="43551" xr:uid="{00000000-0005-0000-0000-00008EC90000}"/>
    <cellStyle name="Output 5 3 3 2 4" xfId="34237" xr:uid="{00000000-0005-0000-0000-00008FC90000}"/>
    <cellStyle name="Output 5 3 3 3" xfId="19339" xr:uid="{00000000-0005-0000-0000-000090C90000}"/>
    <cellStyle name="Output 5 3 3 3 2" xfId="44876" xr:uid="{00000000-0005-0000-0000-000091C90000}"/>
    <cellStyle name="Output 5 3 3 3 3" xfId="48782" xr:uid="{00000000-0005-0000-0000-000092C90000}"/>
    <cellStyle name="Output 5 3 3 3 4" xfId="36911" xr:uid="{00000000-0005-0000-0000-000093C90000}"/>
    <cellStyle name="Output 5 3 3 4" xfId="11646" xr:uid="{00000000-0005-0000-0000-000094C90000}"/>
    <cellStyle name="Output 5 3 3 4 2" xfId="41657" xr:uid="{00000000-0005-0000-0000-000095C90000}"/>
    <cellStyle name="Output 5 3 3 4 3" xfId="40069" xr:uid="{00000000-0005-0000-0000-000096C90000}"/>
    <cellStyle name="Output 5 3 3 4 4" xfId="29346" xr:uid="{00000000-0005-0000-0000-000097C90000}"/>
    <cellStyle name="Output 5 3 3 5" xfId="20186" xr:uid="{00000000-0005-0000-0000-000098C90000}"/>
    <cellStyle name="Output 5 3 3 5 2" xfId="45723" xr:uid="{00000000-0005-0000-0000-000099C90000}"/>
    <cellStyle name="Output 5 3 3 5 3" xfId="49629" xr:uid="{00000000-0005-0000-0000-00009AC90000}"/>
    <cellStyle name="Output 5 3 3 5 4" xfId="37671" xr:uid="{00000000-0005-0000-0000-00009BC90000}"/>
    <cellStyle name="Output 5 3 3 6" xfId="19239" xr:uid="{00000000-0005-0000-0000-00009CC90000}"/>
    <cellStyle name="Output 5 3 3 6 2" xfId="44776" xr:uid="{00000000-0005-0000-0000-00009DC90000}"/>
    <cellStyle name="Output 5 3 3 6 3" xfId="48682" xr:uid="{00000000-0005-0000-0000-00009EC90000}"/>
    <cellStyle name="Output 5 3 3 7" xfId="40305" xr:uid="{00000000-0005-0000-0000-00009FC90000}"/>
    <cellStyle name="Output 5 3 3 8" xfId="39210" xr:uid="{00000000-0005-0000-0000-0000A0C90000}"/>
    <cellStyle name="Output 5 3 3 9" xfId="53442" xr:uid="{00000000-0005-0000-0000-0000A1C90000}"/>
    <cellStyle name="Output 5 3 4" xfId="13289" xr:uid="{00000000-0005-0000-0000-0000A2C90000}"/>
    <cellStyle name="Output 5 3 4 2" xfId="42459" xr:uid="{00000000-0005-0000-0000-0000A3C90000}"/>
    <cellStyle name="Output 5 3 4 3" xfId="43462" xr:uid="{00000000-0005-0000-0000-0000A4C90000}"/>
    <cellStyle name="Output 5 3 4 4" xfId="30934" xr:uid="{00000000-0005-0000-0000-0000A5C90000}"/>
    <cellStyle name="Output 5 3 5" xfId="20370" xr:uid="{00000000-0005-0000-0000-0000A6C90000}"/>
    <cellStyle name="Output 5 3 5 2" xfId="45907" xr:uid="{00000000-0005-0000-0000-0000A7C90000}"/>
    <cellStyle name="Output 5 3 5 3" xfId="49813" xr:uid="{00000000-0005-0000-0000-0000A8C90000}"/>
    <cellStyle name="Output 5 3 5 4" xfId="37826" xr:uid="{00000000-0005-0000-0000-0000A9C90000}"/>
    <cellStyle name="Output 5 3 6" xfId="22621" xr:uid="{00000000-0005-0000-0000-0000AAC90000}"/>
    <cellStyle name="Output 5 3 6 2" xfId="47562" xr:uid="{00000000-0005-0000-0000-0000ABC90000}"/>
    <cellStyle name="Output 5 3 6 3" xfId="51411" xr:uid="{00000000-0005-0000-0000-0000ACC90000}"/>
    <cellStyle name="Output 5 3 7" xfId="53335" xr:uid="{00000000-0005-0000-0000-0000ADC90000}"/>
    <cellStyle name="Output 5 4" xfId="53337" xr:uid="{00000000-0005-0000-0000-0000AEC90000}"/>
    <cellStyle name="Output 5 5" xfId="53338" xr:uid="{00000000-0005-0000-0000-0000AFC90000}"/>
    <cellStyle name="Output 5 5 2" xfId="53444" xr:uid="{00000000-0005-0000-0000-0000B0C90000}"/>
    <cellStyle name="Output 5 6" xfId="53334" xr:uid="{00000000-0005-0000-0000-0000B1C90000}"/>
    <cellStyle name="Output 6" xfId="3276" xr:uid="{00000000-0005-0000-0000-0000B2C90000}"/>
    <cellStyle name="Output 6 2" xfId="23024" xr:uid="{00000000-0005-0000-0000-0000B3C90000}"/>
    <cellStyle name="Output 6 3" xfId="22622" xr:uid="{00000000-0005-0000-0000-0000B4C90000}"/>
    <cellStyle name="Output 6 3 2" xfId="47563" xr:uid="{00000000-0005-0000-0000-0000B5C90000}"/>
    <cellStyle name="Output 6 3 2 2" xfId="53341" xr:uid="{00000000-0005-0000-0000-0000B6C90000}"/>
    <cellStyle name="Output 6 3 3" xfId="51412" xr:uid="{00000000-0005-0000-0000-0000B7C90000}"/>
    <cellStyle name="Output 6 3 3 2" xfId="53445" xr:uid="{00000000-0005-0000-0000-0000B8C90000}"/>
    <cellStyle name="Output 6 3 4" xfId="53340" xr:uid="{00000000-0005-0000-0000-0000B9C90000}"/>
    <cellStyle name="Output 6 4" xfId="53342" xr:uid="{00000000-0005-0000-0000-0000BAC90000}"/>
    <cellStyle name="Output 6 5" xfId="53343" xr:uid="{00000000-0005-0000-0000-0000BBC90000}"/>
    <cellStyle name="Output 6 5 2" xfId="53446" xr:uid="{00000000-0005-0000-0000-0000BCC90000}"/>
    <cellStyle name="Output 6 6" xfId="53339" xr:uid="{00000000-0005-0000-0000-0000BDC90000}"/>
    <cellStyle name="Output 7" xfId="3277" xr:uid="{00000000-0005-0000-0000-0000BEC90000}"/>
    <cellStyle name="Output 7 2" xfId="22623" xr:uid="{00000000-0005-0000-0000-0000BFC90000}"/>
    <cellStyle name="Output 8" xfId="3278" xr:uid="{00000000-0005-0000-0000-0000C0C90000}"/>
    <cellStyle name="Output 8 2" xfId="22625" xr:uid="{00000000-0005-0000-0000-0000C1C90000}"/>
    <cellStyle name="Output 8 3" xfId="22624" xr:uid="{00000000-0005-0000-0000-0000C2C90000}"/>
    <cellStyle name="Output 9" xfId="3279" xr:uid="{00000000-0005-0000-0000-0000C3C90000}"/>
    <cellStyle name="Output 9 2" xfId="22626" xr:uid="{00000000-0005-0000-0000-0000C4C90000}"/>
    <cellStyle name="Percent [2]" xfId="3280" xr:uid="{00000000-0005-0000-0000-0000C5C90000}"/>
    <cellStyle name="Percent [2] 10" xfId="3281" xr:uid="{00000000-0005-0000-0000-0000C6C90000}"/>
    <cellStyle name="Percent [2] 10 2" xfId="3282" xr:uid="{00000000-0005-0000-0000-0000C7C90000}"/>
    <cellStyle name="Percent [2] 10 2 2" xfId="5325" xr:uid="{00000000-0005-0000-0000-0000C8C90000}"/>
    <cellStyle name="Percent [2] 10 2 3" xfId="6045" xr:uid="{00000000-0005-0000-0000-0000C9C90000}"/>
    <cellStyle name="Percent [2] 10 2 4" xfId="52667" xr:uid="{00000000-0005-0000-0000-0000CAC90000}"/>
    <cellStyle name="Percent [2] 10 3" xfId="3283" xr:uid="{00000000-0005-0000-0000-0000CBC90000}"/>
    <cellStyle name="Percent [2] 10 3 2" xfId="3284" xr:uid="{00000000-0005-0000-0000-0000CCC90000}"/>
    <cellStyle name="Percent [2] 10 3 2 2" xfId="5327" xr:uid="{00000000-0005-0000-0000-0000CDC90000}"/>
    <cellStyle name="Percent [2] 10 3 2 3" xfId="6047" xr:uid="{00000000-0005-0000-0000-0000CEC90000}"/>
    <cellStyle name="Percent [2] 10 3 2 4" xfId="52669" xr:uid="{00000000-0005-0000-0000-0000CFC90000}"/>
    <cellStyle name="Percent [2] 10 3 3" xfId="5326" xr:uid="{00000000-0005-0000-0000-0000D0C90000}"/>
    <cellStyle name="Percent [2] 10 3 4" xfId="6046" xr:uid="{00000000-0005-0000-0000-0000D1C90000}"/>
    <cellStyle name="Percent [2] 10 3 5" xfId="52668" xr:uid="{00000000-0005-0000-0000-0000D2C90000}"/>
    <cellStyle name="Percent [2] 10 4" xfId="3285" xr:uid="{00000000-0005-0000-0000-0000D3C90000}"/>
    <cellStyle name="Percent [2] 10 4 2" xfId="3286" xr:uid="{00000000-0005-0000-0000-0000D4C90000}"/>
    <cellStyle name="Percent [2] 10 4 2 2" xfId="5329" xr:uid="{00000000-0005-0000-0000-0000D5C90000}"/>
    <cellStyle name="Percent [2] 10 4 2 3" xfId="6049" xr:uid="{00000000-0005-0000-0000-0000D6C90000}"/>
    <cellStyle name="Percent [2] 10 4 2 4" xfId="52671" xr:uid="{00000000-0005-0000-0000-0000D7C90000}"/>
    <cellStyle name="Percent [2] 10 4 3" xfId="3287" xr:uid="{00000000-0005-0000-0000-0000D8C90000}"/>
    <cellStyle name="Percent [2] 10 4 3 2" xfId="3288" xr:uid="{00000000-0005-0000-0000-0000D9C90000}"/>
    <cellStyle name="Percent [2] 10 4 3 2 2" xfId="5331" xr:uid="{00000000-0005-0000-0000-0000DAC90000}"/>
    <cellStyle name="Percent [2] 10 4 3 2 3" xfId="6051" xr:uid="{00000000-0005-0000-0000-0000DBC90000}"/>
    <cellStyle name="Percent [2] 10 4 3 2 4" xfId="52673" xr:uid="{00000000-0005-0000-0000-0000DCC90000}"/>
    <cellStyle name="Percent [2] 10 4 3 3" xfId="3289" xr:uid="{00000000-0005-0000-0000-0000DDC90000}"/>
    <cellStyle name="Percent [2] 10 4 3 3 2" xfId="3290" xr:uid="{00000000-0005-0000-0000-0000DEC90000}"/>
    <cellStyle name="Percent [2] 10 4 3 3 2 2" xfId="5333" xr:uid="{00000000-0005-0000-0000-0000DFC90000}"/>
    <cellStyle name="Percent [2] 10 4 3 3 2 3" xfId="6053" xr:uid="{00000000-0005-0000-0000-0000E0C90000}"/>
    <cellStyle name="Percent [2] 10 4 3 3 2 4" xfId="52675" xr:uid="{00000000-0005-0000-0000-0000E1C90000}"/>
    <cellStyle name="Percent [2] 10 4 3 3 3" xfId="5332" xr:uid="{00000000-0005-0000-0000-0000E2C90000}"/>
    <cellStyle name="Percent [2] 10 4 3 3 4" xfId="6052" xr:uid="{00000000-0005-0000-0000-0000E3C90000}"/>
    <cellStyle name="Percent [2] 10 4 3 3 5" xfId="52674" xr:uid="{00000000-0005-0000-0000-0000E4C90000}"/>
    <cellStyle name="Percent [2] 10 4 3 4" xfId="5334" xr:uid="{00000000-0005-0000-0000-0000E5C90000}"/>
    <cellStyle name="Percent [2] 10 4 3 4 2" xfId="6054" xr:uid="{00000000-0005-0000-0000-0000E6C90000}"/>
    <cellStyle name="Percent [2] 10 4 3 5" xfId="5330" xr:uid="{00000000-0005-0000-0000-0000E7C90000}"/>
    <cellStyle name="Percent [2] 10 4 3 6" xfId="6050" xr:uid="{00000000-0005-0000-0000-0000E8C90000}"/>
    <cellStyle name="Percent [2] 10 4 3 7" xfId="52672" xr:uid="{00000000-0005-0000-0000-0000E9C90000}"/>
    <cellStyle name="Percent [2] 10 4 4" xfId="5328" xr:uid="{00000000-0005-0000-0000-0000EAC90000}"/>
    <cellStyle name="Percent [2] 10 4 5" xfId="6048" xr:uid="{00000000-0005-0000-0000-0000EBC90000}"/>
    <cellStyle name="Percent [2] 10 4 6" xfId="52670" xr:uid="{00000000-0005-0000-0000-0000ECC90000}"/>
    <cellStyle name="Percent [2] 10 5" xfId="5324" xr:uid="{00000000-0005-0000-0000-0000EDC90000}"/>
    <cellStyle name="Percent [2] 10 6" xfId="6044" xr:uid="{00000000-0005-0000-0000-0000EEC90000}"/>
    <cellStyle name="Percent [2] 10 7" xfId="52666" xr:uid="{00000000-0005-0000-0000-0000EFC90000}"/>
    <cellStyle name="Percent [2] 11" xfId="3291" xr:uid="{00000000-0005-0000-0000-0000F0C90000}"/>
    <cellStyle name="Percent [2] 11 2" xfId="3292" xr:uid="{00000000-0005-0000-0000-0000F1C90000}"/>
    <cellStyle name="Percent [2] 11 2 2" xfId="5336" xr:uid="{00000000-0005-0000-0000-0000F2C90000}"/>
    <cellStyle name="Percent [2] 11 2 3" xfId="6056" xr:uid="{00000000-0005-0000-0000-0000F3C90000}"/>
    <cellStyle name="Percent [2] 11 2 4" xfId="52677" xr:uid="{00000000-0005-0000-0000-0000F4C90000}"/>
    <cellStyle name="Percent [2] 11 3" xfId="5335" xr:uid="{00000000-0005-0000-0000-0000F5C90000}"/>
    <cellStyle name="Percent [2] 11 4" xfId="6055" xr:uid="{00000000-0005-0000-0000-0000F6C90000}"/>
    <cellStyle name="Percent [2] 11 5" xfId="52676" xr:uid="{00000000-0005-0000-0000-0000F7C90000}"/>
    <cellStyle name="Percent [2] 12" xfId="3293" xr:uid="{00000000-0005-0000-0000-0000F8C90000}"/>
    <cellStyle name="Percent [2] 12 2" xfId="3294" xr:uid="{00000000-0005-0000-0000-0000F9C90000}"/>
    <cellStyle name="Percent [2] 12 2 2" xfId="5338" xr:uid="{00000000-0005-0000-0000-0000FAC90000}"/>
    <cellStyle name="Percent [2] 12 2 3" xfId="6058" xr:uid="{00000000-0005-0000-0000-0000FBC90000}"/>
    <cellStyle name="Percent [2] 12 2 4" xfId="52679" xr:uid="{00000000-0005-0000-0000-0000FCC90000}"/>
    <cellStyle name="Percent [2] 12 3" xfId="3295" xr:uid="{00000000-0005-0000-0000-0000FDC90000}"/>
    <cellStyle name="Percent [2] 12 3 2" xfId="3296" xr:uid="{00000000-0005-0000-0000-0000FEC90000}"/>
    <cellStyle name="Percent [2] 12 3 2 2" xfId="5340" xr:uid="{00000000-0005-0000-0000-0000FFC90000}"/>
    <cellStyle name="Percent [2] 12 3 2 3" xfId="6060" xr:uid="{00000000-0005-0000-0000-000000CA0000}"/>
    <cellStyle name="Percent [2] 12 3 2 4" xfId="52681" xr:uid="{00000000-0005-0000-0000-000001CA0000}"/>
    <cellStyle name="Percent [2] 12 3 3" xfId="3297" xr:uid="{00000000-0005-0000-0000-000002CA0000}"/>
    <cellStyle name="Percent [2] 12 3 3 2" xfId="3298" xr:uid="{00000000-0005-0000-0000-000003CA0000}"/>
    <cellStyle name="Percent [2] 12 3 3 2 2" xfId="5342" xr:uid="{00000000-0005-0000-0000-000004CA0000}"/>
    <cellStyle name="Percent [2] 12 3 3 2 3" xfId="6062" xr:uid="{00000000-0005-0000-0000-000005CA0000}"/>
    <cellStyle name="Percent [2] 12 3 3 2 4" xfId="52683" xr:uid="{00000000-0005-0000-0000-000006CA0000}"/>
    <cellStyle name="Percent [2] 12 3 3 3" xfId="5341" xr:uid="{00000000-0005-0000-0000-000007CA0000}"/>
    <cellStyle name="Percent [2] 12 3 3 4" xfId="6061" xr:uid="{00000000-0005-0000-0000-000008CA0000}"/>
    <cellStyle name="Percent [2] 12 3 3 5" xfId="52682" xr:uid="{00000000-0005-0000-0000-000009CA0000}"/>
    <cellStyle name="Percent [2] 12 3 4" xfId="5343" xr:uid="{00000000-0005-0000-0000-00000ACA0000}"/>
    <cellStyle name="Percent [2] 12 3 4 2" xfId="6063" xr:uid="{00000000-0005-0000-0000-00000BCA0000}"/>
    <cellStyle name="Percent [2] 12 3 5" xfId="5339" xr:uid="{00000000-0005-0000-0000-00000CCA0000}"/>
    <cellStyle name="Percent [2] 12 3 6" xfId="6059" xr:uid="{00000000-0005-0000-0000-00000DCA0000}"/>
    <cellStyle name="Percent [2] 12 3 7" xfId="52680" xr:uid="{00000000-0005-0000-0000-00000ECA0000}"/>
    <cellStyle name="Percent [2] 12 4" xfId="5337" xr:uid="{00000000-0005-0000-0000-00000FCA0000}"/>
    <cellStyle name="Percent [2] 12 5" xfId="6057" xr:uid="{00000000-0005-0000-0000-000010CA0000}"/>
    <cellStyle name="Percent [2] 12 6" xfId="52678" xr:uid="{00000000-0005-0000-0000-000011CA0000}"/>
    <cellStyle name="Percent [2] 13" xfId="3299" xr:uid="{00000000-0005-0000-0000-000012CA0000}"/>
    <cellStyle name="Percent [2] 13 2" xfId="3300" xr:uid="{00000000-0005-0000-0000-000013CA0000}"/>
    <cellStyle name="Percent [2] 13 2 2" xfId="5345" xr:uid="{00000000-0005-0000-0000-000014CA0000}"/>
    <cellStyle name="Percent [2] 13 2 3" xfId="6065" xr:uid="{00000000-0005-0000-0000-000015CA0000}"/>
    <cellStyle name="Percent [2] 13 2 4" xfId="52685" xr:uid="{00000000-0005-0000-0000-000016CA0000}"/>
    <cellStyle name="Percent [2] 13 3" xfId="3301" xr:uid="{00000000-0005-0000-0000-000017CA0000}"/>
    <cellStyle name="Percent [2] 13 3 2" xfId="3302" xr:uid="{00000000-0005-0000-0000-000018CA0000}"/>
    <cellStyle name="Percent [2] 13 3 2 2" xfId="5347" xr:uid="{00000000-0005-0000-0000-000019CA0000}"/>
    <cellStyle name="Percent [2] 13 3 2 3" xfId="6067" xr:uid="{00000000-0005-0000-0000-00001ACA0000}"/>
    <cellStyle name="Percent [2] 13 3 2 4" xfId="52687" xr:uid="{00000000-0005-0000-0000-00001BCA0000}"/>
    <cellStyle name="Percent [2] 13 3 3" xfId="5346" xr:uid="{00000000-0005-0000-0000-00001CCA0000}"/>
    <cellStyle name="Percent [2] 13 3 4" xfId="6066" xr:uid="{00000000-0005-0000-0000-00001DCA0000}"/>
    <cellStyle name="Percent [2] 13 3 5" xfId="52686" xr:uid="{00000000-0005-0000-0000-00001ECA0000}"/>
    <cellStyle name="Percent [2] 13 4" xfId="5348" xr:uid="{00000000-0005-0000-0000-00001FCA0000}"/>
    <cellStyle name="Percent [2] 13 4 2" xfId="6068" xr:uid="{00000000-0005-0000-0000-000020CA0000}"/>
    <cellStyle name="Percent [2] 13 5" xfId="5344" xr:uid="{00000000-0005-0000-0000-000021CA0000}"/>
    <cellStyle name="Percent [2] 13 6" xfId="6064" xr:uid="{00000000-0005-0000-0000-000022CA0000}"/>
    <cellStyle name="Percent [2] 13 7" xfId="52684" xr:uid="{00000000-0005-0000-0000-000023CA0000}"/>
    <cellStyle name="Percent [2] 14" xfId="3303" xr:uid="{00000000-0005-0000-0000-000024CA0000}"/>
    <cellStyle name="Percent [2] 14 2" xfId="3304" xr:uid="{00000000-0005-0000-0000-000025CA0000}"/>
    <cellStyle name="Percent [2] 14 2 2" xfId="5350" xr:uid="{00000000-0005-0000-0000-000026CA0000}"/>
    <cellStyle name="Percent [2] 14 2 3" xfId="6070" xr:uid="{00000000-0005-0000-0000-000027CA0000}"/>
    <cellStyle name="Percent [2] 14 2 4" xfId="52689" xr:uid="{00000000-0005-0000-0000-000028CA0000}"/>
    <cellStyle name="Percent [2] 14 3" xfId="3305" xr:uid="{00000000-0005-0000-0000-000029CA0000}"/>
    <cellStyle name="Percent [2] 14 3 2" xfId="5352" xr:uid="{00000000-0005-0000-0000-00002ACA0000}"/>
    <cellStyle name="Percent [2] 14 3 2 2" xfId="6072" xr:uid="{00000000-0005-0000-0000-00002BCA0000}"/>
    <cellStyle name="Percent [2] 14 3 3" xfId="5351" xr:uid="{00000000-0005-0000-0000-00002CCA0000}"/>
    <cellStyle name="Percent [2] 14 3 4" xfId="6071" xr:uid="{00000000-0005-0000-0000-00002DCA0000}"/>
    <cellStyle name="Percent [2] 14 3 5" xfId="52690" xr:uid="{00000000-0005-0000-0000-00002ECA0000}"/>
    <cellStyle name="Percent [2] 14 4" xfId="3306" xr:uid="{00000000-0005-0000-0000-00002FCA0000}"/>
    <cellStyle name="Percent [2] 14 4 2" xfId="5349" xr:uid="{00000000-0005-0000-0000-000030CA0000}"/>
    <cellStyle name="Percent [2] 14 5" xfId="6069" xr:uid="{00000000-0005-0000-0000-000031CA0000}"/>
    <cellStyle name="Percent [2] 14 6" xfId="52688" xr:uid="{00000000-0005-0000-0000-000032CA0000}"/>
    <cellStyle name="Percent [2] 15" xfId="3307" xr:uid="{00000000-0005-0000-0000-000033CA0000}"/>
    <cellStyle name="Percent [2] 15 2" xfId="3308" xr:uid="{00000000-0005-0000-0000-000034CA0000}"/>
    <cellStyle name="Percent [2] 15 2 2" xfId="5353" xr:uid="{00000000-0005-0000-0000-000035CA0000}"/>
    <cellStyle name="Percent [2] 15 3" xfId="6073" xr:uid="{00000000-0005-0000-0000-000036CA0000}"/>
    <cellStyle name="Percent [2] 15 4" xfId="52691" xr:uid="{00000000-0005-0000-0000-000037CA0000}"/>
    <cellStyle name="Percent [2] 16" xfId="3309" xr:uid="{00000000-0005-0000-0000-000038CA0000}"/>
    <cellStyle name="Percent [2] 16 2" xfId="3310" xr:uid="{00000000-0005-0000-0000-000039CA0000}"/>
    <cellStyle name="Percent [2] 16 2 2" xfId="6074" xr:uid="{00000000-0005-0000-0000-00003ACA0000}"/>
    <cellStyle name="Percent [2] 16 2 3" xfId="5355" xr:uid="{00000000-0005-0000-0000-00003BCA0000}"/>
    <cellStyle name="Percent [2] 16 2 4" xfId="52693" xr:uid="{00000000-0005-0000-0000-00003CCA0000}"/>
    <cellStyle name="Percent [2] 16 3" xfId="3311" xr:uid="{00000000-0005-0000-0000-00003DCA0000}"/>
    <cellStyle name="Percent [2] 16 3 2" xfId="3312" xr:uid="{00000000-0005-0000-0000-00003ECA0000}"/>
    <cellStyle name="Percent [2] 16 3 3" xfId="3313" xr:uid="{00000000-0005-0000-0000-00003FCA0000}"/>
    <cellStyle name="Percent [2] 16 3 4" xfId="3314" xr:uid="{00000000-0005-0000-0000-000040CA0000}"/>
    <cellStyle name="Percent [2] 16 4" xfId="5354" xr:uid="{00000000-0005-0000-0000-000041CA0000}"/>
    <cellStyle name="Percent [2] 16 5" xfId="52692" xr:uid="{00000000-0005-0000-0000-000042CA0000}"/>
    <cellStyle name="Percent [2] 17" xfId="3315" xr:uid="{00000000-0005-0000-0000-000043CA0000}"/>
    <cellStyle name="Percent [2] 17 2" xfId="3316" xr:uid="{00000000-0005-0000-0000-000044CA0000}"/>
    <cellStyle name="Percent [2] 17 3" xfId="3317" xr:uid="{00000000-0005-0000-0000-000045CA0000}"/>
    <cellStyle name="Percent [2] 17 4" xfId="5323" xr:uid="{00000000-0005-0000-0000-000046CA0000}"/>
    <cellStyle name="Percent [2] 18" xfId="3318" xr:uid="{00000000-0005-0000-0000-000047CA0000}"/>
    <cellStyle name="Percent [2] 19" xfId="3319" xr:uid="{00000000-0005-0000-0000-000048CA0000}"/>
    <cellStyle name="Percent [2] 2" xfId="3320" xr:uid="{00000000-0005-0000-0000-000049CA0000}"/>
    <cellStyle name="Percent [2] 2 2" xfId="5356" xr:uid="{00000000-0005-0000-0000-00004ACA0000}"/>
    <cellStyle name="Percent [2] 2 3" xfId="6075" xr:uid="{00000000-0005-0000-0000-00004BCA0000}"/>
    <cellStyle name="Percent [2] 2 4" xfId="52694" xr:uid="{00000000-0005-0000-0000-00004CCA0000}"/>
    <cellStyle name="Percent [2] 20" xfId="3321" xr:uid="{00000000-0005-0000-0000-00004DCA0000}"/>
    <cellStyle name="Percent [2] 21" xfId="53344" xr:uid="{00000000-0005-0000-0000-00004ECA0000}"/>
    <cellStyle name="Percent [2] 3" xfId="3322" xr:uid="{00000000-0005-0000-0000-00004FCA0000}"/>
    <cellStyle name="Percent [2] 3 2" xfId="5357" xr:uid="{00000000-0005-0000-0000-000050CA0000}"/>
    <cellStyle name="Percent [2] 3 3" xfId="6076" xr:uid="{00000000-0005-0000-0000-000051CA0000}"/>
    <cellStyle name="Percent [2] 3 4" xfId="52695" xr:uid="{00000000-0005-0000-0000-000052CA0000}"/>
    <cellStyle name="Percent [2] 4" xfId="3323" xr:uid="{00000000-0005-0000-0000-000053CA0000}"/>
    <cellStyle name="Percent [2] 4 2" xfId="5358" xr:uid="{00000000-0005-0000-0000-000054CA0000}"/>
    <cellStyle name="Percent [2] 4 3" xfId="6077" xr:uid="{00000000-0005-0000-0000-000055CA0000}"/>
    <cellStyle name="Percent [2] 4 4" xfId="52696" xr:uid="{00000000-0005-0000-0000-000056CA0000}"/>
    <cellStyle name="Percent [2] 5" xfId="3324" xr:uid="{00000000-0005-0000-0000-000057CA0000}"/>
    <cellStyle name="Percent [2] 5 10" xfId="3325" xr:uid="{00000000-0005-0000-0000-000058CA0000}"/>
    <cellStyle name="Percent [2] 5 10 2" xfId="3326" xr:uid="{00000000-0005-0000-0000-000059CA0000}"/>
    <cellStyle name="Percent [2] 5 10 2 2" xfId="5361" xr:uid="{00000000-0005-0000-0000-00005ACA0000}"/>
    <cellStyle name="Percent [2] 5 10 2 3" xfId="6079" xr:uid="{00000000-0005-0000-0000-00005BCA0000}"/>
    <cellStyle name="Percent [2] 5 10 2 4" xfId="52698" xr:uid="{00000000-0005-0000-0000-00005CCA0000}"/>
    <cellStyle name="Percent [2] 5 10 3" xfId="3327" xr:uid="{00000000-0005-0000-0000-00005DCA0000}"/>
    <cellStyle name="Percent [2] 5 10 3 2" xfId="5363" xr:uid="{00000000-0005-0000-0000-00005ECA0000}"/>
    <cellStyle name="Percent [2] 5 10 3 2 2" xfId="6081" xr:uid="{00000000-0005-0000-0000-00005FCA0000}"/>
    <cellStyle name="Percent [2] 5 10 3 3" xfId="5362" xr:uid="{00000000-0005-0000-0000-000060CA0000}"/>
    <cellStyle name="Percent [2] 5 10 3 4" xfId="6080" xr:uid="{00000000-0005-0000-0000-000061CA0000}"/>
    <cellStyle name="Percent [2] 5 10 3 5" xfId="52699" xr:uid="{00000000-0005-0000-0000-000062CA0000}"/>
    <cellStyle name="Percent [2] 5 10 4" xfId="3328" xr:uid="{00000000-0005-0000-0000-000063CA0000}"/>
    <cellStyle name="Percent [2] 5 10 4 2" xfId="5360" xr:uid="{00000000-0005-0000-0000-000064CA0000}"/>
    <cellStyle name="Percent [2] 5 10 5" xfId="6078" xr:uid="{00000000-0005-0000-0000-000065CA0000}"/>
    <cellStyle name="Percent [2] 5 10 6" xfId="52697" xr:uid="{00000000-0005-0000-0000-000066CA0000}"/>
    <cellStyle name="Percent [2] 5 11" xfId="3329" xr:uid="{00000000-0005-0000-0000-000067CA0000}"/>
    <cellStyle name="Percent [2] 5 11 2" xfId="3330" xr:uid="{00000000-0005-0000-0000-000068CA0000}"/>
    <cellStyle name="Percent [2] 5 11 2 2" xfId="5364" xr:uid="{00000000-0005-0000-0000-000069CA0000}"/>
    <cellStyle name="Percent [2] 5 11 3" xfId="6082" xr:uid="{00000000-0005-0000-0000-00006ACA0000}"/>
    <cellStyle name="Percent [2] 5 11 4" xfId="52700" xr:uid="{00000000-0005-0000-0000-00006BCA0000}"/>
    <cellStyle name="Percent [2] 5 12" xfId="3331" xr:uid="{00000000-0005-0000-0000-00006CCA0000}"/>
    <cellStyle name="Percent [2] 5 12 2" xfId="3332" xr:uid="{00000000-0005-0000-0000-00006DCA0000}"/>
    <cellStyle name="Percent [2] 5 12 2 2" xfId="6083" xr:uid="{00000000-0005-0000-0000-00006ECA0000}"/>
    <cellStyle name="Percent [2] 5 12 2 3" xfId="5366" xr:uid="{00000000-0005-0000-0000-00006FCA0000}"/>
    <cellStyle name="Percent [2] 5 12 2 4" xfId="52702" xr:uid="{00000000-0005-0000-0000-000070CA0000}"/>
    <cellStyle name="Percent [2] 5 12 3" xfId="3333" xr:uid="{00000000-0005-0000-0000-000071CA0000}"/>
    <cellStyle name="Percent [2] 5 12 3 2" xfId="3334" xr:uid="{00000000-0005-0000-0000-000072CA0000}"/>
    <cellStyle name="Percent [2] 5 12 3 3" xfId="3335" xr:uid="{00000000-0005-0000-0000-000073CA0000}"/>
    <cellStyle name="Percent [2] 5 12 3 4" xfId="3336" xr:uid="{00000000-0005-0000-0000-000074CA0000}"/>
    <cellStyle name="Percent [2] 5 12 4" xfId="5365" xr:uid="{00000000-0005-0000-0000-000075CA0000}"/>
    <cellStyle name="Percent [2] 5 12 5" xfId="52701" xr:uid="{00000000-0005-0000-0000-000076CA0000}"/>
    <cellStyle name="Percent [2] 5 13" xfId="3337" xr:uid="{00000000-0005-0000-0000-000077CA0000}"/>
    <cellStyle name="Percent [2] 5 13 2" xfId="3338" xr:uid="{00000000-0005-0000-0000-000078CA0000}"/>
    <cellStyle name="Percent [2] 5 13 3" xfId="3339" xr:uid="{00000000-0005-0000-0000-000079CA0000}"/>
    <cellStyle name="Percent [2] 5 13 4" xfId="5359" xr:uid="{00000000-0005-0000-0000-00007ACA0000}"/>
    <cellStyle name="Percent [2] 5 14" xfId="3340" xr:uid="{00000000-0005-0000-0000-00007BCA0000}"/>
    <cellStyle name="Percent [2] 5 15" xfId="3341" xr:uid="{00000000-0005-0000-0000-00007CCA0000}"/>
    <cellStyle name="Percent [2] 5 16" xfId="3342" xr:uid="{00000000-0005-0000-0000-00007DCA0000}"/>
    <cellStyle name="Percent [2] 5 17" xfId="53345" xr:uid="{00000000-0005-0000-0000-00007ECA0000}"/>
    <cellStyle name="Percent [2] 5 2" xfId="3343" xr:uid="{00000000-0005-0000-0000-00007FCA0000}"/>
    <cellStyle name="Percent [2] 5 2 2" xfId="3344" xr:uid="{00000000-0005-0000-0000-000080CA0000}"/>
    <cellStyle name="Percent [2] 5 2 2 2" xfId="5368" xr:uid="{00000000-0005-0000-0000-000081CA0000}"/>
    <cellStyle name="Percent [2] 5 2 2 3" xfId="6085" xr:uid="{00000000-0005-0000-0000-000082CA0000}"/>
    <cellStyle name="Percent [2] 5 2 2 4" xfId="52704" xr:uid="{00000000-0005-0000-0000-000083CA0000}"/>
    <cellStyle name="Percent [2] 5 2 3" xfId="5367" xr:uid="{00000000-0005-0000-0000-000084CA0000}"/>
    <cellStyle name="Percent [2] 5 2 4" xfId="6084" xr:uid="{00000000-0005-0000-0000-000085CA0000}"/>
    <cellStyle name="Percent [2] 5 2 5" xfId="52703" xr:uid="{00000000-0005-0000-0000-000086CA0000}"/>
    <cellStyle name="Percent [2] 5 3" xfId="3345" xr:uid="{00000000-0005-0000-0000-000087CA0000}"/>
    <cellStyle name="Percent [2] 5 3 2" xfId="5369" xr:uid="{00000000-0005-0000-0000-000088CA0000}"/>
    <cellStyle name="Percent [2] 5 3 3" xfId="6086" xr:uid="{00000000-0005-0000-0000-000089CA0000}"/>
    <cellStyle name="Percent [2] 5 3 4" xfId="52705" xr:uid="{00000000-0005-0000-0000-00008ACA0000}"/>
    <cellStyle name="Percent [2] 5 4" xfId="3346" xr:uid="{00000000-0005-0000-0000-00008BCA0000}"/>
    <cellStyle name="Percent [2] 5 4 2" xfId="3347" xr:uid="{00000000-0005-0000-0000-00008CCA0000}"/>
    <cellStyle name="Percent [2] 5 4 2 2" xfId="5371" xr:uid="{00000000-0005-0000-0000-00008DCA0000}"/>
    <cellStyle name="Percent [2] 5 4 2 3" xfId="6088" xr:uid="{00000000-0005-0000-0000-00008ECA0000}"/>
    <cellStyle name="Percent [2] 5 4 2 4" xfId="52707" xr:uid="{00000000-0005-0000-0000-00008FCA0000}"/>
    <cellStyle name="Percent [2] 5 4 3" xfId="5370" xr:uid="{00000000-0005-0000-0000-000090CA0000}"/>
    <cellStyle name="Percent [2] 5 4 4" xfId="6087" xr:uid="{00000000-0005-0000-0000-000091CA0000}"/>
    <cellStyle name="Percent [2] 5 4 5" xfId="52706" xr:uid="{00000000-0005-0000-0000-000092CA0000}"/>
    <cellStyle name="Percent [2] 5 5" xfId="3348" xr:uid="{00000000-0005-0000-0000-000093CA0000}"/>
    <cellStyle name="Percent [2] 5 5 2" xfId="3349" xr:uid="{00000000-0005-0000-0000-000094CA0000}"/>
    <cellStyle name="Percent [2] 5 5 2 2" xfId="5373" xr:uid="{00000000-0005-0000-0000-000095CA0000}"/>
    <cellStyle name="Percent [2] 5 5 2 3" xfId="6090" xr:uid="{00000000-0005-0000-0000-000096CA0000}"/>
    <cellStyle name="Percent [2] 5 5 2 4" xfId="52709" xr:uid="{00000000-0005-0000-0000-000097CA0000}"/>
    <cellStyle name="Percent [2] 5 5 3" xfId="3350" xr:uid="{00000000-0005-0000-0000-000098CA0000}"/>
    <cellStyle name="Percent [2] 5 5 3 2" xfId="5374" xr:uid="{00000000-0005-0000-0000-000099CA0000}"/>
    <cellStyle name="Percent [2] 5 5 3 3" xfId="6091" xr:uid="{00000000-0005-0000-0000-00009ACA0000}"/>
    <cellStyle name="Percent [2] 5 5 3 4" xfId="52710" xr:uid="{00000000-0005-0000-0000-00009BCA0000}"/>
    <cellStyle name="Percent [2] 5 5 4" xfId="3351" xr:uid="{00000000-0005-0000-0000-00009CCA0000}"/>
    <cellStyle name="Percent [2] 5 5 4 2" xfId="3352" xr:uid="{00000000-0005-0000-0000-00009DCA0000}"/>
    <cellStyle name="Percent [2] 5 5 4 2 2" xfId="5376" xr:uid="{00000000-0005-0000-0000-00009ECA0000}"/>
    <cellStyle name="Percent [2] 5 5 4 2 3" xfId="6093" xr:uid="{00000000-0005-0000-0000-00009FCA0000}"/>
    <cellStyle name="Percent [2] 5 5 4 2 4" xfId="52712" xr:uid="{00000000-0005-0000-0000-0000A0CA0000}"/>
    <cellStyle name="Percent [2] 5 5 4 3" xfId="5375" xr:uid="{00000000-0005-0000-0000-0000A1CA0000}"/>
    <cellStyle name="Percent [2] 5 5 4 4" xfId="6092" xr:uid="{00000000-0005-0000-0000-0000A2CA0000}"/>
    <cellStyle name="Percent [2] 5 5 4 5" xfId="52711" xr:uid="{00000000-0005-0000-0000-0000A3CA0000}"/>
    <cellStyle name="Percent [2] 5 5 5" xfId="3353" xr:uid="{00000000-0005-0000-0000-0000A4CA0000}"/>
    <cellStyle name="Percent [2] 5 5 5 2" xfId="3354" xr:uid="{00000000-0005-0000-0000-0000A5CA0000}"/>
    <cellStyle name="Percent [2] 5 5 5 2 2" xfId="5378" xr:uid="{00000000-0005-0000-0000-0000A6CA0000}"/>
    <cellStyle name="Percent [2] 5 5 5 2 3" xfId="6095" xr:uid="{00000000-0005-0000-0000-0000A7CA0000}"/>
    <cellStyle name="Percent [2] 5 5 5 2 4" xfId="52714" xr:uid="{00000000-0005-0000-0000-0000A8CA0000}"/>
    <cellStyle name="Percent [2] 5 5 5 3" xfId="3355" xr:uid="{00000000-0005-0000-0000-0000A9CA0000}"/>
    <cellStyle name="Percent [2] 5 5 5 3 2" xfId="3356" xr:uid="{00000000-0005-0000-0000-0000AACA0000}"/>
    <cellStyle name="Percent [2] 5 5 5 3 2 2" xfId="5380" xr:uid="{00000000-0005-0000-0000-0000ABCA0000}"/>
    <cellStyle name="Percent [2] 5 5 5 3 2 3" xfId="6097" xr:uid="{00000000-0005-0000-0000-0000ACCA0000}"/>
    <cellStyle name="Percent [2] 5 5 5 3 2 4" xfId="52716" xr:uid="{00000000-0005-0000-0000-0000ADCA0000}"/>
    <cellStyle name="Percent [2] 5 5 5 3 3" xfId="3357" xr:uid="{00000000-0005-0000-0000-0000AECA0000}"/>
    <cellStyle name="Percent [2] 5 5 5 3 3 2" xfId="3358" xr:uid="{00000000-0005-0000-0000-0000AFCA0000}"/>
    <cellStyle name="Percent [2] 5 5 5 3 3 2 2" xfId="5382" xr:uid="{00000000-0005-0000-0000-0000B0CA0000}"/>
    <cellStyle name="Percent [2] 5 5 5 3 3 2 3" xfId="6099" xr:uid="{00000000-0005-0000-0000-0000B1CA0000}"/>
    <cellStyle name="Percent [2] 5 5 5 3 3 2 4" xfId="52718" xr:uid="{00000000-0005-0000-0000-0000B2CA0000}"/>
    <cellStyle name="Percent [2] 5 5 5 3 3 3" xfId="5381" xr:uid="{00000000-0005-0000-0000-0000B3CA0000}"/>
    <cellStyle name="Percent [2] 5 5 5 3 3 4" xfId="6098" xr:uid="{00000000-0005-0000-0000-0000B4CA0000}"/>
    <cellStyle name="Percent [2] 5 5 5 3 3 5" xfId="52717" xr:uid="{00000000-0005-0000-0000-0000B5CA0000}"/>
    <cellStyle name="Percent [2] 5 5 5 3 4" xfId="5383" xr:uid="{00000000-0005-0000-0000-0000B6CA0000}"/>
    <cellStyle name="Percent [2] 5 5 5 3 4 2" xfId="6100" xr:uid="{00000000-0005-0000-0000-0000B7CA0000}"/>
    <cellStyle name="Percent [2] 5 5 5 3 5" xfId="5379" xr:uid="{00000000-0005-0000-0000-0000B8CA0000}"/>
    <cellStyle name="Percent [2] 5 5 5 3 6" xfId="6096" xr:uid="{00000000-0005-0000-0000-0000B9CA0000}"/>
    <cellStyle name="Percent [2] 5 5 5 3 7" xfId="52715" xr:uid="{00000000-0005-0000-0000-0000BACA0000}"/>
    <cellStyle name="Percent [2] 5 5 5 4" xfId="5377" xr:uid="{00000000-0005-0000-0000-0000BBCA0000}"/>
    <cellStyle name="Percent [2] 5 5 5 5" xfId="6094" xr:uid="{00000000-0005-0000-0000-0000BCCA0000}"/>
    <cellStyle name="Percent [2] 5 5 5 6" xfId="52713" xr:uid="{00000000-0005-0000-0000-0000BDCA0000}"/>
    <cellStyle name="Percent [2] 5 5 6" xfId="5372" xr:uid="{00000000-0005-0000-0000-0000BECA0000}"/>
    <cellStyle name="Percent [2] 5 5 7" xfId="6089" xr:uid="{00000000-0005-0000-0000-0000BFCA0000}"/>
    <cellStyle name="Percent [2] 5 5 8" xfId="52708" xr:uid="{00000000-0005-0000-0000-0000C0CA0000}"/>
    <cellStyle name="Percent [2] 5 6" xfId="3359" xr:uid="{00000000-0005-0000-0000-0000C1CA0000}"/>
    <cellStyle name="Percent [2] 5 6 2" xfId="5384" xr:uid="{00000000-0005-0000-0000-0000C2CA0000}"/>
    <cellStyle name="Percent [2] 5 6 3" xfId="6101" xr:uid="{00000000-0005-0000-0000-0000C3CA0000}"/>
    <cellStyle name="Percent [2] 5 6 4" xfId="52719" xr:uid="{00000000-0005-0000-0000-0000C4CA0000}"/>
    <cellStyle name="Percent [2] 5 7" xfId="3360" xr:uid="{00000000-0005-0000-0000-0000C5CA0000}"/>
    <cellStyle name="Percent [2] 5 7 2" xfId="3361" xr:uid="{00000000-0005-0000-0000-0000C6CA0000}"/>
    <cellStyle name="Percent [2] 5 7 2 2" xfId="5386" xr:uid="{00000000-0005-0000-0000-0000C7CA0000}"/>
    <cellStyle name="Percent [2] 5 7 2 3" xfId="6103" xr:uid="{00000000-0005-0000-0000-0000C8CA0000}"/>
    <cellStyle name="Percent [2] 5 7 2 4" xfId="52721" xr:uid="{00000000-0005-0000-0000-0000C9CA0000}"/>
    <cellStyle name="Percent [2] 5 7 3" xfId="5385" xr:uid="{00000000-0005-0000-0000-0000CACA0000}"/>
    <cellStyle name="Percent [2] 5 7 4" xfId="6102" xr:uid="{00000000-0005-0000-0000-0000CBCA0000}"/>
    <cellStyle name="Percent [2] 5 7 5" xfId="52720" xr:uid="{00000000-0005-0000-0000-0000CCCA0000}"/>
    <cellStyle name="Percent [2] 5 8" xfId="3362" xr:uid="{00000000-0005-0000-0000-0000CDCA0000}"/>
    <cellStyle name="Percent [2] 5 8 2" xfId="3363" xr:uid="{00000000-0005-0000-0000-0000CECA0000}"/>
    <cellStyle name="Percent [2] 5 8 2 2" xfId="5388" xr:uid="{00000000-0005-0000-0000-0000CFCA0000}"/>
    <cellStyle name="Percent [2] 5 8 2 3" xfId="6105" xr:uid="{00000000-0005-0000-0000-0000D0CA0000}"/>
    <cellStyle name="Percent [2] 5 8 2 4" xfId="52723" xr:uid="{00000000-0005-0000-0000-0000D1CA0000}"/>
    <cellStyle name="Percent [2] 5 8 3" xfId="3364" xr:uid="{00000000-0005-0000-0000-0000D2CA0000}"/>
    <cellStyle name="Percent [2] 5 8 3 2" xfId="3365" xr:uid="{00000000-0005-0000-0000-0000D3CA0000}"/>
    <cellStyle name="Percent [2] 5 8 3 2 2" xfId="5390" xr:uid="{00000000-0005-0000-0000-0000D4CA0000}"/>
    <cellStyle name="Percent [2] 5 8 3 2 3" xfId="6107" xr:uid="{00000000-0005-0000-0000-0000D5CA0000}"/>
    <cellStyle name="Percent [2] 5 8 3 2 4" xfId="52725" xr:uid="{00000000-0005-0000-0000-0000D6CA0000}"/>
    <cellStyle name="Percent [2] 5 8 3 3" xfId="3366" xr:uid="{00000000-0005-0000-0000-0000D7CA0000}"/>
    <cellStyle name="Percent [2] 5 8 3 3 2" xfId="3367" xr:uid="{00000000-0005-0000-0000-0000D8CA0000}"/>
    <cellStyle name="Percent [2] 5 8 3 3 2 2" xfId="5392" xr:uid="{00000000-0005-0000-0000-0000D9CA0000}"/>
    <cellStyle name="Percent [2] 5 8 3 3 2 3" xfId="6109" xr:uid="{00000000-0005-0000-0000-0000DACA0000}"/>
    <cellStyle name="Percent [2] 5 8 3 3 2 4" xfId="52727" xr:uid="{00000000-0005-0000-0000-0000DBCA0000}"/>
    <cellStyle name="Percent [2] 5 8 3 3 3" xfId="5391" xr:uid="{00000000-0005-0000-0000-0000DCCA0000}"/>
    <cellStyle name="Percent [2] 5 8 3 3 4" xfId="6108" xr:uid="{00000000-0005-0000-0000-0000DDCA0000}"/>
    <cellStyle name="Percent [2] 5 8 3 3 5" xfId="52726" xr:uid="{00000000-0005-0000-0000-0000DECA0000}"/>
    <cellStyle name="Percent [2] 5 8 3 4" xfId="5393" xr:uid="{00000000-0005-0000-0000-0000DFCA0000}"/>
    <cellStyle name="Percent [2] 5 8 3 4 2" xfId="6110" xr:uid="{00000000-0005-0000-0000-0000E0CA0000}"/>
    <cellStyle name="Percent [2] 5 8 3 5" xfId="5389" xr:uid="{00000000-0005-0000-0000-0000E1CA0000}"/>
    <cellStyle name="Percent [2] 5 8 3 6" xfId="6106" xr:uid="{00000000-0005-0000-0000-0000E2CA0000}"/>
    <cellStyle name="Percent [2] 5 8 3 7" xfId="52724" xr:uid="{00000000-0005-0000-0000-0000E3CA0000}"/>
    <cellStyle name="Percent [2] 5 8 4" xfId="5387" xr:uid="{00000000-0005-0000-0000-0000E4CA0000}"/>
    <cellStyle name="Percent [2] 5 8 5" xfId="6104" xr:uid="{00000000-0005-0000-0000-0000E5CA0000}"/>
    <cellStyle name="Percent [2] 5 8 6" xfId="52722" xr:uid="{00000000-0005-0000-0000-0000E6CA0000}"/>
    <cellStyle name="Percent [2] 5 9" xfId="3368" xr:uid="{00000000-0005-0000-0000-0000E7CA0000}"/>
    <cellStyle name="Percent [2] 5 9 2" xfId="3369" xr:uid="{00000000-0005-0000-0000-0000E8CA0000}"/>
    <cellStyle name="Percent [2] 5 9 2 2" xfId="5395" xr:uid="{00000000-0005-0000-0000-0000E9CA0000}"/>
    <cellStyle name="Percent [2] 5 9 2 3" xfId="6112" xr:uid="{00000000-0005-0000-0000-0000EACA0000}"/>
    <cellStyle name="Percent [2] 5 9 2 4" xfId="52729" xr:uid="{00000000-0005-0000-0000-0000EBCA0000}"/>
    <cellStyle name="Percent [2] 5 9 3" xfId="3370" xr:uid="{00000000-0005-0000-0000-0000ECCA0000}"/>
    <cellStyle name="Percent [2] 5 9 3 2" xfId="3371" xr:uid="{00000000-0005-0000-0000-0000EDCA0000}"/>
    <cellStyle name="Percent [2] 5 9 3 2 2" xfId="5397" xr:uid="{00000000-0005-0000-0000-0000EECA0000}"/>
    <cellStyle name="Percent [2] 5 9 3 2 3" xfId="6114" xr:uid="{00000000-0005-0000-0000-0000EFCA0000}"/>
    <cellStyle name="Percent [2] 5 9 3 2 4" xfId="52731" xr:uid="{00000000-0005-0000-0000-0000F0CA0000}"/>
    <cellStyle name="Percent [2] 5 9 3 3" xfId="5396" xr:uid="{00000000-0005-0000-0000-0000F1CA0000}"/>
    <cellStyle name="Percent [2] 5 9 3 4" xfId="6113" xr:uid="{00000000-0005-0000-0000-0000F2CA0000}"/>
    <cellStyle name="Percent [2] 5 9 3 5" xfId="52730" xr:uid="{00000000-0005-0000-0000-0000F3CA0000}"/>
    <cellStyle name="Percent [2] 5 9 4" xfId="5398" xr:uid="{00000000-0005-0000-0000-0000F4CA0000}"/>
    <cellStyle name="Percent [2] 5 9 4 2" xfId="6115" xr:uid="{00000000-0005-0000-0000-0000F5CA0000}"/>
    <cellStyle name="Percent [2] 5 9 5" xfId="5394" xr:uid="{00000000-0005-0000-0000-0000F6CA0000}"/>
    <cellStyle name="Percent [2] 5 9 6" xfId="6111" xr:uid="{00000000-0005-0000-0000-0000F7CA0000}"/>
    <cellStyle name="Percent [2] 5 9 7" xfId="52728" xr:uid="{00000000-0005-0000-0000-0000F8CA0000}"/>
    <cellStyle name="Percent [2] 6" xfId="3372" xr:uid="{00000000-0005-0000-0000-0000F9CA0000}"/>
    <cellStyle name="Percent [2] 6 2" xfId="5399" xr:uid="{00000000-0005-0000-0000-0000FACA0000}"/>
    <cellStyle name="Percent [2] 6 3" xfId="6116" xr:uid="{00000000-0005-0000-0000-0000FBCA0000}"/>
    <cellStyle name="Percent [2] 6 4" xfId="52732" xr:uid="{00000000-0005-0000-0000-0000FCCA0000}"/>
    <cellStyle name="Percent [2] 7" xfId="3373" xr:uid="{00000000-0005-0000-0000-0000FDCA0000}"/>
    <cellStyle name="Percent [2] 7 2" xfId="3374" xr:uid="{00000000-0005-0000-0000-0000FECA0000}"/>
    <cellStyle name="Percent [2] 7 2 2" xfId="5401" xr:uid="{00000000-0005-0000-0000-0000FFCA0000}"/>
    <cellStyle name="Percent [2] 7 2 3" xfId="6118" xr:uid="{00000000-0005-0000-0000-000000CB0000}"/>
    <cellStyle name="Percent [2] 7 2 4" xfId="52734" xr:uid="{00000000-0005-0000-0000-000001CB0000}"/>
    <cellStyle name="Percent [2] 7 3" xfId="5400" xr:uid="{00000000-0005-0000-0000-000002CB0000}"/>
    <cellStyle name="Percent [2] 7 4" xfId="6117" xr:uid="{00000000-0005-0000-0000-000003CB0000}"/>
    <cellStyle name="Percent [2] 7 5" xfId="52733" xr:uid="{00000000-0005-0000-0000-000004CB0000}"/>
    <cellStyle name="Percent [2] 8" xfId="3375" xr:uid="{00000000-0005-0000-0000-000005CB0000}"/>
    <cellStyle name="Percent [2] 8 2" xfId="3376" xr:uid="{00000000-0005-0000-0000-000006CB0000}"/>
    <cellStyle name="Percent [2] 8 2 2" xfId="5403" xr:uid="{00000000-0005-0000-0000-000007CB0000}"/>
    <cellStyle name="Percent [2] 8 2 3" xfId="6120" xr:uid="{00000000-0005-0000-0000-000008CB0000}"/>
    <cellStyle name="Percent [2] 8 2 4" xfId="52736" xr:uid="{00000000-0005-0000-0000-000009CB0000}"/>
    <cellStyle name="Percent [2] 8 3" xfId="5402" xr:uid="{00000000-0005-0000-0000-00000ACB0000}"/>
    <cellStyle name="Percent [2] 8 4" xfId="6119" xr:uid="{00000000-0005-0000-0000-00000BCB0000}"/>
    <cellStyle name="Percent [2] 8 5" xfId="52735" xr:uid="{00000000-0005-0000-0000-00000CCB0000}"/>
    <cellStyle name="Percent [2] 9" xfId="3377" xr:uid="{00000000-0005-0000-0000-00000DCB0000}"/>
    <cellStyle name="Percent [2] 9 2" xfId="3378" xr:uid="{00000000-0005-0000-0000-00000ECB0000}"/>
    <cellStyle name="Percent [2] 9 2 2" xfId="5405" xr:uid="{00000000-0005-0000-0000-00000FCB0000}"/>
    <cellStyle name="Percent [2] 9 2 3" xfId="6122" xr:uid="{00000000-0005-0000-0000-000010CB0000}"/>
    <cellStyle name="Percent [2] 9 2 4" xfId="52738" xr:uid="{00000000-0005-0000-0000-000011CB0000}"/>
    <cellStyle name="Percent [2] 9 3" xfId="5404" xr:uid="{00000000-0005-0000-0000-000012CB0000}"/>
    <cellStyle name="Percent [2] 9 4" xfId="6121" xr:uid="{00000000-0005-0000-0000-000013CB0000}"/>
    <cellStyle name="Percent [2] 9 5" xfId="52737" xr:uid="{00000000-0005-0000-0000-000014CB0000}"/>
    <cellStyle name="Title" xfId="149" builtinId="15" customBuiltin="1"/>
    <cellStyle name="Title 10" xfId="3380" xr:uid="{00000000-0005-0000-0000-000016CB0000}"/>
    <cellStyle name="Title 10 2" xfId="5407" xr:uid="{00000000-0005-0000-0000-000017CB0000}"/>
    <cellStyle name="Title 10 2 2" xfId="22629" xr:uid="{00000000-0005-0000-0000-000018CB0000}"/>
    <cellStyle name="Title 10 3" xfId="22628" xr:uid="{00000000-0005-0000-0000-000019CB0000}"/>
    <cellStyle name="Title 11" xfId="3381" xr:uid="{00000000-0005-0000-0000-00001ACB0000}"/>
    <cellStyle name="Title 11 2" xfId="5408" xr:uid="{00000000-0005-0000-0000-00001BCB0000}"/>
    <cellStyle name="Title 11 2 2" xfId="22631" xr:uid="{00000000-0005-0000-0000-00001CCB0000}"/>
    <cellStyle name="Title 11 3" xfId="22630" xr:uid="{00000000-0005-0000-0000-00001DCB0000}"/>
    <cellStyle name="Title 12" xfId="3382" xr:uid="{00000000-0005-0000-0000-00001ECB0000}"/>
    <cellStyle name="Title 12 2" xfId="5409" xr:uid="{00000000-0005-0000-0000-00001FCB0000}"/>
    <cellStyle name="Title 12 2 2" xfId="22634" xr:uid="{00000000-0005-0000-0000-000020CB0000}"/>
    <cellStyle name="Title 12 2 2 2" xfId="22635" xr:uid="{00000000-0005-0000-0000-000021CB0000}"/>
    <cellStyle name="Title 12 2 3" xfId="22636" xr:uid="{00000000-0005-0000-0000-000022CB0000}"/>
    <cellStyle name="Title 12 2 4" xfId="22633" xr:uid="{00000000-0005-0000-0000-000023CB0000}"/>
    <cellStyle name="Title 12 3" xfId="22637" xr:uid="{00000000-0005-0000-0000-000024CB0000}"/>
    <cellStyle name="Title 12 4" xfId="22632" xr:uid="{00000000-0005-0000-0000-000025CB0000}"/>
    <cellStyle name="Title 13" xfId="3383" xr:uid="{00000000-0005-0000-0000-000026CB0000}"/>
    <cellStyle name="Title 13 2" xfId="5410" xr:uid="{00000000-0005-0000-0000-000027CB0000}"/>
    <cellStyle name="Title 13 3" xfId="22638" xr:uid="{00000000-0005-0000-0000-000028CB0000}"/>
    <cellStyle name="Title 14" xfId="3384" xr:uid="{00000000-0005-0000-0000-000029CB0000}"/>
    <cellStyle name="Title 14 2" xfId="22639" xr:uid="{00000000-0005-0000-0000-00002ACB0000}"/>
    <cellStyle name="Title 14 3" xfId="5411" xr:uid="{00000000-0005-0000-0000-00002BCB0000}"/>
    <cellStyle name="Title 15" xfId="3385" xr:uid="{00000000-0005-0000-0000-00002CCB0000}"/>
    <cellStyle name="Title 15 2" xfId="22668" xr:uid="{00000000-0005-0000-0000-00002DCB0000}"/>
    <cellStyle name="Title 15 3" xfId="5412" xr:uid="{00000000-0005-0000-0000-00002ECB0000}"/>
    <cellStyle name="Title 16" xfId="3386" xr:uid="{00000000-0005-0000-0000-00002FCB0000}"/>
    <cellStyle name="Title 16 2" xfId="22627" xr:uid="{00000000-0005-0000-0000-000030CB0000}"/>
    <cellStyle name="Title 16 3" xfId="5406" xr:uid="{00000000-0005-0000-0000-000031CB0000}"/>
    <cellStyle name="Title 17" xfId="3387" xr:uid="{00000000-0005-0000-0000-000032CB0000}"/>
    <cellStyle name="Title 18" xfId="3388" xr:uid="{00000000-0005-0000-0000-000033CB0000}"/>
    <cellStyle name="Title 19" xfId="3379" xr:uid="{00000000-0005-0000-0000-000034CB0000}"/>
    <cellStyle name="Title 2" xfId="139" xr:uid="{00000000-0005-0000-0000-000035CB0000}"/>
    <cellStyle name="Title 2 10" xfId="5413" xr:uid="{00000000-0005-0000-0000-000036CB0000}"/>
    <cellStyle name="Title 2 11" xfId="3389" xr:uid="{00000000-0005-0000-0000-000037CB0000}"/>
    <cellStyle name="Title 2 2" xfId="3390" xr:uid="{00000000-0005-0000-0000-000038CB0000}"/>
    <cellStyle name="Title 2 2 2" xfId="5414" xr:uid="{00000000-0005-0000-0000-000039CB0000}"/>
    <cellStyle name="Title 2 3" xfId="3391" xr:uid="{00000000-0005-0000-0000-00003ACB0000}"/>
    <cellStyle name="Title 2 3 2" xfId="5415" xr:uid="{00000000-0005-0000-0000-00003BCB0000}"/>
    <cellStyle name="Title 2 4" xfId="3392" xr:uid="{00000000-0005-0000-0000-00003CCB0000}"/>
    <cellStyle name="Title 2 4 2" xfId="5416" xr:uid="{00000000-0005-0000-0000-00003DCB0000}"/>
    <cellStyle name="Title 2 5" xfId="3393" xr:uid="{00000000-0005-0000-0000-00003ECB0000}"/>
    <cellStyle name="Title 2 5 2" xfId="5417" xr:uid="{00000000-0005-0000-0000-00003FCB0000}"/>
    <cellStyle name="Title 2 6" xfId="3394" xr:uid="{00000000-0005-0000-0000-000040CB0000}"/>
    <cellStyle name="Title 2 6 2" xfId="5418" xr:uid="{00000000-0005-0000-0000-000041CB0000}"/>
    <cellStyle name="Title 2 7" xfId="5419" xr:uid="{00000000-0005-0000-0000-000042CB0000}"/>
    <cellStyle name="Title 2 7 2" xfId="6123" xr:uid="{00000000-0005-0000-0000-000043CB0000}"/>
    <cellStyle name="Title 2 8" xfId="5420" xr:uid="{00000000-0005-0000-0000-000044CB0000}"/>
    <cellStyle name="Title 2 8 2" xfId="6124" xr:uid="{00000000-0005-0000-0000-000045CB0000}"/>
    <cellStyle name="Title 2 9" xfId="5421" xr:uid="{00000000-0005-0000-0000-000046CB0000}"/>
    <cellStyle name="Title 2_BallGrid" xfId="3395" xr:uid="{00000000-0005-0000-0000-000047CB0000}"/>
    <cellStyle name="Title 3" xfId="140" xr:uid="{00000000-0005-0000-0000-000048CB0000}"/>
    <cellStyle name="Title 3 2" xfId="3396" xr:uid="{00000000-0005-0000-0000-000049CB0000}"/>
    <cellStyle name="Title 3 2 2" xfId="5423" xr:uid="{00000000-0005-0000-0000-00004ACB0000}"/>
    <cellStyle name="Title 3 3" xfId="3397" xr:uid="{00000000-0005-0000-0000-00004BCB0000}"/>
    <cellStyle name="Title 3 3 2" xfId="5424" xr:uid="{00000000-0005-0000-0000-00004CCB0000}"/>
    <cellStyle name="Title 3 4" xfId="5425" xr:uid="{00000000-0005-0000-0000-00004DCB0000}"/>
    <cellStyle name="Title 3 4 2" xfId="6125" xr:uid="{00000000-0005-0000-0000-00004ECB0000}"/>
    <cellStyle name="Title 3 5" xfId="5422" xr:uid="{00000000-0005-0000-0000-00004FCB0000}"/>
    <cellStyle name="Title 4" xfId="141" xr:uid="{00000000-0005-0000-0000-000050CB0000}"/>
    <cellStyle name="Title 4 10" xfId="3398" xr:uid="{00000000-0005-0000-0000-000051CB0000}"/>
    <cellStyle name="Title 4 2" xfId="3399" xr:uid="{00000000-0005-0000-0000-000052CB0000}"/>
    <cellStyle name="Title 4 2 2" xfId="5427" xr:uid="{00000000-0005-0000-0000-000053CB0000}"/>
    <cellStyle name="Title 4 2 3" xfId="23025" xr:uid="{00000000-0005-0000-0000-000054CB0000}"/>
    <cellStyle name="Title 4 3" xfId="3400" xr:uid="{00000000-0005-0000-0000-000055CB0000}"/>
    <cellStyle name="Title 4 3 2" xfId="5428" xr:uid="{00000000-0005-0000-0000-000056CB0000}"/>
    <cellStyle name="Title 4 3 3" xfId="22640" xr:uid="{00000000-0005-0000-0000-000057CB0000}"/>
    <cellStyle name="Title 4 4" xfId="3401" xr:uid="{00000000-0005-0000-0000-000058CB0000}"/>
    <cellStyle name="Title 4 4 2" xfId="5429" xr:uid="{00000000-0005-0000-0000-000059CB0000}"/>
    <cellStyle name="Title 4 5" xfId="3402" xr:uid="{00000000-0005-0000-0000-00005ACB0000}"/>
    <cellStyle name="Title 4 5 2" xfId="5430" xr:uid="{00000000-0005-0000-0000-00005BCB0000}"/>
    <cellStyle name="Title 4 6" xfId="5431" xr:uid="{00000000-0005-0000-0000-00005CCB0000}"/>
    <cellStyle name="Title 4 6 2" xfId="6126" xr:uid="{00000000-0005-0000-0000-00005DCB0000}"/>
    <cellStyle name="Title 4 7" xfId="5432" xr:uid="{00000000-0005-0000-0000-00005ECB0000}"/>
    <cellStyle name="Title 4 7 2" xfId="6127" xr:uid="{00000000-0005-0000-0000-00005FCB0000}"/>
    <cellStyle name="Title 4 8" xfId="5433" xr:uid="{00000000-0005-0000-0000-000060CB0000}"/>
    <cellStyle name="Title 4 9" xfId="5426" xr:uid="{00000000-0005-0000-0000-000061CB0000}"/>
    <cellStyle name="Title 5" xfId="3403" xr:uid="{00000000-0005-0000-0000-000062CB0000}"/>
    <cellStyle name="Title 5 2" xfId="5435" xr:uid="{00000000-0005-0000-0000-000063CB0000}"/>
    <cellStyle name="Title 5 3" xfId="5436" xr:uid="{00000000-0005-0000-0000-000064CB0000}"/>
    <cellStyle name="Title 5 4" xfId="5434" xr:uid="{00000000-0005-0000-0000-000065CB0000}"/>
    <cellStyle name="Title 5 5" xfId="22006" xr:uid="{00000000-0005-0000-0000-000066CB0000}"/>
    <cellStyle name="Title 6" xfId="3404" xr:uid="{00000000-0005-0000-0000-000067CB0000}"/>
    <cellStyle name="Title 6 2" xfId="3405" xr:uid="{00000000-0005-0000-0000-000068CB0000}"/>
    <cellStyle name="Title 6 2 2" xfId="5438" xr:uid="{00000000-0005-0000-0000-000069CB0000}"/>
    <cellStyle name="Title 6 3" xfId="5437" xr:uid="{00000000-0005-0000-0000-00006ACB0000}"/>
    <cellStyle name="Title 7" xfId="3406" xr:uid="{00000000-0005-0000-0000-00006BCB0000}"/>
    <cellStyle name="Title 7 2" xfId="5439" xr:uid="{00000000-0005-0000-0000-00006CCB0000}"/>
    <cellStyle name="Title 7 2 2" xfId="22642" xr:uid="{00000000-0005-0000-0000-00006DCB0000}"/>
    <cellStyle name="Title 7 3" xfId="23026" xr:uid="{00000000-0005-0000-0000-00006ECB0000}"/>
    <cellStyle name="Title 7 4" xfId="22641" xr:uid="{00000000-0005-0000-0000-00006FCB0000}"/>
    <cellStyle name="Title 7 5" xfId="22008" xr:uid="{00000000-0005-0000-0000-000070CB0000}"/>
    <cellStyle name="Title 8" xfId="3407" xr:uid="{00000000-0005-0000-0000-000071CB0000}"/>
    <cellStyle name="Title 8 2" xfId="3408" xr:uid="{00000000-0005-0000-0000-000072CB0000}"/>
    <cellStyle name="Title 8 2 2" xfId="5441" xr:uid="{00000000-0005-0000-0000-000073CB0000}"/>
    <cellStyle name="Title 8 2 2 2" xfId="22645" xr:uid="{00000000-0005-0000-0000-000074CB0000}"/>
    <cellStyle name="Title 8 2 3" xfId="22644" xr:uid="{00000000-0005-0000-0000-000075CB0000}"/>
    <cellStyle name="Title 8 3" xfId="3409" xr:uid="{00000000-0005-0000-0000-000076CB0000}"/>
    <cellStyle name="Title 8 3 2" xfId="5442" xr:uid="{00000000-0005-0000-0000-000077CB0000}"/>
    <cellStyle name="Title 8 4" xfId="5440" xr:uid="{00000000-0005-0000-0000-000078CB0000}"/>
    <cellStyle name="Title 8 5" xfId="22643" xr:uid="{00000000-0005-0000-0000-000079CB0000}"/>
    <cellStyle name="Title 9" xfId="3410" xr:uid="{00000000-0005-0000-0000-00007ACB0000}"/>
    <cellStyle name="Title 9 2" xfId="3411" xr:uid="{00000000-0005-0000-0000-00007BCB0000}"/>
    <cellStyle name="Title 9 2 2" xfId="5444" xr:uid="{00000000-0005-0000-0000-00007CCB0000}"/>
    <cellStyle name="Title 9 2 3" xfId="22647" xr:uid="{00000000-0005-0000-0000-00007DCB0000}"/>
    <cellStyle name="Title 9 3" xfId="5443" xr:uid="{00000000-0005-0000-0000-00007ECB0000}"/>
    <cellStyle name="Title 9 3 2" xfId="22792" xr:uid="{00000000-0005-0000-0000-00007FCB0000}"/>
    <cellStyle name="Title 9 3 2 2" xfId="53447" xr:uid="{00000000-0005-0000-0000-000080CB0000}"/>
    <cellStyle name="Title 9 3 3" xfId="53346" xr:uid="{00000000-0005-0000-0000-000081CB0000}"/>
    <cellStyle name="Title 9 4" xfId="22646" xr:uid="{00000000-0005-0000-0000-000082CB0000}"/>
    <cellStyle name="Total" xfId="162" builtinId="25" customBuiltin="1"/>
    <cellStyle name="Total 10" xfId="22649" xr:uid="{00000000-0005-0000-0000-000084CB0000}"/>
    <cellStyle name="Total 10 2" xfId="47565" xr:uid="{00000000-0005-0000-0000-000085CB0000}"/>
    <cellStyle name="Total 10 2 2" xfId="53448" xr:uid="{00000000-0005-0000-0000-000086CB0000}"/>
    <cellStyle name="Total 10 3" xfId="51414" xr:uid="{00000000-0005-0000-0000-000087CB0000}"/>
    <cellStyle name="Total 11" xfId="22650" xr:uid="{00000000-0005-0000-0000-000088CB0000}"/>
    <cellStyle name="Total 11 2" xfId="47566" xr:uid="{00000000-0005-0000-0000-000089CB0000}"/>
    <cellStyle name="Total 11 2 2" xfId="53449" xr:uid="{00000000-0005-0000-0000-00008ACB0000}"/>
    <cellStyle name="Total 11 3" xfId="51415" xr:uid="{00000000-0005-0000-0000-00008BCB0000}"/>
    <cellStyle name="Total 12" xfId="22651" xr:uid="{00000000-0005-0000-0000-00008CCB0000}"/>
    <cellStyle name="Total 12 2" xfId="22652" xr:uid="{00000000-0005-0000-0000-00008DCB0000}"/>
    <cellStyle name="Total 12 2 2" xfId="47568" xr:uid="{00000000-0005-0000-0000-00008ECB0000}"/>
    <cellStyle name="Total 12 2 2 2" xfId="53450" xr:uid="{00000000-0005-0000-0000-00008FCB0000}"/>
    <cellStyle name="Total 12 2 3" xfId="51417" xr:uid="{00000000-0005-0000-0000-000090CB0000}"/>
    <cellStyle name="Total 12 3" xfId="47567" xr:uid="{00000000-0005-0000-0000-000091CB0000}"/>
    <cellStyle name="Total 12 3 2" xfId="53451" xr:uid="{00000000-0005-0000-0000-000092CB0000}"/>
    <cellStyle name="Total 12 4" xfId="51416" xr:uid="{00000000-0005-0000-0000-000093CB0000}"/>
    <cellStyle name="Total 13" xfId="22653" xr:uid="{00000000-0005-0000-0000-000094CB0000}"/>
    <cellStyle name="Total 13 2" xfId="47569" xr:uid="{00000000-0005-0000-0000-000095CB0000}"/>
    <cellStyle name="Total 13 2 2" xfId="53452" xr:uid="{00000000-0005-0000-0000-000096CB0000}"/>
    <cellStyle name="Total 13 3" xfId="51418" xr:uid="{00000000-0005-0000-0000-000097CB0000}"/>
    <cellStyle name="Total 14" xfId="22654" xr:uid="{00000000-0005-0000-0000-000098CB0000}"/>
    <cellStyle name="Total 14 2" xfId="47570" xr:uid="{00000000-0005-0000-0000-000099CB0000}"/>
    <cellStyle name="Total 14 2 2" xfId="53348" xr:uid="{00000000-0005-0000-0000-00009ACB0000}"/>
    <cellStyle name="Total 14 3" xfId="51419" xr:uid="{00000000-0005-0000-0000-00009BCB0000}"/>
    <cellStyle name="Total 14 3 2" xfId="53453" xr:uid="{00000000-0005-0000-0000-00009CCB0000}"/>
    <cellStyle name="Total 14 4" xfId="53347" xr:uid="{00000000-0005-0000-0000-00009DCB0000}"/>
    <cellStyle name="Total 15" xfId="22677" xr:uid="{00000000-0005-0000-0000-00009ECB0000}"/>
    <cellStyle name="Total 16" xfId="22648" xr:uid="{00000000-0005-0000-0000-00009FCB0000}"/>
    <cellStyle name="Total 16 2" xfId="47564" xr:uid="{00000000-0005-0000-0000-0000A0CB0000}"/>
    <cellStyle name="Total 16 2 2" xfId="53350" xr:uid="{00000000-0005-0000-0000-0000A1CB0000}"/>
    <cellStyle name="Total 16 3" xfId="51413" xr:uid="{00000000-0005-0000-0000-0000A2CB0000}"/>
    <cellStyle name="Total 16 3 2" xfId="53454" xr:uid="{00000000-0005-0000-0000-0000A3CB0000}"/>
    <cellStyle name="Total 16 4" xfId="53349" xr:uid="{00000000-0005-0000-0000-0000A4CB0000}"/>
    <cellStyle name="Total 2" xfId="142" xr:uid="{00000000-0005-0000-0000-0000A5CB0000}"/>
    <cellStyle name="Total 2 10" xfId="52770" xr:uid="{00000000-0005-0000-0000-0000A6CB0000}"/>
    <cellStyle name="Total 2 2" xfId="3412" xr:uid="{00000000-0005-0000-0000-0000A7CB0000}"/>
    <cellStyle name="Total 2 2 2" xfId="3413" xr:uid="{00000000-0005-0000-0000-0000A8CB0000}"/>
    <cellStyle name="Total 2 2 2 2" xfId="5448" xr:uid="{00000000-0005-0000-0000-0000A9CB0000}"/>
    <cellStyle name="Total 2 2 2 2 2" xfId="53353" xr:uid="{00000000-0005-0000-0000-0000AACB0000}"/>
    <cellStyle name="Total 2 2 2 3" xfId="7495" xr:uid="{00000000-0005-0000-0000-0000ABCB0000}"/>
    <cellStyle name="Total 2 2 2 3 10" xfId="39237" xr:uid="{00000000-0005-0000-0000-0000ACCB0000}"/>
    <cellStyle name="Total 2 2 2 3 11" xfId="53457" xr:uid="{00000000-0005-0000-0000-0000ADCB0000}"/>
    <cellStyle name="Total 2 2 2 3 2" xfId="10768" xr:uid="{00000000-0005-0000-0000-0000AECB0000}"/>
    <cellStyle name="Total 2 2 2 3 2 2" xfId="18561" xr:uid="{00000000-0005-0000-0000-0000AFCB0000}"/>
    <cellStyle name="Total 2 2 2 3 2 2 2" xfId="44108" xr:uid="{00000000-0005-0000-0000-0000B0CB0000}"/>
    <cellStyle name="Total 2 2 2 3 2 2 3" xfId="48017" xr:uid="{00000000-0005-0000-0000-0000B1CB0000}"/>
    <cellStyle name="Total 2 2 2 3 2 2 4" xfId="36198" xr:uid="{00000000-0005-0000-0000-0000B2CB0000}"/>
    <cellStyle name="Total 2 2 2 3 2 3" xfId="12635" xr:uid="{00000000-0005-0000-0000-0000B3CB0000}"/>
    <cellStyle name="Total 2 2 2 3 2 3 2" xfId="42114" xr:uid="{00000000-0005-0000-0000-0000B4CB0000}"/>
    <cellStyle name="Total 2 2 2 3 2 3 3" xfId="39558" xr:uid="{00000000-0005-0000-0000-0000B5CB0000}"/>
    <cellStyle name="Total 2 2 2 3 2 3 4" xfId="30300" xr:uid="{00000000-0005-0000-0000-0000B6CB0000}"/>
    <cellStyle name="Total 2 2 2 3 2 4" xfId="19824" xr:uid="{00000000-0005-0000-0000-0000B7CB0000}"/>
    <cellStyle name="Total 2 2 2 3 2 4 2" xfId="45361" xr:uid="{00000000-0005-0000-0000-0000B8CB0000}"/>
    <cellStyle name="Total 2 2 2 3 2 4 3" xfId="49267" xr:uid="{00000000-0005-0000-0000-0000B9CB0000}"/>
    <cellStyle name="Total 2 2 2 3 2 4 4" xfId="37342" xr:uid="{00000000-0005-0000-0000-0000BACB0000}"/>
    <cellStyle name="Total 2 2 2 3 2 5" xfId="20974" xr:uid="{00000000-0005-0000-0000-0000BBCB0000}"/>
    <cellStyle name="Total 2 2 2 3 2 5 2" xfId="46511" xr:uid="{00000000-0005-0000-0000-0000BCCB0000}"/>
    <cellStyle name="Total 2 2 2 3 2 5 3" xfId="50417" xr:uid="{00000000-0005-0000-0000-0000BDCB0000}"/>
    <cellStyle name="Total 2 2 2 3 2 5 4" xfId="38380" xr:uid="{00000000-0005-0000-0000-0000BECB0000}"/>
    <cellStyle name="Total 2 2 2 3 2 6" xfId="21627" xr:uid="{00000000-0005-0000-0000-0000BFCB0000}"/>
    <cellStyle name="Total 2 2 2 3 2 6 2" xfId="47164" xr:uid="{00000000-0005-0000-0000-0000C0CB0000}"/>
    <cellStyle name="Total 2 2 2 3 2 6 3" xfId="51070" xr:uid="{00000000-0005-0000-0000-0000C1CB0000}"/>
    <cellStyle name="Total 2 2 2 3 2 7" xfId="40967" xr:uid="{00000000-0005-0000-0000-0000C2CB0000}"/>
    <cellStyle name="Total 2 2 2 3 2 8" xfId="40096" xr:uid="{00000000-0005-0000-0000-0000C3CB0000}"/>
    <cellStyle name="Total 2 2 2 3 3" xfId="11063" xr:uid="{00000000-0005-0000-0000-0000C4CB0000}"/>
    <cellStyle name="Total 2 2 2 3 3 2" xfId="18856" xr:uid="{00000000-0005-0000-0000-0000C5CB0000}"/>
    <cellStyle name="Total 2 2 2 3 3 2 2" xfId="44403" xr:uid="{00000000-0005-0000-0000-0000C6CB0000}"/>
    <cellStyle name="Total 2 2 2 3 3 2 3" xfId="48312" xr:uid="{00000000-0005-0000-0000-0000C7CB0000}"/>
    <cellStyle name="Total 2 2 2 3 3 2 4" xfId="36493" xr:uid="{00000000-0005-0000-0000-0000C8CB0000}"/>
    <cellStyle name="Total 2 2 2 3 3 3" xfId="20449" xr:uid="{00000000-0005-0000-0000-0000C9CB0000}"/>
    <cellStyle name="Total 2 2 2 3 3 3 2" xfId="45986" xr:uid="{00000000-0005-0000-0000-0000CACB0000}"/>
    <cellStyle name="Total 2 2 2 3 3 3 3" xfId="49892" xr:uid="{00000000-0005-0000-0000-0000CBCB0000}"/>
    <cellStyle name="Total 2 2 2 3 3 3 4" xfId="37903" xr:uid="{00000000-0005-0000-0000-0000CCCB0000}"/>
    <cellStyle name="Total 2 2 2 3 3 4" xfId="20593" xr:uid="{00000000-0005-0000-0000-0000CDCB0000}"/>
    <cellStyle name="Total 2 2 2 3 3 4 2" xfId="46130" xr:uid="{00000000-0005-0000-0000-0000CECB0000}"/>
    <cellStyle name="Total 2 2 2 3 3 4 3" xfId="50036" xr:uid="{00000000-0005-0000-0000-0000CFCB0000}"/>
    <cellStyle name="Total 2 2 2 3 3 4 4" xfId="38020" xr:uid="{00000000-0005-0000-0000-0000D0CB0000}"/>
    <cellStyle name="Total 2 2 2 3 3 5" xfId="21269" xr:uid="{00000000-0005-0000-0000-0000D1CB0000}"/>
    <cellStyle name="Total 2 2 2 3 3 5 2" xfId="46806" xr:uid="{00000000-0005-0000-0000-0000D2CB0000}"/>
    <cellStyle name="Total 2 2 2 3 3 5 3" xfId="50712" xr:uid="{00000000-0005-0000-0000-0000D3CB0000}"/>
    <cellStyle name="Total 2 2 2 3 3 5 4" xfId="38675" xr:uid="{00000000-0005-0000-0000-0000D4CB0000}"/>
    <cellStyle name="Total 2 2 2 3 3 6" xfId="21922" xr:uid="{00000000-0005-0000-0000-0000D5CB0000}"/>
    <cellStyle name="Total 2 2 2 3 3 6 2" xfId="47459" xr:uid="{00000000-0005-0000-0000-0000D6CB0000}"/>
    <cellStyle name="Total 2 2 2 3 3 6 3" xfId="51365" xr:uid="{00000000-0005-0000-0000-0000D7CB0000}"/>
    <cellStyle name="Total 2 2 2 3 3 7" xfId="41262" xr:uid="{00000000-0005-0000-0000-0000D8CB0000}"/>
    <cellStyle name="Total 2 2 2 3 3 8" xfId="39583" xr:uid="{00000000-0005-0000-0000-0000D9CB0000}"/>
    <cellStyle name="Total 2 2 2 3 4" xfId="15283" xr:uid="{00000000-0005-0000-0000-0000DACB0000}"/>
    <cellStyle name="Total 2 2 2 3 4 2" xfId="43156" xr:uid="{00000000-0005-0000-0000-0000DBCB0000}"/>
    <cellStyle name="Total 2 2 2 3 4 3" xfId="42775" xr:uid="{00000000-0005-0000-0000-0000DCCB0000}"/>
    <cellStyle name="Total 2 2 2 3 4 4" xfId="32918" xr:uid="{00000000-0005-0000-0000-0000DDCB0000}"/>
    <cellStyle name="Total 2 2 2 3 5" xfId="11371" xr:uid="{00000000-0005-0000-0000-0000DECB0000}"/>
    <cellStyle name="Total 2 2 2 3 5 2" xfId="41407" xr:uid="{00000000-0005-0000-0000-0000DFCB0000}"/>
    <cellStyle name="Total 2 2 2 3 5 3" xfId="42586" xr:uid="{00000000-0005-0000-0000-0000E0CB0000}"/>
    <cellStyle name="Total 2 2 2 3 5 4" xfId="29094" xr:uid="{00000000-0005-0000-0000-0000E1CB0000}"/>
    <cellStyle name="Total 2 2 2 3 6" xfId="18992" xr:uid="{00000000-0005-0000-0000-0000E2CB0000}"/>
    <cellStyle name="Total 2 2 2 3 6 2" xfId="44529" xr:uid="{00000000-0005-0000-0000-0000E3CB0000}"/>
    <cellStyle name="Total 2 2 2 3 6 3" xfId="48435" xr:uid="{00000000-0005-0000-0000-0000E4CB0000}"/>
    <cellStyle name="Total 2 2 2 3 6 4" xfId="36614" xr:uid="{00000000-0005-0000-0000-0000E5CB0000}"/>
    <cellStyle name="Total 2 2 2 3 7" xfId="11579" xr:uid="{00000000-0005-0000-0000-0000E6CB0000}"/>
    <cellStyle name="Total 2 2 2 3 7 2" xfId="41590" xr:uid="{00000000-0005-0000-0000-0000E7CB0000}"/>
    <cellStyle name="Total 2 2 2 3 7 3" xfId="40462" xr:uid="{00000000-0005-0000-0000-0000E8CB0000}"/>
    <cellStyle name="Total 2 2 2 3 7 4" xfId="29290" xr:uid="{00000000-0005-0000-0000-0000E9CB0000}"/>
    <cellStyle name="Total 2 2 2 3 8" xfId="13202" xr:uid="{00000000-0005-0000-0000-0000EACB0000}"/>
    <cellStyle name="Total 2 2 2 3 8 2" xfId="42423" xr:uid="{00000000-0005-0000-0000-0000EBCB0000}"/>
    <cellStyle name="Total 2 2 2 3 8 3" xfId="40176" xr:uid="{00000000-0005-0000-0000-0000ECCB0000}"/>
    <cellStyle name="Total 2 2 2 3 9" xfId="40016" xr:uid="{00000000-0005-0000-0000-0000EDCB0000}"/>
    <cellStyle name="Total 2 2 2 4" xfId="12147" xr:uid="{00000000-0005-0000-0000-0000EECB0000}"/>
    <cellStyle name="Total 2 2 2 4 2" xfId="41892" xr:uid="{00000000-0005-0000-0000-0000EFCB0000}"/>
    <cellStyle name="Total 2 2 2 4 3" xfId="40344" xr:uid="{00000000-0005-0000-0000-0000F0CB0000}"/>
    <cellStyle name="Total 2 2 2 4 4" xfId="29819" xr:uid="{00000000-0005-0000-0000-0000F1CB0000}"/>
    <cellStyle name="Total 2 2 2 5" xfId="19681" xr:uid="{00000000-0005-0000-0000-0000F2CB0000}"/>
    <cellStyle name="Total 2 2 2 5 2" xfId="45218" xr:uid="{00000000-0005-0000-0000-0000F3CB0000}"/>
    <cellStyle name="Total 2 2 2 5 3" xfId="49124" xr:uid="{00000000-0005-0000-0000-0000F4CB0000}"/>
    <cellStyle name="Total 2 2 2 5 4" xfId="37213" xr:uid="{00000000-0005-0000-0000-0000F5CB0000}"/>
    <cellStyle name="Total 2 2 2 6" xfId="53352" xr:uid="{00000000-0005-0000-0000-0000F6CB0000}"/>
    <cellStyle name="Total 2 2 3" xfId="5447" xr:uid="{00000000-0005-0000-0000-0000F7CB0000}"/>
    <cellStyle name="Total 2 2 3 2" xfId="53354" xr:uid="{00000000-0005-0000-0000-0000F8CB0000}"/>
    <cellStyle name="Total 2 2 4" xfId="7494" xr:uid="{00000000-0005-0000-0000-0000F9CB0000}"/>
    <cellStyle name="Total 2 2 4 10" xfId="39408" xr:uid="{00000000-0005-0000-0000-0000FACB0000}"/>
    <cellStyle name="Total 2 2 4 11" xfId="53456" xr:uid="{00000000-0005-0000-0000-0000FBCB0000}"/>
    <cellStyle name="Total 2 2 4 2" xfId="10767" xr:uid="{00000000-0005-0000-0000-0000FCCB0000}"/>
    <cellStyle name="Total 2 2 4 2 2" xfId="18560" xr:uid="{00000000-0005-0000-0000-0000FDCB0000}"/>
    <cellStyle name="Total 2 2 4 2 2 2" xfId="44107" xr:uid="{00000000-0005-0000-0000-0000FECB0000}"/>
    <cellStyle name="Total 2 2 4 2 2 3" xfId="48016" xr:uid="{00000000-0005-0000-0000-0000FFCB0000}"/>
    <cellStyle name="Total 2 2 4 2 2 4" xfId="36197" xr:uid="{00000000-0005-0000-0000-000000CC0000}"/>
    <cellStyle name="Total 2 2 4 2 3" xfId="19731" xr:uid="{00000000-0005-0000-0000-000001CC0000}"/>
    <cellStyle name="Total 2 2 4 2 3 2" xfId="45268" xr:uid="{00000000-0005-0000-0000-000002CC0000}"/>
    <cellStyle name="Total 2 2 4 2 3 3" xfId="49174" xr:uid="{00000000-0005-0000-0000-000003CC0000}"/>
    <cellStyle name="Total 2 2 4 2 3 4" xfId="37258" xr:uid="{00000000-0005-0000-0000-000004CC0000}"/>
    <cellStyle name="Total 2 2 4 2 4" xfId="19475" xr:uid="{00000000-0005-0000-0000-000005CC0000}"/>
    <cellStyle name="Total 2 2 4 2 4 2" xfId="45012" xr:uid="{00000000-0005-0000-0000-000006CC0000}"/>
    <cellStyle name="Total 2 2 4 2 4 3" xfId="48918" xr:uid="{00000000-0005-0000-0000-000007CC0000}"/>
    <cellStyle name="Total 2 2 4 2 4 4" xfId="37033" xr:uid="{00000000-0005-0000-0000-000008CC0000}"/>
    <cellStyle name="Total 2 2 4 2 5" xfId="20973" xr:uid="{00000000-0005-0000-0000-000009CC0000}"/>
    <cellStyle name="Total 2 2 4 2 5 2" xfId="46510" xr:uid="{00000000-0005-0000-0000-00000ACC0000}"/>
    <cellStyle name="Total 2 2 4 2 5 3" xfId="50416" xr:uid="{00000000-0005-0000-0000-00000BCC0000}"/>
    <cellStyle name="Total 2 2 4 2 5 4" xfId="38379" xr:uid="{00000000-0005-0000-0000-00000CCC0000}"/>
    <cellStyle name="Total 2 2 4 2 6" xfId="21626" xr:uid="{00000000-0005-0000-0000-00000DCC0000}"/>
    <cellStyle name="Total 2 2 4 2 6 2" xfId="47163" xr:uid="{00000000-0005-0000-0000-00000ECC0000}"/>
    <cellStyle name="Total 2 2 4 2 6 3" xfId="51069" xr:uid="{00000000-0005-0000-0000-00000FCC0000}"/>
    <cellStyle name="Total 2 2 4 2 7" xfId="40966" xr:uid="{00000000-0005-0000-0000-000010CC0000}"/>
    <cellStyle name="Total 2 2 4 2 8" xfId="43237" xr:uid="{00000000-0005-0000-0000-000011CC0000}"/>
    <cellStyle name="Total 2 2 4 3" xfId="11062" xr:uid="{00000000-0005-0000-0000-000012CC0000}"/>
    <cellStyle name="Total 2 2 4 3 2" xfId="18855" xr:uid="{00000000-0005-0000-0000-000013CC0000}"/>
    <cellStyle name="Total 2 2 4 3 2 2" xfId="44402" xr:uid="{00000000-0005-0000-0000-000014CC0000}"/>
    <cellStyle name="Total 2 2 4 3 2 3" xfId="48311" xr:uid="{00000000-0005-0000-0000-000015CC0000}"/>
    <cellStyle name="Total 2 2 4 3 2 4" xfId="36492" xr:uid="{00000000-0005-0000-0000-000016CC0000}"/>
    <cellStyle name="Total 2 2 4 3 3" xfId="20448" xr:uid="{00000000-0005-0000-0000-000017CC0000}"/>
    <cellStyle name="Total 2 2 4 3 3 2" xfId="45985" xr:uid="{00000000-0005-0000-0000-000018CC0000}"/>
    <cellStyle name="Total 2 2 4 3 3 3" xfId="49891" xr:uid="{00000000-0005-0000-0000-000019CC0000}"/>
    <cellStyle name="Total 2 2 4 3 3 4" xfId="37902" xr:uid="{00000000-0005-0000-0000-00001ACC0000}"/>
    <cellStyle name="Total 2 2 4 3 4" xfId="20592" xr:uid="{00000000-0005-0000-0000-00001BCC0000}"/>
    <cellStyle name="Total 2 2 4 3 4 2" xfId="46129" xr:uid="{00000000-0005-0000-0000-00001CCC0000}"/>
    <cellStyle name="Total 2 2 4 3 4 3" xfId="50035" xr:uid="{00000000-0005-0000-0000-00001DCC0000}"/>
    <cellStyle name="Total 2 2 4 3 4 4" xfId="38019" xr:uid="{00000000-0005-0000-0000-00001ECC0000}"/>
    <cellStyle name="Total 2 2 4 3 5" xfId="21268" xr:uid="{00000000-0005-0000-0000-00001FCC0000}"/>
    <cellStyle name="Total 2 2 4 3 5 2" xfId="46805" xr:uid="{00000000-0005-0000-0000-000020CC0000}"/>
    <cellStyle name="Total 2 2 4 3 5 3" xfId="50711" xr:uid="{00000000-0005-0000-0000-000021CC0000}"/>
    <cellStyle name="Total 2 2 4 3 5 4" xfId="38674" xr:uid="{00000000-0005-0000-0000-000022CC0000}"/>
    <cellStyle name="Total 2 2 4 3 6" xfId="21921" xr:uid="{00000000-0005-0000-0000-000023CC0000}"/>
    <cellStyle name="Total 2 2 4 3 6 2" xfId="47458" xr:uid="{00000000-0005-0000-0000-000024CC0000}"/>
    <cellStyle name="Total 2 2 4 3 6 3" xfId="51364" xr:uid="{00000000-0005-0000-0000-000025CC0000}"/>
    <cellStyle name="Total 2 2 4 3 7" xfId="41261" xr:uid="{00000000-0005-0000-0000-000026CC0000}"/>
    <cellStyle name="Total 2 2 4 3 8" xfId="40473" xr:uid="{00000000-0005-0000-0000-000027CC0000}"/>
    <cellStyle name="Total 2 2 4 4" xfId="15282" xr:uid="{00000000-0005-0000-0000-000028CC0000}"/>
    <cellStyle name="Total 2 2 4 4 2" xfId="43155" xr:uid="{00000000-0005-0000-0000-000029CC0000}"/>
    <cellStyle name="Total 2 2 4 4 3" xfId="40035" xr:uid="{00000000-0005-0000-0000-00002ACC0000}"/>
    <cellStyle name="Total 2 2 4 4 4" xfId="32917" xr:uid="{00000000-0005-0000-0000-00002BCC0000}"/>
    <cellStyle name="Total 2 2 4 5" xfId="19815" xr:uid="{00000000-0005-0000-0000-00002CCC0000}"/>
    <cellStyle name="Total 2 2 4 5 2" xfId="45352" xr:uid="{00000000-0005-0000-0000-00002DCC0000}"/>
    <cellStyle name="Total 2 2 4 5 3" xfId="49258" xr:uid="{00000000-0005-0000-0000-00002ECC0000}"/>
    <cellStyle name="Total 2 2 4 5 4" xfId="37336" xr:uid="{00000000-0005-0000-0000-00002FCC0000}"/>
    <cellStyle name="Total 2 2 4 6" xfId="19164" xr:uid="{00000000-0005-0000-0000-000030CC0000}"/>
    <cellStyle name="Total 2 2 4 6 2" xfId="44701" xr:uid="{00000000-0005-0000-0000-000031CC0000}"/>
    <cellStyle name="Total 2 2 4 6 3" xfId="48607" xr:uid="{00000000-0005-0000-0000-000032CC0000}"/>
    <cellStyle name="Total 2 2 4 6 4" xfId="36756" xr:uid="{00000000-0005-0000-0000-000033CC0000}"/>
    <cellStyle name="Total 2 2 4 7" xfId="12675" xr:uid="{00000000-0005-0000-0000-000034CC0000}"/>
    <cellStyle name="Total 2 2 4 7 2" xfId="42154" xr:uid="{00000000-0005-0000-0000-000035CC0000}"/>
    <cellStyle name="Total 2 2 4 7 3" xfId="39555" xr:uid="{00000000-0005-0000-0000-000036CC0000}"/>
    <cellStyle name="Total 2 2 4 7 4" xfId="30339" xr:uid="{00000000-0005-0000-0000-000037CC0000}"/>
    <cellStyle name="Total 2 2 4 8" xfId="20478" xr:uid="{00000000-0005-0000-0000-000038CC0000}"/>
    <cellStyle name="Total 2 2 4 8 2" xfId="46015" xr:uid="{00000000-0005-0000-0000-000039CC0000}"/>
    <cellStyle name="Total 2 2 4 8 3" xfId="49921" xr:uid="{00000000-0005-0000-0000-00003ACC0000}"/>
    <cellStyle name="Total 2 2 4 9" xfId="40015" xr:uid="{00000000-0005-0000-0000-00003BCC0000}"/>
    <cellStyle name="Total 2 2 5" xfId="12146" xr:uid="{00000000-0005-0000-0000-00003CCC0000}"/>
    <cellStyle name="Total 2 2 5 2" xfId="41891" xr:uid="{00000000-0005-0000-0000-00003DCC0000}"/>
    <cellStyle name="Total 2 2 5 3" xfId="43484" xr:uid="{00000000-0005-0000-0000-00003ECC0000}"/>
    <cellStyle name="Total 2 2 5 4" xfId="29818" xr:uid="{00000000-0005-0000-0000-00003FCC0000}"/>
    <cellStyle name="Total 2 2 6" xfId="11609" xr:uid="{00000000-0005-0000-0000-000040CC0000}"/>
    <cellStyle name="Total 2 2 6 2" xfId="41620" xr:uid="{00000000-0005-0000-0000-000041CC0000}"/>
    <cellStyle name="Total 2 2 6 3" xfId="39350" xr:uid="{00000000-0005-0000-0000-000042CC0000}"/>
    <cellStyle name="Total 2 2 6 4" xfId="29312" xr:uid="{00000000-0005-0000-0000-000043CC0000}"/>
    <cellStyle name="Total 2 2 7" xfId="53351" xr:uid="{00000000-0005-0000-0000-000044CC0000}"/>
    <cellStyle name="Total 2 2_Sheet1" xfId="3414" xr:uid="{00000000-0005-0000-0000-000045CC0000}"/>
    <cellStyle name="Total 2 3" xfId="3415" xr:uid="{00000000-0005-0000-0000-000046CC0000}"/>
    <cellStyle name="Total 2 3 2" xfId="5449" xr:uid="{00000000-0005-0000-0000-000047CC0000}"/>
    <cellStyle name="Total 2 3 2 2" xfId="53356" xr:uid="{00000000-0005-0000-0000-000048CC0000}"/>
    <cellStyle name="Total 2 3 3" xfId="7496" xr:uid="{00000000-0005-0000-0000-000049CC0000}"/>
    <cellStyle name="Total 2 3 3 10" xfId="47476" xr:uid="{00000000-0005-0000-0000-00004ACC0000}"/>
    <cellStyle name="Total 2 3 3 11" xfId="53458" xr:uid="{00000000-0005-0000-0000-00004BCC0000}"/>
    <cellStyle name="Total 2 3 3 2" xfId="10769" xr:uid="{00000000-0005-0000-0000-00004CCC0000}"/>
    <cellStyle name="Total 2 3 3 2 2" xfId="18562" xr:uid="{00000000-0005-0000-0000-00004DCC0000}"/>
    <cellStyle name="Total 2 3 3 2 2 2" xfId="44109" xr:uid="{00000000-0005-0000-0000-00004ECC0000}"/>
    <cellStyle name="Total 2 3 3 2 2 3" xfId="48018" xr:uid="{00000000-0005-0000-0000-00004FCC0000}"/>
    <cellStyle name="Total 2 3 3 2 2 4" xfId="36199" xr:uid="{00000000-0005-0000-0000-000050CC0000}"/>
    <cellStyle name="Total 2 3 3 2 3" xfId="19598" xr:uid="{00000000-0005-0000-0000-000051CC0000}"/>
    <cellStyle name="Total 2 3 3 2 3 2" xfId="45135" xr:uid="{00000000-0005-0000-0000-000052CC0000}"/>
    <cellStyle name="Total 2 3 3 2 3 3" xfId="49041" xr:uid="{00000000-0005-0000-0000-000053CC0000}"/>
    <cellStyle name="Total 2 3 3 2 3 4" xfId="37138" xr:uid="{00000000-0005-0000-0000-000054CC0000}"/>
    <cellStyle name="Total 2 3 3 2 4" xfId="20463" xr:uid="{00000000-0005-0000-0000-000055CC0000}"/>
    <cellStyle name="Total 2 3 3 2 4 2" xfId="46000" xr:uid="{00000000-0005-0000-0000-000056CC0000}"/>
    <cellStyle name="Total 2 3 3 2 4 3" xfId="49906" xr:uid="{00000000-0005-0000-0000-000057CC0000}"/>
    <cellStyle name="Total 2 3 3 2 4 4" xfId="37916" xr:uid="{00000000-0005-0000-0000-000058CC0000}"/>
    <cellStyle name="Total 2 3 3 2 5" xfId="20975" xr:uid="{00000000-0005-0000-0000-000059CC0000}"/>
    <cellStyle name="Total 2 3 3 2 5 2" xfId="46512" xr:uid="{00000000-0005-0000-0000-00005ACC0000}"/>
    <cellStyle name="Total 2 3 3 2 5 3" xfId="50418" xr:uid="{00000000-0005-0000-0000-00005BCC0000}"/>
    <cellStyle name="Total 2 3 3 2 5 4" xfId="38381" xr:uid="{00000000-0005-0000-0000-00005CCC0000}"/>
    <cellStyle name="Total 2 3 3 2 6" xfId="21628" xr:uid="{00000000-0005-0000-0000-00005DCC0000}"/>
    <cellStyle name="Total 2 3 3 2 6 2" xfId="47165" xr:uid="{00000000-0005-0000-0000-00005ECC0000}"/>
    <cellStyle name="Total 2 3 3 2 6 3" xfId="51071" xr:uid="{00000000-0005-0000-0000-00005FCC0000}"/>
    <cellStyle name="Total 2 3 3 2 7" xfId="40968" xr:uid="{00000000-0005-0000-0000-000060CC0000}"/>
    <cellStyle name="Total 2 3 3 2 8" xfId="42844" xr:uid="{00000000-0005-0000-0000-000061CC0000}"/>
    <cellStyle name="Total 2 3 3 3" xfId="11064" xr:uid="{00000000-0005-0000-0000-000062CC0000}"/>
    <cellStyle name="Total 2 3 3 3 2" xfId="18857" xr:uid="{00000000-0005-0000-0000-000063CC0000}"/>
    <cellStyle name="Total 2 3 3 3 2 2" xfId="44404" xr:uid="{00000000-0005-0000-0000-000064CC0000}"/>
    <cellStyle name="Total 2 3 3 3 2 3" xfId="48313" xr:uid="{00000000-0005-0000-0000-000065CC0000}"/>
    <cellStyle name="Total 2 3 3 3 2 4" xfId="36494" xr:uid="{00000000-0005-0000-0000-000066CC0000}"/>
    <cellStyle name="Total 2 3 3 3 3" xfId="20450" xr:uid="{00000000-0005-0000-0000-000067CC0000}"/>
    <cellStyle name="Total 2 3 3 3 3 2" xfId="45987" xr:uid="{00000000-0005-0000-0000-000068CC0000}"/>
    <cellStyle name="Total 2 3 3 3 3 3" xfId="49893" xr:uid="{00000000-0005-0000-0000-000069CC0000}"/>
    <cellStyle name="Total 2 3 3 3 3 4" xfId="37904" xr:uid="{00000000-0005-0000-0000-00006ACC0000}"/>
    <cellStyle name="Total 2 3 3 3 4" xfId="20594" xr:uid="{00000000-0005-0000-0000-00006BCC0000}"/>
    <cellStyle name="Total 2 3 3 3 4 2" xfId="46131" xr:uid="{00000000-0005-0000-0000-00006CCC0000}"/>
    <cellStyle name="Total 2 3 3 3 4 3" xfId="50037" xr:uid="{00000000-0005-0000-0000-00006DCC0000}"/>
    <cellStyle name="Total 2 3 3 3 4 4" xfId="38021" xr:uid="{00000000-0005-0000-0000-00006ECC0000}"/>
    <cellStyle name="Total 2 3 3 3 5" xfId="21270" xr:uid="{00000000-0005-0000-0000-00006FCC0000}"/>
    <cellStyle name="Total 2 3 3 3 5 2" xfId="46807" xr:uid="{00000000-0005-0000-0000-000070CC0000}"/>
    <cellStyle name="Total 2 3 3 3 5 3" xfId="50713" xr:uid="{00000000-0005-0000-0000-000071CC0000}"/>
    <cellStyle name="Total 2 3 3 3 5 4" xfId="38676" xr:uid="{00000000-0005-0000-0000-000072CC0000}"/>
    <cellStyle name="Total 2 3 3 3 6" xfId="21923" xr:uid="{00000000-0005-0000-0000-000073CC0000}"/>
    <cellStyle name="Total 2 3 3 3 6 2" xfId="47460" xr:uid="{00000000-0005-0000-0000-000074CC0000}"/>
    <cellStyle name="Total 2 3 3 3 6 3" xfId="51366" xr:uid="{00000000-0005-0000-0000-000075CC0000}"/>
    <cellStyle name="Total 2 3 3 3 7" xfId="41263" xr:uid="{00000000-0005-0000-0000-000076CC0000}"/>
    <cellStyle name="Total 2 3 3 3 8" xfId="42591" xr:uid="{00000000-0005-0000-0000-000077CC0000}"/>
    <cellStyle name="Total 2 3 3 4" xfId="15284" xr:uid="{00000000-0005-0000-0000-000078CC0000}"/>
    <cellStyle name="Total 2 3 3 4 2" xfId="43157" xr:uid="{00000000-0005-0000-0000-000079CC0000}"/>
    <cellStyle name="Total 2 3 3 4 3" xfId="43662" xr:uid="{00000000-0005-0000-0000-00007ACC0000}"/>
    <cellStyle name="Total 2 3 3 4 4" xfId="32919" xr:uid="{00000000-0005-0000-0000-00007BCC0000}"/>
    <cellStyle name="Total 2 3 3 5" xfId="13249" xr:uid="{00000000-0005-0000-0000-00007CCC0000}"/>
    <cellStyle name="Total 2 3 3 5 2" xfId="42429" xr:uid="{00000000-0005-0000-0000-00007DCC0000}"/>
    <cellStyle name="Total 2 3 3 5 3" xfId="43464" xr:uid="{00000000-0005-0000-0000-00007ECC0000}"/>
    <cellStyle name="Total 2 3 3 5 4" xfId="30894" xr:uid="{00000000-0005-0000-0000-00007FCC0000}"/>
    <cellStyle name="Total 2 3 3 6" xfId="19216" xr:uid="{00000000-0005-0000-0000-000080CC0000}"/>
    <cellStyle name="Total 2 3 3 6 2" xfId="44753" xr:uid="{00000000-0005-0000-0000-000081CC0000}"/>
    <cellStyle name="Total 2 3 3 6 3" xfId="48659" xr:uid="{00000000-0005-0000-0000-000082CC0000}"/>
    <cellStyle name="Total 2 3 3 6 4" xfId="36801" xr:uid="{00000000-0005-0000-0000-000083CC0000}"/>
    <cellStyle name="Total 2 3 3 7" xfId="12676" xr:uid="{00000000-0005-0000-0000-000084CC0000}"/>
    <cellStyle name="Total 2 3 3 7 2" xfId="42155" xr:uid="{00000000-0005-0000-0000-000085CC0000}"/>
    <cellStyle name="Total 2 3 3 7 3" xfId="42562" xr:uid="{00000000-0005-0000-0000-000086CC0000}"/>
    <cellStyle name="Total 2 3 3 7 4" xfId="30340" xr:uid="{00000000-0005-0000-0000-000087CC0000}"/>
    <cellStyle name="Total 2 3 3 8" xfId="11673" xr:uid="{00000000-0005-0000-0000-000088CC0000}"/>
    <cellStyle name="Total 2 3 3 8 2" xfId="41684" xr:uid="{00000000-0005-0000-0000-000089CC0000}"/>
    <cellStyle name="Total 2 3 3 8 3" xfId="43597" xr:uid="{00000000-0005-0000-0000-00008ACC0000}"/>
    <cellStyle name="Total 2 3 3 9" xfId="40017" xr:uid="{00000000-0005-0000-0000-00008BCC0000}"/>
    <cellStyle name="Total 2 3 4" xfId="12148" xr:uid="{00000000-0005-0000-0000-00008CCC0000}"/>
    <cellStyle name="Total 2 3 4 2" xfId="41893" xr:uid="{00000000-0005-0000-0000-00008DCC0000}"/>
    <cellStyle name="Total 2 3 4 3" xfId="39457" xr:uid="{00000000-0005-0000-0000-00008ECC0000}"/>
    <cellStyle name="Total 2 3 4 4" xfId="29820" xr:uid="{00000000-0005-0000-0000-00008FCC0000}"/>
    <cellStyle name="Total 2 3 5" xfId="19543" xr:uid="{00000000-0005-0000-0000-000090CC0000}"/>
    <cellStyle name="Total 2 3 5 2" xfId="45080" xr:uid="{00000000-0005-0000-0000-000091CC0000}"/>
    <cellStyle name="Total 2 3 5 3" xfId="48986" xr:uid="{00000000-0005-0000-0000-000092CC0000}"/>
    <cellStyle name="Total 2 3 5 4" xfId="37087" xr:uid="{00000000-0005-0000-0000-000093CC0000}"/>
    <cellStyle name="Total 2 3 6" xfId="53355" xr:uid="{00000000-0005-0000-0000-000094CC0000}"/>
    <cellStyle name="Total 2 4" xfId="3416" xr:uid="{00000000-0005-0000-0000-000095CC0000}"/>
    <cellStyle name="Total 2 4 2" xfId="5450" xr:uid="{00000000-0005-0000-0000-000096CC0000}"/>
    <cellStyle name="Total 2 4 2 2" xfId="53358" xr:uid="{00000000-0005-0000-0000-000097CC0000}"/>
    <cellStyle name="Total 2 4 3" xfId="7497" xr:uid="{00000000-0005-0000-0000-000098CC0000}"/>
    <cellStyle name="Total 2 4 3 10" xfId="41706" xr:uid="{00000000-0005-0000-0000-000099CC0000}"/>
    <cellStyle name="Total 2 4 3 11" xfId="53459" xr:uid="{00000000-0005-0000-0000-00009ACC0000}"/>
    <cellStyle name="Total 2 4 3 2" xfId="10770" xr:uid="{00000000-0005-0000-0000-00009BCC0000}"/>
    <cellStyle name="Total 2 4 3 2 2" xfId="18563" xr:uid="{00000000-0005-0000-0000-00009CCC0000}"/>
    <cellStyle name="Total 2 4 3 2 2 2" xfId="44110" xr:uid="{00000000-0005-0000-0000-00009DCC0000}"/>
    <cellStyle name="Total 2 4 3 2 2 3" xfId="48019" xr:uid="{00000000-0005-0000-0000-00009ECC0000}"/>
    <cellStyle name="Total 2 4 3 2 2 4" xfId="36200" xr:uid="{00000000-0005-0000-0000-00009FCC0000}"/>
    <cellStyle name="Total 2 4 3 2 3" xfId="20151" xr:uid="{00000000-0005-0000-0000-0000A0CC0000}"/>
    <cellStyle name="Total 2 4 3 2 3 2" xfId="45688" xr:uid="{00000000-0005-0000-0000-0000A1CC0000}"/>
    <cellStyle name="Total 2 4 3 2 3 3" xfId="49594" xr:uid="{00000000-0005-0000-0000-0000A2CC0000}"/>
    <cellStyle name="Total 2 4 3 2 3 4" xfId="37637" xr:uid="{00000000-0005-0000-0000-0000A3CC0000}"/>
    <cellStyle name="Total 2 4 3 2 4" xfId="12693" xr:uid="{00000000-0005-0000-0000-0000A4CC0000}"/>
    <cellStyle name="Total 2 4 3 2 4 2" xfId="42172" xr:uid="{00000000-0005-0000-0000-0000A5CC0000}"/>
    <cellStyle name="Total 2 4 3 2 4 3" xfId="40447" xr:uid="{00000000-0005-0000-0000-0000A6CC0000}"/>
    <cellStyle name="Total 2 4 3 2 4 4" xfId="30354" xr:uid="{00000000-0005-0000-0000-0000A7CC0000}"/>
    <cellStyle name="Total 2 4 3 2 5" xfId="20976" xr:uid="{00000000-0005-0000-0000-0000A8CC0000}"/>
    <cellStyle name="Total 2 4 3 2 5 2" xfId="46513" xr:uid="{00000000-0005-0000-0000-0000A9CC0000}"/>
    <cellStyle name="Total 2 4 3 2 5 3" xfId="50419" xr:uid="{00000000-0005-0000-0000-0000AACC0000}"/>
    <cellStyle name="Total 2 4 3 2 5 4" xfId="38382" xr:uid="{00000000-0005-0000-0000-0000ABCC0000}"/>
    <cellStyle name="Total 2 4 3 2 6" xfId="21629" xr:uid="{00000000-0005-0000-0000-0000ACCC0000}"/>
    <cellStyle name="Total 2 4 3 2 6 2" xfId="47166" xr:uid="{00000000-0005-0000-0000-0000ADCC0000}"/>
    <cellStyle name="Total 2 4 3 2 6 3" xfId="51072" xr:uid="{00000000-0005-0000-0000-0000AECC0000}"/>
    <cellStyle name="Total 2 4 3 2 7" xfId="40969" xr:uid="{00000000-0005-0000-0000-0000AFCC0000}"/>
    <cellStyle name="Total 2 4 3 2 8" xfId="43733" xr:uid="{00000000-0005-0000-0000-0000B0CC0000}"/>
    <cellStyle name="Total 2 4 3 3" xfId="11065" xr:uid="{00000000-0005-0000-0000-0000B1CC0000}"/>
    <cellStyle name="Total 2 4 3 3 2" xfId="18858" xr:uid="{00000000-0005-0000-0000-0000B2CC0000}"/>
    <cellStyle name="Total 2 4 3 3 2 2" xfId="44405" xr:uid="{00000000-0005-0000-0000-0000B3CC0000}"/>
    <cellStyle name="Total 2 4 3 3 2 3" xfId="48314" xr:uid="{00000000-0005-0000-0000-0000B4CC0000}"/>
    <cellStyle name="Total 2 4 3 3 2 4" xfId="36495" xr:uid="{00000000-0005-0000-0000-0000B5CC0000}"/>
    <cellStyle name="Total 2 4 3 3 3" xfId="20451" xr:uid="{00000000-0005-0000-0000-0000B6CC0000}"/>
    <cellStyle name="Total 2 4 3 3 3 2" xfId="45988" xr:uid="{00000000-0005-0000-0000-0000B7CC0000}"/>
    <cellStyle name="Total 2 4 3 3 3 3" xfId="49894" xr:uid="{00000000-0005-0000-0000-0000B8CC0000}"/>
    <cellStyle name="Total 2 4 3 3 3 4" xfId="37905" xr:uid="{00000000-0005-0000-0000-0000B9CC0000}"/>
    <cellStyle name="Total 2 4 3 3 4" xfId="20595" xr:uid="{00000000-0005-0000-0000-0000BACC0000}"/>
    <cellStyle name="Total 2 4 3 3 4 2" xfId="46132" xr:uid="{00000000-0005-0000-0000-0000BBCC0000}"/>
    <cellStyle name="Total 2 4 3 3 4 3" xfId="50038" xr:uid="{00000000-0005-0000-0000-0000BCCC0000}"/>
    <cellStyle name="Total 2 4 3 3 4 4" xfId="38022" xr:uid="{00000000-0005-0000-0000-0000BDCC0000}"/>
    <cellStyle name="Total 2 4 3 3 5" xfId="21271" xr:uid="{00000000-0005-0000-0000-0000BECC0000}"/>
    <cellStyle name="Total 2 4 3 3 5 2" xfId="46808" xr:uid="{00000000-0005-0000-0000-0000BFCC0000}"/>
    <cellStyle name="Total 2 4 3 3 5 3" xfId="50714" xr:uid="{00000000-0005-0000-0000-0000C0CC0000}"/>
    <cellStyle name="Total 2 4 3 3 5 4" xfId="38677" xr:uid="{00000000-0005-0000-0000-0000C1CC0000}"/>
    <cellStyle name="Total 2 4 3 3 6" xfId="21924" xr:uid="{00000000-0005-0000-0000-0000C2CC0000}"/>
    <cellStyle name="Total 2 4 3 3 6 2" xfId="47461" xr:uid="{00000000-0005-0000-0000-0000C3CC0000}"/>
    <cellStyle name="Total 2 4 3 3 6 3" xfId="51367" xr:uid="{00000000-0005-0000-0000-0000C4CC0000}"/>
    <cellStyle name="Total 2 4 3 3 7" xfId="41264" xr:uid="{00000000-0005-0000-0000-0000C5CC0000}"/>
    <cellStyle name="Total 2 4 3 3 8" xfId="43504" xr:uid="{00000000-0005-0000-0000-0000C6CC0000}"/>
    <cellStyle name="Total 2 4 3 4" xfId="15285" xr:uid="{00000000-0005-0000-0000-0000C7CC0000}"/>
    <cellStyle name="Total 2 4 3 4 2" xfId="43158" xr:uid="{00000000-0005-0000-0000-0000C8CC0000}"/>
    <cellStyle name="Total 2 4 3 4 3" xfId="40521" xr:uid="{00000000-0005-0000-0000-0000C9CC0000}"/>
    <cellStyle name="Total 2 4 3 4 4" xfId="32920" xr:uid="{00000000-0005-0000-0000-0000CACC0000}"/>
    <cellStyle name="Total 2 4 3 5" xfId="11373" xr:uid="{00000000-0005-0000-0000-0000CBCC0000}"/>
    <cellStyle name="Total 2 4 3 5 2" xfId="41409" xr:uid="{00000000-0005-0000-0000-0000CCCC0000}"/>
    <cellStyle name="Total 2 4 3 5 3" xfId="40361" xr:uid="{00000000-0005-0000-0000-0000CDCC0000}"/>
    <cellStyle name="Total 2 4 3 5 4" xfId="29096" xr:uid="{00000000-0005-0000-0000-0000CECC0000}"/>
    <cellStyle name="Total 2 4 3 6" xfId="18993" xr:uid="{00000000-0005-0000-0000-0000CFCC0000}"/>
    <cellStyle name="Total 2 4 3 6 2" xfId="44530" xr:uid="{00000000-0005-0000-0000-0000D0CC0000}"/>
    <cellStyle name="Total 2 4 3 6 3" xfId="48436" xr:uid="{00000000-0005-0000-0000-0000D1CC0000}"/>
    <cellStyle name="Total 2 4 3 6 4" xfId="36615" xr:uid="{00000000-0005-0000-0000-0000D2CC0000}"/>
    <cellStyle name="Total 2 4 3 7" xfId="11580" xr:uid="{00000000-0005-0000-0000-0000D3CC0000}"/>
    <cellStyle name="Total 2 4 3 7 2" xfId="41591" xr:uid="{00000000-0005-0000-0000-0000D4CC0000}"/>
    <cellStyle name="Total 2 4 3 7 3" xfId="39573" xr:uid="{00000000-0005-0000-0000-0000D5CC0000}"/>
    <cellStyle name="Total 2 4 3 7 4" xfId="29291" xr:uid="{00000000-0005-0000-0000-0000D6CC0000}"/>
    <cellStyle name="Total 2 4 3 8" xfId="12706" xr:uid="{00000000-0005-0000-0000-0000D7CC0000}"/>
    <cellStyle name="Total 2 4 3 8 2" xfId="42181" xr:uid="{00000000-0005-0000-0000-0000D8CC0000}"/>
    <cellStyle name="Total 2 4 3 8 3" xfId="39659" xr:uid="{00000000-0005-0000-0000-0000D9CC0000}"/>
    <cellStyle name="Total 2 4 3 9" xfId="40018" xr:uid="{00000000-0005-0000-0000-0000DACC0000}"/>
    <cellStyle name="Total 2 4 4" xfId="12149" xr:uid="{00000000-0005-0000-0000-0000DBCC0000}"/>
    <cellStyle name="Total 2 4 4 2" xfId="41894" xr:uid="{00000000-0005-0000-0000-0000DCCC0000}"/>
    <cellStyle name="Total 2 4 4 3" xfId="47491" xr:uid="{00000000-0005-0000-0000-0000DDCC0000}"/>
    <cellStyle name="Total 2 4 4 4" xfId="29821" xr:uid="{00000000-0005-0000-0000-0000DECC0000}"/>
    <cellStyle name="Total 2 4 5" xfId="20107" xr:uid="{00000000-0005-0000-0000-0000DFCC0000}"/>
    <cellStyle name="Total 2 4 5 2" xfId="45644" xr:uid="{00000000-0005-0000-0000-0000E0CC0000}"/>
    <cellStyle name="Total 2 4 5 3" xfId="49550" xr:uid="{00000000-0005-0000-0000-0000E1CC0000}"/>
    <cellStyle name="Total 2 4 5 4" xfId="37595" xr:uid="{00000000-0005-0000-0000-0000E2CC0000}"/>
    <cellStyle name="Total 2 4 6" xfId="53357" xr:uid="{00000000-0005-0000-0000-0000E3CC0000}"/>
    <cellStyle name="Total 2 5" xfId="5451" xr:uid="{00000000-0005-0000-0000-0000E4CC0000}"/>
    <cellStyle name="Total 2 5 2" xfId="6128" xr:uid="{00000000-0005-0000-0000-0000E5CC0000}"/>
    <cellStyle name="Total 2 5 2 2" xfId="10482" xr:uid="{00000000-0005-0000-0000-0000E6CC0000}"/>
    <cellStyle name="Total 2 5 2 2 2" xfId="18275" xr:uid="{00000000-0005-0000-0000-0000E7CC0000}"/>
    <cellStyle name="Total 2 5 2 2 2 2" xfId="43822" xr:uid="{00000000-0005-0000-0000-0000E8CC0000}"/>
    <cellStyle name="Total 2 5 2 2 2 3" xfId="47731" xr:uid="{00000000-0005-0000-0000-0000E9CC0000}"/>
    <cellStyle name="Total 2 5 2 2 2 4" xfId="35912" xr:uid="{00000000-0005-0000-0000-0000EACC0000}"/>
    <cellStyle name="Total 2 5 2 2 3" xfId="12620" xr:uid="{00000000-0005-0000-0000-0000EBCC0000}"/>
    <cellStyle name="Total 2 5 2 2 3 2" xfId="42099" xr:uid="{00000000-0005-0000-0000-0000ECCC0000}"/>
    <cellStyle name="Total 2 5 2 2 3 3" xfId="41982" xr:uid="{00000000-0005-0000-0000-0000EDCC0000}"/>
    <cellStyle name="Total 2 5 2 2 3 4" xfId="30285" xr:uid="{00000000-0005-0000-0000-0000EECC0000}"/>
    <cellStyle name="Total 2 5 2 2 4" xfId="12698" xr:uid="{00000000-0005-0000-0000-0000EFCC0000}"/>
    <cellStyle name="Total 2 5 2 2 4 2" xfId="42177" xr:uid="{00000000-0005-0000-0000-0000F0CC0000}"/>
    <cellStyle name="Total 2 5 2 2 4 3" xfId="39452" xr:uid="{00000000-0005-0000-0000-0000F1CC0000}"/>
    <cellStyle name="Total 2 5 2 2 4 4" xfId="30358" xr:uid="{00000000-0005-0000-0000-0000F2CC0000}"/>
    <cellStyle name="Total 2 5 2 2 5" xfId="20688" xr:uid="{00000000-0005-0000-0000-0000F3CC0000}"/>
    <cellStyle name="Total 2 5 2 2 5 2" xfId="46225" xr:uid="{00000000-0005-0000-0000-0000F4CC0000}"/>
    <cellStyle name="Total 2 5 2 2 5 3" xfId="50131" xr:uid="{00000000-0005-0000-0000-0000F5CC0000}"/>
    <cellStyle name="Total 2 5 2 2 5 4" xfId="38094" xr:uid="{00000000-0005-0000-0000-0000F6CC0000}"/>
    <cellStyle name="Total 2 5 2 2 6" xfId="21341" xr:uid="{00000000-0005-0000-0000-0000F7CC0000}"/>
    <cellStyle name="Total 2 5 2 2 6 2" xfId="46878" xr:uid="{00000000-0005-0000-0000-0000F8CC0000}"/>
    <cellStyle name="Total 2 5 2 2 6 3" xfId="50784" xr:uid="{00000000-0005-0000-0000-0000F9CC0000}"/>
    <cellStyle name="Total 2 5 2 2 7" xfId="40681" xr:uid="{00000000-0005-0000-0000-0000FACC0000}"/>
    <cellStyle name="Total 2 5 2 2 8" xfId="43248" xr:uid="{00000000-0005-0000-0000-0000FBCC0000}"/>
    <cellStyle name="Total 2 5 2 3" xfId="9344" xr:uid="{00000000-0005-0000-0000-0000FCCC0000}"/>
    <cellStyle name="Total 2 5 2 3 2" xfId="17139" xr:uid="{00000000-0005-0000-0000-0000FDCC0000}"/>
    <cellStyle name="Total 2 5 2 3 2 2" xfId="43548" xr:uid="{00000000-0005-0000-0000-0000FECC0000}"/>
    <cellStyle name="Total 2 5 2 3 2 3" xfId="47668" xr:uid="{00000000-0005-0000-0000-0000FFCC0000}"/>
    <cellStyle name="Total 2 5 2 3 2 4" xfId="34775" xr:uid="{00000000-0005-0000-0000-000000CD0000}"/>
    <cellStyle name="Total 2 5 2 3 3" xfId="19789" xr:uid="{00000000-0005-0000-0000-000001CD0000}"/>
    <cellStyle name="Total 2 5 2 3 3 2" xfId="45326" xr:uid="{00000000-0005-0000-0000-000002CD0000}"/>
    <cellStyle name="Total 2 5 2 3 3 3" xfId="49232" xr:uid="{00000000-0005-0000-0000-000003CD0000}"/>
    <cellStyle name="Total 2 5 2 3 3 4" xfId="37313" xr:uid="{00000000-0005-0000-0000-000004CD0000}"/>
    <cellStyle name="Total 2 5 2 3 4" xfId="12073" xr:uid="{00000000-0005-0000-0000-000005CD0000}"/>
    <cellStyle name="Total 2 5 2 3 4 2" xfId="41821" xr:uid="{00000000-0005-0000-0000-000006CD0000}"/>
    <cellStyle name="Total 2 5 2 3 4 3" xfId="43487" xr:uid="{00000000-0005-0000-0000-000007CD0000}"/>
    <cellStyle name="Total 2 5 2 3 4 4" xfId="29751" xr:uid="{00000000-0005-0000-0000-000008CD0000}"/>
    <cellStyle name="Total 2 5 2 3 5" xfId="19374" xr:uid="{00000000-0005-0000-0000-000009CD0000}"/>
    <cellStyle name="Total 2 5 2 3 5 2" xfId="44911" xr:uid="{00000000-0005-0000-0000-00000ACD0000}"/>
    <cellStyle name="Total 2 5 2 3 5 3" xfId="48817" xr:uid="{00000000-0005-0000-0000-00000BCD0000}"/>
    <cellStyle name="Total 2 5 2 3 5 4" xfId="36940" xr:uid="{00000000-0005-0000-0000-00000CCD0000}"/>
    <cellStyle name="Total 2 5 2 3 6" xfId="20381" xr:uid="{00000000-0005-0000-0000-00000DCD0000}"/>
    <cellStyle name="Total 2 5 2 3 6 2" xfId="45918" xr:uid="{00000000-0005-0000-0000-00000ECD0000}"/>
    <cellStyle name="Total 2 5 2 3 6 3" xfId="49824" xr:uid="{00000000-0005-0000-0000-00000FCD0000}"/>
    <cellStyle name="Total 2 5 2 3 7" xfId="40411" xr:uid="{00000000-0005-0000-0000-000010CD0000}"/>
    <cellStyle name="Total 2 5 2 3 8" xfId="39209" xr:uid="{00000000-0005-0000-0000-000011CD0000}"/>
    <cellStyle name="Total 2 5 2 4" xfId="13918" xr:uid="{00000000-0005-0000-0000-000012CD0000}"/>
    <cellStyle name="Total 2 5 2 4 2" xfId="42653" xr:uid="{00000000-0005-0000-0000-000013CD0000}"/>
    <cellStyle name="Total 2 5 2 4 3" xfId="40047" xr:uid="{00000000-0005-0000-0000-000014CD0000}"/>
    <cellStyle name="Total 2 5 2 4 4" xfId="31554" xr:uid="{00000000-0005-0000-0000-000015CD0000}"/>
    <cellStyle name="Total 2 5 2 5" xfId="11796" xr:uid="{00000000-0005-0000-0000-000016CD0000}"/>
    <cellStyle name="Total 2 5 2 5 2" xfId="41746" xr:uid="{00000000-0005-0000-0000-000017CD0000}"/>
    <cellStyle name="Total 2 5 2 5 3" xfId="39153" xr:uid="{00000000-0005-0000-0000-000018CD0000}"/>
    <cellStyle name="Total 2 5 2 5 4" xfId="29482" xr:uid="{00000000-0005-0000-0000-000019CD0000}"/>
    <cellStyle name="Total 2 5 2 6" xfId="53460" xr:uid="{00000000-0005-0000-0000-00001ACD0000}"/>
    <cellStyle name="Total 2 5 3" xfId="7498" xr:uid="{00000000-0005-0000-0000-00001BCD0000}"/>
    <cellStyle name="Total 2 5 3 10" xfId="43269" xr:uid="{00000000-0005-0000-0000-00001CCD0000}"/>
    <cellStyle name="Total 2 5 3 2" xfId="10771" xr:uid="{00000000-0005-0000-0000-00001DCD0000}"/>
    <cellStyle name="Total 2 5 3 2 2" xfId="18564" xr:uid="{00000000-0005-0000-0000-00001ECD0000}"/>
    <cellStyle name="Total 2 5 3 2 2 2" xfId="44111" xr:uid="{00000000-0005-0000-0000-00001FCD0000}"/>
    <cellStyle name="Total 2 5 3 2 2 3" xfId="48020" xr:uid="{00000000-0005-0000-0000-000020CD0000}"/>
    <cellStyle name="Total 2 5 3 2 2 4" xfId="36201" xr:uid="{00000000-0005-0000-0000-000021CD0000}"/>
    <cellStyle name="Total 2 5 3 2 3" xfId="19410" xr:uid="{00000000-0005-0000-0000-000022CD0000}"/>
    <cellStyle name="Total 2 5 3 2 3 2" xfId="44947" xr:uid="{00000000-0005-0000-0000-000023CD0000}"/>
    <cellStyle name="Total 2 5 3 2 3 3" xfId="48853" xr:uid="{00000000-0005-0000-0000-000024CD0000}"/>
    <cellStyle name="Total 2 5 3 2 3 4" xfId="36975" xr:uid="{00000000-0005-0000-0000-000025CD0000}"/>
    <cellStyle name="Total 2 5 3 2 4" xfId="12127" xr:uid="{00000000-0005-0000-0000-000026CD0000}"/>
    <cellStyle name="Total 2 5 3 2 4 2" xfId="41872" xr:uid="{00000000-0005-0000-0000-000027CD0000}"/>
    <cellStyle name="Total 2 5 3 2 4 3" xfId="47496" xr:uid="{00000000-0005-0000-0000-000028CD0000}"/>
    <cellStyle name="Total 2 5 3 2 4 4" xfId="29800" xr:uid="{00000000-0005-0000-0000-000029CD0000}"/>
    <cellStyle name="Total 2 5 3 2 5" xfId="20977" xr:uid="{00000000-0005-0000-0000-00002ACD0000}"/>
    <cellStyle name="Total 2 5 3 2 5 2" xfId="46514" xr:uid="{00000000-0005-0000-0000-00002BCD0000}"/>
    <cellStyle name="Total 2 5 3 2 5 3" xfId="50420" xr:uid="{00000000-0005-0000-0000-00002CCD0000}"/>
    <cellStyle name="Total 2 5 3 2 5 4" xfId="38383" xr:uid="{00000000-0005-0000-0000-00002DCD0000}"/>
    <cellStyle name="Total 2 5 3 2 6" xfId="21630" xr:uid="{00000000-0005-0000-0000-00002ECD0000}"/>
    <cellStyle name="Total 2 5 3 2 6 2" xfId="47167" xr:uid="{00000000-0005-0000-0000-00002FCD0000}"/>
    <cellStyle name="Total 2 5 3 2 6 3" xfId="51073" xr:uid="{00000000-0005-0000-0000-000030CD0000}"/>
    <cellStyle name="Total 2 5 3 2 7" xfId="40970" xr:uid="{00000000-0005-0000-0000-000031CD0000}"/>
    <cellStyle name="Total 2 5 3 2 8" xfId="40592" xr:uid="{00000000-0005-0000-0000-000032CD0000}"/>
    <cellStyle name="Total 2 5 3 3" xfId="11066" xr:uid="{00000000-0005-0000-0000-000033CD0000}"/>
    <cellStyle name="Total 2 5 3 3 2" xfId="18859" xr:uid="{00000000-0005-0000-0000-000034CD0000}"/>
    <cellStyle name="Total 2 5 3 3 2 2" xfId="44406" xr:uid="{00000000-0005-0000-0000-000035CD0000}"/>
    <cellStyle name="Total 2 5 3 3 2 3" xfId="48315" xr:uid="{00000000-0005-0000-0000-000036CD0000}"/>
    <cellStyle name="Total 2 5 3 3 2 4" xfId="36496" xr:uid="{00000000-0005-0000-0000-000037CD0000}"/>
    <cellStyle name="Total 2 5 3 3 3" xfId="20452" xr:uid="{00000000-0005-0000-0000-000038CD0000}"/>
    <cellStyle name="Total 2 5 3 3 3 2" xfId="45989" xr:uid="{00000000-0005-0000-0000-000039CD0000}"/>
    <cellStyle name="Total 2 5 3 3 3 3" xfId="49895" xr:uid="{00000000-0005-0000-0000-00003ACD0000}"/>
    <cellStyle name="Total 2 5 3 3 3 4" xfId="37906" xr:uid="{00000000-0005-0000-0000-00003BCD0000}"/>
    <cellStyle name="Total 2 5 3 3 4" xfId="20596" xr:uid="{00000000-0005-0000-0000-00003CCD0000}"/>
    <cellStyle name="Total 2 5 3 3 4 2" xfId="46133" xr:uid="{00000000-0005-0000-0000-00003DCD0000}"/>
    <cellStyle name="Total 2 5 3 3 4 3" xfId="50039" xr:uid="{00000000-0005-0000-0000-00003ECD0000}"/>
    <cellStyle name="Total 2 5 3 3 4 4" xfId="38023" xr:uid="{00000000-0005-0000-0000-00003FCD0000}"/>
    <cellStyle name="Total 2 5 3 3 5" xfId="21272" xr:uid="{00000000-0005-0000-0000-000040CD0000}"/>
    <cellStyle name="Total 2 5 3 3 5 2" xfId="46809" xr:uid="{00000000-0005-0000-0000-000041CD0000}"/>
    <cellStyle name="Total 2 5 3 3 5 3" xfId="50715" xr:uid="{00000000-0005-0000-0000-000042CD0000}"/>
    <cellStyle name="Total 2 5 3 3 5 4" xfId="38678" xr:uid="{00000000-0005-0000-0000-000043CD0000}"/>
    <cellStyle name="Total 2 5 3 3 6" xfId="21925" xr:uid="{00000000-0005-0000-0000-000044CD0000}"/>
    <cellStyle name="Total 2 5 3 3 6 2" xfId="47462" xr:uid="{00000000-0005-0000-0000-000045CD0000}"/>
    <cellStyle name="Total 2 5 3 3 6 3" xfId="51368" xr:uid="{00000000-0005-0000-0000-000046CD0000}"/>
    <cellStyle name="Total 2 5 3 3 7" xfId="41265" xr:uid="{00000000-0005-0000-0000-000047CD0000}"/>
    <cellStyle name="Total 2 5 3 3 8" xfId="40367" xr:uid="{00000000-0005-0000-0000-000048CD0000}"/>
    <cellStyle name="Total 2 5 3 4" xfId="15286" xr:uid="{00000000-0005-0000-0000-000049CD0000}"/>
    <cellStyle name="Total 2 5 3 4 2" xfId="43159" xr:uid="{00000000-0005-0000-0000-00004ACD0000}"/>
    <cellStyle name="Total 2 5 3 4 3" xfId="39629" xr:uid="{00000000-0005-0000-0000-00004BCD0000}"/>
    <cellStyle name="Total 2 5 3 4 4" xfId="32921" xr:uid="{00000000-0005-0000-0000-00004CCD0000}"/>
    <cellStyle name="Total 2 5 3 5" xfId="11374" xr:uid="{00000000-0005-0000-0000-00004DCD0000}"/>
    <cellStyle name="Total 2 5 3 5 2" xfId="41410" xr:uid="{00000000-0005-0000-0000-00004ECD0000}"/>
    <cellStyle name="Total 2 5 3 5 3" xfId="39473" xr:uid="{00000000-0005-0000-0000-00004FCD0000}"/>
    <cellStyle name="Total 2 5 3 5 4" xfId="29097" xr:uid="{00000000-0005-0000-0000-000050CD0000}"/>
    <cellStyle name="Total 2 5 3 6" xfId="12680" xr:uid="{00000000-0005-0000-0000-000051CD0000}"/>
    <cellStyle name="Total 2 5 3 6 2" xfId="42159" xr:uid="{00000000-0005-0000-0000-000052CD0000}"/>
    <cellStyle name="Total 2 5 3 6 3" xfId="41978" xr:uid="{00000000-0005-0000-0000-000053CD0000}"/>
    <cellStyle name="Total 2 5 3 6 4" xfId="30342" xr:uid="{00000000-0005-0000-0000-000054CD0000}"/>
    <cellStyle name="Total 2 5 3 7" xfId="19021" xr:uid="{00000000-0005-0000-0000-000055CD0000}"/>
    <cellStyle name="Total 2 5 3 7 2" xfId="44558" xr:uid="{00000000-0005-0000-0000-000056CD0000}"/>
    <cellStyle name="Total 2 5 3 7 3" xfId="48464" xr:uid="{00000000-0005-0000-0000-000057CD0000}"/>
    <cellStyle name="Total 2 5 3 7 4" xfId="36629" xr:uid="{00000000-0005-0000-0000-000058CD0000}"/>
    <cellStyle name="Total 2 5 3 8" xfId="20507" xr:uid="{00000000-0005-0000-0000-000059CD0000}"/>
    <cellStyle name="Total 2 5 3 8 2" xfId="46044" xr:uid="{00000000-0005-0000-0000-00005ACD0000}"/>
    <cellStyle name="Total 2 5 3 8 3" xfId="49950" xr:uid="{00000000-0005-0000-0000-00005BCD0000}"/>
    <cellStyle name="Total 2 5 3 9" xfId="40019" xr:uid="{00000000-0005-0000-0000-00005CCD0000}"/>
    <cellStyle name="Total 2 5 4" xfId="53359" xr:uid="{00000000-0005-0000-0000-00005DCD0000}"/>
    <cellStyle name="Total 2 6" xfId="5446" xr:uid="{00000000-0005-0000-0000-00005ECD0000}"/>
    <cellStyle name="Total 2 6 2" xfId="53455" xr:uid="{00000000-0005-0000-0000-00005FCD0000}"/>
    <cellStyle name="Total 2 7" xfId="7493" xr:uid="{00000000-0005-0000-0000-000060CD0000}"/>
    <cellStyle name="Total 2 7 10" xfId="40281" xr:uid="{00000000-0005-0000-0000-000061CD0000}"/>
    <cellStyle name="Total 2 7 2" xfId="10766" xr:uid="{00000000-0005-0000-0000-000062CD0000}"/>
    <cellStyle name="Total 2 7 2 2" xfId="18559" xr:uid="{00000000-0005-0000-0000-000063CD0000}"/>
    <cellStyle name="Total 2 7 2 2 2" xfId="44106" xr:uid="{00000000-0005-0000-0000-000064CD0000}"/>
    <cellStyle name="Total 2 7 2 2 3" xfId="48015" xr:uid="{00000000-0005-0000-0000-000065CD0000}"/>
    <cellStyle name="Total 2 7 2 2 4" xfId="36196" xr:uid="{00000000-0005-0000-0000-000066CD0000}"/>
    <cellStyle name="Total 2 7 2 3" xfId="11508" xr:uid="{00000000-0005-0000-0000-000067CD0000}"/>
    <cellStyle name="Total 2 7 2 3 2" xfId="41519" xr:uid="{00000000-0005-0000-0000-000068CD0000}"/>
    <cellStyle name="Total 2 7 2 3 3" xfId="40358" xr:uid="{00000000-0005-0000-0000-000069CD0000}"/>
    <cellStyle name="Total 2 7 2 3 4" xfId="29223" xr:uid="{00000000-0005-0000-0000-00006ACD0000}"/>
    <cellStyle name="Total 2 7 2 4" xfId="19689" xr:uid="{00000000-0005-0000-0000-00006BCD0000}"/>
    <cellStyle name="Total 2 7 2 4 2" xfId="45226" xr:uid="{00000000-0005-0000-0000-00006CCD0000}"/>
    <cellStyle name="Total 2 7 2 4 3" xfId="49132" xr:uid="{00000000-0005-0000-0000-00006DCD0000}"/>
    <cellStyle name="Total 2 7 2 4 4" xfId="37220" xr:uid="{00000000-0005-0000-0000-00006ECD0000}"/>
    <cellStyle name="Total 2 7 2 5" xfId="20972" xr:uid="{00000000-0005-0000-0000-00006FCD0000}"/>
    <cellStyle name="Total 2 7 2 5 2" xfId="46509" xr:uid="{00000000-0005-0000-0000-000070CD0000}"/>
    <cellStyle name="Total 2 7 2 5 3" xfId="50415" xr:uid="{00000000-0005-0000-0000-000071CD0000}"/>
    <cellStyle name="Total 2 7 2 5 4" xfId="38378" xr:uid="{00000000-0005-0000-0000-000072CD0000}"/>
    <cellStyle name="Total 2 7 2 6" xfId="21625" xr:uid="{00000000-0005-0000-0000-000073CD0000}"/>
    <cellStyle name="Total 2 7 2 6 2" xfId="47162" xr:uid="{00000000-0005-0000-0000-000074CD0000}"/>
    <cellStyle name="Total 2 7 2 6 3" xfId="51068" xr:uid="{00000000-0005-0000-0000-000075CD0000}"/>
    <cellStyle name="Total 2 7 2 7" xfId="40965" xr:uid="{00000000-0005-0000-0000-000076CD0000}"/>
    <cellStyle name="Total 2 7 2 8" xfId="41434" xr:uid="{00000000-0005-0000-0000-000077CD0000}"/>
    <cellStyle name="Total 2 7 3" xfId="11061" xr:uid="{00000000-0005-0000-0000-000078CD0000}"/>
    <cellStyle name="Total 2 7 3 2" xfId="18854" xr:uid="{00000000-0005-0000-0000-000079CD0000}"/>
    <cellStyle name="Total 2 7 3 2 2" xfId="44401" xr:uid="{00000000-0005-0000-0000-00007ACD0000}"/>
    <cellStyle name="Total 2 7 3 2 3" xfId="48310" xr:uid="{00000000-0005-0000-0000-00007BCD0000}"/>
    <cellStyle name="Total 2 7 3 2 4" xfId="36491" xr:uid="{00000000-0005-0000-0000-00007CCD0000}"/>
    <cellStyle name="Total 2 7 3 3" xfId="20447" xr:uid="{00000000-0005-0000-0000-00007DCD0000}"/>
    <cellStyle name="Total 2 7 3 3 2" xfId="45984" xr:uid="{00000000-0005-0000-0000-00007ECD0000}"/>
    <cellStyle name="Total 2 7 3 3 3" xfId="49890" xr:uid="{00000000-0005-0000-0000-00007FCD0000}"/>
    <cellStyle name="Total 2 7 3 3 4" xfId="37901" xr:uid="{00000000-0005-0000-0000-000080CD0000}"/>
    <cellStyle name="Total 2 7 3 4" xfId="20591" xr:uid="{00000000-0005-0000-0000-000081CD0000}"/>
    <cellStyle name="Total 2 7 3 4 2" xfId="46128" xr:uid="{00000000-0005-0000-0000-000082CD0000}"/>
    <cellStyle name="Total 2 7 3 4 3" xfId="50034" xr:uid="{00000000-0005-0000-0000-000083CD0000}"/>
    <cellStyle name="Total 2 7 3 4 4" xfId="38018" xr:uid="{00000000-0005-0000-0000-000084CD0000}"/>
    <cellStyle name="Total 2 7 3 5" xfId="21267" xr:uid="{00000000-0005-0000-0000-000085CD0000}"/>
    <cellStyle name="Total 2 7 3 5 2" xfId="46804" xr:uid="{00000000-0005-0000-0000-000086CD0000}"/>
    <cellStyle name="Total 2 7 3 5 3" xfId="50710" xr:uid="{00000000-0005-0000-0000-000087CD0000}"/>
    <cellStyle name="Total 2 7 3 5 4" xfId="38673" xr:uid="{00000000-0005-0000-0000-000088CD0000}"/>
    <cellStyle name="Total 2 7 3 6" xfId="21920" xr:uid="{00000000-0005-0000-0000-000089CD0000}"/>
    <cellStyle name="Total 2 7 3 6 2" xfId="47457" xr:uid="{00000000-0005-0000-0000-00008ACD0000}"/>
    <cellStyle name="Total 2 7 3 6 3" xfId="51363" xr:uid="{00000000-0005-0000-0000-00008BCD0000}"/>
    <cellStyle name="Total 2 7 3 7" xfId="41260" xr:uid="{00000000-0005-0000-0000-00008CCD0000}"/>
    <cellStyle name="Total 2 7 3 8" xfId="43615" xr:uid="{00000000-0005-0000-0000-00008DCD0000}"/>
    <cellStyle name="Total 2 7 4" xfId="15281" xr:uid="{00000000-0005-0000-0000-00008ECD0000}"/>
    <cellStyle name="Total 2 7 4 2" xfId="43154" xr:uid="{00000000-0005-0000-0000-00008FCD0000}"/>
    <cellStyle name="Total 2 7 4 3" xfId="43176" xr:uid="{00000000-0005-0000-0000-000090CD0000}"/>
    <cellStyle name="Total 2 7 4 4" xfId="32916" xr:uid="{00000000-0005-0000-0000-000091CD0000}"/>
    <cellStyle name="Total 2 7 5" xfId="11370" xr:uid="{00000000-0005-0000-0000-000092CD0000}"/>
    <cellStyle name="Total 2 7 5 2" xfId="41406" xr:uid="{00000000-0005-0000-0000-000093CD0000}"/>
    <cellStyle name="Total 2 7 5 3" xfId="39579" xr:uid="{00000000-0005-0000-0000-000094CD0000}"/>
    <cellStyle name="Total 2 7 5 4" xfId="29093" xr:uid="{00000000-0005-0000-0000-000095CD0000}"/>
    <cellStyle name="Total 2 7 6" xfId="19698" xr:uid="{00000000-0005-0000-0000-000096CD0000}"/>
    <cellStyle name="Total 2 7 6 2" xfId="45235" xr:uid="{00000000-0005-0000-0000-000097CD0000}"/>
    <cellStyle name="Total 2 7 6 3" xfId="49141" xr:uid="{00000000-0005-0000-0000-000098CD0000}"/>
    <cellStyle name="Total 2 7 6 4" xfId="37227" xr:uid="{00000000-0005-0000-0000-000099CD0000}"/>
    <cellStyle name="Total 2 7 7" xfId="19996" xr:uid="{00000000-0005-0000-0000-00009ACD0000}"/>
    <cellStyle name="Total 2 7 7 2" xfId="45533" xr:uid="{00000000-0005-0000-0000-00009BCD0000}"/>
    <cellStyle name="Total 2 7 7 3" xfId="49439" xr:uid="{00000000-0005-0000-0000-00009CCD0000}"/>
    <cellStyle name="Total 2 7 7 4" xfId="37494" xr:uid="{00000000-0005-0000-0000-00009DCD0000}"/>
    <cellStyle name="Total 2 7 8" xfId="19556" xr:uid="{00000000-0005-0000-0000-00009ECD0000}"/>
    <cellStyle name="Total 2 7 8 2" xfId="45093" xr:uid="{00000000-0005-0000-0000-00009FCD0000}"/>
    <cellStyle name="Total 2 7 8 3" xfId="48999" xr:uid="{00000000-0005-0000-0000-0000A0CD0000}"/>
    <cellStyle name="Total 2 7 9" xfId="40014" xr:uid="{00000000-0005-0000-0000-0000A1CD0000}"/>
    <cellStyle name="Total 2 8" xfId="12145" xr:uid="{00000000-0005-0000-0000-0000A2CD0000}"/>
    <cellStyle name="Total 2 8 2" xfId="41890" xr:uid="{00000000-0005-0000-0000-0000A3CD0000}"/>
    <cellStyle name="Total 2 8 3" xfId="47585" xr:uid="{00000000-0005-0000-0000-0000A4CD0000}"/>
    <cellStyle name="Total 2 8 4" xfId="29817" xr:uid="{00000000-0005-0000-0000-0000A5CD0000}"/>
    <cellStyle name="Total 2 9" xfId="18969" xr:uid="{00000000-0005-0000-0000-0000A6CD0000}"/>
    <cellStyle name="Total 2 9 2" xfId="44506" xr:uid="{00000000-0005-0000-0000-0000A7CD0000}"/>
    <cellStyle name="Total 2 9 3" xfId="48412" xr:uid="{00000000-0005-0000-0000-0000A8CD0000}"/>
    <cellStyle name="Total 2 9 4" xfId="36595" xr:uid="{00000000-0005-0000-0000-0000A9CD0000}"/>
    <cellStyle name="Total 2_Sheet1" xfId="3417" xr:uid="{00000000-0005-0000-0000-0000AACD0000}"/>
    <cellStyle name="Total 3" xfId="143" xr:uid="{00000000-0005-0000-0000-0000ABCD0000}"/>
    <cellStyle name="Total 3 2" xfId="3418" xr:uid="{00000000-0005-0000-0000-0000ACCD0000}"/>
    <cellStyle name="Total 3 2 2" xfId="5453" xr:uid="{00000000-0005-0000-0000-0000ADCD0000}"/>
    <cellStyle name="Total 3 2 2 2" xfId="53462" xr:uid="{00000000-0005-0000-0000-0000AECD0000}"/>
    <cellStyle name="Total 3 2 3" xfId="7500" xr:uid="{00000000-0005-0000-0000-0000AFCD0000}"/>
    <cellStyle name="Total 3 2 3 10" xfId="43097" xr:uid="{00000000-0005-0000-0000-0000B0CD0000}"/>
    <cellStyle name="Total 3 2 3 2" xfId="10773" xr:uid="{00000000-0005-0000-0000-0000B1CD0000}"/>
    <cellStyle name="Total 3 2 3 2 2" xfId="18566" xr:uid="{00000000-0005-0000-0000-0000B2CD0000}"/>
    <cellStyle name="Total 3 2 3 2 2 2" xfId="44113" xr:uid="{00000000-0005-0000-0000-0000B3CD0000}"/>
    <cellStyle name="Total 3 2 3 2 2 3" xfId="48022" xr:uid="{00000000-0005-0000-0000-0000B4CD0000}"/>
    <cellStyle name="Total 3 2 3 2 2 4" xfId="36203" xr:uid="{00000000-0005-0000-0000-0000B5CD0000}"/>
    <cellStyle name="Total 3 2 3 2 3" xfId="19283" xr:uid="{00000000-0005-0000-0000-0000B6CD0000}"/>
    <cellStyle name="Total 3 2 3 2 3 2" xfId="44820" xr:uid="{00000000-0005-0000-0000-0000B7CD0000}"/>
    <cellStyle name="Total 3 2 3 2 3 3" xfId="48726" xr:uid="{00000000-0005-0000-0000-0000B8CD0000}"/>
    <cellStyle name="Total 3 2 3 2 3 4" xfId="36861" xr:uid="{00000000-0005-0000-0000-0000B9CD0000}"/>
    <cellStyle name="Total 3 2 3 2 4" xfId="11657" xr:uid="{00000000-0005-0000-0000-0000BACD0000}"/>
    <cellStyle name="Total 3 2 3 2 4 2" xfId="41668" xr:uid="{00000000-0005-0000-0000-0000BBCD0000}"/>
    <cellStyle name="Total 3 2 3 2 4 3" xfId="40351" xr:uid="{00000000-0005-0000-0000-0000BCCD0000}"/>
    <cellStyle name="Total 3 2 3 2 4 4" xfId="29356" xr:uid="{00000000-0005-0000-0000-0000BDCD0000}"/>
    <cellStyle name="Total 3 2 3 2 5" xfId="20979" xr:uid="{00000000-0005-0000-0000-0000BECD0000}"/>
    <cellStyle name="Total 3 2 3 2 5 2" xfId="46516" xr:uid="{00000000-0005-0000-0000-0000BFCD0000}"/>
    <cellStyle name="Total 3 2 3 2 5 3" xfId="50422" xr:uid="{00000000-0005-0000-0000-0000C0CD0000}"/>
    <cellStyle name="Total 3 2 3 2 5 4" xfId="38385" xr:uid="{00000000-0005-0000-0000-0000C1CD0000}"/>
    <cellStyle name="Total 3 2 3 2 6" xfId="21632" xr:uid="{00000000-0005-0000-0000-0000C2CD0000}"/>
    <cellStyle name="Total 3 2 3 2 6 2" xfId="47169" xr:uid="{00000000-0005-0000-0000-0000C3CD0000}"/>
    <cellStyle name="Total 3 2 3 2 6 3" xfId="51075" xr:uid="{00000000-0005-0000-0000-0000C4CD0000}"/>
    <cellStyle name="Total 3 2 3 2 7" xfId="40972" xr:uid="{00000000-0005-0000-0000-0000C5CD0000}"/>
    <cellStyle name="Total 3 2 3 2 8" xfId="42740" xr:uid="{00000000-0005-0000-0000-0000C6CD0000}"/>
    <cellStyle name="Total 3 2 3 3" xfId="11068" xr:uid="{00000000-0005-0000-0000-0000C7CD0000}"/>
    <cellStyle name="Total 3 2 3 3 2" xfId="18861" xr:uid="{00000000-0005-0000-0000-0000C8CD0000}"/>
    <cellStyle name="Total 3 2 3 3 2 2" xfId="44408" xr:uid="{00000000-0005-0000-0000-0000C9CD0000}"/>
    <cellStyle name="Total 3 2 3 3 2 3" xfId="48317" xr:uid="{00000000-0005-0000-0000-0000CACD0000}"/>
    <cellStyle name="Total 3 2 3 3 2 4" xfId="36498" xr:uid="{00000000-0005-0000-0000-0000CBCD0000}"/>
    <cellStyle name="Total 3 2 3 3 3" xfId="20454" xr:uid="{00000000-0005-0000-0000-0000CCCD0000}"/>
    <cellStyle name="Total 3 2 3 3 3 2" xfId="45991" xr:uid="{00000000-0005-0000-0000-0000CDCD0000}"/>
    <cellStyle name="Total 3 2 3 3 3 3" xfId="49897" xr:uid="{00000000-0005-0000-0000-0000CECD0000}"/>
    <cellStyle name="Total 3 2 3 3 3 4" xfId="37908" xr:uid="{00000000-0005-0000-0000-0000CFCD0000}"/>
    <cellStyle name="Total 3 2 3 3 4" xfId="20598" xr:uid="{00000000-0005-0000-0000-0000D0CD0000}"/>
    <cellStyle name="Total 3 2 3 3 4 2" xfId="46135" xr:uid="{00000000-0005-0000-0000-0000D1CD0000}"/>
    <cellStyle name="Total 3 2 3 3 4 3" xfId="50041" xr:uid="{00000000-0005-0000-0000-0000D2CD0000}"/>
    <cellStyle name="Total 3 2 3 3 4 4" xfId="38025" xr:uid="{00000000-0005-0000-0000-0000D3CD0000}"/>
    <cellStyle name="Total 3 2 3 3 5" xfId="21274" xr:uid="{00000000-0005-0000-0000-0000D4CD0000}"/>
    <cellStyle name="Total 3 2 3 3 5 2" xfId="46811" xr:uid="{00000000-0005-0000-0000-0000D5CD0000}"/>
    <cellStyle name="Total 3 2 3 3 5 3" xfId="50717" xr:uid="{00000000-0005-0000-0000-0000D6CD0000}"/>
    <cellStyle name="Total 3 2 3 3 5 4" xfId="38680" xr:uid="{00000000-0005-0000-0000-0000D7CD0000}"/>
    <cellStyle name="Total 3 2 3 3 6" xfId="21927" xr:uid="{00000000-0005-0000-0000-0000D8CD0000}"/>
    <cellStyle name="Total 3 2 3 3 6 2" xfId="47464" xr:uid="{00000000-0005-0000-0000-0000D9CD0000}"/>
    <cellStyle name="Total 3 2 3 3 6 3" xfId="51370" xr:uid="{00000000-0005-0000-0000-0000DACD0000}"/>
    <cellStyle name="Total 3 2 3 3 7" xfId="41267" xr:uid="{00000000-0005-0000-0000-0000DBCD0000}"/>
    <cellStyle name="Total 3 2 3 3 8" xfId="42044" xr:uid="{00000000-0005-0000-0000-0000DCCD0000}"/>
    <cellStyle name="Total 3 2 3 4" xfId="15288" xr:uid="{00000000-0005-0000-0000-0000DDCD0000}"/>
    <cellStyle name="Total 3 2 3 4 2" xfId="43161" xr:uid="{00000000-0005-0000-0000-0000DECD0000}"/>
    <cellStyle name="Total 3 2 3 4 3" xfId="43553" xr:uid="{00000000-0005-0000-0000-0000DFCD0000}"/>
    <cellStyle name="Total 3 2 3 4 4" xfId="32923" xr:uid="{00000000-0005-0000-0000-0000E0CD0000}"/>
    <cellStyle name="Total 3 2 3 5" xfId="12051" xr:uid="{00000000-0005-0000-0000-0000E1CD0000}"/>
    <cellStyle name="Total 3 2 3 5 2" xfId="41806" xr:uid="{00000000-0005-0000-0000-0000E2CD0000}"/>
    <cellStyle name="Total 3 2 3 5 3" xfId="42572" xr:uid="{00000000-0005-0000-0000-0000E3CD0000}"/>
    <cellStyle name="Total 3 2 3 5 4" xfId="29730" xr:uid="{00000000-0005-0000-0000-0000E4CD0000}"/>
    <cellStyle name="Total 3 2 3 6" xfId="20317" xr:uid="{00000000-0005-0000-0000-0000E5CD0000}"/>
    <cellStyle name="Total 3 2 3 6 2" xfId="45854" xr:uid="{00000000-0005-0000-0000-0000E6CD0000}"/>
    <cellStyle name="Total 3 2 3 6 3" xfId="49760" xr:uid="{00000000-0005-0000-0000-0000E7CD0000}"/>
    <cellStyle name="Total 3 2 3 6 4" xfId="37781" xr:uid="{00000000-0005-0000-0000-0000E8CD0000}"/>
    <cellStyle name="Total 3 2 3 7" xfId="13911" xr:uid="{00000000-0005-0000-0000-0000E9CD0000}"/>
    <cellStyle name="Total 3 2 3 7 2" xfId="42646" xr:uid="{00000000-0005-0000-0000-0000EACD0000}"/>
    <cellStyle name="Total 3 2 3 7 3" xfId="40169" xr:uid="{00000000-0005-0000-0000-0000EBCD0000}"/>
    <cellStyle name="Total 3 2 3 7 4" xfId="31549" xr:uid="{00000000-0005-0000-0000-0000ECCD0000}"/>
    <cellStyle name="Total 3 2 3 8" xfId="13201" xr:uid="{00000000-0005-0000-0000-0000EDCD0000}"/>
    <cellStyle name="Total 3 2 3 8 2" xfId="42422" xr:uid="{00000000-0005-0000-0000-0000EECD0000}"/>
    <cellStyle name="Total 3 2 3 8 3" xfId="43316" xr:uid="{00000000-0005-0000-0000-0000EFCD0000}"/>
    <cellStyle name="Total 3 2 3 9" xfId="40021" xr:uid="{00000000-0005-0000-0000-0000F0CD0000}"/>
    <cellStyle name="Total 3 2 4" xfId="12151" xr:uid="{00000000-0005-0000-0000-0000F1CD0000}"/>
    <cellStyle name="Total 3 2 4 2" xfId="41896" xr:uid="{00000000-0005-0000-0000-0000F2CD0000}"/>
    <cellStyle name="Total 3 2 4 3" xfId="43283" xr:uid="{00000000-0005-0000-0000-0000F3CD0000}"/>
    <cellStyle name="Total 3 2 4 4" xfId="29823" xr:uid="{00000000-0005-0000-0000-0000F4CD0000}"/>
    <cellStyle name="Total 3 2 5" xfId="19210" xr:uid="{00000000-0005-0000-0000-0000F5CD0000}"/>
    <cellStyle name="Total 3 2 5 2" xfId="44747" xr:uid="{00000000-0005-0000-0000-0000F6CD0000}"/>
    <cellStyle name="Total 3 2 5 3" xfId="48653" xr:uid="{00000000-0005-0000-0000-0000F7CD0000}"/>
    <cellStyle name="Total 3 2 5 4" xfId="36795" xr:uid="{00000000-0005-0000-0000-0000F8CD0000}"/>
    <cellStyle name="Total 3 2 6" xfId="53360" xr:uid="{00000000-0005-0000-0000-0000F9CD0000}"/>
    <cellStyle name="Total 3 3" xfId="3419" xr:uid="{00000000-0005-0000-0000-0000FACD0000}"/>
    <cellStyle name="Total 3 3 2" xfId="5454" xr:uid="{00000000-0005-0000-0000-0000FBCD0000}"/>
    <cellStyle name="Total 3 3 3" xfId="7501" xr:uid="{00000000-0005-0000-0000-0000FCCD0000}"/>
    <cellStyle name="Total 3 3 3 10" xfId="43764" xr:uid="{00000000-0005-0000-0000-0000FDCD0000}"/>
    <cellStyle name="Total 3 3 3 2" xfId="10774" xr:uid="{00000000-0005-0000-0000-0000FECD0000}"/>
    <cellStyle name="Total 3 3 3 2 2" xfId="18567" xr:uid="{00000000-0005-0000-0000-0000FFCD0000}"/>
    <cellStyle name="Total 3 3 3 2 2 2" xfId="44114" xr:uid="{00000000-0005-0000-0000-000000CE0000}"/>
    <cellStyle name="Total 3 3 3 2 2 3" xfId="48023" xr:uid="{00000000-0005-0000-0000-000001CE0000}"/>
    <cellStyle name="Total 3 3 3 2 2 4" xfId="36204" xr:uid="{00000000-0005-0000-0000-000002CE0000}"/>
    <cellStyle name="Total 3 3 3 2 3" xfId="19892" xr:uid="{00000000-0005-0000-0000-000003CE0000}"/>
    <cellStyle name="Total 3 3 3 2 3 2" xfId="45429" xr:uid="{00000000-0005-0000-0000-000004CE0000}"/>
    <cellStyle name="Total 3 3 3 2 3 3" xfId="49335" xr:uid="{00000000-0005-0000-0000-000005CE0000}"/>
    <cellStyle name="Total 3 3 3 2 3 4" xfId="37406" xr:uid="{00000000-0005-0000-0000-000006CE0000}"/>
    <cellStyle name="Total 3 3 3 2 4" xfId="19651" xr:uid="{00000000-0005-0000-0000-000007CE0000}"/>
    <cellStyle name="Total 3 3 3 2 4 2" xfId="45188" xr:uid="{00000000-0005-0000-0000-000008CE0000}"/>
    <cellStyle name="Total 3 3 3 2 4 3" xfId="49094" xr:uid="{00000000-0005-0000-0000-000009CE0000}"/>
    <cellStyle name="Total 3 3 3 2 4 4" xfId="37186" xr:uid="{00000000-0005-0000-0000-00000ACE0000}"/>
    <cellStyle name="Total 3 3 3 2 5" xfId="20980" xr:uid="{00000000-0005-0000-0000-00000BCE0000}"/>
    <cellStyle name="Total 3 3 3 2 5 2" xfId="46517" xr:uid="{00000000-0005-0000-0000-00000CCE0000}"/>
    <cellStyle name="Total 3 3 3 2 5 3" xfId="50423" xr:uid="{00000000-0005-0000-0000-00000DCE0000}"/>
    <cellStyle name="Total 3 3 3 2 5 4" xfId="38386" xr:uid="{00000000-0005-0000-0000-00000ECE0000}"/>
    <cellStyle name="Total 3 3 3 2 6" xfId="21633" xr:uid="{00000000-0005-0000-0000-00000FCE0000}"/>
    <cellStyle name="Total 3 3 3 2 6 2" xfId="47170" xr:uid="{00000000-0005-0000-0000-000010CE0000}"/>
    <cellStyle name="Total 3 3 3 2 6 3" xfId="51076" xr:uid="{00000000-0005-0000-0000-000011CE0000}"/>
    <cellStyle name="Total 3 3 3 2 7" xfId="40973" xr:uid="{00000000-0005-0000-0000-000012CE0000}"/>
    <cellStyle name="Total 3 3 3 2 8" xfId="43629" xr:uid="{00000000-0005-0000-0000-000013CE0000}"/>
    <cellStyle name="Total 3 3 3 3" xfId="11069" xr:uid="{00000000-0005-0000-0000-000014CE0000}"/>
    <cellStyle name="Total 3 3 3 3 2" xfId="18862" xr:uid="{00000000-0005-0000-0000-000015CE0000}"/>
    <cellStyle name="Total 3 3 3 3 2 2" xfId="44409" xr:uid="{00000000-0005-0000-0000-000016CE0000}"/>
    <cellStyle name="Total 3 3 3 3 2 3" xfId="48318" xr:uid="{00000000-0005-0000-0000-000017CE0000}"/>
    <cellStyle name="Total 3 3 3 3 2 4" xfId="36499" xr:uid="{00000000-0005-0000-0000-000018CE0000}"/>
    <cellStyle name="Total 3 3 3 3 3" xfId="20455" xr:uid="{00000000-0005-0000-0000-000019CE0000}"/>
    <cellStyle name="Total 3 3 3 3 3 2" xfId="45992" xr:uid="{00000000-0005-0000-0000-00001ACE0000}"/>
    <cellStyle name="Total 3 3 3 3 3 3" xfId="49898" xr:uid="{00000000-0005-0000-0000-00001BCE0000}"/>
    <cellStyle name="Total 3 3 3 3 3 4" xfId="37909" xr:uid="{00000000-0005-0000-0000-00001CCE0000}"/>
    <cellStyle name="Total 3 3 3 3 4" xfId="20599" xr:uid="{00000000-0005-0000-0000-00001DCE0000}"/>
    <cellStyle name="Total 3 3 3 3 4 2" xfId="46136" xr:uid="{00000000-0005-0000-0000-00001ECE0000}"/>
    <cellStyle name="Total 3 3 3 3 4 3" xfId="50042" xr:uid="{00000000-0005-0000-0000-00001FCE0000}"/>
    <cellStyle name="Total 3 3 3 3 4 4" xfId="38026" xr:uid="{00000000-0005-0000-0000-000020CE0000}"/>
    <cellStyle name="Total 3 3 3 3 5" xfId="21275" xr:uid="{00000000-0005-0000-0000-000021CE0000}"/>
    <cellStyle name="Total 3 3 3 3 5 2" xfId="46812" xr:uid="{00000000-0005-0000-0000-000022CE0000}"/>
    <cellStyle name="Total 3 3 3 3 5 3" xfId="50718" xr:uid="{00000000-0005-0000-0000-000023CE0000}"/>
    <cellStyle name="Total 3 3 3 3 5 4" xfId="38681" xr:uid="{00000000-0005-0000-0000-000024CE0000}"/>
    <cellStyle name="Total 3 3 3 3 6" xfId="21928" xr:uid="{00000000-0005-0000-0000-000025CE0000}"/>
    <cellStyle name="Total 3 3 3 3 6 2" xfId="47465" xr:uid="{00000000-0005-0000-0000-000026CE0000}"/>
    <cellStyle name="Total 3 3 3 3 6 3" xfId="51371" xr:uid="{00000000-0005-0000-0000-000027CE0000}"/>
    <cellStyle name="Total 3 3 3 3 7" xfId="41268" xr:uid="{00000000-0005-0000-0000-000028CE0000}"/>
    <cellStyle name="Total 3 3 3 3 8" xfId="43363" xr:uid="{00000000-0005-0000-0000-000029CE0000}"/>
    <cellStyle name="Total 3 3 3 4" xfId="15289" xr:uid="{00000000-0005-0000-0000-00002ACE0000}"/>
    <cellStyle name="Total 3 3 3 4 2" xfId="43162" xr:uid="{00000000-0005-0000-0000-00002BCE0000}"/>
    <cellStyle name="Total 3 3 3 4 3" xfId="40415" xr:uid="{00000000-0005-0000-0000-00002CCE0000}"/>
    <cellStyle name="Total 3 3 3 4 4" xfId="32924" xr:uid="{00000000-0005-0000-0000-00002DCE0000}"/>
    <cellStyle name="Total 3 3 3 5" xfId="12052" xr:uid="{00000000-0005-0000-0000-00002ECE0000}"/>
    <cellStyle name="Total 3 3 3 5 2" xfId="41807" xr:uid="{00000000-0005-0000-0000-00002FCE0000}"/>
    <cellStyle name="Total 3 3 3 5 3" xfId="47586" xr:uid="{00000000-0005-0000-0000-000030CE0000}"/>
    <cellStyle name="Total 3 3 3 5 4" xfId="29731" xr:uid="{00000000-0005-0000-0000-000031CE0000}"/>
    <cellStyle name="Total 3 3 3 6" xfId="19798" xr:uid="{00000000-0005-0000-0000-000032CE0000}"/>
    <cellStyle name="Total 3 3 3 6 2" xfId="45335" xr:uid="{00000000-0005-0000-0000-000033CE0000}"/>
    <cellStyle name="Total 3 3 3 6 3" xfId="49241" xr:uid="{00000000-0005-0000-0000-000034CE0000}"/>
    <cellStyle name="Total 3 3 3 6 4" xfId="37321" xr:uid="{00000000-0005-0000-0000-000035CE0000}"/>
    <cellStyle name="Total 3 3 3 7" xfId="20279" xr:uid="{00000000-0005-0000-0000-000036CE0000}"/>
    <cellStyle name="Total 3 3 3 7 2" xfId="45816" xr:uid="{00000000-0005-0000-0000-000037CE0000}"/>
    <cellStyle name="Total 3 3 3 7 3" xfId="49722" xr:uid="{00000000-0005-0000-0000-000038CE0000}"/>
    <cellStyle name="Total 3 3 3 7 4" xfId="37747" xr:uid="{00000000-0005-0000-0000-000039CE0000}"/>
    <cellStyle name="Total 3 3 3 8" xfId="19049" xr:uid="{00000000-0005-0000-0000-00003ACE0000}"/>
    <cellStyle name="Total 3 3 3 8 2" xfId="44586" xr:uid="{00000000-0005-0000-0000-00003BCE0000}"/>
    <cellStyle name="Total 3 3 3 8 3" xfId="48492" xr:uid="{00000000-0005-0000-0000-00003CCE0000}"/>
    <cellStyle name="Total 3 3 3 9" xfId="40022" xr:uid="{00000000-0005-0000-0000-00003DCE0000}"/>
    <cellStyle name="Total 3 3 4" xfId="12152" xr:uid="{00000000-0005-0000-0000-00003ECE0000}"/>
    <cellStyle name="Total 3 3 4 2" xfId="41897" xr:uid="{00000000-0005-0000-0000-00003FCE0000}"/>
    <cellStyle name="Total 3 3 4 3" xfId="40142" xr:uid="{00000000-0005-0000-0000-000040CE0000}"/>
    <cellStyle name="Total 3 3 4 4" xfId="29824" xr:uid="{00000000-0005-0000-0000-000041CE0000}"/>
    <cellStyle name="Total 3 3 5" xfId="19840" xr:uid="{00000000-0005-0000-0000-000042CE0000}"/>
    <cellStyle name="Total 3 3 5 2" xfId="45377" xr:uid="{00000000-0005-0000-0000-000043CE0000}"/>
    <cellStyle name="Total 3 3 5 3" xfId="49283" xr:uid="{00000000-0005-0000-0000-000044CE0000}"/>
    <cellStyle name="Total 3 3 5 4" xfId="37358" xr:uid="{00000000-0005-0000-0000-000045CE0000}"/>
    <cellStyle name="Total 3 3 6" xfId="53461" xr:uid="{00000000-0005-0000-0000-000046CE0000}"/>
    <cellStyle name="Total 3 4" xfId="5455" xr:uid="{00000000-0005-0000-0000-000047CE0000}"/>
    <cellStyle name="Total 3 4 2" xfId="6129" xr:uid="{00000000-0005-0000-0000-000048CE0000}"/>
    <cellStyle name="Total 3 4 2 2" xfId="10483" xr:uid="{00000000-0005-0000-0000-000049CE0000}"/>
    <cellStyle name="Total 3 4 2 2 2" xfId="18276" xr:uid="{00000000-0005-0000-0000-00004ACE0000}"/>
    <cellStyle name="Total 3 4 2 2 2 2" xfId="43823" xr:uid="{00000000-0005-0000-0000-00004BCE0000}"/>
    <cellStyle name="Total 3 4 2 2 2 3" xfId="47732" xr:uid="{00000000-0005-0000-0000-00004CCE0000}"/>
    <cellStyle name="Total 3 4 2 2 2 4" xfId="35913" xr:uid="{00000000-0005-0000-0000-00004DCE0000}"/>
    <cellStyle name="Total 3 4 2 2 3" xfId="13315" xr:uid="{00000000-0005-0000-0000-00004ECE0000}"/>
    <cellStyle name="Total 3 4 2 2 3 2" xfId="42485" xr:uid="{00000000-0005-0000-0000-00004FCE0000}"/>
    <cellStyle name="Total 3 4 2 2 3 3" xfId="39284" xr:uid="{00000000-0005-0000-0000-000050CE0000}"/>
    <cellStyle name="Total 3 4 2 2 3 4" xfId="30955" xr:uid="{00000000-0005-0000-0000-000051CE0000}"/>
    <cellStyle name="Total 3 4 2 2 4" xfId="18967" xr:uid="{00000000-0005-0000-0000-000052CE0000}"/>
    <cellStyle name="Total 3 4 2 2 4 2" xfId="44504" xr:uid="{00000000-0005-0000-0000-000053CE0000}"/>
    <cellStyle name="Total 3 4 2 2 4 3" xfId="48410" xr:uid="{00000000-0005-0000-0000-000054CE0000}"/>
    <cellStyle name="Total 3 4 2 2 4 4" xfId="36593" xr:uid="{00000000-0005-0000-0000-000055CE0000}"/>
    <cellStyle name="Total 3 4 2 2 5" xfId="20689" xr:uid="{00000000-0005-0000-0000-000056CE0000}"/>
    <cellStyle name="Total 3 4 2 2 5 2" xfId="46226" xr:uid="{00000000-0005-0000-0000-000057CE0000}"/>
    <cellStyle name="Total 3 4 2 2 5 3" xfId="50132" xr:uid="{00000000-0005-0000-0000-000058CE0000}"/>
    <cellStyle name="Total 3 4 2 2 5 4" xfId="38095" xr:uid="{00000000-0005-0000-0000-000059CE0000}"/>
    <cellStyle name="Total 3 4 2 2 6" xfId="21342" xr:uid="{00000000-0005-0000-0000-00005ACE0000}"/>
    <cellStyle name="Total 3 4 2 2 6 2" xfId="46879" xr:uid="{00000000-0005-0000-0000-00005BCE0000}"/>
    <cellStyle name="Total 3 4 2 2 6 3" xfId="50785" xr:uid="{00000000-0005-0000-0000-00005CCE0000}"/>
    <cellStyle name="Total 3 4 2 2 7" xfId="40682" xr:uid="{00000000-0005-0000-0000-00005DCE0000}"/>
    <cellStyle name="Total 3 4 2 2 8" xfId="40107" xr:uid="{00000000-0005-0000-0000-00005ECE0000}"/>
    <cellStyle name="Total 3 4 2 3" xfId="9345" xr:uid="{00000000-0005-0000-0000-00005FCE0000}"/>
    <cellStyle name="Total 3 4 2 3 2" xfId="17140" xr:uid="{00000000-0005-0000-0000-000060CE0000}"/>
    <cellStyle name="Total 3 4 2 3 2 2" xfId="43549" xr:uid="{00000000-0005-0000-0000-000061CE0000}"/>
    <cellStyle name="Total 3 4 2 3 2 3" xfId="47669" xr:uid="{00000000-0005-0000-0000-000062CE0000}"/>
    <cellStyle name="Total 3 4 2 3 2 4" xfId="34776" xr:uid="{00000000-0005-0000-0000-000063CE0000}"/>
    <cellStyle name="Total 3 4 2 3 3" xfId="20202" xr:uid="{00000000-0005-0000-0000-000064CE0000}"/>
    <cellStyle name="Total 3 4 2 3 3 2" xfId="45739" xr:uid="{00000000-0005-0000-0000-000065CE0000}"/>
    <cellStyle name="Total 3 4 2 3 3 3" xfId="49645" xr:uid="{00000000-0005-0000-0000-000066CE0000}"/>
    <cellStyle name="Total 3 4 2 3 3 4" xfId="37684" xr:uid="{00000000-0005-0000-0000-000067CE0000}"/>
    <cellStyle name="Total 3 4 2 3 4" xfId="19479" xr:uid="{00000000-0005-0000-0000-000068CE0000}"/>
    <cellStyle name="Total 3 4 2 3 4 2" xfId="45016" xr:uid="{00000000-0005-0000-0000-000069CE0000}"/>
    <cellStyle name="Total 3 4 2 3 4 3" xfId="48922" xr:uid="{00000000-0005-0000-0000-00006ACE0000}"/>
    <cellStyle name="Total 3 4 2 3 4 4" xfId="37036" xr:uid="{00000000-0005-0000-0000-00006BCE0000}"/>
    <cellStyle name="Total 3 4 2 3 5" xfId="19500" xr:uid="{00000000-0005-0000-0000-00006CCE0000}"/>
    <cellStyle name="Total 3 4 2 3 5 2" xfId="45037" xr:uid="{00000000-0005-0000-0000-00006DCE0000}"/>
    <cellStyle name="Total 3 4 2 3 5 3" xfId="48943" xr:uid="{00000000-0005-0000-0000-00006ECE0000}"/>
    <cellStyle name="Total 3 4 2 3 5 4" xfId="37051" xr:uid="{00000000-0005-0000-0000-00006FCE0000}"/>
    <cellStyle name="Total 3 4 2 3 6" xfId="18914" xr:uid="{00000000-0005-0000-0000-000070CE0000}"/>
    <cellStyle name="Total 3 4 2 3 6 2" xfId="44451" xr:uid="{00000000-0005-0000-0000-000071CE0000}"/>
    <cellStyle name="Total 3 4 2 3 6 3" xfId="48357" xr:uid="{00000000-0005-0000-0000-000072CE0000}"/>
    <cellStyle name="Total 3 4 2 3 7" xfId="40412" xr:uid="{00000000-0005-0000-0000-000073CE0000}"/>
    <cellStyle name="Total 3 4 2 3 8" xfId="39208" xr:uid="{00000000-0005-0000-0000-000074CE0000}"/>
    <cellStyle name="Total 3 4 2 4" xfId="13919" xr:uid="{00000000-0005-0000-0000-000075CE0000}"/>
    <cellStyle name="Total 3 4 2 4 2" xfId="42654" xr:uid="{00000000-0005-0000-0000-000076CE0000}"/>
    <cellStyle name="Total 3 4 2 4 3" xfId="42789" xr:uid="{00000000-0005-0000-0000-000077CE0000}"/>
    <cellStyle name="Total 3 4 2 4 4" xfId="31555" xr:uid="{00000000-0005-0000-0000-000078CE0000}"/>
    <cellStyle name="Total 3 4 2 5" xfId="12803" xr:uid="{00000000-0005-0000-0000-000079CE0000}"/>
    <cellStyle name="Total 3 4 2 5 2" xfId="42218" xr:uid="{00000000-0005-0000-0000-00007ACE0000}"/>
    <cellStyle name="Total 3 4 2 5 3" xfId="43583" xr:uid="{00000000-0005-0000-0000-00007BCE0000}"/>
    <cellStyle name="Total 3 4 2 5 4" xfId="30460" xr:uid="{00000000-0005-0000-0000-00007CCE0000}"/>
    <cellStyle name="Total 3 4 3" xfId="7502" xr:uid="{00000000-0005-0000-0000-00007DCE0000}"/>
    <cellStyle name="Total 3 4 3 10" xfId="40623" xr:uid="{00000000-0005-0000-0000-00007ECE0000}"/>
    <cellStyle name="Total 3 4 3 2" xfId="10775" xr:uid="{00000000-0005-0000-0000-00007FCE0000}"/>
    <cellStyle name="Total 3 4 3 2 2" xfId="18568" xr:uid="{00000000-0005-0000-0000-000080CE0000}"/>
    <cellStyle name="Total 3 4 3 2 2 2" xfId="44115" xr:uid="{00000000-0005-0000-0000-000081CE0000}"/>
    <cellStyle name="Total 3 4 3 2 2 3" xfId="48024" xr:uid="{00000000-0005-0000-0000-000082CE0000}"/>
    <cellStyle name="Total 3 4 3 2 2 4" xfId="36205" xr:uid="{00000000-0005-0000-0000-000083CE0000}"/>
    <cellStyle name="Total 3 4 3 2 3" xfId="19115" xr:uid="{00000000-0005-0000-0000-000084CE0000}"/>
    <cellStyle name="Total 3 4 3 2 3 2" xfId="44652" xr:uid="{00000000-0005-0000-0000-000085CE0000}"/>
    <cellStyle name="Total 3 4 3 2 3 3" xfId="48558" xr:uid="{00000000-0005-0000-0000-000086CE0000}"/>
    <cellStyle name="Total 3 4 3 2 3 4" xfId="36710" xr:uid="{00000000-0005-0000-0000-000087CE0000}"/>
    <cellStyle name="Total 3 4 3 2 4" xfId="18917" xr:uid="{00000000-0005-0000-0000-000088CE0000}"/>
    <cellStyle name="Total 3 4 3 2 4 2" xfId="44454" xr:uid="{00000000-0005-0000-0000-000089CE0000}"/>
    <cellStyle name="Total 3 4 3 2 4 3" xfId="48360" xr:uid="{00000000-0005-0000-0000-00008ACE0000}"/>
    <cellStyle name="Total 3 4 3 2 4 4" xfId="36547" xr:uid="{00000000-0005-0000-0000-00008BCE0000}"/>
    <cellStyle name="Total 3 4 3 2 5" xfId="20981" xr:uid="{00000000-0005-0000-0000-00008CCE0000}"/>
    <cellStyle name="Total 3 4 3 2 5 2" xfId="46518" xr:uid="{00000000-0005-0000-0000-00008DCE0000}"/>
    <cellStyle name="Total 3 4 3 2 5 3" xfId="50424" xr:uid="{00000000-0005-0000-0000-00008ECE0000}"/>
    <cellStyle name="Total 3 4 3 2 5 4" xfId="38387" xr:uid="{00000000-0005-0000-0000-00008FCE0000}"/>
    <cellStyle name="Total 3 4 3 2 6" xfId="21634" xr:uid="{00000000-0005-0000-0000-000090CE0000}"/>
    <cellStyle name="Total 3 4 3 2 6 2" xfId="47171" xr:uid="{00000000-0005-0000-0000-000091CE0000}"/>
    <cellStyle name="Total 3 4 3 2 6 3" xfId="51077" xr:uid="{00000000-0005-0000-0000-000092CE0000}"/>
    <cellStyle name="Total 3 4 3 2 7" xfId="40974" xr:uid="{00000000-0005-0000-0000-000093CE0000}"/>
    <cellStyle name="Total 3 4 3 2 8" xfId="40487" xr:uid="{00000000-0005-0000-0000-000094CE0000}"/>
    <cellStyle name="Total 3 4 3 3" xfId="11070" xr:uid="{00000000-0005-0000-0000-000095CE0000}"/>
    <cellStyle name="Total 3 4 3 3 2" xfId="18863" xr:uid="{00000000-0005-0000-0000-000096CE0000}"/>
    <cellStyle name="Total 3 4 3 3 2 2" xfId="44410" xr:uid="{00000000-0005-0000-0000-000097CE0000}"/>
    <cellStyle name="Total 3 4 3 3 2 3" xfId="48319" xr:uid="{00000000-0005-0000-0000-000098CE0000}"/>
    <cellStyle name="Total 3 4 3 3 2 4" xfId="36500" xr:uid="{00000000-0005-0000-0000-000099CE0000}"/>
    <cellStyle name="Total 3 4 3 3 3" xfId="20456" xr:uid="{00000000-0005-0000-0000-00009ACE0000}"/>
    <cellStyle name="Total 3 4 3 3 3 2" xfId="45993" xr:uid="{00000000-0005-0000-0000-00009BCE0000}"/>
    <cellStyle name="Total 3 4 3 3 3 3" xfId="49899" xr:uid="{00000000-0005-0000-0000-00009CCE0000}"/>
    <cellStyle name="Total 3 4 3 3 3 4" xfId="37910" xr:uid="{00000000-0005-0000-0000-00009DCE0000}"/>
    <cellStyle name="Total 3 4 3 3 4" xfId="20600" xr:uid="{00000000-0005-0000-0000-00009ECE0000}"/>
    <cellStyle name="Total 3 4 3 3 4 2" xfId="46137" xr:uid="{00000000-0005-0000-0000-00009FCE0000}"/>
    <cellStyle name="Total 3 4 3 3 4 3" xfId="50043" xr:uid="{00000000-0005-0000-0000-0000A0CE0000}"/>
    <cellStyle name="Total 3 4 3 3 4 4" xfId="38027" xr:uid="{00000000-0005-0000-0000-0000A1CE0000}"/>
    <cellStyle name="Total 3 4 3 3 5" xfId="21276" xr:uid="{00000000-0005-0000-0000-0000A2CE0000}"/>
    <cellStyle name="Total 3 4 3 3 5 2" xfId="46813" xr:uid="{00000000-0005-0000-0000-0000A3CE0000}"/>
    <cellStyle name="Total 3 4 3 3 5 3" xfId="50719" xr:uid="{00000000-0005-0000-0000-0000A4CE0000}"/>
    <cellStyle name="Total 3 4 3 3 5 4" xfId="38682" xr:uid="{00000000-0005-0000-0000-0000A5CE0000}"/>
    <cellStyle name="Total 3 4 3 3 6" xfId="21929" xr:uid="{00000000-0005-0000-0000-0000A6CE0000}"/>
    <cellStyle name="Total 3 4 3 3 6 2" xfId="47466" xr:uid="{00000000-0005-0000-0000-0000A7CE0000}"/>
    <cellStyle name="Total 3 4 3 3 6 3" xfId="51372" xr:uid="{00000000-0005-0000-0000-0000A8CE0000}"/>
    <cellStyle name="Total 3 4 3 3 7" xfId="41269" xr:uid="{00000000-0005-0000-0000-0000A9CE0000}"/>
    <cellStyle name="Total 3 4 3 3 8" xfId="40225" xr:uid="{00000000-0005-0000-0000-0000AACE0000}"/>
    <cellStyle name="Total 3 4 3 4" xfId="15290" xr:uid="{00000000-0005-0000-0000-0000ABCE0000}"/>
    <cellStyle name="Total 3 4 3 4 2" xfId="43163" xr:uid="{00000000-0005-0000-0000-0000ACCE0000}"/>
    <cellStyle name="Total 3 4 3 4 3" xfId="39524" xr:uid="{00000000-0005-0000-0000-0000ADCE0000}"/>
    <cellStyle name="Total 3 4 3 4 4" xfId="32925" xr:uid="{00000000-0005-0000-0000-0000AECE0000}"/>
    <cellStyle name="Total 3 4 3 5" xfId="12053" xr:uid="{00000000-0005-0000-0000-0000AFCE0000}"/>
    <cellStyle name="Total 3 4 3 5 2" xfId="41808" xr:uid="{00000000-0005-0000-0000-0000B0CE0000}"/>
    <cellStyle name="Total 3 4 3 5 3" xfId="43486" xr:uid="{00000000-0005-0000-0000-0000B1CE0000}"/>
    <cellStyle name="Total 3 4 3 5 4" xfId="29732" xr:uid="{00000000-0005-0000-0000-0000B2CE0000}"/>
    <cellStyle name="Total 3 4 3 6" xfId="19664" xr:uid="{00000000-0005-0000-0000-0000B3CE0000}"/>
    <cellStyle name="Total 3 4 3 6 2" xfId="45201" xr:uid="{00000000-0005-0000-0000-0000B4CE0000}"/>
    <cellStyle name="Total 3 4 3 6 3" xfId="49107" xr:uid="{00000000-0005-0000-0000-0000B5CE0000}"/>
    <cellStyle name="Total 3 4 3 6 4" xfId="37198" xr:uid="{00000000-0005-0000-0000-0000B6CE0000}"/>
    <cellStyle name="Total 3 4 3 7" xfId="19024" xr:uid="{00000000-0005-0000-0000-0000B7CE0000}"/>
    <cellStyle name="Total 3 4 3 7 2" xfId="44561" xr:uid="{00000000-0005-0000-0000-0000B8CE0000}"/>
    <cellStyle name="Total 3 4 3 7 3" xfId="48467" xr:uid="{00000000-0005-0000-0000-0000B9CE0000}"/>
    <cellStyle name="Total 3 4 3 7 4" xfId="36632" xr:uid="{00000000-0005-0000-0000-0000BACE0000}"/>
    <cellStyle name="Total 3 4 3 8" xfId="18898" xr:uid="{00000000-0005-0000-0000-0000BBCE0000}"/>
    <cellStyle name="Total 3 4 3 8 2" xfId="44435" xr:uid="{00000000-0005-0000-0000-0000BCCE0000}"/>
    <cellStyle name="Total 3 4 3 8 3" xfId="48341" xr:uid="{00000000-0005-0000-0000-0000BDCE0000}"/>
    <cellStyle name="Total 3 4 3 9" xfId="40023" xr:uid="{00000000-0005-0000-0000-0000BECE0000}"/>
    <cellStyle name="Total 3 5" xfId="5452" xr:uid="{00000000-0005-0000-0000-0000BFCE0000}"/>
    <cellStyle name="Total 3 6" xfId="7499" xr:uid="{00000000-0005-0000-0000-0000C0CE0000}"/>
    <cellStyle name="Total 3 6 10" xfId="40128" xr:uid="{00000000-0005-0000-0000-0000C1CE0000}"/>
    <cellStyle name="Total 3 6 2" xfId="10772" xr:uid="{00000000-0005-0000-0000-0000C2CE0000}"/>
    <cellStyle name="Total 3 6 2 2" xfId="18565" xr:uid="{00000000-0005-0000-0000-0000C3CE0000}"/>
    <cellStyle name="Total 3 6 2 2 2" xfId="44112" xr:uid="{00000000-0005-0000-0000-0000C4CE0000}"/>
    <cellStyle name="Total 3 6 2 2 3" xfId="48021" xr:uid="{00000000-0005-0000-0000-0000C5CE0000}"/>
    <cellStyle name="Total 3 6 2 2 4" xfId="36202" xr:uid="{00000000-0005-0000-0000-0000C6CE0000}"/>
    <cellStyle name="Total 3 6 2 3" xfId="20017" xr:uid="{00000000-0005-0000-0000-0000C7CE0000}"/>
    <cellStyle name="Total 3 6 2 3 2" xfId="45554" xr:uid="{00000000-0005-0000-0000-0000C8CE0000}"/>
    <cellStyle name="Total 3 6 2 3 3" xfId="49460" xr:uid="{00000000-0005-0000-0000-0000C9CE0000}"/>
    <cellStyle name="Total 3 6 2 3 4" xfId="37515" xr:uid="{00000000-0005-0000-0000-0000CACE0000}"/>
    <cellStyle name="Total 3 6 2 4" xfId="11628" xr:uid="{00000000-0005-0000-0000-0000CBCE0000}"/>
    <cellStyle name="Total 3 6 2 4 2" xfId="41639" xr:uid="{00000000-0005-0000-0000-0000CCCE0000}"/>
    <cellStyle name="Total 3 6 2 4 3" xfId="43345" xr:uid="{00000000-0005-0000-0000-0000CDCE0000}"/>
    <cellStyle name="Total 3 6 2 4 4" xfId="29331" xr:uid="{00000000-0005-0000-0000-0000CECE0000}"/>
    <cellStyle name="Total 3 6 2 5" xfId="20978" xr:uid="{00000000-0005-0000-0000-0000CFCE0000}"/>
    <cellStyle name="Total 3 6 2 5 2" xfId="46515" xr:uid="{00000000-0005-0000-0000-0000D0CE0000}"/>
    <cellStyle name="Total 3 6 2 5 3" xfId="50421" xr:uid="{00000000-0005-0000-0000-0000D1CE0000}"/>
    <cellStyle name="Total 3 6 2 5 4" xfId="38384" xr:uid="{00000000-0005-0000-0000-0000D2CE0000}"/>
    <cellStyle name="Total 3 6 2 6" xfId="21631" xr:uid="{00000000-0005-0000-0000-0000D3CE0000}"/>
    <cellStyle name="Total 3 6 2 6 2" xfId="47168" xr:uid="{00000000-0005-0000-0000-0000D4CE0000}"/>
    <cellStyle name="Total 3 6 2 6 3" xfId="51074" xr:uid="{00000000-0005-0000-0000-0000D5CE0000}"/>
    <cellStyle name="Total 3 6 2 7" xfId="40971" xr:uid="{00000000-0005-0000-0000-0000D6CE0000}"/>
    <cellStyle name="Total 3 6 2 8" xfId="39703" xr:uid="{00000000-0005-0000-0000-0000D7CE0000}"/>
    <cellStyle name="Total 3 6 3" xfId="11067" xr:uid="{00000000-0005-0000-0000-0000D8CE0000}"/>
    <cellStyle name="Total 3 6 3 2" xfId="18860" xr:uid="{00000000-0005-0000-0000-0000D9CE0000}"/>
    <cellStyle name="Total 3 6 3 2 2" xfId="44407" xr:uid="{00000000-0005-0000-0000-0000DACE0000}"/>
    <cellStyle name="Total 3 6 3 2 3" xfId="48316" xr:uid="{00000000-0005-0000-0000-0000DBCE0000}"/>
    <cellStyle name="Total 3 6 3 2 4" xfId="36497" xr:uid="{00000000-0005-0000-0000-0000DCCE0000}"/>
    <cellStyle name="Total 3 6 3 3" xfId="20453" xr:uid="{00000000-0005-0000-0000-0000DDCE0000}"/>
    <cellStyle name="Total 3 6 3 3 2" xfId="45990" xr:uid="{00000000-0005-0000-0000-0000DECE0000}"/>
    <cellStyle name="Total 3 6 3 3 3" xfId="49896" xr:uid="{00000000-0005-0000-0000-0000DFCE0000}"/>
    <cellStyle name="Total 3 6 3 3 4" xfId="37907" xr:uid="{00000000-0005-0000-0000-0000E0CE0000}"/>
    <cellStyle name="Total 3 6 3 4" xfId="20597" xr:uid="{00000000-0005-0000-0000-0000E1CE0000}"/>
    <cellStyle name="Total 3 6 3 4 2" xfId="46134" xr:uid="{00000000-0005-0000-0000-0000E2CE0000}"/>
    <cellStyle name="Total 3 6 3 4 3" xfId="50040" xr:uid="{00000000-0005-0000-0000-0000E3CE0000}"/>
    <cellStyle name="Total 3 6 3 4 4" xfId="38024" xr:uid="{00000000-0005-0000-0000-0000E4CE0000}"/>
    <cellStyle name="Total 3 6 3 5" xfId="21273" xr:uid="{00000000-0005-0000-0000-0000E5CE0000}"/>
    <cellStyle name="Total 3 6 3 5 2" xfId="46810" xr:uid="{00000000-0005-0000-0000-0000E6CE0000}"/>
    <cellStyle name="Total 3 6 3 5 3" xfId="50716" xr:uid="{00000000-0005-0000-0000-0000E7CE0000}"/>
    <cellStyle name="Total 3 6 3 5 4" xfId="38679" xr:uid="{00000000-0005-0000-0000-0000E8CE0000}"/>
    <cellStyle name="Total 3 6 3 6" xfId="21926" xr:uid="{00000000-0005-0000-0000-0000E9CE0000}"/>
    <cellStyle name="Total 3 6 3 6 2" xfId="47463" xr:uid="{00000000-0005-0000-0000-0000EACE0000}"/>
    <cellStyle name="Total 3 6 3 6 3" xfId="51369" xr:uid="{00000000-0005-0000-0000-0000EBCE0000}"/>
    <cellStyle name="Total 3 6 3 7" xfId="41266" xr:uid="{00000000-0005-0000-0000-0000ECCE0000}"/>
    <cellStyle name="Total 3 6 3 8" xfId="39479" xr:uid="{00000000-0005-0000-0000-0000EDCE0000}"/>
    <cellStyle name="Total 3 6 4" xfId="15287" xr:uid="{00000000-0005-0000-0000-0000EECE0000}"/>
    <cellStyle name="Total 3 6 4 2" xfId="43160" xr:uid="{00000000-0005-0000-0000-0000EFCE0000}"/>
    <cellStyle name="Total 3 6 4 3" xfId="42665" xr:uid="{00000000-0005-0000-0000-0000F0CE0000}"/>
    <cellStyle name="Total 3 6 4 4" xfId="32922" xr:uid="{00000000-0005-0000-0000-0000F1CE0000}"/>
    <cellStyle name="Total 3 6 5" xfId="11375" xr:uid="{00000000-0005-0000-0000-0000F2CE0000}"/>
    <cellStyle name="Total 3 6 5 2" xfId="41411" xr:uid="{00000000-0005-0000-0000-0000F3CE0000}"/>
    <cellStyle name="Total 3 6 5 3" xfId="42036" xr:uid="{00000000-0005-0000-0000-0000F4CE0000}"/>
    <cellStyle name="Total 3 6 5 4" xfId="29098" xr:uid="{00000000-0005-0000-0000-0000F5CE0000}"/>
    <cellStyle name="Total 3 6 6" xfId="19697" xr:uid="{00000000-0005-0000-0000-0000F6CE0000}"/>
    <cellStyle name="Total 3 6 6 2" xfId="45234" xr:uid="{00000000-0005-0000-0000-0000F7CE0000}"/>
    <cellStyle name="Total 3 6 6 3" xfId="49140" xr:uid="{00000000-0005-0000-0000-0000F8CE0000}"/>
    <cellStyle name="Total 3 6 6 4" xfId="37226" xr:uid="{00000000-0005-0000-0000-0000F9CE0000}"/>
    <cellStyle name="Total 3 6 7" xfId="11581" xr:uid="{00000000-0005-0000-0000-0000FACE0000}"/>
    <cellStyle name="Total 3 6 7 2" xfId="41592" xr:uid="{00000000-0005-0000-0000-0000FBCE0000}"/>
    <cellStyle name="Total 3 6 7 3" xfId="42580" xr:uid="{00000000-0005-0000-0000-0000FCCE0000}"/>
    <cellStyle name="Total 3 6 7 4" xfId="29292" xr:uid="{00000000-0005-0000-0000-0000FDCE0000}"/>
    <cellStyle name="Total 3 6 8" xfId="20092" xr:uid="{00000000-0005-0000-0000-0000FECE0000}"/>
    <cellStyle name="Total 3 6 8 2" xfId="45629" xr:uid="{00000000-0005-0000-0000-0000FFCE0000}"/>
    <cellStyle name="Total 3 6 8 3" xfId="49535" xr:uid="{00000000-0005-0000-0000-000000CF0000}"/>
    <cellStyle name="Total 3 6 9" xfId="40020" xr:uid="{00000000-0005-0000-0000-000001CF0000}"/>
    <cellStyle name="Total 3 7" xfId="12150" xr:uid="{00000000-0005-0000-0000-000002CF0000}"/>
    <cellStyle name="Total 3 7 2" xfId="41895" xr:uid="{00000000-0005-0000-0000-000003CF0000}"/>
    <cellStyle name="Total 3 7 3" xfId="41927" xr:uid="{00000000-0005-0000-0000-000004CF0000}"/>
    <cellStyle name="Total 3 7 4" xfId="29822" xr:uid="{00000000-0005-0000-0000-000005CF0000}"/>
    <cellStyle name="Total 3 8" xfId="19974" xr:uid="{00000000-0005-0000-0000-000006CF0000}"/>
    <cellStyle name="Total 3 8 2" xfId="45511" xr:uid="{00000000-0005-0000-0000-000007CF0000}"/>
    <cellStyle name="Total 3 8 3" xfId="49417" xr:uid="{00000000-0005-0000-0000-000008CF0000}"/>
    <cellStyle name="Total 3 8 4" xfId="37478" xr:uid="{00000000-0005-0000-0000-000009CF0000}"/>
    <cellStyle name="Total 3 9" xfId="52771" xr:uid="{00000000-0005-0000-0000-00000ACF0000}"/>
    <cellStyle name="Total 4" xfId="144" xr:uid="{00000000-0005-0000-0000-00000BCF0000}"/>
    <cellStyle name="Total 4 10" xfId="52772" xr:uid="{00000000-0005-0000-0000-00000CCF0000}"/>
    <cellStyle name="Total 4 2" xfId="3420" xr:uid="{00000000-0005-0000-0000-00000DCF0000}"/>
    <cellStyle name="Total 4 2 2" xfId="5457" xr:uid="{00000000-0005-0000-0000-00000ECF0000}"/>
    <cellStyle name="Total 4 2 2 2" xfId="53464" xr:uid="{00000000-0005-0000-0000-00000FCF0000}"/>
    <cellStyle name="Total 4 2 3" xfId="7504" xr:uid="{00000000-0005-0000-0000-000010CF0000}"/>
    <cellStyle name="Total 4 2 3 10" xfId="42757" xr:uid="{00000000-0005-0000-0000-000011CF0000}"/>
    <cellStyle name="Total 4 2 3 2" xfId="10777" xr:uid="{00000000-0005-0000-0000-000012CF0000}"/>
    <cellStyle name="Total 4 2 3 2 2" xfId="18570" xr:uid="{00000000-0005-0000-0000-000013CF0000}"/>
    <cellStyle name="Total 4 2 3 2 2 2" xfId="44117" xr:uid="{00000000-0005-0000-0000-000014CF0000}"/>
    <cellStyle name="Total 4 2 3 2 2 3" xfId="48026" xr:uid="{00000000-0005-0000-0000-000015CF0000}"/>
    <cellStyle name="Total 4 2 3 2 2 4" xfId="36207" xr:uid="{00000000-0005-0000-0000-000016CF0000}"/>
    <cellStyle name="Total 4 2 3 2 3" xfId="11510" xr:uid="{00000000-0005-0000-0000-000017CF0000}"/>
    <cellStyle name="Total 4 2 3 2 3 2" xfId="41521" xr:uid="{00000000-0005-0000-0000-000018CF0000}"/>
    <cellStyle name="Total 4 2 3 2 3 3" xfId="42028" xr:uid="{00000000-0005-0000-0000-000019CF0000}"/>
    <cellStyle name="Total 4 2 3 2 3 4" xfId="29225" xr:uid="{00000000-0005-0000-0000-00001ACF0000}"/>
    <cellStyle name="Total 4 2 3 2 4" xfId="19551" xr:uid="{00000000-0005-0000-0000-00001BCF0000}"/>
    <cellStyle name="Total 4 2 3 2 4 2" xfId="45088" xr:uid="{00000000-0005-0000-0000-00001CCF0000}"/>
    <cellStyle name="Total 4 2 3 2 4 3" xfId="48994" xr:uid="{00000000-0005-0000-0000-00001DCF0000}"/>
    <cellStyle name="Total 4 2 3 2 4 4" xfId="37093" xr:uid="{00000000-0005-0000-0000-00001ECF0000}"/>
    <cellStyle name="Total 4 2 3 2 5" xfId="20983" xr:uid="{00000000-0005-0000-0000-00001FCF0000}"/>
    <cellStyle name="Total 4 2 3 2 5 2" xfId="46520" xr:uid="{00000000-0005-0000-0000-000020CF0000}"/>
    <cellStyle name="Total 4 2 3 2 5 3" xfId="50426" xr:uid="{00000000-0005-0000-0000-000021CF0000}"/>
    <cellStyle name="Total 4 2 3 2 5 4" xfId="38389" xr:uid="{00000000-0005-0000-0000-000022CF0000}"/>
    <cellStyle name="Total 4 2 3 2 6" xfId="21636" xr:uid="{00000000-0005-0000-0000-000023CF0000}"/>
    <cellStyle name="Total 4 2 3 2 6 2" xfId="47173" xr:uid="{00000000-0005-0000-0000-000024CF0000}"/>
    <cellStyle name="Total 4 2 3 2 6 3" xfId="51079" xr:uid="{00000000-0005-0000-0000-000025CF0000}"/>
    <cellStyle name="Total 4 2 3 2 7" xfId="40976" xr:uid="{00000000-0005-0000-0000-000026CF0000}"/>
    <cellStyle name="Total 4 2 3 2 8" xfId="42605" xr:uid="{00000000-0005-0000-0000-000027CF0000}"/>
    <cellStyle name="Total 4 2 3 3" xfId="11072" xr:uid="{00000000-0005-0000-0000-000028CF0000}"/>
    <cellStyle name="Total 4 2 3 3 2" xfId="18865" xr:uid="{00000000-0005-0000-0000-000029CF0000}"/>
    <cellStyle name="Total 4 2 3 3 2 2" xfId="44412" xr:uid="{00000000-0005-0000-0000-00002ACF0000}"/>
    <cellStyle name="Total 4 2 3 3 2 3" xfId="48321" xr:uid="{00000000-0005-0000-0000-00002BCF0000}"/>
    <cellStyle name="Total 4 2 3 3 2 4" xfId="36502" xr:uid="{00000000-0005-0000-0000-00002CCF0000}"/>
    <cellStyle name="Total 4 2 3 3 3" xfId="20458" xr:uid="{00000000-0005-0000-0000-00002DCF0000}"/>
    <cellStyle name="Total 4 2 3 3 3 2" xfId="45995" xr:uid="{00000000-0005-0000-0000-00002ECF0000}"/>
    <cellStyle name="Total 4 2 3 3 3 3" xfId="49901" xr:uid="{00000000-0005-0000-0000-00002FCF0000}"/>
    <cellStyle name="Total 4 2 3 3 3 4" xfId="37912" xr:uid="{00000000-0005-0000-0000-000030CF0000}"/>
    <cellStyle name="Total 4 2 3 3 4" xfId="20602" xr:uid="{00000000-0005-0000-0000-000031CF0000}"/>
    <cellStyle name="Total 4 2 3 3 4 2" xfId="46139" xr:uid="{00000000-0005-0000-0000-000032CF0000}"/>
    <cellStyle name="Total 4 2 3 3 4 3" xfId="50045" xr:uid="{00000000-0005-0000-0000-000033CF0000}"/>
    <cellStyle name="Total 4 2 3 3 4 4" xfId="38029" xr:uid="{00000000-0005-0000-0000-000034CF0000}"/>
    <cellStyle name="Total 4 2 3 3 5" xfId="21278" xr:uid="{00000000-0005-0000-0000-000035CF0000}"/>
    <cellStyle name="Total 4 2 3 3 5 2" xfId="46815" xr:uid="{00000000-0005-0000-0000-000036CF0000}"/>
    <cellStyle name="Total 4 2 3 3 5 3" xfId="50721" xr:uid="{00000000-0005-0000-0000-000037CF0000}"/>
    <cellStyle name="Total 4 2 3 3 5 4" xfId="38684" xr:uid="{00000000-0005-0000-0000-000038CF0000}"/>
    <cellStyle name="Total 4 2 3 3 6" xfId="21931" xr:uid="{00000000-0005-0000-0000-000039CF0000}"/>
    <cellStyle name="Total 4 2 3 3 6 2" xfId="47468" xr:uid="{00000000-0005-0000-0000-00003ACF0000}"/>
    <cellStyle name="Total 4 2 3 3 6 3" xfId="51374" xr:uid="{00000000-0005-0000-0000-00003BCF0000}"/>
    <cellStyle name="Total 4 2 3 3 7" xfId="41271" xr:uid="{00000000-0005-0000-0000-00003CCF0000}"/>
    <cellStyle name="Total 4 2 3 3 8" xfId="39179" xr:uid="{00000000-0005-0000-0000-00003DCF0000}"/>
    <cellStyle name="Total 4 2 3 4" xfId="15292" xr:uid="{00000000-0005-0000-0000-00003ECF0000}"/>
    <cellStyle name="Total 4 2 3 4 2" xfId="43165" xr:uid="{00000000-0005-0000-0000-00003FCF0000}"/>
    <cellStyle name="Total 4 2 3 4 3" xfId="43445" xr:uid="{00000000-0005-0000-0000-000040CF0000}"/>
    <cellStyle name="Total 4 2 3 4 4" xfId="32927" xr:uid="{00000000-0005-0000-0000-000041CF0000}"/>
    <cellStyle name="Total 4 2 3 5" xfId="13250" xr:uid="{00000000-0005-0000-0000-000042CF0000}"/>
    <cellStyle name="Total 4 2 3 5 2" xfId="42430" xr:uid="{00000000-0005-0000-0000-000043CF0000}"/>
    <cellStyle name="Total 4 2 3 5 3" xfId="40326" xr:uid="{00000000-0005-0000-0000-000044CF0000}"/>
    <cellStyle name="Total 4 2 3 5 4" xfId="30895" xr:uid="{00000000-0005-0000-0000-000045CF0000}"/>
    <cellStyle name="Total 4 2 3 6" xfId="11854" xr:uid="{00000000-0005-0000-0000-000046CF0000}"/>
    <cellStyle name="Total 4 2 3 6 2" xfId="41772" xr:uid="{00000000-0005-0000-0000-000047CF0000}"/>
    <cellStyle name="Total 4 2 3 6 3" xfId="39337" xr:uid="{00000000-0005-0000-0000-000048CF0000}"/>
    <cellStyle name="Total 4 2 3 6 4" xfId="29538" xr:uid="{00000000-0005-0000-0000-000049CF0000}"/>
    <cellStyle name="Total 4 2 3 7" xfId="11588" xr:uid="{00000000-0005-0000-0000-00004ACF0000}"/>
    <cellStyle name="Total 4 2 3 7 2" xfId="41599" xr:uid="{00000000-0005-0000-0000-00004BCF0000}"/>
    <cellStyle name="Total 4 2 3 7 3" xfId="39352" xr:uid="{00000000-0005-0000-0000-00004CCF0000}"/>
    <cellStyle name="Total 4 2 3 7 4" xfId="29296" xr:uid="{00000000-0005-0000-0000-00004DCF0000}"/>
    <cellStyle name="Total 4 2 3 8" xfId="19676" xr:uid="{00000000-0005-0000-0000-00004ECF0000}"/>
    <cellStyle name="Total 4 2 3 8 2" xfId="45213" xr:uid="{00000000-0005-0000-0000-00004FCF0000}"/>
    <cellStyle name="Total 4 2 3 8 3" xfId="49119" xr:uid="{00000000-0005-0000-0000-000050CF0000}"/>
    <cellStyle name="Total 4 2 3 9" xfId="40025" xr:uid="{00000000-0005-0000-0000-000051CF0000}"/>
    <cellStyle name="Total 4 2 4" xfId="12154" xr:uid="{00000000-0005-0000-0000-000052CF0000}"/>
    <cellStyle name="Total 4 2 4 2" xfId="41899" xr:uid="{00000000-0005-0000-0000-000053CF0000}"/>
    <cellStyle name="Total 4 2 4 3" xfId="41330" xr:uid="{00000000-0005-0000-0000-000054CF0000}"/>
    <cellStyle name="Total 4 2 4 4" xfId="29826" xr:uid="{00000000-0005-0000-0000-000055CF0000}"/>
    <cellStyle name="Total 4 2 5" xfId="11610" xr:uid="{00000000-0005-0000-0000-000056CF0000}"/>
    <cellStyle name="Total 4 2 5 2" xfId="41621" xr:uid="{00000000-0005-0000-0000-000057CF0000}"/>
    <cellStyle name="Total 4 2 5 3" xfId="39167" xr:uid="{00000000-0005-0000-0000-000058CF0000}"/>
    <cellStyle name="Total 4 2 5 4" xfId="29313" xr:uid="{00000000-0005-0000-0000-000059CF0000}"/>
    <cellStyle name="Total 4 2 6" xfId="53361" xr:uid="{00000000-0005-0000-0000-00005ACF0000}"/>
    <cellStyle name="Total 4 3" xfId="3421" xr:uid="{00000000-0005-0000-0000-00005BCF0000}"/>
    <cellStyle name="Total 4 3 2" xfId="5458" xr:uid="{00000000-0005-0000-0000-00005CCF0000}"/>
    <cellStyle name="Total 4 3 3" xfId="7505" xr:uid="{00000000-0005-0000-0000-00005DCF0000}"/>
    <cellStyle name="Total 4 3 3 10" xfId="43645" xr:uid="{00000000-0005-0000-0000-00005ECF0000}"/>
    <cellStyle name="Total 4 3 3 2" xfId="10778" xr:uid="{00000000-0005-0000-0000-00005FCF0000}"/>
    <cellStyle name="Total 4 3 3 2 2" xfId="18571" xr:uid="{00000000-0005-0000-0000-000060CF0000}"/>
    <cellStyle name="Total 4 3 3 2 2 2" xfId="44118" xr:uid="{00000000-0005-0000-0000-000061CF0000}"/>
    <cellStyle name="Total 4 3 3 2 2 3" xfId="48027" xr:uid="{00000000-0005-0000-0000-000062CF0000}"/>
    <cellStyle name="Total 4 3 3 2 2 4" xfId="36208" xr:uid="{00000000-0005-0000-0000-000063CF0000}"/>
    <cellStyle name="Total 4 3 3 2 3" xfId="19730" xr:uid="{00000000-0005-0000-0000-000064CF0000}"/>
    <cellStyle name="Total 4 3 3 2 3 2" xfId="45267" xr:uid="{00000000-0005-0000-0000-000065CF0000}"/>
    <cellStyle name="Total 4 3 3 2 3 3" xfId="49173" xr:uid="{00000000-0005-0000-0000-000066CF0000}"/>
    <cellStyle name="Total 4 3 3 2 3 4" xfId="37257" xr:uid="{00000000-0005-0000-0000-000067CF0000}"/>
    <cellStyle name="Total 4 3 3 2 4" xfId="20344" xr:uid="{00000000-0005-0000-0000-000068CF0000}"/>
    <cellStyle name="Total 4 3 3 2 4 2" xfId="45881" xr:uid="{00000000-0005-0000-0000-000069CF0000}"/>
    <cellStyle name="Total 4 3 3 2 4 3" xfId="49787" xr:uid="{00000000-0005-0000-0000-00006ACF0000}"/>
    <cellStyle name="Total 4 3 3 2 4 4" xfId="37804" xr:uid="{00000000-0005-0000-0000-00006BCF0000}"/>
    <cellStyle name="Total 4 3 3 2 5" xfId="20984" xr:uid="{00000000-0005-0000-0000-00006CCF0000}"/>
    <cellStyle name="Total 4 3 3 2 5 2" xfId="46521" xr:uid="{00000000-0005-0000-0000-00006DCF0000}"/>
    <cellStyle name="Total 4 3 3 2 5 3" xfId="50427" xr:uid="{00000000-0005-0000-0000-00006ECF0000}"/>
    <cellStyle name="Total 4 3 3 2 5 4" xfId="38390" xr:uid="{00000000-0005-0000-0000-00006FCF0000}"/>
    <cellStyle name="Total 4 3 3 2 6" xfId="21637" xr:uid="{00000000-0005-0000-0000-000070CF0000}"/>
    <cellStyle name="Total 4 3 3 2 6 2" xfId="47174" xr:uid="{00000000-0005-0000-0000-000071CF0000}"/>
    <cellStyle name="Total 4 3 3 2 6 3" xfId="51080" xr:uid="{00000000-0005-0000-0000-000072CF0000}"/>
    <cellStyle name="Total 4 3 3 2 7" xfId="40977" xr:uid="{00000000-0005-0000-0000-000073CF0000}"/>
    <cellStyle name="Total 4 3 3 2 8" xfId="43518" xr:uid="{00000000-0005-0000-0000-000074CF0000}"/>
    <cellStyle name="Total 4 3 3 3" xfId="11073" xr:uid="{00000000-0005-0000-0000-000075CF0000}"/>
    <cellStyle name="Total 4 3 3 3 2" xfId="18866" xr:uid="{00000000-0005-0000-0000-000076CF0000}"/>
    <cellStyle name="Total 4 3 3 3 2 2" xfId="44413" xr:uid="{00000000-0005-0000-0000-000077CF0000}"/>
    <cellStyle name="Total 4 3 3 3 2 3" xfId="48322" xr:uid="{00000000-0005-0000-0000-000078CF0000}"/>
    <cellStyle name="Total 4 3 3 3 2 4" xfId="36503" xr:uid="{00000000-0005-0000-0000-000079CF0000}"/>
    <cellStyle name="Total 4 3 3 3 3" xfId="20459" xr:uid="{00000000-0005-0000-0000-00007ACF0000}"/>
    <cellStyle name="Total 4 3 3 3 3 2" xfId="45996" xr:uid="{00000000-0005-0000-0000-00007BCF0000}"/>
    <cellStyle name="Total 4 3 3 3 3 3" xfId="49902" xr:uid="{00000000-0005-0000-0000-00007CCF0000}"/>
    <cellStyle name="Total 4 3 3 3 3 4" xfId="37913" xr:uid="{00000000-0005-0000-0000-00007DCF0000}"/>
    <cellStyle name="Total 4 3 3 3 4" xfId="20603" xr:uid="{00000000-0005-0000-0000-00007ECF0000}"/>
    <cellStyle name="Total 4 3 3 3 4 2" xfId="46140" xr:uid="{00000000-0005-0000-0000-00007FCF0000}"/>
    <cellStyle name="Total 4 3 3 3 4 3" xfId="50046" xr:uid="{00000000-0005-0000-0000-000080CF0000}"/>
    <cellStyle name="Total 4 3 3 3 4 4" xfId="38030" xr:uid="{00000000-0005-0000-0000-000081CF0000}"/>
    <cellStyle name="Total 4 3 3 3 5" xfId="21279" xr:uid="{00000000-0005-0000-0000-000082CF0000}"/>
    <cellStyle name="Total 4 3 3 3 5 2" xfId="46816" xr:uid="{00000000-0005-0000-0000-000083CF0000}"/>
    <cellStyle name="Total 4 3 3 3 5 3" xfId="50722" xr:uid="{00000000-0005-0000-0000-000084CF0000}"/>
    <cellStyle name="Total 4 3 3 3 5 4" xfId="38685" xr:uid="{00000000-0005-0000-0000-000085CF0000}"/>
    <cellStyle name="Total 4 3 3 3 6" xfId="21932" xr:uid="{00000000-0005-0000-0000-000086CF0000}"/>
    <cellStyle name="Total 4 3 3 3 6 2" xfId="47469" xr:uid="{00000000-0005-0000-0000-000087CF0000}"/>
    <cellStyle name="Total 4 3 3 3 6 3" xfId="51375" xr:uid="{00000000-0005-0000-0000-000088CF0000}"/>
    <cellStyle name="Total 4 3 3 3 7" xfId="41272" xr:uid="{00000000-0005-0000-0000-000089CF0000}"/>
    <cellStyle name="Total 4 3 3 3 8" xfId="41420" xr:uid="{00000000-0005-0000-0000-00008ACF0000}"/>
    <cellStyle name="Total 4 3 3 4" xfId="15293" xr:uid="{00000000-0005-0000-0000-00008BCF0000}"/>
    <cellStyle name="Total 4 3 3 4 2" xfId="43166" xr:uid="{00000000-0005-0000-0000-00008CCF0000}"/>
    <cellStyle name="Total 4 3 3 4 3" xfId="40307" xr:uid="{00000000-0005-0000-0000-00008DCF0000}"/>
    <cellStyle name="Total 4 3 3 4 4" xfId="32928" xr:uid="{00000000-0005-0000-0000-00008ECF0000}"/>
    <cellStyle name="Total 4 3 3 5" xfId="12054" xr:uid="{00000000-0005-0000-0000-00008FCF0000}"/>
    <cellStyle name="Total 4 3 3 5 2" xfId="41809" xr:uid="{00000000-0005-0000-0000-000090CF0000}"/>
    <cellStyle name="Total 4 3 3 5 3" xfId="40346" xr:uid="{00000000-0005-0000-0000-000091CF0000}"/>
    <cellStyle name="Total 4 3 3 5 4" xfId="29733" xr:uid="{00000000-0005-0000-0000-000092CF0000}"/>
    <cellStyle name="Total 4 3 3 6" xfId="19456" xr:uid="{00000000-0005-0000-0000-000093CF0000}"/>
    <cellStyle name="Total 4 3 3 6 2" xfId="44993" xr:uid="{00000000-0005-0000-0000-000094CF0000}"/>
    <cellStyle name="Total 4 3 3 6 3" xfId="48899" xr:uid="{00000000-0005-0000-0000-000095CF0000}"/>
    <cellStyle name="Total 4 3 3 6 4" xfId="37016" xr:uid="{00000000-0005-0000-0000-000096CF0000}"/>
    <cellStyle name="Total 4 3 3 7" xfId="19389" xr:uid="{00000000-0005-0000-0000-000097CF0000}"/>
    <cellStyle name="Total 4 3 3 7 2" xfId="44926" xr:uid="{00000000-0005-0000-0000-000098CF0000}"/>
    <cellStyle name="Total 4 3 3 7 3" xfId="48832" xr:uid="{00000000-0005-0000-0000-000099CF0000}"/>
    <cellStyle name="Total 4 3 3 7 4" xfId="36954" xr:uid="{00000000-0005-0000-0000-00009ACF0000}"/>
    <cellStyle name="Total 4 3 3 8" xfId="20337" xr:uid="{00000000-0005-0000-0000-00009BCF0000}"/>
    <cellStyle name="Total 4 3 3 8 2" xfId="45874" xr:uid="{00000000-0005-0000-0000-00009CCF0000}"/>
    <cellStyle name="Total 4 3 3 8 3" xfId="49780" xr:uid="{00000000-0005-0000-0000-00009DCF0000}"/>
    <cellStyle name="Total 4 3 3 9" xfId="40026" xr:uid="{00000000-0005-0000-0000-00009ECF0000}"/>
    <cellStyle name="Total 4 3 4" xfId="12155" xr:uid="{00000000-0005-0000-0000-00009FCF0000}"/>
    <cellStyle name="Total 4 3 4 2" xfId="41900" xr:uid="{00000000-0005-0000-0000-0000A0CF0000}"/>
    <cellStyle name="Total 4 3 4 3" xfId="43203" xr:uid="{00000000-0005-0000-0000-0000A1CF0000}"/>
    <cellStyle name="Total 4 3 4 4" xfId="29827" xr:uid="{00000000-0005-0000-0000-0000A2CF0000}"/>
    <cellStyle name="Total 4 3 5" xfId="12687" xr:uid="{00000000-0005-0000-0000-0000A3CF0000}"/>
    <cellStyle name="Total 4 3 5 2" xfId="42166" xr:uid="{00000000-0005-0000-0000-0000A4CF0000}"/>
    <cellStyle name="Total 4 3 5 3" xfId="42803" xr:uid="{00000000-0005-0000-0000-0000A5CF0000}"/>
    <cellStyle name="Total 4 3 5 4" xfId="30348" xr:uid="{00000000-0005-0000-0000-0000A6CF0000}"/>
    <cellStyle name="Total 4 3 6" xfId="53463" xr:uid="{00000000-0005-0000-0000-0000A7CF0000}"/>
    <cellStyle name="Total 4 4" xfId="5459" xr:uid="{00000000-0005-0000-0000-0000A8CF0000}"/>
    <cellStyle name="Total 4 4 2" xfId="6130" xr:uid="{00000000-0005-0000-0000-0000A9CF0000}"/>
    <cellStyle name="Total 4 4 2 2" xfId="10484" xr:uid="{00000000-0005-0000-0000-0000AACF0000}"/>
    <cellStyle name="Total 4 4 2 2 2" xfId="18277" xr:uid="{00000000-0005-0000-0000-0000ABCF0000}"/>
    <cellStyle name="Total 4 4 2 2 2 2" xfId="43824" xr:uid="{00000000-0005-0000-0000-0000ACCF0000}"/>
    <cellStyle name="Total 4 4 2 2 2 3" xfId="47733" xr:uid="{00000000-0005-0000-0000-0000ADCF0000}"/>
    <cellStyle name="Total 4 4 2 2 2 4" xfId="35914" xr:uid="{00000000-0005-0000-0000-0000AECF0000}"/>
    <cellStyle name="Total 4 4 2 2 3" xfId="19767" xr:uid="{00000000-0005-0000-0000-0000AFCF0000}"/>
    <cellStyle name="Total 4 4 2 2 3 2" xfId="45304" xr:uid="{00000000-0005-0000-0000-0000B0CF0000}"/>
    <cellStyle name="Total 4 4 2 2 3 3" xfId="49210" xr:uid="{00000000-0005-0000-0000-0000B1CF0000}"/>
    <cellStyle name="Total 4 4 2 2 3 4" xfId="37294" xr:uid="{00000000-0005-0000-0000-0000B2CF0000}"/>
    <cellStyle name="Total 4 4 2 2 4" xfId="12649" xr:uid="{00000000-0005-0000-0000-0000B3CF0000}"/>
    <cellStyle name="Total 4 4 2 2 4 2" xfId="42128" xr:uid="{00000000-0005-0000-0000-0000B4CF0000}"/>
    <cellStyle name="Total 4 4 2 2 4 3" xfId="43692" xr:uid="{00000000-0005-0000-0000-0000B5CF0000}"/>
    <cellStyle name="Total 4 4 2 2 4 4" xfId="30314" xr:uid="{00000000-0005-0000-0000-0000B6CF0000}"/>
    <cellStyle name="Total 4 4 2 2 5" xfId="20690" xr:uid="{00000000-0005-0000-0000-0000B7CF0000}"/>
    <cellStyle name="Total 4 4 2 2 5 2" xfId="46227" xr:uid="{00000000-0005-0000-0000-0000B8CF0000}"/>
    <cellStyle name="Total 4 4 2 2 5 3" xfId="50133" xr:uid="{00000000-0005-0000-0000-0000B9CF0000}"/>
    <cellStyle name="Total 4 4 2 2 5 4" xfId="38096" xr:uid="{00000000-0005-0000-0000-0000BACF0000}"/>
    <cellStyle name="Total 4 4 2 2 6" xfId="21343" xr:uid="{00000000-0005-0000-0000-0000BBCF0000}"/>
    <cellStyle name="Total 4 4 2 2 6 2" xfId="46880" xr:uid="{00000000-0005-0000-0000-0000BCCF0000}"/>
    <cellStyle name="Total 4 4 2 2 6 3" xfId="50786" xr:uid="{00000000-0005-0000-0000-0000BDCF0000}"/>
    <cellStyle name="Total 4 4 2 2 7" xfId="40683" xr:uid="{00000000-0005-0000-0000-0000BECF0000}"/>
    <cellStyle name="Total 4 4 2 2 8" xfId="42857" xr:uid="{00000000-0005-0000-0000-0000BFCF0000}"/>
    <cellStyle name="Total 4 4 2 3" xfId="9346" xr:uid="{00000000-0005-0000-0000-0000C0CF0000}"/>
    <cellStyle name="Total 4 4 2 3 2" xfId="17141" xr:uid="{00000000-0005-0000-0000-0000C1CF0000}"/>
    <cellStyle name="Total 4 4 2 3 2 2" xfId="43550" xr:uid="{00000000-0005-0000-0000-0000C2CF0000}"/>
    <cellStyle name="Total 4 4 2 3 2 3" xfId="47670" xr:uid="{00000000-0005-0000-0000-0000C3CF0000}"/>
    <cellStyle name="Total 4 4 2 3 2 4" xfId="34777" xr:uid="{00000000-0005-0000-0000-0000C4CF0000}"/>
    <cellStyle name="Total 4 4 2 3 3" xfId="19463" xr:uid="{00000000-0005-0000-0000-0000C5CF0000}"/>
    <cellStyle name="Total 4 4 2 3 3 2" xfId="45000" xr:uid="{00000000-0005-0000-0000-0000C6CF0000}"/>
    <cellStyle name="Total 4 4 2 3 3 3" xfId="48906" xr:uid="{00000000-0005-0000-0000-0000C7CF0000}"/>
    <cellStyle name="Total 4 4 2 3 3 4" xfId="37021" xr:uid="{00000000-0005-0000-0000-0000C8CF0000}"/>
    <cellStyle name="Total 4 4 2 3 4" xfId="12096" xr:uid="{00000000-0005-0000-0000-0000C9CF0000}"/>
    <cellStyle name="Total 4 4 2 3 4 2" xfId="41841" xr:uid="{00000000-0005-0000-0000-0000CACF0000}"/>
    <cellStyle name="Total 4 4 2 3 4 3" xfId="39136" xr:uid="{00000000-0005-0000-0000-0000CBCF0000}"/>
    <cellStyle name="Total 4 4 2 3 4 4" xfId="29769" xr:uid="{00000000-0005-0000-0000-0000CCCF0000}"/>
    <cellStyle name="Total 4 4 2 3 5" xfId="20514" xr:uid="{00000000-0005-0000-0000-0000CDCF0000}"/>
    <cellStyle name="Total 4 4 2 3 5 2" xfId="46051" xr:uid="{00000000-0005-0000-0000-0000CECF0000}"/>
    <cellStyle name="Total 4 4 2 3 5 3" xfId="49957" xr:uid="{00000000-0005-0000-0000-0000CFCF0000}"/>
    <cellStyle name="Total 4 4 2 3 5 4" xfId="37950" xr:uid="{00000000-0005-0000-0000-0000D0CF0000}"/>
    <cellStyle name="Total 4 4 2 3 6" xfId="11561" xr:uid="{00000000-0005-0000-0000-0000D1CF0000}"/>
    <cellStyle name="Total 4 4 2 3 6 2" xfId="41572" xr:uid="{00000000-0005-0000-0000-0000D2CF0000}"/>
    <cellStyle name="Total 4 4 2 3 6 3" xfId="42715" xr:uid="{00000000-0005-0000-0000-0000D3CF0000}"/>
    <cellStyle name="Total 4 4 2 3 7" xfId="40413" xr:uid="{00000000-0005-0000-0000-0000D4CF0000}"/>
    <cellStyle name="Total 4 4 2 3 8" xfId="39207" xr:uid="{00000000-0005-0000-0000-0000D5CF0000}"/>
    <cellStyle name="Total 4 4 2 4" xfId="13920" xr:uid="{00000000-0005-0000-0000-0000D6CF0000}"/>
    <cellStyle name="Total 4 4 2 4 2" xfId="42655" xr:uid="{00000000-0005-0000-0000-0000D7CF0000}"/>
    <cellStyle name="Total 4 4 2 4 3" xfId="43676" xr:uid="{00000000-0005-0000-0000-0000D8CF0000}"/>
    <cellStyle name="Total 4 4 2 4 4" xfId="31556" xr:uid="{00000000-0005-0000-0000-0000D9CF0000}"/>
    <cellStyle name="Total 4 4 2 5" xfId="11797" xr:uid="{00000000-0005-0000-0000-0000DACF0000}"/>
    <cellStyle name="Total 4 4 2 5 2" xfId="41747" xr:uid="{00000000-0005-0000-0000-0000DBCF0000}"/>
    <cellStyle name="Total 4 4 2 5 3" xfId="39152" xr:uid="{00000000-0005-0000-0000-0000DCCF0000}"/>
    <cellStyle name="Total 4 4 2 5 4" xfId="29483" xr:uid="{00000000-0005-0000-0000-0000DDCF0000}"/>
    <cellStyle name="Total 4 4 3" xfId="7506" xr:uid="{00000000-0005-0000-0000-0000DECF0000}"/>
    <cellStyle name="Total 4 4 3 10" xfId="40503" xr:uid="{00000000-0005-0000-0000-0000DFCF0000}"/>
    <cellStyle name="Total 4 4 3 2" xfId="10779" xr:uid="{00000000-0005-0000-0000-0000E0CF0000}"/>
    <cellStyle name="Total 4 4 3 2 2" xfId="18572" xr:uid="{00000000-0005-0000-0000-0000E1CF0000}"/>
    <cellStyle name="Total 4 4 3 2 2 2" xfId="44119" xr:uid="{00000000-0005-0000-0000-0000E2CF0000}"/>
    <cellStyle name="Total 4 4 3 2 2 3" xfId="48028" xr:uid="{00000000-0005-0000-0000-0000E3CF0000}"/>
    <cellStyle name="Total 4 4 3 2 2 4" xfId="36209" xr:uid="{00000000-0005-0000-0000-0000E4CF0000}"/>
    <cellStyle name="Total 4 4 3 2 3" xfId="11509" xr:uid="{00000000-0005-0000-0000-0000E5CF0000}"/>
    <cellStyle name="Total 4 4 3 2 3 2" xfId="41520" xr:uid="{00000000-0005-0000-0000-0000E6CF0000}"/>
    <cellStyle name="Total 4 4 3 2 3 3" xfId="39470" xr:uid="{00000000-0005-0000-0000-0000E7CF0000}"/>
    <cellStyle name="Total 4 4 3 2 3 4" xfId="29224" xr:uid="{00000000-0005-0000-0000-0000E8CF0000}"/>
    <cellStyle name="Total 4 4 3 2 4" xfId="20251" xr:uid="{00000000-0005-0000-0000-0000E9CF0000}"/>
    <cellStyle name="Total 4 4 3 2 4 2" xfId="45788" xr:uid="{00000000-0005-0000-0000-0000EACF0000}"/>
    <cellStyle name="Total 4 4 3 2 4 3" xfId="49694" xr:uid="{00000000-0005-0000-0000-0000EBCF0000}"/>
    <cellStyle name="Total 4 4 3 2 4 4" xfId="37722" xr:uid="{00000000-0005-0000-0000-0000ECCF0000}"/>
    <cellStyle name="Total 4 4 3 2 5" xfId="20985" xr:uid="{00000000-0005-0000-0000-0000EDCF0000}"/>
    <cellStyle name="Total 4 4 3 2 5 2" xfId="46522" xr:uid="{00000000-0005-0000-0000-0000EECF0000}"/>
    <cellStyle name="Total 4 4 3 2 5 3" xfId="50428" xr:uid="{00000000-0005-0000-0000-0000EFCF0000}"/>
    <cellStyle name="Total 4 4 3 2 5 4" xfId="38391" xr:uid="{00000000-0005-0000-0000-0000F0CF0000}"/>
    <cellStyle name="Total 4 4 3 2 6" xfId="21638" xr:uid="{00000000-0005-0000-0000-0000F1CF0000}"/>
    <cellStyle name="Total 4 4 3 2 6 2" xfId="47175" xr:uid="{00000000-0005-0000-0000-0000F2CF0000}"/>
    <cellStyle name="Total 4 4 3 2 6 3" xfId="51081" xr:uid="{00000000-0005-0000-0000-0000F3CF0000}"/>
    <cellStyle name="Total 4 4 3 2 7" xfId="40978" xr:uid="{00000000-0005-0000-0000-0000F4CF0000}"/>
    <cellStyle name="Total 4 4 3 2 8" xfId="40381" xr:uid="{00000000-0005-0000-0000-0000F5CF0000}"/>
    <cellStyle name="Total 4 4 3 3" xfId="11074" xr:uid="{00000000-0005-0000-0000-0000F6CF0000}"/>
    <cellStyle name="Total 4 4 3 3 2" xfId="18867" xr:uid="{00000000-0005-0000-0000-0000F7CF0000}"/>
    <cellStyle name="Total 4 4 3 3 2 2" xfId="44414" xr:uid="{00000000-0005-0000-0000-0000F8CF0000}"/>
    <cellStyle name="Total 4 4 3 3 2 3" xfId="48323" xr:uid="{00000000-0005-0000-0000-0000F9CF0000}"/>
    <cellStyle name="Total 4 4 3 3 2 4" xfId="36504" xr:uid="{00000000-0005-0000-0000-0000FACF0000}"/>
    <cellStyle name="Total 4 4 3 3 3" xfId="20460" xr:uid="{00000000-0005-0000-0000-0000FBCF0000}"/>
    <cellStyle name="Total 4 4 3 3 3 2" xfId="45997" xr:uid="{00000000-0005-0000-0000-0000FCCF0000}"/>
    <cellStyle name="Total 4 4 3 3 3 3" xfId="49903" xr:uid="{00000000-0005-0000-0000-0000FDCF0000}"/>
    <cellStyle name="Total 4 4 3 3 3 4" xfId="37914" xr:uid="{00000000-0005-0000-0000-0000FECF0000}"/>
    <cellStyle name="Total 4 4 3 3 4" xfId="20604" xr:uid="{00000000-0005-0000-0000-0000FFCF0000}"/>
    <cellStyle name="Total 4 4 3 3 4 2" xfId="46141" xr:uid="{00000000-0005-0000-0000-000000D00000}"/>
    <cellStyle name="Total 4 4 3 3 4 3" xfId="50047" xr:uid="{00000000-0005-0000-0000-000001D00000}"/>
    <cellStyle name="Total 4 4 3 3 4 4" xfId="38031" xr:uid="{00000000-0005-0000-0000-000002D00000}"/>
    <cellStyle name="Total 4 4 3 3 5" xfId="21280" xr:uid="{00000000-0005-0000-0000-000003D00000}"/>
    <cellStyle name="Total 4 4 3 3 5 2" xfId="46817" xr:uid="{00000000-0005-0000-0000-000004D00000}"/>
    <cellStyle name="Total 4 4 3 3 5 3" xfId="50723" xr:uid="{00000000-0005-0000-0000-000005D00000}"/>
    <cellStyle name="Total 4 4 3 3 5 4" xfId="38686" xr:uid="{00000000-0005-0000-0000-000006D00000}"/>
    <cellStyle name="Total 4 4 3 3 6" xfId="21933" xr:uid="{00000000-0005-0000-0000-000007D00000}"/>
    <cellStyle name="Total 4 4 3 3 6 2" xfId="47470" xr:uid="{00000000-0005-0000-0000-000008D00000}"/>
    <cellStyle name="Total 4 4 3 3 6 3" xfId="51376" xr:uid="{00000000-0005-0000-0000-000009D00000}"/>
    <cellStyle name="Total 4 4 3 3 7" xfId="41273" xr:uid="{00000000-0005-0000-0000-00000AD00000}"/>
    <cellStyle name="Total 4 4 3 3 8" xfId="43223" xr:uid="{00000000-0005-0000-0000-00000BD00000}"/>
    <cellStyle name="Total 4 4 3 4" xfId="15294" xr:uid="{00000000-0005-0000-0000-00000CD00000}"/>
    <cellStyle name="Total 4 4 3 4 2" xfId="43167" xr:uid="{00000000-0005-0000-0000-00000DD00000}"/>
    <cellStyle name="Total 4 4 3 4 3" xfId="39424" xr:uid="{00000000-0005-0000-0000-00000ED00000}"/>
    <cellStyle name="Total 4 4 3 4 4" xfId="32929" xr:uid="{00000000-0005-0000-0000-00000FD00000}"/>
    <cellStyle name="Total 4 4 3 5" xfId="11376" xr:uid="{00000000-0005-0000-0000-000010D00000}"/>
    <cellStyle name="Total 4 4 3 5 2" xfId="41412" xr:uid="{00000000-0005-0000-0000-000011D00000}"/>
    <cellStyle name="Total 4 4 3 5 3" xfId="43357" xr:uid="{00000000-0005-0000-0000-000012D00000}"/>
    <cellStyle name="Total 4 4 3 5 4" xfId="29099" xr:uid="{00000000-0005-0000-0000-000013D00000}"/>
    <cellStyle name="Total 4 4 3 6" xfId="18991" xr:uid="{00000000-0005-0000-0000-000014D00000}"/>
    <cellStyle name="Total 4 4 3 6 2" xfId="44528" xr:uid="{00000000-0005-0000-0000-000015D00000}"/>
    <cellStyle name="Total 4 4 3 6 3" xfId="48434" xr:uid="{00000000-0005-0000-0000-000016D00000}"/>
    <cellStyle name="Total 4 4 3 6 4" xfId="36613" xr:uid="{00000000-0005-0000-0000-000017D00000}"/>
    <cellStyle name="Total 4 4 3 7" xfId="12488" xr:uid="{00000000-0005-0000-0000-000018D00000}"/>
    <cellStyle name="Total 4 4 3 7 2" xfId="42008" xr:uid="{00000000-0005-0000-0000-000019D00000}"/>
    <cellStyle name="Total 4 4 3 7 3" xfId="41983" xr:uid="{00000000-0005-0000-0000-00001AD00000}"/>
    <cellStyle name="Total 4 4 3 7 4" xfId="30159" xr:uid="{00000000-0005-0000-0000-00001BD00000}"/>
    <cellStyle name="Total 4 4 3 8" xfId="19326" xr:uid="{00000000-0005-0000-0000-00001CD00000}"/>
    <cellStyle name="Total 4 4 3 8 2" xfId="44863" xr:uid="{00000000-0005-0000-0000-00001DD00000}"/>
    <cellStyle name="Total 4 4 3 8 3" xfId="48769" xr:uid="{00000000-0005-0000-0000-00001ED00000}"/>
    <cellStyle name="Total 4 4 3 9" xfId="40027" xr:uid="{00000000-0005-0000-0000-00001FD00000}"/>
    <cellStyle name="Total 4 5" xfId="5460" xr:uid="{00000000-0005-0000-0000-000020D00000}"/>
    <cellStyle name="Total 4 6" xfId="5456" xr:uid="{00000000-0005-0000-0000-000021D00000}"/>
    <cellStyle name="Total 4 7" xfId="7503" xr:uid="{00000000-0005-0000-0000-000022D00000}"/>
    <cellStyle name="Total 4 7 10" xfId="39957" xr:uid="{00000000-0005-0000-0000-000023D00000}"/>
    <cellStyle name="Total 4 7 2" xfId="10776" xr:uid="{00000000-0005-0000-0000-000024D00000}"/>
    <cellStyle name="Total 4 7 2 2" xfId="18569" xr:uid="{00000000-0005-0000-0000-000025D00000}"/>
    <cellStyle name="Total 4 7 2 2 2" xfId="44116" xr:uid="{00000000-0005-0000-0000-000026D00000}"/>
    <cellStyle name="Total 4 7 2 2 3" xfId="48025" xr:uid="{00000000-0005-0000-0000-000027D00000}"/>
    <cellStyle name="Total 4 7 2 2 4" xfId="36206" xr:uid="{00000000-0005-0000-0000-000028D00000}"/>
    <cellStyle name="Total 4 7 2 3" xfId="19729" xr:uid="{00000000-0005-0000-0000-000029D00000}"/>
    <cellStyle name="Total 4 7 2 3 2" xfId="45266" xr:uid="{00000000-0005-0000-0000-00002AD00000}"/>
    <cellStyle name="Total 4 7 2 3 3" xfId="49172" xr:uid="{00000000-0005-0000-0000-00002BD00000}"/>
    <cellStyle name="Total 4 7 2 3 4" xfId="37256" xr:uid="{00000000-0005-0000-0000-00002CD00000}"/>
    <cellStyle name="Total 4 7 2 4" xfId="20206" xr:uid="{00000000-0005-0000-0000-00002DD00000}"/>
    <cellStyle name="Total 4 7 2 4 2" xfId="45743" xr:uid="{00000000-0005-0000-0000-00002ED00000}"/>
    <cellStyle name="Total 4 7 2 4 3" xfId="49649" xr:uid="{00000000-0005-0000-0000-00002FD00000}"/>
    <cellStyle name="Total 4 7 2 4 4" xfId="37687" xr:uid="{00000000-0005-0000-0000-000030D00000}"/>
    <cellStyle name="Total 4 7 2 5" xfId="20982" xr:uid="{00000000-0005-0000-0000-000031D00000}"/>
    <cellStyle name="Total 4 7 2 5 2" xfId="46519" xr:uid="{00000000-0005-0000-0000-000032D00000}"/>
    <cellStyle name="Total 4 7 2 5 3" xfId="50425" xr:uid="{00000000-0005-0000-0000-000033D00000}"/>
    <cellStyle name="Total 4 7 2 5 4" xfId="38388" xr:uid="{00000000-0005-0000-0000-000034D00000}"/>
    <cellStyle name="Total 4 7 2 6" xfId="21635" xr:uid="{00000000-0005-0000-0000-000035D00000}"/>
    <cellStyle name="Total 4 7 2 6 2" xfId="47172" xr:uid="{00000000-0005-0000-0000-000036D00000}"/>
    <cellStyle name="Total 4 7 2 6 3" xfId="51078" xr:uid="{00000000-0005-0000-0000-000037D00000}"/>
    <cellStyle name="Total 4 7 2 7" xfId="40975" xr:uid="{00000000-0005-0000-0000-000038D00000}"/>
    <cellStyle name="Total 4 7 2 8" xfId="39597" xr:uid="{00000000-0005-0000-0000-000039D00000}"/>
    <cellStyle name="Total 4 7 3" xfId="11071" xr:uid="{00000000-0005-0000-0000-00003AD00000}"/>
    <cellStyle name="Total 4 7 3 2" xfId="18864" xr:uid="{00000000-0005-0000-0000-00003BD00000}"/>
    <cellStyle name="Total 4 7 3 2 2" xfId="44411" xr:uid="{00000000-0005-0000-0000-00003CD00000}"/>
    <cellStyle name="Total 4 7 3 2 3" xfId="48320" xr:uid="{00000000-0005-0000-0000-00003DD00000}"/>
    <cellStyle name="Total 4 7 3 2 4" xfId="36501" xr:uid="{00000000-0005-0000-0000-00003ED00000}"/>
    <cellStyle name="Total 4 7 3 3" xfId="20457" xr:uid="{00000000-0005-0000-0000-00003FD00000}"/>
    <cellStyle name="Total 4 7 3 3 2" xfId="45994" xr:uid="{00000000-0005-0000-0000-000040D00000}"/>
    <cellStyle name="Total 4 7 3 3 3" xfId="49900" xr:uid="{00000000-0005-0000-0000-000041D00000}"/>
    <cellStyle name="Total 4 7 3 3 4" xfId="37911" xr:uid="{00000000-0005-0000-0000-000042D00000}"/>
    <cellStyle name="Total 4 7 3 4" xfId="20601" xr:uid="{00000000-0005-0000-0000-000043D00000}"/>
    <cellStyle name="Total 4 7 3 4 2" xfId="46138" xr:uid="{00000000-0005-0000-0000-000044D00000}"/>
    <cellStyle name="Total 4 7 3 4 3" xfId="50044" xr:uid="{00000000-0005-0000-0000-000045D00000}"/>
    <cellStyle name="Total 4 7 3 4 4" xfId="38028" xr:uid="{00000000-0005-0000-0000-000046D00000}"/>
    <cellStyle name="Total 4 7 3 5" xfId="21277" xr:uid="{00000000-0005-0000-0000-000047D00000}"/>
    <cellStyle name="Total 4 7 3 5 2" xfId="46814" xr:uid="{00000000-0005-0000-0000-000048D00000}"/>
    <cellStyle name="Total 4 7 3 5 3" xfId="50720" xr:uid="{00000000-0005-0000-0000-000049D00000}"/>
    <cellStyle name="Total 4 7 3 5 4" xfId="38683" xr:uid="{00000000-0005-0000-0000-00004AD00000}"/>
    <cellStyle name="Total 4 7 3 6" xfId="21930" xr:uid="{00000000-0005-0000-0000-00004BD00000}"/>
    <cellStyle name="Total 4 7 3 6 2" xfId="47467" xr:uid="{00000000-0005-0000-0000-00004CD00000}"/>
    <cellStyle name="Total 4 7 3 6 3" xfId="51373" xr:uid="{00000000-0005-0000-0000-00004DD00000}"/>
    <cellStyle name="Total 4 7 3 7" xfId="41270" xr:uid="{00000000-0005-0000-0000-00004ED00000}"/>
    <cellStyle name="Total 4 7 3 8" xfId="39365" xr:uid="{00000000-0005-0000-0000-00004FD00000}"/>
    <cellStyle name="Total 4 7 4" xfId="15291" xr:uid="{00000000-0005-0000-0000-000050D00000}"/>
    <cellStyle name="Total 4 7 4 2" xfId="43164" xr:uid="{00000000-0005-0000-0000-000051D00000}"/>
    <cellStyle name="Total 4 7 4 3" xfId="42534" xr:uid="{00000000-0005-0000-0000-000052D00000}"/>
    <cellStyle name="Total 4 7 4 4" xfId="32926" xr:uid="{00000000-0005-0000-0000-000053D00000}"/>
    <cellStyle name="Total 4 7 5" xfId="13251" xr:uid="{00000000-0005-0000-0000-000054D00000}"/>
    <cellStyle name="Total 4 7 5 2" xfId="42431" xr:uid="{00000000-0005-0000-0000-000055D00000}"/>
    <cellStyle name="Total 4 7 5 3" xfId="39443" xr:uid="{00000000-0005-0000-0000-000056D00000}"/>
    <cellStyle name="Total 4 7 5 4" xfId="30896" xr:uid="{00000000-0005-0000-0000-000057D00000}"/>
    <cellStyle name="Total 4 7 6" xfId="20067" xr:uid="{00000000-0005-0000-0000-000058D00000}"/>
    <cellStyle name="Total 4 7 6 2" xfId="45604" xr:uid="{00000000-0005-0000-0000-000059D00000}"/>
    <cellStyle name="Total 4 7 6 3" xfId="49510" xr:uid="{00000000-0005-0000-0000-00005AD00000}"/>
    <cellStyle name="Total 4 7 6 4" xfId="37561" xr:uid="{00000000-0005-0000-0000-00005BD00000}"/>
    <cellStyle name="Total 4 7 7" xfId="20131" xr:uid="{00000000-0005-0000-0000-00005CD00000}"/>
    <cellStyle name="Total 4 7 7 2" xfId="45668" xr:uid="{00000000-0005-0000-0000-00005DD00000}"/>
    <cellStyle name="Total 4 7 7 3" xfId="49574" xr:uid="{00000000-0005-0000-0000-00005ED00000}"/>
    <cellStyle name="Total 4 7 7 4" xfId="37617" xr:uid="{00000000-0005-0000-0000-00005FD00000}"/>
    <cellStyle name="Total 4 7 8" xfId="19348" xr:uid="{00000000-0005-0000-0000-000060D00000}"/>
    <cellStyle name="Total 4 7 8 2" xfId="44885" xr:uid="{00000000-0005-0000-0000-000061D00000}"/>
    <cellStyle name="Total 4 7 8 3" xfId="48791" xr:uid="{00000000-0005-0000-0000-000062D00000}"/>
    <cellStyle name="Total 4 7 9" xfId="40024" xr:uid="{00000000-0005-0000-0000-000063D00000}"/>
    <cellStyle name="Total 4 8" xfId="12153" xr:uid="{00000000-0005-0000-0000-000064D00000}"/>
    <cellStyle name="Total 4 8 2" xfId="41898" xr:uid="{00000000-0005-0000-0000-000065D00000}"/>
    <cellStyle name="Total 4 8 3" xfId="39258" xr:uid="{00000000-0005-0000-0000-000066D00000}"/>
    <cellStyle name="Total 4 8 4" xfId="29825" xr:uid="{00000000-0005-0000-0000-000067D00000}"/>
    <cellStyle name="Total 4 9" xfId="18968" xr:uid="{00000000-0005-0000-0000-000068D00000}"/>
    <cellStyle name="Total 4 9 2" xfId="44505" xr:uid="{00000000-0005-0000-0000-000069D00000}"/>
    <cellStyle name="Total 4 9 3" xfId="48411" xr:uid="{00000000-0005-0000-0000-00006AD00000}"/>
    <cellStyle name="Total 4 9 4" xfId="36594" xr:uid="{00000000-0005-0000-0000-00006BD00000}"/>
    <cellStyle name="Total 5" xfId="3422" xr:uid="{00000000-0005-0000-0000-00006CD00000}"/>
    <cellStyle name="Total 5 2" xfId="5462" xr:uid="{00000000-0005-0000-0000-00006DD00000}"/>
    <cellStyle name="Total 5 2 2" xfId="53363" xr:uid="{00000000-0005-0000-0000-00006ED00000}"/>
    <cellStyle name="Total 5 3" xfId="5463" xr:uid="{00000000-0005-0000-0000-00006FD00000}"/>
    <cellStyle name="Total 5 3 2" xfId="53465" xr:uid="{00000000-0005-0000-0000-000070D00000}"/>
    <cellStyle name="Total 5 4" xfId="5461" xr:uid="{00000000-0005-0000-0000-000071D00000}"/>
    <cellStyle name="Total 5 5" xfId="22655" xr:uid="{00000000-0005-0000-0000-000072D00000}"/>
    <cellStyle name="Total 5 5 2" xfId="47571" xr:uid="{00000000-0005-0000-0000-000073D00000}"/>
    <cellStyle name="Total 5 5 3" xfId="51420" xr:uid="{00000000-0005-0000-0000-000074D00000}"/>
    <cellStyle name="Total 5 6" xfId="53362" xr:uid="{00000000-0005-0000-0000-000075D00000}"/>
    <cellStyle name="Total 6" xfId="5445" xr:uid="{00000000-0005-0000-0000-000076D00000}"/>
    <cellStyle name="Total 6 2" xfId="22656" xr:uid="{00000000-0005-0000-0000-000077D00000}"/>
    <cellStyle name="Total 6 2 2" xfId="47572" xr:uid="{00000000-0005-0000-0000-000078D00000}"/>
    <cellStyle name="Total 6 2 2 2" xfId="53466" xr:uid="{00000000-0005-0000-0000-000079D00000}"/>
    <cellStyle name="Total 6 2 3" xfId="51421" xr:uid="{00000000-0005-0000-0000-00007AD00000}"/>
    <cellStyle name="Total 6 2 4" xfId="53365" xr:uid="{00000000-0005-0000-0000-00007BD00000}"/>
    <cellStyle name="Total 6 3" xfId="53364" xr:uid="{00000000-0005-0000-0000-00007CD00000}"/>
    <cellStyle name="Total 7" xfId="22657" xr:uid="{00000000-0005-0000-0000-00007DD00000}"/>
    <cellStyle name="Total 7 2" xfId="47573" xr:uid="{00000000-0005-0000-0000-00007ED00000}"/>
    <cellStyle name="Total 7 2 2" xfId="53467" xr:uid="{00000000-0005-0000-0000-00007FD00000}"/>
    <cellStyle name="Total 7 3" xfId="51422" xr:uid="{00000000-0005-0000-0000-000080D00000}"/>
    <cellStyle name="Total 8" xfId="22658" xr:uid="{00000000-0005-0000-0000-000081D00000}"/>
    <cellStyle name="Total 8 2" xfId="22659" xr:uid="{00000000-0005-0000-0000-000082D00000}"/>
    <cellStyle name="Total 8 2 2" xfId="47575" xr:uid="{00000000-0005-0000-0000-000083D00000}"/>
    <cellStyle name="Total 8 2 2 2" xfId="53468" xr:uid="{00000000-0005-0000-0000-000084D00000}"/>
    <cellStyle name="Total 8 2 3" xfId="51424" xr:uid="{00000000-0005-0000-0000-000085D00000}"/>
    <cellStyle name="Total 8 3" xfId="47574" xr:uid="{00000000-0005-0000-0000-000086D00000}"/>
    <cellStyle name="Total 8 3 2" xfId="53469" xr:uid="{00000000-0005-0000-0000-000087D00000}"/>
    <cellStyle name="Total 8 4" xfId="51423" xr:uid="{00000000-0005-0000-0000-000088D00000}"/>
    <cellStyle name="Total 9" xfId="22660" xr:uid="{00000000-0005-0000-0000-000089D00000}"/>
    <cellStyle name="Total 9 2" xfId="47576" xr:uid="{00000000-0005-0000-0000-00008AD00000}"/>
    <cellStyle name="Total 9 2 2" xfId="53470" xr:uid="{00000000-0005-0000-0000-00008BD00000}"/>
    <cellStyle name="Total 9 3" xfId="51425" xr:uid="{00000000-0005-0000-0000-00008CD00000}"/>
    <cellStyle name="Warning Text" xfId="159" builtinId="11" customBuiltin="1"/>
    <cellStyle name="Warning Text 2" xfId="145" xr:uid="{00000000-0005-0000-0000-00008ED00000}"/>
    <cellStyle name="Warning Text 2 10" xfId="3424" xr:uid="{00000000-0005-0000-0000-00008FD00000}"/>
    <cellStyle name="Warning Text 2 10 2" xfId="5466" xr:uid="{00000000-0005-0000-0000-000090D00000}"/>
    <cellStyle name="Warning Text 2 11" xfId="3425" xr:uid="{00000000-0005-0000-0000-000091D00000}"/>
    <cellStyle name="Warning Text 2 11 2" xfId="5467" xr:uid="{00000000-0005-0000-0000-000092D00000}"/>
    <cellStyle name="Warning Text 2 12" xfId="3426" xr:uid="{00000000-0005-0000-0000-000093D00000}"/>
    <cellStyle name="Warning Text 2 12 2" xfId="5468" xr:uid="{00000000-0005-0000-0000-000094D00000}"/>
    <cellStyle name="Warning Text 2 13" xfId="3427" xr:uid="{00000000-0005-0000-0000-000095D00000}"/>
    <cellStyle name="Warning Text 2 13 2" xfId="5469" xr:uid="{00000000-0005-0000-0000-000096D00000}"/>
    <cellStyle name="Warning Text 2 14" xfId="3428" xr:uid="{00000000-0005-0000-0000-000097D00000}"/>
    <cellStyle name="Warning Text 2 14 2" xfId="5470" xr:uid="{00000000-0005-0000-0000-000098D00000}"/>
    <cellStyle name="Warning Text 2 15" xfId="5471" xr:uid="{00000000-0005-0000-0000-000099D00000}"/>
    <cellStyle name="Warning Text 2 15 2" xfId="6131" xr:uid="{00000000-0005-0000-0000-00009AD00000}"/>
    <cellStyle name="Warning Text 2 16" xfId="5472" xr:uid="{00000000-0005-0000-0000-00009BD00000}"/>
    <cellStyle name="Warning Text 2 16 2" xfId="6132" xr:uid="{00000000-0005-0000-0000-00009CD00000}"/>
    <cellStyle name="Warning Text 2 17" xfId="5473" xr:uid="{00000000-0005-0000-0000-00009DD00000}"/>
    <cellStyle name="Warning Text 2 18" xfId="5465" xr:uid="{00000000-0005-0000-0000-00009ED00000}"/>
    <cellStyle name="Warning Text 2 19" xfId="3423" xr:uid="{00000000-0005-0000-0000-00009FD00000}"/>
    <cellStyle name="Warning Text 2 2" xfId="3429" xr:uid="{00000000-0005-0000-0000-0000A0D00000}"/>
    <cellStyle name="Warning Text 2 2 2" xfId="3430" xr:uid="{00000000-0005-0000-0000-0000A1D00000}"/>
    <cellStyle name="Warning Text 2 2 2 2" xfId="5475" xr:uid="{00000000-0005-0000-0000-0000A2D00000}"/>
    <cellStyle name="Warning Text 2 2 3" xfId="3431" xr:uid="{00000000-0005-0000-0000-0000A3D00000}"/>
    <cellStyle name="Warning Text 2 2 3 2" xfId="5476" xr:uid="{00000000-0005-0000-0000-0000A4D00000}"/>
    <cellStyle name="Warning Text 2 2 4" xfId="5477" xr:uid="{00000000-0005-0000-0000-0000A5D00000}"/>
    <cellStyle name="Warning Text 2 2 4 2" xfId="6133" xr:uid="{00000000-0005-0000-0000-0000A6D00000}"/>
    <cellStyle name="Warning Text 2 2 5" xfId="5478" xr:uid="{00000000-0005-0000-0000-0000A7D00000}"/>
    <cellStyle name="Warning Text 2 2 6" xfId="5474" xr:uid="{00000000-0005-0000-0000-0000A8D00000}"/>
    <cellStyle name="Warning Text 2 2_Sheet1" xfId="3432" xr:uid="{00000000-0005-0000-0000-0000A9D00000}"/>
    <cellStyle name="Warning Text 2 3" xfId="3433" xr:uid="{00000000-0005-0000-0000-0000AAD00000}"/>
    <cellStyle name="Warning Text 2 3 2" xfId="5479" xr:uid="{00000000-0005-0000-0000-0000ABD00000}"/>
    <cellStyle name="Warning Text 2 4" xfId="3434" xr:uid="{00000000-0005-0000-0000-0000ACD00000}"/>
    <cellStyle name="Warning Text 2 4 2" xfId="5480" xr:uid="{00000000-0005-0000-0000-0000ADD00000}"/>
    <cellStyle name="Warning Text 2 5" xfId="3435" xr:uid="{00000000-0005-0000-0000-0000AED00000}"/>
    <cellStyle name="Warning Text 2 5 2" xfId="5481" xr:uid="{00000000-0005-0000-0000-0000AFD00000}"/>
    <cellStyle name="Warning Text 2 6" xfId="3436" xr:uid="{00000000-0005-0000-0000-0000B0D00000}"/>
    <cellStyle name="Warning Text 2 6 2" xfId="5482" xr:uid="{00000000-0005-0000-0000-0000B1D00000}"/>
    <cellStyle name="Warning Text 2 7" xfId="3437" xr:uid="{00000000-0005-0000-0000-0000B2D00000}"/>
    <cellStyle name="Warning Text 2 7 2" xfId="5483" xr:uid="{00000000-0005-0000-0000-0000B3D00000}"/>
    <cellStyle name="Warning Text 2 8" xfId="3438" xr:uid="{00000000-0005-0000-0000-0000B4D00000}"/>
    <cellStyle name="Warning Text 2 8 2" xfId="5484" xr:uid="{00000000-0005-0000-0000-0000B5D00000}"/>
    <cellStyle name="Warning Text 2 9" xfId="3439" xr:uid="{00000000-0005-0000-0000-0000B6D00000}"/>
    <cellStyle name="Warning Text 2 9 2" xfId="5485" xr:uid="{00000000-0005-0000-0000-0000B7D00000}"/>
    <cellStyle name="Warning Text 2_BallGrid" xfId="3440" xr:uid="{00000000-0005-0000-0000-0000B8D00000}"/>
    <cellStyle name="Warning Text 3" xfId="146" xr:uid="{00000000-0005-0000-0000-0000B9D00000}"/>
    <cellStyle name="Warning Text 3 2" xfId="3441" xr:uid="{00000000-0005-0000-0000-0000BAD00000}"/>
    <cellStyle name="Warning Text 3 2 2" xfId="5487" xr:uid="{00000000-0005-0000-0000-0000BBD00000}"/>
    <cellStyle name="Warning Text 3 3" xfId="3442" xr:uid="{00000000-0005-0000-0000-0000BCD00000}"/>
    <cellStyle name="Warning Text 3 3 2" xfId="5488" xr:uid="{00000000-0005-0000-0000-0000BDD00000}"/>
    <cellStyle name="Warning Text 3 4" xfId="5489" xr:uid="{00000000-0005-0000-0000-0000BED00000}"/>
    <cellStyle name="Warning Text 3 4 2" xfId="6134" xr:uid="{00000000-0005-0000-0000-0000BFD00000}"/>
    <cellStyle name="Warning Text 3 5" xfId="5486" xr:uid="{00000000-0005-0000-0000-0000C0D00000}"/>
    <cellStyle name="Warning Text 4" xfId="147" xr:uid="{00000000-0005-0000-0000-0000C1D00000}"/>
    <cellStyle name="Warning Text 4 2" xfId="3443" xr:uid="{00000000-0005-0000-0000-0000C2D00000}"/>
    <cellStyle name="Warning Text 4 2 2" xfId="5492" xr:uid="{00000000-0005-0000-0000-0000C3D00000}"/>
    <cellStyle name="Warning Text 4 2 3" xfId="5493" xr:uid="{00000000-0005-0000-0000-0000C4D00000}"/>
    <cellStyle name="Warning Text 4 2 4" xfId="5491" xr:uid="{00000000-0005-0000-0000-0000C5D00000}"/>
    <cellStyle name="Warning Text 4 3" xfId="3444" xr:uid="{00000000-0005-0000-0000-0000C6D00000}"/>
    <cellStyle name="Warning Text 4 3 2" xfId="5495" xr:uid="{00000000-0005-0000-0000-0000C7D00000}"/>
    <cellStyle name="Warning Text 4 3 3" xfId="5496" xr:uid="{00000000-0005-0000-0000-0000C8D00000}"/>
    <cellStyle name="Warning Text 4 3 4" xfId="5494" xr:uid="{00000000-0005-0000-0000-0000C9D00000}"/>
    <cellStyle name="Warning Text 4 4" xfId="5497" xr:uid="{00000000-0005-0000-0000-0000CAD00000}"/>
    <cellStyle name="Warning Text 4 4 2" xfId="5498" xr:uid="{00000000-0005-0000-0000-0000CBD00000}"/>
    <cellStyle name="Warning Text 4 4 3" xfId="6135" xr:uid="{00000000-0005-0000-0000-0000CCD00000}"/>
    <cellStyle name="Warning Text 4 5" xfId="5499" xr:uid="{00000000-0005-0000-0000-0000CDD00000}"/>
    <cellStyle name="Warning Text 4 6" xfId="5500" xr:uid="{00000000-0005-0000-0000-0000CED00000}"/>
    <cellStyle name="Warning Text 4 7" xfId="5501" xr:uid="{00000000-0005-0000-0000-0000CFD00000}"/>
    <cellStyle name="Warning Text 4 8" xfId="5490" xr:uid="{00000000-0005-0000-0000-0000D0D00000}"/>
    <cellStyle name="Warning Text 5" xfId="3445" xr:uid="{00000000-0005-0000-0000-0000D1D00000}"/>
    <cellStyle name="Warning Text 5 2" xfId="5503" xr:uid="{00000000-0005-0000-0000-0000D2D00000}"/>
    <cellStyle name="Warning Text 5 3" xfId="5504" xr:uid="{00000000-0005-0000-0000-0000D3D00000}"/>
    <cellStyle name="Warning Text 5 4" xfId="5505" xr:uid="{00000000-0005-0000-0000-0000D4D00000}"/>
    <cellStyle name="Warning Text 5 5" xfId="5506" xr:uid="{00000000-0005-0000-0000-0000D5D00000}"/>
    <cellStyle name="Warning Text 5 6" xfId="5502" xr:uid="{00000000-0005-0000-0000-0000D6D00000}"/>
    <cellStyle name="Warning Text 5 7" xfId="22663" xr:uid="{00000000-0005-0000-0000-0000D7D00000}"/>
    <cellStyle name="Warning Text 6" xfId="5464" xr:uid="{00000000-0005-0000-0000-0000D8D00000}"/>
    <cellStyle name="Warning Text 6 2" xfId="22664" xr:uid="{00000000-0005-0000-0000-0000D9D00000}"/>
    <cellStyle name="Warning Text 7" xfId="22665" xr:uid="{00000000-0005-0000-0000-0000DAD00000}"/>
    <cellStyle name="Warning Text 8" xfId="22666" xr:uid="{00000000-0005-0000-0000-0000DBD00000}"/>
    <cellStyle name="Warning Text 9" xfId="22661" xr:uid="{00000000-0005-0000-0000-0000DCD00000}"/>
    <cellStyle name="一般_MCP73_79_ballout_31x31_0922" xfId="3446" xr:uid="{00000000-0005-0000-0000-0000DDD00000}"/>
    <cellStyle name="標準_NOR+SDRAM-PoP_Pin要求仕様_20070117" xfId="22007" xr:uid="{00000000-0005-0000-0000-0000DED00000}"/>
  </cellStyles>
  <dxfs count="1864">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ill>
        <patternFill>
          <bgColor theme="6" tint="-0.24994659260841701"/>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66FFFF"/>
      <color rgb="FFFFC7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123825</xdr:colOff>
          <xdr:row>1</xdr:row>
          <xdr:rowOff>123825</xdr:rowOff>
        </xdr:from>
        <xdr:to>
          <xdr:col>50</xdr:col>
          <xdr:colOff>247650</xdr:colOff>
          <xdr:row>4</xdr:row>
          <xdr:rowOff>190500</xdr:rowOff>
        </xdr:to>
        <xdr:sp macro="" textlink="">
          <xdr:nvSpPr>
            <xdr:cNvPr id="461825" name="Button 1" descr="Generate C Code" hidden="1">
              <a:extLst>
                <a:ext uri="{63B3BB69-23CF-44E3-9099-C40C66FF867C}">
                  <a14:compatExt spid="_x0000_s461825"/>
                </a:ext>
                <a:ext uri="{FF2B5EF4-FFF2-40B4-BE49-F238E27FC236}">
                  <a16:creationId xmlns:a16="http://schemas.microsoft.com/office/drawing/2014/main" id="{00000000-0008-0000-0100-000001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0:H32"/>
  <sheetViews>
    <sheetView workbookViewId="0">
      <selection activeCell="E18" sqref="E18"/>
    </sheetView>
  </sheetViews>
  <sheetFormatPr defaultColWidth="17.85546875" defaultRowHeight="15"/>
  <cols>
    <col min="1" max="2" width="17.85546875" customWidth="1"/>
    <col min="3" max="3" width="14.28515625" style="161" customWidth="1"/>
    <col min="4" max="4" width="51" style="152" customWidth="1"/>
    <col min="5" max="5" width="33.28515625" style="152" customWidth="1"/>
    <col min="6" max="7" width="17.85546875" style="152"/>
    <col min="8" max="8" width="41.140625" style="152" customWidth="1"/>
  </cols>
  <sheetData>
    <row r="10" spans="2:8" ht="15.75">
      <c r="B10">
        <f>MAX(D12:D19)</f>
        <v>1.06</v>
      </c>
      <c r="C10" s="150" t="s">
        <v>271</v>
      </c>
      <c r="D10" s="151"/>
      <c r="E10" s="151"/>
    </row>
    <row r="11" spans="2:8">
      <c r="C11" s="153" t="s">
        <v>272</v>
      </c>
      <c r="D11" s="154" t="s">
        <v>72</v>
      </c>
      <c r="E11" s="155" t="s">
        <v>73</v>
      </c>
    </row>
    <row r="12" spans="2:8">
      <c r="C12" s="156">
        <v>43796</v>
      </c>
      <c r="D12" s="276">
        <v>1</v>
      </c>
      <c r="E12" s="157" t="s">
        <v>5687</v>
      </c>
    </row>
    <row r="13" spans="2:8" ht="15" customHeight="1">
      <c r="C13" s="158">
        <v>43802</v>
      </c>
      <c r="D13" s="272">
        <v>1.01</v>
      </c>
      <c r="E13" s="324" t="s">
        <v>5688</v>
      </c>
      <c r="F13" s="324"/>
      <c r="G13" s="324"/>
      <c r="H13" s="324"/>
    </row>
    <row r="14" spans="2:8" ht="15" customHeight="1">
      <c r="C14" s="159">
        <v>43844</v>
      </c>
      <c r="D14" s="273">
        <v>1.02</v>
      </c>
      <c r="E14" s="325" t="s">
        <v>5697</v>
      </c>
      <c r="F14" s="325"/>
      <c r="G14" s="325"/>
      <c r="H14" s="325"/>
    </row>
    <row r="15" spans="2:8" ht="15" customHeight="1">
      <c r="C15" s="159">
        <v>43859</v>
      </c>
      <c r="D15" s="273">
        <v>1.03</v>
      </c>
      <c r="E15" s="325" t="s">
        <v>5698</v>
      </c>
      <c r="F15" s="325"/>
      <c r="G15" s="325"/>
      <c r="H15" s="325"/>
    </row>
    <row r="16" spans="2:8" ht="15" customHeight="1">
      <c r="C16" s="159">
        <v>43871</v>
      </c>
      <c r="D16" s="273">
        <v>1.04</v>
      </c>
      <c r="E16" s="325" t="s">
        <v>5699</v>
      </c>
      <c r="F16" s="326"/>
      <c r="G16" s="326"/>
      <c r="H16" s="326"/>
    </row>
    <row r="17" spans="3:8" ht="15" customHeight="1">
      <c r="C17" s="159">
        <v>43902</v>
      </c>
      <c r="D17" s="273">
        <v>1.05</v>
      </c>
      <c r="E17" s="325" t="s">
        <v>5700</v>
      </c>
      <c r="F17" s="327"/>
      <c r="G17" s="327"/>
      <c r="H17" s="327"/>
    </row>
    <row r="18" spans="3:8">
      <c r="C18" s="160">
        <v>43924</v>
      </c>
      <c r="D18" s="274">
        <v>1.06</v>
      </c>
      <c r="E18" t="s">
        <v>5701</v>
      </c>
    </row>
    <row r="19" spans="3:8">
      <c r="D19" s="275"/>
    </row>
    <row r="20" spans="3:8" ht="15.75" thickBot="1"/>
    <row r="21" spans="3:8" ht="24" thickBot="1">
      <c r="C21" s="328" t="s">
        <v>55</v>
      </c>
      <c r="D21" s="329"/>
      <c r="E21" s="330"/>
    </row>
    <row r="23" spans="3:8" ht="63.75" customHeight="1">
      <c r="C23" s="331" t="s">
        <v>5683</v>
      </c>
      <c r="D23" s="331"/>
      <c r="E23" s="331"/>
    </row>
    <row r="24" spans="3:8" ht="17.25" customHeight="1">
      <c r="C24" s="332" t="s">
        <v>57</v>
      </c>
      <c r="D24" s="332"/>
      <c r="E24" s="332"/>
    </row>
    <row r="25" spans="3:8" ht="45.75" customHeight="1">
      <c r="C25" s="332" t="s">
        <v>56</v>
      </c>
      <c r="D25" s="332"/>
      <c r="E25" s="332"/>
    </row>
    <row r="26" spans="3:8">
      <c r="D26" s="152" t="s">
        <v>52</v>
      </c>
    </row>
    <row r="27" spans="3:8">
      <c r="D27" s="152" t="s">
        <v>53</v>
      </c>
    </row>
    <row r="28" spans="3:8">
      <c r="D28" s="152" t="s">
        <v>54</v>
      </c>
    </row>
    <row r="29" spans="3:8" ht="45.75" customHeight="1">
      <c r="C29" s="331"/>
      <c r="D29" s="331"/>
      <c r="E29" s="331"/>
    </row>
    <row r="30" spans="3:8" ht="75" customHeight="1">
      <c r="C30" s="331"/>
      <c r="D30" s="331"/>
      <c r="E30" s="331"/>
    </row>
    <row r="31" spans="3:8" ht="15.75">
      <c r="C31" s="162" t="s">
        <v>273</v>
      </c>
      <c r="D31" s="151"/>
      <c r="E31" s="151"/>
    </row>
    <row r="32" spans="3:8" ht="170.25" customHeight="1">
      <c r="C32" s="323" t="s">
        <v>274</v>
      </c>
      <c r="D32" s="323"/>
      <c r="E32" s="323"/>
    </row>
  </sheetData>
  <mergeCells count="12">
    <mergeCell ref="C32:E32"/>
    <mergeCell ref="E13:H13"/>
    <mergeCell ref="E14:H14"/>
    <mergeCell ref="E15:H15"/>
    <mergeCell ref="E16:H16"/>
    <mergeCell ref="E17:H17"/>
    <mergeCell ref="C21:E21"/>
    <mergeCell ref="C23:E23"/>
    <mergeCell ref="C24:E24"/>
    <mergeCell ref="C25:E25"/>
    <mergeCell ref="C29:E29"/>
    <mergeCell ref="C30:E3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D5591-F3BB-4692-959A-0BC564B78D4E}">
  <sheetPr codeName="Sheet20"/>
  <dimension ref="A1:BE1169"/>
  <sheetViews>
    <sheetView tabSelected="1" zoomScale="80" zoomScaleNormal="80" workbookViewId="0">
      <pane xSplit="3" ySplit="8" topLeftCell="D118" activePane="bottomRight" state="frozen"/>
      <selection activeCell="AT134" sqref="AT134"/>
      <selection pane="topRight" activeCell="AT134" sqref="AT134"/>
      <selection pane="bottomLeft" activeCell="AT134" sqref="AT134"/>
      <selection pane="bottomRight" activeCell="AQ148" sqref="AQ148"/>
    </sheetView>
  </sheetViews>
  <sheetFormatPr defaultColWidth="9.140625" defaultRowHeight="11.25"/>
  <cols>
    <col min="1" max="1" width="23.140625" style="130" customWidth="1"/>
    <col min="2" max="2" width="10.5703125" style="26" customWidth="1"/>
    <col min="3" max="3" width="19.42578125" style="26" customWidth="1"/>
    <col min="4" max="4" width="12.140625" style="26" hidden="1" customWidth="1"/>
    <col min="5" max="5" width="3" style="26" hidden="1" customWidth="1"/>
    <col min="6" max="6" width="23.28515625" style="26" hidden="1" customWidth="1"/>
    <col min="7" max="7" width="12.7109375" style="122" customWidth="1"/>
    <col min="8" max="8" width="20.140625" style="122" customWidth="1"/>
    <col min="9" max="9" width="21.28515625" style="122" customWidth="1"/>
    <col min="10" max="10" width="16.28515625" style="122" customWidth="1"/>
    <col min="11" max="11" width="15" style="122" customWidth="1"/>
    <col min="12" max="12" width="5.42578125" style="26" hidden="1" customWidth="1"/>
    <col min="13" max="13" width="5.7109375" style="26" hidden="1" customWidth="1"/>
    <col min="14" max="14" width="5.5703125" style="26" hidden="1" customWidth="1"/>
    <col min="15" max="15" width="6.42578125" style="26" hidden="1" customWidth="1"/>
    <col min="16" max="16" width="5.5703125" style="26" hidden="1" customWidth="1"/>
    <col min="17" max="22" width="17.7109375" style="26" hidden="1" customWidth="1"/>
    <col min="23" max="23" width="14.7109375" style="26" hidden="1" customWidth="1"/>
    <col min="24" max="24" width="6.28515625" style="130" customWidth="1"/>
    <col min="25" max="25" width="10" style="130" customWidth="1"/>
    <col min="26" max="26" width="12.140625" style="121" hidden="1" customWidth="1"/>
    <col min="27" max="27" width="40.7109375" style="121" hidden="1" customWidth="1"/>
    <col min="28" max="28" width="11" style="121" customWidth="1"/>
    <col min="29" max="29" width="5.42578125" style="121" customWidth="1"/>
    <col min="30" max="30" width="10.85546875" style="121" hidden="1" customWidth="1"/>
    <col min="31" max="31" width="8.85546875" style="121" hidden="1" customWidth="1"/>
    <col min="32" max="32" width="13.5703125" style="121" hidden="1" customWidth="1"/>
    <col min="33" max="33" width="10" style="121" hidden="1" customWidth="1"/>
    <col min="34" max="34" width="9.28515625" style="121" hidden="1" customWidth="1"/>
    <col min="35" max="35" width="7.85546875" style="121" hidden="1" customWidth="1"/>
    <col min="36" max="42" width="12.28515625" style="121" hidden="1" customWidth="1"/>
    <col min="43" max="43" width="31" style="26" customWidth="1"/>
    <col min="44" max="44" width="16.140625" style="26" customWidth="1"/>
    <col min="45" max="45" width="8.42578125" style="172" customWidth="1"/>
    <col min="46" max="46" width="6.7109375" style="172" customWidth="1"/>
    <col min="47" max="47" width="8.42578125" style="172" hidden="1" customWidth="1"/>
    <col min="48" max="48" width="8.42578125" style="172" customWidth="1"/>
    <col min="49" max="49" width="11.28515625" style="172" customWidth="1"/>
    <col min="50" max="50" width="8.85546875" style="172" customWidth="1"/>
    <col min="51" max="52" width="9.85546875" style="172" customWidth="1"/>
    <col min="53" max="53" width="10" style="172" customWidth="1"/>
    <col min="54" max="54" width="8.42578125" style="172" hidden="1" customWidth="1"/>
    <col min="55" max="55" width="10" style="134" customWidth="1"/>
    <col min="56" max="56" width="22.7109375" style="172" customWidth="1"/>
    <col min="57" max="57" width="57.5703125" style="130" customWidth="1"/>
    <col min="58" max="16384" width="9.140625" style="26"/>
  </cols>
  <sheetData>
    <row r="1" spans="1:57" s="30" customFormat="1" ht="18.75" customHeight="1">
      <c r="A1" s="255"/>
      <c r="B1" s="255"/>
      <c r="C1" s="29"/>
      <c r="D1" s="345"/>
      <c r="E1" s="345"/>
      <c r="F1" s="345"/>
      <c r="G1" s="345"/>
      <c r="H1" s="345"/>
      <c r="I1" s="345"/>
      <c r="J1" s="345"/>
      <c r="K1" s="345"/>
      <c r="L1" s="305"/>
      <c r="M1" s="305"/>
      <c r="N1" s="305"/>
      <c r="O1" s="305"/>
      <c r="P1" s="305"/>
      <c r="Q1" s="305"/>
      <c r="R1" s="305"/>
      <c r="S1" s="305"/>
      <c r="T1" s="305"/>
      <c r="U1" s="305"/>
      <c r="V1" s="305"/>
      <c r="X1" s="124"/>
      <c r="Y1" s="124"/>
      <c r="Z1" s="32"/>
      <c r="AA1" s="32"/>
      <c r="AB1" s="32"/>
      <c r="AC1" s="32"/>
      <c r="AD1" s="32"/>
      <c r="AE1" s="32"/>
      <c r="AF1" s="32"/>
      <c r="AG1" s="32"/>
      <c r="AH1" s="32"/>
      <c r="AI1" s="32"/>
      <c r="AJ1" s="32"/>
      <c r="AK1" s="32"/>
      <c r="AL1" s="32"/>
      <c r="AM1" s="32"/>
      <c r="AN1" s="32"/>
      <c r="AO1" s="32"/>
      <c r="AP1" s="32"/>
      <c r="AS1" s="31" t="s">
        <v>330</v>
      </c>
      <c r="AT1" s="31"/>
      <c r="AU1" s="31"/>
      <c r="AV1" s="31"/>
      <c r="AW1" s="31"/>
      <c r="AX1" s="31"/>
      <c r="AY1" s="31"/>
      <c r="AZ1" s="31"/>
      <c r="BA1" s="31"/>
      <c r="BB1" s="31"/>
      <c r="BC1" s="23"/>
      <c r="BD1" s="31"/>
      <c r="BE1" s="144" t="s">
        <v>80</v>
      </c>
    </row>
    <row r="2" spans="1:57" s="30" customFormat="1" ht="15" customHeight="1">
      <c r="A2" s="255"/>
      <c r="B2" s="255"/>
      <c r="C2" s="29"/>
      <c r="D2" s="345" t="s">
        <v>331</v>
      </c>
      <c r="E2" s="345"/>
      <c r="F2" s="345"/>
      <c r="G2" s="345"/>
      <c r="H2" s="345"/>
      <c r="I2" s="345"/>
      <c r="J2" s="345"/>
      <c r="K2" s="345"/>
      <c r="L2" s="345"/>
      <c r="M2" s="305"/>
      <c r="N2" s="305"/>
      <c r="O2" s="305"/>
      <c r="P2" s="305"/>
      <c r="Q2" s="305"/>
      <c r="R2" s="305"/>
      <c r="S2" s="305"/>
      <c r="T2" s="305"/>
      <c r="U2" s="305"/>
      <c r="V2" s="305"/>
      <c r="X2" s="124"/>
      <c r="Y2" s="124"/>
      <c r="Z2" s="32"/>
      <c r="AA2" s="32"/>
      <c r="AB2" s="32"/>
      <c r="AC2" s="32"/>
      <c r="AD2" s="32"/>
      <c r="AE2" s="32"/>
      <c r="AF2" s="32"/>
      <c r="AG2" s="32"/>
      <c r="AH2" s="32"/>
      <c r="AI2" s="32"/>
      <c r="AJ2" s="32"/>
      <c r="AK2" s="32"/>
      <c r="AL2" s="32"/>
      <c r="AM2" s="32"/>
      <c r="AN2" s="32"/>
      <c r="AO2" s="32"/>
      <c r="AP2" s="32"/>
      <c r="AS2" s="173" t="s">
        <v>332</v>
      </c>
      <c r="AT2" s="31"/>
      <c r="AU2" s="31"/>
      <c r="AV2" s="31"/>
      <c r="AW2" s="31"/>
      <c r="AX2" s="31"/>
      <c r="AY2" s="31"/>
      <c r="AZ2" s="31"/>
      <c r="BA2" s="31"/>
      <c r="BB2" s="31"/>
      <c r="BC2" s="23"/>
      <c r="BD2" s="31"/>
      <c r="BE2" s="145" t="s">
        <v>81</v>
      </c>
    </row>
    <row r="3" spans="1:57" s="30" customFormat="1" ht="15" customHeight="1">
      <c r="A3" s="255" t="s">
        <v>2214</v>
      </c>
      <c r="B3" s="258">
        <f>'Customer-Readme'!B10</f>
        <v>1.06</v>
      </c>
      <c r="C3" s="257"/>
      <c r="D3" s="257"/>
      <c r="E3" s="257"/>
      <c r="F3" s="257"/>
      <c r="G3" s="257"/>
      <c r="H3" s="257"/>
      <c r="I3" s="257"/>
      <c r="J3" s="255"/>
      <c r="K3" s="29"/>
      <c r="L3" s="305"/>
      <c r="M3" s="305"/>
      <c r="N3" s="305"/>
      <c r="O3" s="305"/>
      <c r="P3" s="305"/>
      <c r="Q3" s="305"/>
      <c r="R3" s="305"/>
      <c r="S3" s="305"/>
      <c r="T3" s="305"/>
      <c r="U3" s="305"/>
      <c r="X3" s="124"/>
      <c r="Y3" s="124"/>
      <c r="Z3" s="32"/>
      <c r="AA3" s="32"/>
      <c r="AB3" s="32"/>
      <c r="AC3" s="32"/>
      <c r="AD3" s="32"/>
      <c r="AE3" s="32"/>
      <c r="AF3" s="32"/>
      <c r="AG3" s="32"/>
      <c r="AH3" s="32"/>
      <c r="AI3" s="32"/>
      <c r="AJ3" s="32"/>
      <c r="AK3" s="32"/>
      <c r="AL3" s="32"/>
      <c r="AM3" s="32"/>
      <c r="AN3" s="32"/>
      <c r="AO3" s="32"/>
      <c r="AP3" s="32"/>
      <c r="AS3" s="174" t="s">
        <v>333</v>
      </c>
      <c r="AT3" s="31"/>
      <c r="AU3" s="31"/>
      <c r="AV3" s="31"/>
      <c r="AW3" s="31"/>
      <c r="AX3" s="31"/>
      <c r="AY3" s="31"/>
      <c r="AZ3" s="31"/>
      <c r="BA3" s="31"/>
      <c r="BB3" s="31"/>
      <c r="BC3" s="23"/>
      <c r="BD3" s="31"/>
      <c r="BE3" s="146" t="s">
        <v>82</v>
      </c>
    </row>
    <row r="4" spans="1:57" s="30" customFormat="1" ht="15" customHeight="1">
      <c r="A4" s="256"/>
      <c r="B4" s="256"/>
      <c r="C4" s="29"/>
      <c r="D4" s="345"/>
      <c r="E4" s="345"/>
      <c r="F4" s="345"/>
      <c r="G4" s="345"/>
      <c r="H4" s="345"/>
      <c r="I4" s="345"/>
      <c r="J4" s="345"/>
      <c r="K4" s="345"/>
      <c r="L4" s="305"/>
      <c r="M4" s="305"/>
      <c r="N4" s="305"/>
      <c r="O4" s="305"/>
      <c r="P4" s="305"/>
      <c r="Q4" s="305"/>
      <c r="R4" s="305"/>
      <c r="S4" s="305"/>
      <c r="T4" s="305"/>
      <c r="U4" s="305"/>
      <c r="V4" s="305"/>
      <c r="X4" s="124"/>
      <c r="Y4" s="124"/>
      <c r="Z4" s="32"/>
      <c r="AA4" s="32"/>
      <c r="AB4" s="32"/>
      <c r="AC4" s="32"/>
      <c r="AD4" s="32"/>
      <c r="AE4" s="32"/>
      <c r="AF4" s="32"/>
      <c r="AG4" s="32"/>
      <c r="AH4" s="32"/>
      <c r="AI4" s="32"/>
      <c r="AJ4" s="32"/>
      <c r="AK4" s="32"/>
      <c r="AL4" s="32"/>
      <c r="AM4" s="32"/>
      <c r="AN4" s="32"/>
      <c r="AO4" s="32"/>
      <c r="AP4" s="32"/>
      <c r="AS4" s="31"/>
      <c r="AT4" s="31"/>
      <c r="AU4" s="31"/>
      <c r="AV4" s="31"/>
      <c r="AW4" s="31"/>
      <c r="AX4" s="31"/>
      <c r="AY4" s="31"/>
      <c r="AZ4" s="31"/>
      <c r="BA4" s="31"/>
      <c r="BB4" s="31"/>
      <c r="BC4" s="23"/>
      <c r="BD4" s="31"/>
      <c r="BE4" s="147" t="s">
        <v>83</v>
      </c>
    </row>
    <row r="5" spans="1:57" s="30" customFormat="1" ht="15" customHeight="1">
      <c r="A5" s="245"/>
      <c r="B5" s="245"/>
      <c r="C5" s="29"/>
      <c r="D5" s="345"/>
      <c r="E5" s="345"/>
      <c r="F5" s="345"/>
      <c r="G5" s="345"/>
      <c r="H5" s="345"/>
      <c r="I5" s="345"/>
      <c r="J5" s="345"/>
      <c r="K5" s="345"/>
      <c r="L5" s="305"/>
      <c r="M5" s="305"/>
      <c r="N5" s="305"/>
      <c r="O5" s="305"/>
      <c r="P5" s="305"/>
      <c r="Q5" s="305"/>
      <c r="R5" s="305"/>
      <c r="S5" s="305"/>
      <c r="T5" s="305"/>
      <c r="U5" s="305"/>
      <c r="V5" s="305"/>
      <c r="X5" s="124"/>
      <c r="Y5" s="124"/>
      <c r="Z5" s="32"/>
      <c r="AA5" s="32"/>
      <c r="AB5" s="32"/>
      <c r="AC5" s="32"/>
      <c r="AD5" s="32"/>
      <c r="AE5" s="32"/>
      <c r="AF5" s="32"/>
      <c r="AG5" s="32"/>
      <c r="AH5" s="32"/>
      <c r="AI5" s="32"/>
      <c r="AJ5" s="32"/>
      <c r="AK5" s="32"/>
      <c r="AL5" s="32"/>
      <c r="AM5" s="32"/>
      <c r="AN5" s="32"/>
      <c r="AO5" s="32"/>
      <c r="AP5" s="32"/>
      <c r="AS5" s="31"/>
      <c r="AT5" s="31"/>
      <c r="AU5" s="31"/>
      <c r="AV5" s="31"/>
      <c r="AW5" s="31"/>
      <c r="AX5" s="31"/>
      <c r="AY5" s="31"/>
      <c r="AZ5" s="31"/>
      <c r="BA5" s="31"/>
      <c r="BB5" s="31"/>
      <c r="BC5" s="23"/>
      <c r="BD5" s="31"/>
      <c r="BE5" s="262" t="s">
        <v>2218</v>
      </c>
    </row>
    <row r="6" spans="1:57" s="30" customFormat="1" ht="15" customHeight="1">
      <c r="A6" s="381" t="s">
        <v>5684</v>
      </c>
      <c r="B6" s="381"/>
      <c r="C6" s="33"/>
      <c r="D6" s="376" t="s">
        <v>84</v>
      </c>
      <c r="E6" s="376"/>
      <c r="F6" s="34"/>
      <c r="G6" s="382" t="s">
        <v>85</v>
      </c>
      <c r="H6" s="383"/>
      <c r="I6" s="383"/>
      <c r="J6" s="383"/>
      <c r="K6" s="384"/>
      <c r="L6" s="375" t="s">
        <v>86</v>
      </c>
      <c r="M6" s="376"/>
      <c r="N6" s="376"/>
      <c r="O6" s="376"/>
      <c r="P6" s="377"/>
      <c r="Q6" s="375" t="s">
        <v>87</v>
      </c>
      <c r="R6" s="376"/>
      <c r="S6" s="376"/>
      <c r="T6" s="376"/>
      <c r="U6" s="376"/>
      <c r="V6" s="306"/>
      <c r="W6" s="375" t="s">
        <v>0</v>
      </c>
      <c r="X6" s="376"/>
      <c r="Y6" s="377"/>
      <c r="Z6" s="378" t="s">
        <v>896</v>
      </c>
      <c r="AA6" s="379"/>
      <c r="AB6" s="380"/>
      <c r="AC6" s="35" t="s">
        <v>71</v>
      </c>
      <c r="AD6" s="370" t="s">
        <v>88</v>
      </c>
      <c r="AE6" s="371"/>
      <c r="AF6" s="371"/>
      <c r="AG6" s="371"/>
      <c r="AH6" s="371"/>
      <c r="AI6" s="372"/>
      <c r="AJ6" s="370" t="s">
        <v>89</v>
      </c>
      <c r="AK6" s="371"/>
      <c r="AL6" s="371"/>
      <c r="AM6" s="371"/>
      <c r="AN6" s="371"/>
      <c r="AO6" s="371"/>
      <c r="AP6" s="372"/>
      <c r="AQ6" s="373" t="s">
        <v>90</v>
      </c>
      <c r="AR6" s="374"/>
      <c r="AS6" s="374"/>
      <c r="AT6" s="374"/>
      <c r="AU6" s="374"/>
      <c r="AV6" s="374"/>
      <c r="AW6" s="374"/>
      <c r="AX6" s="374"/>
      <c r="AY6" s="374"/>
      <c r="AZ6" s="374"/>
      <c r="BA6" s="374"/>
      <c r="BB6" s="374"/>
      <c r="BC6" s="135"/>
      <c r="BD6" s="36"/>
      <c r="BE6" s="365" t="s">
        <v>5685</v>
      </c>
    </row>
    <row r="7" spans="1:57" s="28" customFormat="1" ht="51">
      <c r="A7" s="381"/>
      <c r="B7" s="381"/>
      <c r="C7" s="37" t="s">
        <v>1</v>
      </c>
      <c r="D7" s="38" t="s">
        <v>562</v>
      </c>
      <c r="E7" s="38"/>
      <c r="F7" s="38" t="s">
        <v>91</v>
      </c>
      <c r="G7" s="39" t="s">
        <v>81</v>
      </c>
      <c r="H7" s="40" t="s">
        <v>92</v>
      </c>
      <c r="I7" s="40" t="s">
        <v>2</v>
      </c>
      <c r="J7" s="40" t="s">
        <v>3</v>
      </c>
      <c r="K7" s="41" t="s">
        <v>4</v>
      </c>
      <c r="L7" s="38" t="s">
        <v>81</v>
      </c>
      <c r="M7" s="38" t="s">
        <v>92</v>
      </c>
      <c r="N7" s="38" t="s">
        <v>2</v>
      </c>
      <c r="O7" s="38" t="s">
        <v>3</v>
      </c>
      <c r="P7" s="42" t="s">
        <v>4</v>
      </c>
      <c r="Q7" s="38" t="s">
        <v>93</v>
      </c>
      <c r="R7" s="38" t="s">
        <v>94</v>
      </c>
      <c r="S7" s="38" t="s">
        <v>95</v>
      </c>
      <c r="T7" s="38" t="s">
        <v>96</v>
      </c>
      <c r="U7" s="38" t="s">
        <v>97</v>
      </c>
      <c r="V7" s="38" t="s">
        <v>879</v>
      </c>
      <c r="W7" s="37" t="s">
        <v>98</v>
      </c>
      <c r="X7" s="124" t="s">
        <v>58</v>
      </c>
      <c r="Y7" s="124" t="s">
        <v>329</v>
      </c>
      <c r="Z7" s="215" t="s">
        <v>894</v>
      </c>
      <c r="AA7" s="216" t="s">
        <v>77</v>
      </c>
      <c r="AB7" s="217" t="s">
        <v>897</v>
      </c>
      <c r="AC7" s="214" t="s">
        <v>6</v>
      </c>
      <c r="AD7" s="44" t="s">
        <v>99</v>
      </c>
      <c r="AE7" s="45" t="s">
        <v>100</v>
      </c>
      <c r="AF7" s="46" t="s">
        <v>5</v>
      </c>
      <c r="AG7" s="46" t="s">
        <v>101</v>
      </c>
      <c r="AH7" s="46" t="s">
        <v>102</v>
      </c>
      <c r="AI7" s="47" t="s">
        <v>103</v>
      </c>
      <c r="AJ7" s="45" t="s">
        <v>554</v>
      </c>
      <c r="AK7" s="45" t="s">
        <v>555</v>
      </c>
      <c r="AL7" s="45" t="s">
        <v>104</v>
      </c>
      <c r="AM7" s="45" t="s">
        <v>556</v>
      </c>
      <c r="AN7" s="45" t="s">
        <v>557</v>
      </c>
      <c r="AO7" s="45" t="s">
        <v>558</v>
      </c>
      <c r="AP7" s="45" t="s">
        <v>553</v>
      </c>
      <c r="AQ7" s="48" t="s">
        <v>105</v>
      </c>
      <c r="AR7" s="49" t="s">
        <v>106</v>
      </c>
      <c r="AS7" s="43" t="s">
        <v>78</v>
      </c>
      <c r="AT7" s="43" t="s">
        <v>107</v>
      </c>
      <c r="AU7" s="43" t="s">
        <v>108</v>
      </c>
      <c r="AV7" s="43" t="s">
        <v>2221</v>
      </c>
      <c r="AW7" s="43" t="s">
        <v>511</v>
      </c>
      <c r="AX7" s="43" t="s">
        <v>898</v>
      </c>
      <c r="AY7" s="43" t="s">
        <v>899</v>
      </c>
      <c r="AZ7" s="43" t="s">
        <v>269</v>
      </c>
      <c r="BA7" s="43" t="s">
        <v>270</v>
      </c>
      <c r="BB7" s="132" t="s">
        <v>109</v>
      </c>
      <c r="BC7" s="136" t="s">
        <v>267</v>
      </c>
      <c r="BD7" s="50" t="s">
        <v>110</v>
      </c>
      <c r="BE7" s="366"/>
    </row>
    <row r="8" spans="1:57" s="28" customFormat="1" ht="15.75">
      <c r="A8" s="246" t="s">
        <v>2462</v>
      </c>
      <c r="B8" s="246" t="s">
        <v>2463</v>
      </c>
      <c r="C8" s="85" t="s">
        <v>111</v>
      </c>
      <c r="D8" s="86"/>
      <c r="E8" s="86"/>
      <c r="F8" s="86"/>
      <c r="G8" s="87"/>
      <c r="H8" s="87"/>
      <c r="I8" s="87"/>
      <c r="J8" s="87"/>
      <c r="K8" s="87"/>
      <c r="L8" s="86"/>
      <c r="M8" s="86"/>
      <c r="N8" s="86"/>
      <c r="O8" s="86"/>
      <c r="P8" s="86"/>
      <c r="Q8" s="86"/>
      <c r="R8" s="86"/>
      <c r="S8" s="86"/>
      <c r="T8" s="86"/>
      <c r="U8" s="86"/>
      <c r="V8" s="86"/>
      <c r="W8" s="86"/>
      <c r="X8" s="129"/>
      <c r="Y8" s="129"/>
      <c r="Z8" s="88"/>
      <c r="AA8" s="88"/>
      <c r="AB8" s="88"/>
      <c r="AC8" s="88"/>
      <c r="AD8" s="88"/>
      <c r="AE8" s="88"/>
      <c r="AF8" s="88"/>
      <c r="AG8" s="88"/>
      <c r="AH8" s="88"/>
      <c r="AI8" s="88"/>
      <c r="AJ8" s="88"/>
      <c r="AK8" s="88"/>
      <c r="AL8" s="88"/>
      <c r="AM8" s="88"/>
      <c r="AN8" s="88"/>
      <c r="AO8" s="88"/>
      <c r="AP8" s="88"/>
      <c r="AQ8" s="89"/>
      <c r="AR8" s="89"/>
      <c r="AS8" s="90"/>
      <c r="AT8" s="90"/>
      <c r="AU8" s="90"/>
      <c r="AV8" s="90"/>
      <c r="AW8" s="90"/>
      <c r="AX8" s="90"/>
      <c r="AY8" s="90"/>
      <c r="AZ8" s="90"/>
      <c r="BA8" s="90"/>
      <c r="BB8" s="90"/>
      <c r="BC8" s="101"/>
      <c r="BD8" s="90"/>
      <c r="BE8" s="201"/>
    </row>
    <row r="9" spans="1:57" s="56" customFormat="1" ht="18" customHeight="1">
      <c r="A9" s="361"/>
      <c r="B9" s="367"/>
      <c r="C9" s="304" t="s">
        <v>61</v>
      </c>
      <c r="D9" s="51"/>
      <c r="E9" s="51"/>
      <c r="F9" s="51"/>
      <c r="G9" s="52"/>
      <c r="H9" s="52"/>
      <c r="I9" s="52"/>
      <c r="J9" s="52"/>
      <c r="K9" s="52"/>
      <c r="L9" s="51"/>
      <c r="M9" s="51"/>
      <c r="N9" s="51"/>
      <c r="O9" s="51"/>
      <c r="P9" s="51"/>
      <c r="Q9" s="51"/>
      <c r="R9" s="51"/>
      <c r="S9" s="51"/>
      <c r="T9" s="51"/>
      <c r="U9" s="51"/>
      <c r="V9" s="51"/>
      <c r="W9" s="51"/>
      <c r="X9" s="125"/>
      <c r="Y9" s="125"/>
      <c r="Z9" s="53"/>
      <c r="AA9" s="53"/>
      <c r="AB9" s="53"/>
      <c r="AC9" s="53"/>
      <c r="AD9" s="53"/>
      <c r="AE9" s="53"/>
      <c r="AF9" s="53"/>
      <c r="AG9" s="53"/>
      <c r="AH9" s="53"/>
      <c r="AI9" s="53"/>
      <c r="AJ9" s="53" t="b">
        <v>0</v>
      </c>
      <c r="AK9" s="53"/>
      <c r="AL9" s="53"/>
      <c r="AM9" s="53"/>
      <c r="AN9" s="53"/>
      <c r="AO9" s="53"/>
      <c r="AP9" s="53"/>
      <c r="AQ9" s="54"/>
      <c r="AR9" s="54"/>
      <c r="AS9" s="55"/>
      <c r="AT9" s="55"/>
      <c r="AU9" s="55"/>
      <c r="AV9" s="55"/>
      <c r="AW9" s="55"/>
      <c r="AX9" s="55"/>
      <c r="AY9" s="55"/>
      <c r="AZ9" s="55"/>
      <c r="BA9" s="55"/>
      <c r="BB9" s="55"/>
      <c r="BC9" s="175" t="s">
        <v>59</v>
      </c>
      <c r="BD9" s="185"/>
      <c r="BE9" s="187" t="s">
        <v>61</v>
      </c>
    </row>
    <row r="10" spans="1:57" ht="12.95" hidden="1" customHeight="1">
      <c r="A10" s="248" t="e">
        <v>#N/A</v>
      </c>
      <c r="B10" s="252" t="e">
        <v>#N/A</v>
      </c>
      <c r="C10" s="309" t="s">
        <v>10</v>
      </c>
      <c r="D10" s="239" t="s">
        <v>2509</v>
      </c>
      <c r="E10" s="58"/>
      <c r="F10" s="59" t="s">
        <v>540</v>
      </c>
      <c r="G10" s="191" t="s">
        <v>2510</v>
      </c>
      <c r="H10" s="192" t="s">
        <v>907</v>
      </c>
      <c r="I10" s="61" t="s">
        <v>2511</v>
      </c>
      <c r="J10" s="61" t="s">
        <v>2511</v>
      </c>
      <c r="K10" s="62" t="s">
        <v>2511</v>
      </c>
      <c r="L10" s="60" t="s">
        <v>2389</v>
      </c>
      <c r="M10" s="61" t="s">
        <v>2389</v>
      </c>
      <c r="N10" s="61" t="s">
        <v>2511</v>
      </c>
      <c r="O10" s="61" t="s">
        <v>2511</v>
      </c>
      <c r="P10" s="62" t="s">
        <v>2511</v>
      </c>
      <c r="Q10" s="58" t="s">
        <v>119</v>
      </c>
      <c r="R10" s="58" t="s">
        <v>126</v>
      </c>
      <c r="S10" s="58" t="s">
        <v>112</v>
      </c>
      <c r="T10" s="58" t="s">
        <v>113</v>
      </c>
      <c r="U10" s="63" t="s">
        <v>126</v>
      </c>
      <c r="V10" s="137" t="s">
        <v>2512</v>
      </c>
      <c r="W10" s="57" t="s">
        <v>2513</v>
      </c>
      <c r="X10" s="126" t="s">
        <v>2511</v>
      </c>
      <c r="Y10" s="126" t="s">
        <v>2511</v>
      </c>
      <c r="Z10" s="57" t="s">
        <v>2514</v>
      </c>
      <c r="AA10" s="57" t="s">
        <v>2515</v>
      </c>
      <c r="AB10" s="57" t="s">
        <v>2393</v>
      </c>
      <c r="AC10" s="57" t="s">
        <v>2516</v>
      </c>
      <c r="AD10" s="65" t="str">
        <f t="shared" ref="AD10:AD26" si="0">IF(OR($AQ10="",$AQ10=$F10),$U10,IF($AQ10=$G10,SUBSTITUTE(SUBSTITUTE($AQ10,"GPIO3_","GPIO_"),".0",""),IF($AQ10=$H10,$Q10,IF($AQ10=$I10,$R10,IF($AQ10=$J10,$S10,IF($AQ10=$K10,$T10,"INVALID"))))))</f>
        <v>RSVD1</v>
      </c>
      <c r="AE10" s="70"/>
      <c r="AF10" s="67" t="str">
        <f t="shared" ref="AF10:AF26" si="1">IF(AND(OR($AS10="Int PU",$AS10="Int PD"),OR(AND($AZ10&lt;&gt;"",$AZ10&lt;&gt;"0"),AND($BA10&lt;&gt;"",$BA10&lt;&gt;"0"))),"INVALID",IF(OR($AQ10=$F10,$AS10="Int PD"),"PULL_DOWN",IF(OR($AS10="Int PU",AND($AE10="YES",OR($AZ10="",$AZ10="0"),OR($BA10="",$BA10="0"),OR($AR10="Input",$AR10="Bidirectional"))),"PULL_UP","NORMAL")))</f>
        <v>PULL_DOWN</v>
      </c>
      <c r="AG10" s="67" t="str">
        <f>IF($AV10="slave", "TRISTATE", IF($AR10="Input", "TRISTATE", IF($AS10="Z","TRISTATE",IF($AQ10=$F10,"TRISTATE","NORMAL"))))</f>
        <v>TRISTATE</v>
      </c>
      <c r="AH10" s="67" t="str">
        <f>IF(OR((AND($AQ10=$G10,$AR10="INPUT")),(AND($AQ10=$H10,$AV10="Slave")),$AR10="Bidirectional"),"ENABLE","DISABLE")</f>
        <v>DISABLE</v>
      </c>
      <c r="AI10" s="71" t="str">
        <f t="shared" ref="AI10:AI26" si="2">IF($AQ10&lt;&gt;$G10,"N/A",IF($AS10="Drive 1", "1", IF($AS10="Drive 0", "0", "")))</f>
        <v>N/A</v>
      </c>
      <c r="AJ10" s="189" t="b">
        <v>1</v>
      </c>
      <c r="AK10" s="189" t="b">
        <v>1</v>
      </c>
      <c r="AL10" s="189" t="b">
        <v>1</v>
      </c>
      <c r="AM10" s="189" t="b">
        <v>1</v>
      </c>
      <c r="AN10" s="189" t="b">
        <v>1</v>
      </c>
      <c r="AO10" s="189" t="b">
        <v>1</v>
      </c>
      <c r="AP10" s="69" t="str">
        <f t="shared" ref="AP10:AP26" si="3">IF(AND($AJ10:$AO10), "VALID", "INVALID")</f>
        <v>VALID</v>
      </c>
      <c r="AQ10" s="166" t="s">
        <v>540</v>
      </c>
      <c r="AR10" s="194" t="s">
        <v>79</v>
      </c>
      <c r="AS10" s="193"/>
      <c r="AT10" s="72"/>
      <c r="AU10" s="72"/>
      <c r="AV10" s="193" t="s">
        <v>900</v>
      </c>
      <c r="AW10" s="72"/>
      <c r="AX10" s="193" t="s">
        <v>136</v>
      </c>
      <c r="AY10" s="72"/>
      <c r="AZ10" s="193"/>
      <c r="BA10" s="193"/>
      <c r="BB10" s="8"/>
      <c r="BC10" s="140"/>
      <c r="BD10" s="147" t="s">
        <v>83</v>
      </c>
      <c r="BE10" s="147" t="s">
        <v>83</v>
      </c>
    </row>
    <row r="11" spans="1:57" ht="12.95" hidden="1" customHeight="1">
      <c r="A11" s="248" t="e">
        <v>#N/A</v>
      </c>
      <c r="B11" s="252" t="e">
        <v>#N/A</v>
      </c>
      <c r="C11" s="309" t="s">
        <v>8</v>
      </c>
      <c r="D11" s="239" t="s">
        <v>2517</v>
      </c>
      <c r="E11" s="58"/>
      <c r="F11" s="59" t="s">
        <v>116</v>
      </c>
      <c r="G11" s="191" t="s">
        <v>2518</v>
      </c>
      <c r="H11" s="192" t="s">
        <v>908</v>
      </c>
      <c r="I11" s="61" t="s">
        <v>2511</v>
      </c>
      <c r="J11" s="61" t="s">
        <v>2511</v>
      </c>
      <c r="K11" s="62" t="s">
        <v>2511</v>
      </c>
      <c r="L11" s="60" t="s">
        <v>2389</v>
      </c>
      <c r="M11" s="61" t="s">
        <v>2519</v>
      </c>
      <c r="N11" s="61" t="s">
        <v>2511</v>
      </c>
      <c r="O11" s="61" t="s">
        <v>2511</v>
      </c>
      <c r="P11" s="62" t="s">
        <v>2511</v>
      </c>
      <c r="Q11" s="58" t="s">
        <v>119</v>
      </c>
      <c r="R11" s="58" t="s">
        <v>126</v>
      </c>
      <c r="S11" s="58" t="s">
        <v>112</v>
      </c>
      <c r="T11" s="58" t="s">
        <v>113</v>
      </c>
      <c r="U11" s="63" t="s">
        <v>126</v>
      </c>
      <c r="V11" s="138" t="s">
        <v>2520</v>
      </c>
      <c r="W11" s="57" t="s">
        <v>2513</v>
      </c>
      <c r="X11" s="126" t="s">
        <v>2511</v>
      </c>
      <c r="Y11" s="126" t="s">
        <v>2511</v>
      </c>
      <c r="Z11" s="57" t="s">
        <v>2514</v>
      </c>
      <c r="AA11" s="57" t="s">
        <v>2515</v>
      </c>
      <c r="AB11" s="57" t="s">
        <v>2393</v>
      </c>
      <c r="AC11" s="57" t="s">
        <v>2516</v>
      </c>
      <c r="AD11" s="65" t="str">
        <f t="shared" si="0"/>
        <v>RSVD1</v>
      </c>
      <c r="AE11" s="70"/>
      <c r="AF11" s="67" t="str">
        <f t="shared" si="1"/>
        <v>PULL_DOWN</v>
      </c>
      <c r="AG11" s="67" t="str">
        <f t="shared" ref="AG11:AG83" si="4">IF($AR11="Input", "TRISTATE", IF($AS11="Z","TRISTATE",IF($AQ11=$F11,"TRISTATE","NORMAL")))</f>
        <v>TRISTATE</v>
      </c>
      <c r="AH11" s="67" t="str">
        <f>IF(OR($AQ11=$F11,$AR11="Output"),"DISABLE","ENABLE")</f>
        <v>DISABLE</v>
      </c>
      <c r="AI11" s="71" t="str">
        <f t="shared" si="2"/>
        <v>N/A</v>
      </c>
      <c r="AJ11" s="189" t="b">
        <v>1</v>
      </c>
      <c r="AK11" s="189" t="b">
        <v>1</v>
      </c>
      <c r="AL11" s="189" t="b">
        <v>1</v>
      </c>
      <c r="AM11" s="189" t="b">
        <v>1</v>
      </c>
      <c r="AN11" s="189" t="b">
        <v>1</v>
      </c>
      <c r="AO11" s="189" t="b">
        <v>1</v>
      </c>
      <c r="AP11" s="69" t="str">
        <f t="shared" si="3"/>
        <v>VALID</v>
      </c>
      <c r="AQ11" s="166" t="s">
        <v>116</v>
      </c>
      <c r="AR11" s="194" t="s">
        <v>79</v>
      </c>
      <c r="AS11" s="193"/>
      <c r="AT11" s="72"/>
      <c r="AU11" s="72"/>
      <c r="AV11" s="193" t="s">
        <v>900</v>
      </c>
      <c r="AW11" s="72"/>
      <c r="AX11" s="193" t="s">
        <v>136</v>
      </c>
      <c r="AY11" s="72"/>
      <c r="AZ11" s="193"/>
      <c r="BA11" s="193"/>
      <c r="BB11" s="8"/>
      <c r="BC11" s="140"/>
      <c r="BD11" s="147" t="s">
        <v>83</v>
      </c>
      <c r="BE11" s="147" t="s">
        <v>83</v>
      </c>
    </row>
    <row r="12" spans="1:57" ht="12.95" hidden="1" customHeight="1">
      <c r="A12" s="248" t="e">
        <v>#N/A</v>
      </c>
      <c r="B12" s="252" t="e">
        <v>#N/A</v>
      </c>
      <c r="C12" s="309" t="s">
        <v>7</v>
      </c>
      <c r="D12" s="239" t="s">
        <v>2521</v>
      </c>
      <c r="E12" s="58"/>
      <c r="F12" s="59" t="s">
        <v>115</v>
      </c>
      <c r="G12" s="191" t="s">
        <v>2522</v>
      </c>
      <c r="H12" s="192" t="s">
        <v>909</v>
      </c>
      <c r="I12" s="61" t="s">
        <v>2511</v>
      </c>
      <c r="J12" s="61" t="s">
        <v>2511</v>
      </c>
      <c r="K12" s="62" t="s">
        <v>2511</v>
      </c>
      <c r="L12" s="60" t="s">
        <v>2389</v>
      </c>
      <c r="M12" s="61" t="s">
        <v>2523</v>
      </c>
      <c r="N12" s="61" t="s">
        <v>2511</v>
      </c>
      <c r="O12" s="61" t="s">
        <v>2511</v>
      </c>
      <c r="P12" s="62" t="s">
        <v>2511</v>
      </c>
      <c r="Q12" s="58" t="s">
        <v>119</v>
      </c>
      <c r="R12" s="58" t="s">
        <v>126</v>
      </c>
      <c r="S12" s="58" t="s">
        <v>112</v>
      </c>
      <c r="T12" s="58" t="s">
        <v>113</v>
      </c>
      <c r="U12" s="63" t="s">
        <v>126</v>
      </c>
      <c r="V12" s="138" t="s">
        <v>2524</v>
      </c>
      <c r="W12" s="57" t="s">
        <v>2513</v>
      </c>
      <c r="X12" s="126" t="s">
        <v>2511</v>
      </c>
      <c r="Y12" s="126" t="s">
        <v>2511</v>
      </c>
      <c r="Z12" s="57" t="s">
        <v>2514</v>
      </c>
      <c r="AA12" s="57" t="s">
        <v>2515</v>
      </c>
      <c r="AB12" s="57" t="s">
        <v>2393</v>
      </c>
      <c r="AC12" s="57" t="s">
        <v>2516</v>
      </c>
      <c r="AD12" s="65" t="str">
        <f t="shared" si="0"/>
        <v>RSVD1</v>
      </c>
      <c r="AE12" s="70"/>
      <c r="AF12" s="67" t="str">
        <f t="shared" si="1"/>
        <v>PULL_DOWN</v>
      </c>
      <c r="AG12" s="67" t="str">
        <f t="shared" si="4"/>
        <v>TRISTATE</v>
      </c>
      <c r="AH12" s="67" t="str">
        <f>IF(OR($AQ12=$F12,$AR12="Output"),"DISABLE","ENABLE")</f>
        <v>DISABLE</v>
      </c>
      <c r="AI12" s="71" t="str">
        <f t="shared" si="2"/>
        <v>N/A</v>
      </c>
      <c r="AJ12" s="189" t="b">
        <v>1</v>
      </c>
      <c r="AK12" s="189" t="b">
        <v>1</v>
      </c>
      <c r="AL12" s="189" t="b">
        <v>1</v>
      </c>
      <c r="AM12" s="189" t="b">
        <v>1</v>
      </c>
      <c r="AN12" s="189" t="b">
        <v>1</v>
      </c>
      <c r="AO12" s="189" t="b">
        <v>1</v>
      </c>
      <c r="AP12" s="69" t="str">
        <f t="shared" si="3"/>
        <v>VALID</v>
      </c>
      <c r="AQ12" s="166" t="s">
        <v>115</v>
      </c>
      <c r="AR12" s="194" t="s">
        <v>79</v>
      </c>
      <c r="AS12" s="193"/>
      <c r="AT12" s="72"/>
      <c r="AU12" s="72"/>
      <c r="AV12" s="193" t="s">
        <v>900</v>
      </c>
      <c r="AW12" s="72"/>
      <c r="AX12" s="193" t="s">
        <v>136</v>
      </c>
      <c r="AY12" s="72"/>
      <c r="AZ12" s="193"/>
      <c r="BA12" s="193"/>
      <c r="BB12" s="8"/>
      <c r="BC12" s="140"/>
      <c r="BD12" s="147" t="s">
        <v>83</v>
      </c>
      <c r="BE12" s="147" t="s">
        <v>83</v>
      </c>
    </row>
    <row r="13" spans="1:57" ht="12.95" hidden="1" customHeight="1">
      <c r="A13" s="248" t="e">
        <v>#N/A</v>
      </c>
      <c r="B13" s="252" t="e">
        <v>#N/A</v>
      </c>
      <c r="C13" s="309" t="s">
        <v>9</v>
      </c>
      <c r="D13" s="239" t="s">
        <v>2526</v>
      </c>
      <c r="E13" s="58"/>
      <c r="F13" s="59" t="s">
        <v>118</v>
      </c>
      <c r="G13" s="191" t="s">
        <v>2527</v>
      </c>
      <c r="H13" s="192" t="s">
        <v>910</v>
      </c>
      <c r="I13" s="61" t="s">
        <v>2511</v>
      </c>
      <c r="J13" s="61" t="s">
        <v>2511</v>
      </c>
      <c r="K13" s="62" t="s">
        <v>2511</v>
      </c>
      <c r="L13" s="60" t="s">
        <v>2389</v>
      </c>
      <c r="M13" s="61" t="s">
        <v>2389</v>
      </c>
      <c r="N13" s="61" t="s">
        <v>2511</v>
      </c>
      <c r="O13" s="61" t="s">
        <v>2511</v>
      </c>
      <c r="P13" s="62" t="s">
        <v>2511</v>
      </c>
      <c r="Q13" s="58" t="s">
        <v>119</v>
      </c>
      <c r="R13" s="58" t="s">
        <v>126</v>
      </c>
      <c r="S13" s="58" t="s">
        <v>112</v>
      </c>
      <c r="T13" s="58" t="s">
        <v>113</v>
      </c>
      <c r="U13" s="63" t="s">
        <v>126</v>
      </c>
      <c r="V13" s="138" t="s">
        <v>2528</v>
      </c>
      <c r="W13" s="57" t="s">
        <v>2513</v>
      </c>
      <c r="X13" s="126" t="s">
        <v>2511</v>
      </c>
      <c r="Y13" s="126" t="s">
        <v>2511</v>
      </c>
      <c r="Z13" s="57" t="s">
        <v>2514</v>
      </c>
      <c r="AA13" s="57" t="s">
        <v>2529</v>
      </c>
      <c r="AB13" s="57" t="s">
        <v>2393</v>
      </c>
      <c r="AC13" s="57" t="s">
        <v>2516</v>
      </c>
      <c r="AD13" s="65" t="str">
        <f t="shared" si="0"/>
        <v>RSVD1</v>
      </c>
      <c r="AE13" s="70"/>
      <c r="AF13" s="67" t="str">
        <f t="shared" si="1"/>
        <v>PULL_DOWN</v>
      </c>
      <c r="AG13" s="67" t="str">
        <f>IF($AV13="slave", "TRISTATE", IF($AR13="Input", "TRISTATE", IF($AS13="Z","TRISTATE",IF($AQ13=$F13,"TRISTATE","NORMAL"))))</f>
        <v>TRISTATE</v>
      </c>
      <c r="AH13" s="67" t="str">
        <f>IF(OR((AND($AQ13=$G13,$AR13="INPUT")),(AND($AQ13=$H13,$AV13="Slave")),$AR13="Bidirectional"),"ENABLE","DISABLE")</f>
        <v>DISABLE</v>
      </c>
      <c r="AI13" s="71" t="str">
        <f t="shared" si="2"/>
        <v>N/A</v>
      </c>
      <c r="AJ13" s="189" t="b">
        <v>1</v>
      </c>
      <c r="AK13" s="189" t="b">
        <v>1</v>
      </c>
      <c r="AL13" s="189" t="b">
        <v>1</v>
      </c>
      <c r="AM13" s="189" t="b">
        <v>1</v>
      </c>
      <c r="AN13" s="189" t="b">
        <v>1</v>
      </c>
      <c r="AO13" s="189" t="b">
        <v>1</v>
      </c>
      <c r="AP13" s="69" t="str">
        <f t="shared" si="3"/>
        <v>VALID</v>
      </c>
      <c r="AQ13" s="166" t="s">
        <v>118</v>
      </c>
      <c r="AR13" s="194" t="s">
        <v>79</v>
      </c>
      <c r="AS13" s="193"/>
      <c r="AT13" s="72"/>
      <c r="AU13" s="72"/>
      <c r="AV13" s="193" t="s">
        <v>900</v>
      </c>
      <c r="AW13" s="72"/>
      <c r="AX13" s="193" t="s">
        <v>136</v>
      </c>
      <c r="AY13" s="72"/>
      <c r="AZ13" s="193"/>
      <c r="BA13" s="193"/>
      <c r="BB13" s="8"/>
      <c r="BC13" s="140"/>
      <c r="BD13" s="147" t="s">
        <v>83</v>
      </c>
      <c r="BE13" s="147" t="s">
        <v>83</v>
      </c>
    </row>
    <row r="14" spans="1:57" ht="12.95" customHeight="1">
      <c r="A14" s="320" t="s">
        <v>2987</v>
      </c>
      <c r="B14" s="310">
        <v>211</v>
      </c>
      <c r="C14" s="239" t="s">
        <v>260</v>
      </c>
      <c r="D14" s="239" t="s">
        <v>2531</v>
      </c>
      <c r="E14" s="58"/>
      <c r="F14" s="59" t="s">
        <v>559</v>
      </c>
      <c r="G14" s="191" t="s">
        <v>2532</v>
      </c>
      <c r="H14" s="192" t="s">
        <v>260</v>
      </c>
      <c r="I14" s="61" t="s">
        <v>2511</v>
      </c>
      <c r="J14" s="61" t="s">
        <v>2511</v>
      </c>
      <c r="K14" s="62" t="s">
        <v>2511</v>
      </c>
      <c r="L14" s="60" t="s">
        <v>2389</v>
      </c>
      <c r="M14" s="61" t="s">
        <v>2388</v>
      </c>
      <c r="N14" s="61" t="s">
        <v>2511</v>
      </c>
      <c r="O14" s="61" t="s">
        <v>2511</v>
      </c>
      <c r="P14" s="62" t="s">
        <v>2511</v>
      </c>
      <c r="Q14" s="58" t="s">
        <v>541</v>
      </c>
      <c r="R14" s="58" t="s">
        <v>126</v>
      </c>
      <c r="S14" s="58" t="s">
        <v>112</v>
      </c>
      <c r="T14" s="58" t="s">
        <v>113</v>
      </c>
      <c r="U14" s="63" t="s">
        <v>126</v>
      </c>
      <c r="V14" s="138" t="s">
        <v>2533</v>
      </c>
      <c r="W14" s="57" t="s">
        <v>2513</v>
      </c>
      <c r="X14" s="126" t="s">
        <v>2511</v>
      </c>
      <c r="Y14" s="126" t="s">
        <v>2511</v>
      </c>
      <c r="Z14" s="57" t="s">
        <v>2514</v>
      </c>
      <c r="AA14" s="57" t="s">
        <v>2529</v>
      </c>
      <c r="AB14" s="57" t="s">
        <v>2393</v>
      </c>
      <c r="AC14" s="57" t="s">
        <v>2516</v>
      </c>
      <c r="AD14" s="65" t="str">
        <f t="shared" si="0"/>
        <v>GPIO_PS4</v>
      </c>
      <c r="AE14" s="70"/>
      <c r="AF14" s="67" t="str">
        <f t="shared" si="1"/>
        <v>PULL_UP</v>
      </c>
      <c r="AG14" s="67" t="str">
        <f t="shared" si="4"/>
        <v>TRISTATE</v>
      </c>
      <c r="AH14" s="67" t="str">
        <f>IF(OR($AQ14=$F14,$AR14="Output"),"DISABLE","ENABLE")</f>
        <v>ENABLE</v>
      </c>
      <c r="AI14" s="71" t="str">
        <f t="shared" si="2"/>
        <v/>
      </c>
      <c r="AJ14" s="189" t="b">
        <v>1</v>
      </c>
      <c r="AK14" s="189" t="b">
        <v>1</v>
      </c>
      <c r="AL14" s="189" t="b">
        <v>1</v>
      </c>
      <c r="AM14" s="189" t="b">
        <v>1</v>
      </c>
      <c r="AN14" s="189" t="b">
        <v>1</v>
      </c>
      <c r="AO14" s="189" t="b">
        <v>1</v>
      </c>
      <c r="AP14" s="69" t="str">
        <f t="shared" si="3"/>
        <v>VALID</v>
      </c>
      <c r="AQ14" s="166" t="s">
        <v>2532</v>
      </c>
      <c r="AR14" s="194" t="s">
        <v>862</v>
      </c>
      <c r="AS14" s="193" t="s">
        <v>873</v>
      </c>
      <c r="AT14" s="72"/>
      <c r="AU14" s="72"/>
      <c r="AV14" s="72"/>
      <c r="AW14" s="72"/>
      <c r="AX14" s="193" t="s">
        <v>136</v>
      </c>
      <c r="AY14" s="72"/>
      <c r="AZ14" s="193"/>
      <c r="BA14" s="193"/>
      <c r="BB14" s="8"/>
      <c r="BC14" s="140"/>
      <c r="BD14" s="11" t="s">
        <v>5552</v>
      </c>
      <c r="BE14" s="308" t="s">
        <v>5522</v>
      </c>
    </row>
    <row r="15" spans="1:57" ht="12.95" hidden="1" customHeight="1">
      <c r="A15" s="248" t="e">
        <v>#N/A</v>
      </c>
      <c r="B15" s="252" t="e">
        <v>#N/A</v>
      </c>
      <c r="C15" s="263" t="s">
        <v>960</v>
      </c>
      <c r="D15" s="239" t="s">
        <v>2535</v>
      </c>
      <c r="E15" s="58"/>
      <c r="F15" s="59" t="s">
        <v>1743</v>
      </c>
      <c r="G15" s="191" t="s">
        <v>2154</v>
      </c>
      <c r="H15" s="192" t="s">
        <v>2511</v>
      </c>
      <c r="I15" s="61" t="s">
        <v>2511</v>
      </c>
      <c r="J15" s="61" t="s">
        <v>2511</v>
      </c>
      <c r="K15" s="62" t="s">
        <v>2511</v>
      </c>
      <c r="L15" s="60" t="s">
        <v>2389</v>
      </c>
      <c r="M15" s="61" t="s">
        <v>2511</v>
      </c>
      <c r="N15" s="61" t="s">
        <v>2511</v>
      </c>
      <c r="O15" s="61" t="s">
        <v>2511</v>
      </c>
      <c r="P15" s="62" t="s">
        <v>2511</v>
      </c>
      <c r="Q15" s="58" t="s">
        <v>552</v>
      </c>
      <c r="R15" s="58" t="s">
        <v>126</v>
      </c>
      <c r="S15" s="58" t="s">
        <v>112</v>
      </c>
      <c r="T15" s="58" t="s">
        <v>113</v>
      </c>
      <c r="U15" s="63" t="s">
        <v>552</v>
      </c>
      <c r="V15" s="138" t="s">
        <v>2536</v>
      </c>
      <c r="W15" s="57" t="s">
        <v>2513</v>
      </c>
      <c r="X15" s="126" t="s">
        <v>2537</v>
      </c>
      <c r="Y15" s="126" t="s">
        <v>2511</v>
      </c>
      <c r="Z15" s="57" t="s">
        <v>2514</v>
      </c>
      <c r="AA15" s="57" t="s">
        <v>2538</v>
      </c>
      <c r="AB15" s="57" t="s">
        <v>2393</v>
      </c>
      <c r="AC15" s="57" t="s">
        <v>2516</v>
      </c>
      <c r="AD15" s="65" t="str">
        <f t="shared" si="0"/>
        <v>RSVD0</v>
      </c>
      <c r="AE15" s="70"/>
      <c r="AF15" s="67" t="str">
        <f t="shared" si="1"/>
        <v>PULL_DOWN</v>
      </c>
      <c r="AG15" s="67" t="str">
        <f t="shared" si="4"/>
        <v>TRISTATE</v>
      </c>
      <c r="AH15" s="67" t="str">
        <f>IF(OR($AQ15=$F15,$AR15="Output"),"DISABLE","ENABLE")</f>
        <v>DISABLE</v>
      </c>
      <c r="AI15" s="71" t="str">
        <f t="shared" si="2"/>
        <v>N/A</v>
      </c>
      <c r="AJ15" s="189" t="b">
        <v>1</v>
      </c>
      <c r="AK15" s="189" t="b">
        <v>1</v>
      </c>
      <c r="AL15" s="189" t="b">
        <v>1</v>
      </c>
      <c r="AM15" s="189" t="b">
        <v>1</v>
      </c>
      <c r="AN15" s="189" t="b">
        <v>1</v>
      </c>
      <c r="AO15" s="189" t="b">
        <v>1</v>
      </c>
      <c r="AP15" s="69" t="str">
        <f t="shared" si="3"/>
        <v>VALID</v>
      </c>
      <c r="AQ15" s="166" t="s">
        <v>1743</v>
      </c>
      <c r="AR15" s="194" t="s">
        <v>79</v>
      </c>
      <c r="AS15" s="193"/>
      <c r="AT15" s="193" t="s">
        <v>117</v>
      </c>
      <c r="AU15" s="72"/>
      <c r="AV15" s="72"/>
      <c r="AW15" s="72"/>
      <c r="AX15" s="193" t="s">
        <v>136</v>
      </c>
      <c r="AY15" s="72"/>
      <c r="AZ15" s="193"/>
      <c r="BA15" s="193"/>
      <c r="BB15" s="8"/>
      <c r="BC15" s="140"/>
      <c r="BD15" s="147" t="s">
        <v>83</v>
      </c>
      <c r="BE15" s="147" t="s">
        <v>83</v>
      </c>
    </row>
    <row r="16" spans="1:57" ht="12.95" hidden="1" customHeight="1">
      <c r="A16" s="248" t="e">
        <v>#N/A</v>
      </c>
      <c r="B16" s="252" t="e">
        <v>#N/A</v>
      </c>
      <c r="C16" s="263" t="s">
        <v>961</v>
      </c>
      <c r="D16" s="239" t="s">
        <v>2539</v>
      </c>
      <c r="E16" s="58"/>
      <c r="F16" s="59" t="s">
        <v>1744</v>
      </c>
      <c r="G16" s="191" t="s">
        <v>2390</v>
      </c>
      <c r="H16" s="192" t="s">
        <v>2511</v>
      </c>
      <c r="I16" s="61" t="s">
        <v>2155</v>
      </c>
      <c r="J16" s="61" t="s">
        <v>2511</v>
      </c>
      <c r="K16" s="62" t="s">
        <v>2511</v>
      </c>
      <c r="L16" s="60" t="s">
        <v>2389</v>
      </c>
      <c r="M16" s="61" t="s">
        <v>2511</v>
      </c>
      <c r="N16" s="61" t="s">
        <v>2523</v>
      </c>
      <c r="O16" s="61" t="s">
        <v>2511</v>
      </c>
      <c r="P16" s="62" t="s">
        <v>2511</v>
      </c>
      <c r="Q16" s="58" t="s">
        <v>552</v>
      </c>
      <c r="R16" s="58" t="s">
        <v>67</v>
      </c>
      <c r="S16" s="58" t="s">
        <v>112</v>
      </c>
      <c r="T16" s="58" t="s">
        <v>113</v>
      </c>
      <c r="U16" s="63" t="s">
        <v>552</v>
      </c>
      <c r="V16" s="138" t="s">
        <v>2540</v>
      </c>
      <c r="W16" s="57" t="s">
        <v>2513</v>
      </c>
      <c r="X16" s="126" t="s">
        <v>2541</v>
      </c>
      <c r="Y16" s="126" t="s">
        <v>2511</v>
      </c>
      <c r="Z16" s="57" t="s">
        <v>2514</v>
      </c>
      <c r="AA16" s="57" t="s">
        <v>2538</v>
      </c>
      <c r="AB16" s="57" t="s">
        <v>2393</v>
      </c>
      <c r="AC16" s="57" t="s">
        <v>2516</v>
      </c>
      <c r="AD16" s="65" t="str">
        <f t="shared" si="0"/>
        <v>RSVD0</v>
      </c>
      <c r="AE16" s="70"/>
      <c r="AF16" s="67" t="str">
        <f t="shared" si="1"/>
        <v>PULL_DOWN</v>
      </c>
      <c r="AG16" s="67" t="str">
        <f t="shared" si="4"/>
        <v>TRISTATE</v>
      </c>
      <c r="AH16" s="67" t="str">
        <f>IF(OR($AQ16=$F16,$AR16="Output"),"DISABLE","ENABLE")</f>
        <v>DISABLE</v>
      </c>
      <c r="AI16" s="71" t="str">
        <f t="shared" si="2"/>
        <v>N/A</v>
      </c>
      <c r="AJ16" s="189" t="b">
        <v>1</v>
      </c>
      <c r="AK16" s="189" t="b">
        <v>1</v>
      </c>
      <c r="AL16" s="189" t="b">
        <v>1</v>
      </c>
      <c r="AM16" s="189" t="b">
        <v>1</v>
      </c>
      <c r="AN16" s="189" t="b">
        <v>1</v>
      </c>
      <c r="AO16" s="189" t="b">
        <v>1</v>
      </c>
      <c r="AP16" s="69" t="str">
        <f t="shared" si="3"/>
        <v>VALID</v>
      </c>
      <c r="AQ16" s="166" t="s">
        <v>1744</v>
      </c>
      <c r="AR16" s="194" t="s">
        <v>79</v>
      </c>
      <c r="AS16" s="193"/>
      <c r="AT16" s="193" t="s">
        <v>117</v>
      </c>
      <c r="AU16" s="72"/>
      <c r="AV16" s="72"/>
      <c r="AW16" s="72"/>
      <c r="AX16" s="193" t="s">
        <v>136</v>
      </c>
      <c r="AY16" s="72"/>
      <c r="AZ16" s="193"/>
      <c r="BA16" s="193"/>
      <c r="BB16" s="8"/>
      <c r="BC16" s="140"/>
      <c r="BD16" s="147" t="s">
        <v>83</v>
      </c>
      <c r="BE16" s="147" t="s">
        <v>83</v>
      </c>
    </row>
    <row r="17" spans="1:57" ht="12.95" hidden="1" customHeight="1">
      <c r="A17" s="248" t="e">
        <v>#N/A</v>
      </c>
      <c r="B17" s="252" t="e">
        <v>#N/A</v>
      </c>
      <c r="C17" s="263" t="s">
        <v>962</v>
      </c>
      <c r="D17" s="239" t="s">
        <v>2542</v>
      </c>
      <c r="E17" s="58"/>
      <c r="F17" s="59" t="s">
        <v>1745</v>
      </c>
      <c r="G17" s="191" t="s">
        <v>2237</v>
      </c>
      <c r="H17" s="192" t="s">
        <v>2511</v>
      </c>
      <c r="I17" s="61"/>
      <c r="J17" s="61" t="s">
        <v>2511</v>
      </c>
      <c r="K17" s="62" t="s">
        <v>2511</v>
      </c>
      <c r="L17" s="60" t="s">
        <v>2389</v>
      </c>
      <c r="M17" s="61" t="s">
        <v>2511</v>
      </c>
      <c r="N17" s="61" t="s">
        <v>2523</v>
      </c>
      <c r="O17" s="61" t="s">
        <v>2511</v>
      </c>
      <c r="P17" s="62" t="s">
        <v>2511</v>
      </c>
      <c r="Q17" s="58" t="s">
        <v>552</v>
      </c>
      <c r="R17" s="58" t="s">
        <v>552</v>
      </c>
      <c r="S17" s="58" t="s">
        <v>112</v>
      </c>
      <c r="T17" s="58" t="s">
        <v>113</v>
      </c>
      <c r="U17" s="63" t="s">
        <v>552</v>
      </c>
      <c r="V17" s="138" t="s">
        <v>2543</v>
      </c>
      <c r="W17" s="57" t="s">
        <v>2513</v>
      </c>
      <c r="X17" s="126" t="s">
        <v>2511</v>
      </c>
      <c r="Y17" s="126" t="s">
        <v>2511</v>
      </c>
      <c r="Z17" s="57" t="s">
        <v>2514</v>
      </c>
      <c r="AA17" s="138" t="s">
        <v>2529</v>
      </c>
      <c r="AB17" s="57" t="s">
        <v>2393</v>
      </c>
      <c r="AC17" s="57" t="s">
        <v>2516</v>
      </c>
      <c r="AD17" s="65" t="str">
        <f t="shared" si="0"/>
        <v>GPIO_PS7</v>
      </c>
      <c r="AE17" s="70"/>
      <c r="AF17" s="67" t="str">
        <f t="shared" si="1"/>
        <v>PULL_UP</v>
      </c>
      <c r="AG17" s="67" t="str">
        <f t="shared" si="4"/>
        <v>TRISTATE</v>
      </c>
      <c r="AH17" s="67" t="str">
        <f>IF(OR($AQ17=$F17,$AR17="Output"),"DISABLE","ENABLE")</f>
        <v>ENABLE</v>
      </c>
      <c r="AI17" s="71" t="str">
        <f t="shared" si="2"/>
        <v/>
      </c>
      <c r="AJ17" s="189" t="b">
        <v>1</v>
      </c>
      <c r="AK17" s="189" t="b">
        <v>1</v>
      </c>
      <c r="AL17" s="189" t="b">
        <v>1</v>
      </c>
      <c r="AM17" s="189" t="b">
        <v>1</v>
      </c>
      <c r="AN17" s="189" t="b">
        <v>1</v>
      </c>
      <c r="AO17" s="189" t="b">
        <v>1</v>
      </c>
      <c r="AP17" s="69" t="str">
        <f t="shared" si="3"/>
        <v>VALID</v>
      </c>
      <c r="AQ17" s="166" t="s">
        <v>2237</v>
      </c>
      <c r="AR17" s="194" t="s">
        <v>862</v>
      </c>
      <c r="AS17" s="193" t="s">
        <v>873</v>
      </c>
      <c r="AT17" s="72"/>
      <c r="AU17" s="72"/>
      <c r="AV17" s="72"/>
      <c r="AW17" s="72"/>
      <c r="AX17" s="193" t="s">
        <v>136</v>
      </c>
      <c r="AY17" s="72"/>
      <c r="AZ17" s="193"/>
      <c r="BA17" s="193"/>
      <c r="BB17" s="8"/>
      <c r="BC17" s="140"/>
      <c r="BD17" s="11" t="s">
        <v>5553</v>
      </c>
      <c r="BE17" s="236" t="s">
        <v>2238</v>
      </c>
    </row>
    <row r="18" spans="1:57" ht="12.95" hidden="1" customHeight="1">
      <c r="A18" s="248" t="e">
        <v>#N/A</v>
      </c>
      <c r="B18" s="252" t="e">
        <v>#N/A</v>
      </c>
      <c r="C18" s="263" t="s">
        <v>963</v>
      </c>
      <c r="D18" s="239" t="s">
        <v>2545</v>
      </c>
      <c r="E18" s="58"/>
      <c r="F18" s="59" t="s">
        <v>1746</v>
      </c>
      <c r="G18" s="191" t="s">
        <v>2382</v>
      </c>
      <c r="H18" s="192" t="s">
        <v>2511</v>
      </c>
      <c r="I18" s="61"/>
      <c r="J18" s="61" t="s">
        <v>2511</v>
      </c>
      <c r="K18" s="62" t="s">
        <v>2511</v>
      </c>
      <c r="L18" s="60" t="s">
        <v>2389</v>
      </c>
      <c r="M18" s="61" t="s">
        <v>2511</v>
      </c>
      <c r="N18" s="61" t="s">
        <v>2388</v>
      </c>
      <c r="O18" s="61" t="s">
        <v>2511</v>
      </c>
      <c r="P18" s="62" t="s">
        <v>2511</v>
      </c>
      <c r="Q18" s="58" t="s">
        <v>552</v>
      </c>
      <c r="R18" s="58" t="s">
        <v>552</v>
      </c>
      <c r="S18" s="58" t="s">
        <v>112</v>
      </c>
      <c r="T18" s="58" t="s">
        <v>113</v>
      </c>
      <c r="U18" s="63" t="s">
        <v>552</v>
      </c>
      <c r="V18" s="138" t="s">
        <v>2546</v>
      </c>
      <c r="W18" s="57" t="s">
        <v>2513</v>
      </c>
      <c r="X18" s="126" t="s">
        <v>2547</v>
      </c>
      <c r="Y18" s="126" t="s">
        <v>2511</v>
      </c>
      <c r="Z18" s="57" t="s">
        <v>2514</v>
      </c>
      <c r="AA18" s="57" t="s">
        <v>2538</v>
      </c>
      <c r="AB18" s="57" t="s">
        <v>2393</v>
      </c>
      <c r="AC18" s="57" t="s">
        <v>2548</v>
      </c>
      <c r="AD18" s="65" t="str">
        <f t="shared" si="0"/>
        <v>RSVD0</v>
      </c>
      <c r="AE18" s="70"/>
      <c r="AF18" s="67" t="str">
        <f t="shared" si="1"/>
        <v>PULL_DOWN</v>
      </c>
      <c r="AG18" s="67" t="str">
        <f t="shared" si="4"/>
        <v>TRISTATE</v>
      </c>
      <c r="AH18" s="67" t="str">
        <f>IF(OR($AQ18=$F18,$AR18="Output"),"DISABLE","ENABLE")</f>
        <v>DISABLE</v>
      </c>
      <c r="AI18" s="71" t="str">
        <f t="shared" si="2"/>
        <v>N/A</v>
      </c>
      <c r="AJ18" s="189" t="b">
        <v>1</v>
      </c>
      <c r="AK18" s="189" t="b">
        <v>1</v>
      </c>
      <c r="AL18" s="189" t="b">
        <v>1</v>
      </c>
      <c r="AM18" s="189" t="b">
        <v>1</v>
      </c>
      <c r="AN18" s="189" t="b">
        <v>1</v>
      </c>
      <c r="AO18" s="189" t="b">
        <v>1</v>
      </c>
      <c r="AP18" s="69" t="str">
        <f t="shared" si="3"/>
        <v>VALID</v>
      </c>
      <c r="AQ18" s="166" t="s">
        <v>1746</v>
      </c>
      <c r="AR18" s="194" t="s">
        <v>79</v>
      </c>
      <c r="AS18" s="193"/>
      <c r="AT18" s="193" t="s">
        <v>117</v>
      </c>
      <c r="AU18" s="72"/>
      <c r="AV18" s="72"/>
      <c r="AW18" s="72"/>
      <c r="AX18" s="193" t="s">
        <v>136</v>
      </c>
      <c r="AY18" s="72"/>
      <c r="AZ18" s="193"/>
      <c r="BA18" s="193"/>
      <c r="BB18" s="8"/>
      <c r="BC18" s="140"/>
      <c r="BD18" s="147" t="s">
        <v>83</v>
      </c>
      <c r="BE18" s="147" t="s">
        <v>83</v>
      </c>
    </row>
    <row r="19" spans="1:57" ht="12.95" customHeight="1">
      <c r="A19" s="250" t="s">
        <v>907</v>
      </c>
      <c r="B19" s="253">
        <v>226</v>
      </c>
      <c r="C19" s="285" t="s">
        <v>964</v>
      </c>
      <c r="D19" s="239" t="s">
        <v>2549</v>
      </c>
      <c r="E19" s="58"/>
      <c r="F19" s="59" t="s">
        <v>1747</v>
      </c>
      <c r="G19" s="191" t="s">
        <v>2550</v>
      </c>
      <c r="H19" s="192" t="s">
        <v>865</v>
      </c>
      <c r="I19" s="61" t="s">
        <v>2428</v>
      </c>
      <c r="J19" s="61" t="s">
        <v>2511</v>
      </c>
      <c r="K19" s="62" t="s">
        <v>2511</v>
      </c>
      <c r="L19" s="60" t="s">
        <v>2389</v>
      </c>
      <c r="M19" s="61" t="s">
        <v>2389</v>
      </c>
      <c r="N19" s="61" t="s">
        <v>2523</v>
      </c>
      <c r="O19" s="61" t="s">
        <v>2511</v>
      </c>
      <c r="P19" s="62" t="s">
        <v>2511</v>
      </c>
      <c r="Q19" s="58" t="s">
        <v>176</v>
      </c>
      <c r="R19" s="58" t="s">
        <v>542</v>
      </c>
      <c r="S19" s="58" t="s">
        <v>112</v>
      </c>
      <c r="T19" s="58" t="s">
        <v>113</v>
      </c>
      <c r="U19" s="63" t="s">
        <v>112</v>
      </c>
      <c r="V19" s="138" t="s">
        <v>2551</v>
      </c>
      <c r="W19" s="57" t="s">
        <v>2513</v>
      </c>
      <c r="X19" s="126" t="s">
        <v>2511</v>
      </c>
      <c r="Y19" s="126" t="s">
        <v>2511</v>
      </c>
      <c r="Z19" s="57" t="s">
        <v>2514</v>
      </c>
      <c r="AA19" s="57" t="s">
        <v>2515</v>
      </c>
      <c r="AB19" s="57" t="s">
        <v>2393</v>
      </c>
      <c r="AC19" s="57" t="s">
        <v>2516</v>
      </c>
      <c r="AD19" s="65" t="str">
        <f t="shared" si="0"/>
        <v>I2S3</v>
      </c>
      <c r="AE19" s="70"/>
      <c r="AF19" s="67" t="str">
        <f t="shared" si="1"/>
        <v>NORMAL</v>
      </c>
      <c r="AG19" s="67" t="str">
        <f>IF($AV19="slave", "TRISTATE", IF($AR19="Input", "TRISTATE", IF($AS19="Z","TRISTATE",IF($AQ19=$F19,"TRISTATE","NORMAL"))))</f>
        <v>NORMAL</v>
      </c>
      <c r="AH19" s="67" t="str">
        <f>IF(OR((AND($AQ19=$G19,$AR19="INPUT")),(AND($AQ19=$H19,$AV19="Slave")),$AR19="Bidirectional"),"ENABLE","DISABLE")</f>
        <v>ENABLE</v>
      </c>
      <c r="AI19" s="71" t="str">
        <f t="shared" si="2"/>
        <v>N/A</v>
      </c>
      <c r="AJ19" s="189" t="b">
        <v>1</v>
      </c>
      <c r="AK19" s="189" t="b">
        <v>1</v>
      </c>
      <c r="AL19" s="189" t="b">
        <v>1</v>
      </c>
      <c r="AM19" s="189" t="b">
        <v>1</v>
      </c>
      <c r="AN19" s="189" t="b">
        <v>1</v>
      </c>
      <c r="AO19" s="189" t="b">
        <v>1</v>
      </c>
      <c r="AP19" s="69" t="str">
        <f t="shared" si="3"/>
        <v>VALID</v>
      </c>
      <c r="AQ19" s="166" t="s">
        <v>865</v>
      </c>
      <c r="AR19" s="194" t="s">
        <v>860</v>
      </c>
      <c r="AS19" s="193"/>
      <c r="AT19" s="72"/>
      <c r="AU19" s="72"/>
      <c r="AV19" s="193" t="s">
        <v>2222</v>
      </c>
      <c r="AW19" s="72"/>
      <c r="AX19" s="193" t="s">
        <v>136</v>
      </c>
      <c r="AY19" s="72"/>
      <c r="AZ19" s="193"/>
      <c r="BA19" s="193"/>
      <c r="BB19" s="8"/>
      <c r="BC19" s="140"/>
      <c r="BD19" s="11" t="s">
        <v>865</v>
      </c>
      <c r="BE19" s="333" t="s">
        <v>5523</v>
      </c>
    </row>
    <row r="20" spans="1:57" ht="12.95" customHeight="1">
      <c r="A20" s="250" t="s">
        <v>5421</v>
      </c>
      <c r="B20" s="253">
        <v>220</v>
      </c>
      <c r="C20" s="285" t="s">
        <v>965</v>
      </c>
      <c r="D20" s="239" t="s">
        <v>2552</v>
      </c>
      <c r="E20" s="58"/>
      <c r="F20" s="59" t="s">
        <v>1748</v>
      </c>
      <c r="G20" s="191" t="s">
        <v>2553</v>
      </c>
      <c r="H20" s="192" t="s">
        <v>866</v>
      </c>
      <c r="I20" s="61" t="s">
        <v>2429</v>
      </c>
      <c r="J20" s="61" t="s">
        <v>2511</v>
      </c>
      <c r="K20" s="62" t="s">
        <v>2511</v>
      </c>
      <c r="L20" s="60" t="s">
        <v>2389</v>
      </c>
      <c r="M20" s="61" t="s">
        <v>2519</v>
      </c>
      <c r="N20" s="61" t="s">
        <v>2388</v>
      </c>
      <c r="O20" s="61" t="s">
        <v>2511</v>
      </c>
      <c r="P20" s="62" t="s">
        <v>2511</v>
      </c>
      <c r="Q20" s="58" t="s">
        <v>176</v>
      </c>
      <c r="R20" s="58" t="s">
        <v>542</v>
      </c>
      <c r="S20" s="58" t="s">
        <v>112</v>
      </c>
      <c r="T20" s="58" t="s">
        <v>113</v>
      </c>
      <c r="U20" s="63" t="s">
        <v>112</v>
      </c>
      <c r="V20" s="138" t="s">
        <v>2554</v>
      </c>
      <c r="W20" s="57" t="s">
        <v>2513</v>
      </c>
      <c r="X20" s="126" t="s">
        <v>2511</v>
      </c>
      <c r="Y20" s="126" t="s">
        <v>2511</v>
      </c>
      <c r="Z20" s="57" t="s">
        <v>2514</v>
      </c>
      <c r="AA20" s="57" t="s">
        <v>2515</v>
      </c>
      <c r="AB20" s="57" t="s">
        <v>2393</v>
      </c>
      <c r="AC20" s="57" t="s">
        <v>2516</v>
      </c>
      <c r="AD20" s="65" t="str">
        <f t="shared" si="0"/>
        <v>I2S3</v>
      </c>
      <c r="AE20" s="70"/>
      <c r="AF20" s="67" t="str">
        <f t="shared" si="1"/>
        <v>NORMAL</v>
      </c>
      <c r="AG20" s="67" t="str">
        <f t="shared" si="4"/>
        <v>NORMAL</v>
      </c>
      <c r="AH20" s="67" t="str">
        <f>IF(OR($AQ20=$F20,$AR20="Output"),"DISABLE","ENABLE")</f>
        <v>DISABLE</v>
      </c>
      <c r="AI20" s="71" t="str">
        <f t="shared" si="2"/>
        <v>N/A</v>
      </c>
      <c r="AJ20" s="189" t="b">
        <v>1</v>
      </c>
      <c r="AK20" s="189" t="b">
        <v>1</v>
      </c>
      <c r="AL20" s="189" t="b">
        <v>1</v>
      </c>
      <c r="AM20" s="189" t="b">
        <v>1</v>
      </c>
      <c r="AN20" s="189" t="b">
        <v>1</v>
      </c>
      <c r="AO20" s="189" t="b">
        <v>1</v>
      </c>
      <c r="AP20" s="69" t="str">
        <f t="shared" si="3"/>
        <v>VALID</v>
      </c>
      <c r="AQ20" s="166" t="s">
        <v>866</v>
      </c>
      <c r="AR20" s="194" t="s">
        <v>861</v>
      </c>
      <c r="AS20" s="193"/>
      <c r="AT20" s="72"/>
      <c r="AU20" s="72"/>
      <c r="AV20" s="193" t="s">
        <v>2222</v>
      </c>
      <c r="AW20" s="72"/>
      <c r="AX20" s="193" t="s">
        <v>136</v>
      </c>
      <c r="AY20" s="72"/>
      <c r="AZ20" s="193"/>
      <c r="BA20" s="193"/>
      <c r="BB20" s="8"/>
      <c r="BC20" s="140"/>
      <c r="BD20" s="11" t="s">
        <v>5554</v>
      </c>
      <c r="BE20" s="334"/>
    </row>
    <row r="21" spans="1:57" ht="12.95" customHeight="1">
      <c r="A21" s="250" t="s">
        <v>5422</v>
      </c>
      <c r="B21" s="251">
        <v>222</v>
      </c>
      <c r="C21" s="239" t="s">
        <v>966</v>
      </c>
      <c r="D21" s="239" t="s">
        <v>2556</v>
      </c>
      <c r="E21" s="58"/>
      <c r="F21" s="59" t="s">
        <v>1749</v>
      </c>
      <c r="G21" s="191" t="s">
        <v>2471</v>
      </c>
      <c r="H21" s="192" t="s">
        <v>2391</v>
      </c>
      <c r="I21" s="61" t="s">
        <v>2430</v>
      </c>
      <c r="J21" s="61" t="s">
        <v>2511</v>
      </c>
      <c r="K21" s="62" t="s">
        <v>2511</v>
      </c>
      <c r="L21" s="60" t="s">
        <v>2389</v>
      </c>
      <c r="M21" s="61" t="s">
        <v>2523</v>
      </c>
      <c r="N21" s="61" t="s">
        <v>2523</v>
      </c>
      <c r="O21" s="61" t="s">
        <v>2511</v>
      </c>
      <c r="P21" s="62" t="s">
        <v>2511</v>
      </c>
      <c r="Q21" s="58" t="s">
        <v>176</v>
      </c>
      <c r="R21" s="58" t="s">
        <v>543</v>
      </c>
      <c r="S21" s="58" t="s">
        <v>112</v>
      </c>
      <c r="T21" s="58" t="s">
        <v>113</v>
      </c>
      <c r="U21" s="63" t="s">
        <v>112</v>
      </c>
      <c r="V21" s="138" t="s">
        <v>2557</v>
      </c>
      <c r="W21" s="57" t="s">
        <v>2513</v>
      </c>
      <c r="X21" s="126" t="s">
        <v>2511</v>
      </c>
      <c r="Y21" s="126" t="s">
        <v>2511</v>
      </c>
      <c r="Z21" s="57" t="s">
        <v>2514</v>
      </c>
      <c r="AA21" s="57" t="s">
        <v>2515</v>
      </c>
      <c r="AB21" s="57" t="s">
        <v>2393</v>
      </c>
      <c r="AC21" s="57" t="s">
        <v>2516</v>
      </c>
      <c r="AD21" s="65" t="str">
        <f t="shared" si="0"/>
        <v>I2S3</v>
      </c>
      <c r="AE21" s="70"/>
      <c r="AF21" s="67" t="str">
        <f t="shared" si="1"/>
        <v>NORMAL</v>
      </c>
      <c r="AG21" s="67" t="str">
        <f t="shared" si="4"/>
        <v>TRISTATE</v>
      </c>
      <c r="AH21" s="67" t="str">
        <f>IF(OR($AQ21=$F21,$AR21="Output"),"DISABLE","ENABLE")</f>
        <v>ENABLE</v>
      </c>
      <c r="AI21" s="71" t="str">
        <f t="shared" si="2"/>
        <v>N/A</v>
      </c>
      <c r="AJ21" s="189" t="b">
        <v>1</v>
      </c>
      <c r="AK21" s="189" t="b">
        <v>1</v>
      </c>
      <c r="AL21" s="189" t="b">
        <v>1</v>
      </c>
      <c r="AM21" s="189" t="b">
        <v>1</v>
      </c>
      <c r="AN21" s="189" t="b">
        <v>1</v>
      </c>
      <c r="AO21" s="189" t="b">
        <v>1</v>
      </c>
      <c r="AP21" s="69" t="str">
        <f t="shared" si="3"/>
        <v>VALID</v>
      </c>
      <c r="AQ21" s="166" t="s">
        <v>2391</v>
      </c>
      <c r="AR21" s="194" t="s">
        <v>862</v>
      </c>
      <c r="AS21" s="193"/>
      <c r="AT21" s="72"/>
      <c r="AU21" s="72"/>
      <c r="AV21" s="193" t="s">
        <v>2222</v>
      </c>
      <c r="AW21" s="72"/>
      <c r="AX21" s="193" t="s">
        <v>136</v>
      </c>
      <c r="AY21" s="72"/>
      <c r="AZ21" s="193"/>
      <c r="BA21" s="193"/>
      <c r="BB21" s="8"/>
      <c r="BC21" s="140"/>
      <c r="BD21" s="11" t="s">
        <v>5555</v>
      </c>
      <c r="BE21" s="334"/>
    </row>
    <row r="22" spans="1:57" ht="12.95" customHeight="1">
      <c r="A22" s="250" t="s">
        <v>2466</v>
      </c>
      <c r="B22" s="251">
        <v>224</v>
      </c>
      <c r="C22" s="239" t="s">
        <v>967</v>
      </c>
      <c r="D22" s="239" t="s">
        <v>2559</v>
      </c>
      <c r="E22" s="58"/>
      <c r="F22" s="59" t="s">
        <v>1750</v>
      </c>
      <c r="G22" s="191" t="s">
        <v>2472</v>
      </c>
      <c r="H22" s="192" t="s">
        <v>864</v>
      </c>
      <c r="I22" s="61" t="s">
        <v>2431</v>
      </c>
      <c r="J22" s="61" t="s">
        <v>2511</v>
      </c>
      <c r="K22" s="62" t="s">
        <v>2511</v>
      </c>
      <c r="L22" s="60" t="s">
        <v>2389</v>
      </c>
      <c r="M22" s="61" t="s">
        <v>2389</v>
      </c>
      <c r="N22" s="61" t="s">
        <v>2388</v>
      </c>
      <c r="O22" s="61" t="s">
        <v>2511</v>
      </c>
      <c r="P22" s="62" t="s">
        <v>2511</v>
      </c>
      <c r="Q22" s="58" t="s">
        <v>176</v>
      </c>
      <c r="R22" s="58" t="s">
        <v>543</v>
      </c>
      <c r="S22" s="58" t="s">
        <v>112</v>
      </c>
      <c r="T22" s="58" t="s">
        <v>113</v>
      </c>
      <c r="U22" s="63" t="s">
        <v>112</v>
      </c>
      <c r="V22" s="138" t="s">
        <v>2560</v>
      </c>
      <c r="W22" s="57" t="s">
        <v>2513</v>
      </c>
      <c r="X22" s="126" t="s">
        <v>2511</v>
      </c>
      <c r="Y22" s="126" t="s">
        <v>2511</v>
      </c>
      <c r="Z22" s="57" t="s">
        <v>2514</v>
      </c>
      <c r="AA22" s="57" t="s">
        <v>2515</v>
      </c>
      <c r="AB22" s="57" t="s">
        <v>2393</v>
      </c>
      <c r="AC22" s="57" t="s">
        <v>2516</v>
      </c>
      <c r="AD22" s="65" t="str">
        <f t="shared" si="0"/>
        <v>I2S3</v>
      </c>
      <c r="AE22" s="70"/>
      <c r="AF22" s="67" t="str">
        <f t="shared" si="1"/>
        <v>NORMAL</v>
      </c>
      <c r="AG22" s="67" t="str">
        <f>IF($AV22="slave", "TRISTATE", IF($AR22="Input", "TRISTATE", IF($AS22="Z","TRISTATE",IF($AQ22=$F22,"TRISTATE","NORMAL"))))</f>
        <v>NORMAL</v>
      </c>
      <c r="AH22" s="67" t="str">
        <f>IF(OR((AND($AQ22=$G22,$AR22="INPUT")),(AND($AQ22=$H22,$AV22="Slave")),$AR22="Bidirectional"),"ENABLE","DISABLE")</f>
        <v>ENABLE</v>
      </c>
      <c r="AI22" s="71" t="str">
        <f t="shared" si="2"/>
        <v>N/A</v>
      </c>
      <c r="AJ22" s="189" t="b">
        <v>1</v>
      </c>
      <c r="AK22" s="189" t="b">
        <v>1</v>
      </c>
      <c r="AL22" s="189" t="b">
        <v>1</v>
      </c>
      <c r="AM22" s="189" t="b">
        <v>1</v>
      </c>
      <c r="AN22" s="189" t="b">
        <v>1</v>
      </c>
      <c r="AO22" s="189" t="b">
        <v>1</v>
      </c>
      <c r="AP22" s="69" t="str">
        <f t="shared" si="3"/>
        <v>VALID</v>
      </c>
      <c r="AQ22" s="166" t="s">
        <v>864</v>
      </c>
      <c r="AR22" s="194" t="s">
        <v>860</v>
      </c>
      <c r="AS22" s="193"/>
      <c r="AT22" s="72"/>
      <c r="AU22" s="72"/>
      <c r="AV22" s="193" t="s">
        <v>2222</v>
      </c>
      <c r="AW22" s="72"/>
      <c r="AX22" s="193" t="s">
        <v>136</v>
      </c>
      <c r="AY22" s="72"/>
      <c r="AZ22" s="193"/>
      <c r="BA22" s="193"/>
      <c r="BB22" s="8"/>
      <c r="BC22" s="140"/>
      <c r="BD22" s="11" t="s">
        <v>2467</v>
      </c>
      <c r="BE22" s="335"/>
    </row>
    <row r="23" spans="1:57" ht="12.95" customHeight="1">
      <c r="A23" s="320" t="s">
        <v>5417</v>
      </c>
      <c r="B23" s="251">
        <v>199</v>
      </c>
      <c r="C23" s="239" t="s">
        <v>968</v>
      </c>
      <c r="D23" s="239" t="s">
        <v>2562</v>
      </c>
      <c r="E23" s="58"/>
      <c r="F23" s="59" t="s">
        <v>1751</v>
      </c>
      <c r="G23" s="191" t="s">
        <v>2235</v>
      </c>
      <c r="H23" s="192" t="s">
        <v>2432</v>
      </c>
      <c r="I23" s="61" t="s">
        <v>2563</v>
      </c>
      <c r="J23" s="61" t="s">
        <v>2511</v>
      </c>
      <c r="K23" s="62" t="s">
        <v>2511</v>
      </c>
      <c r="L23" s="60" t="s">
        <v>2389</v>
      </c>
      <c r="M23" s="61" t="s">
        <v>2389</v>
      </c>
      <c r="N23" s="61" t="s">
        <v>2388</v>
      </c>
      <c r="O23" s="61" t="s">
        <v>2511</v>
      </c>
      <c r="P23" s="62" t="s">
        <v>2511</v>
      </c>
      <c r="Q23" s="58" t="s">
        <v>845</v>
      </c>
      <c r="R23" s="58" t="s">
        <v>833</v>
      </c>
      <c r="S23" s="58" t="s">
        <v>112</v>
      </c>
      <c r="T23" s="58" t="s">
        <v>113</v>
      </c>
      <c r="U23" s="63" t="s">
        <v>112</v>
      </c>
      <c r="V23" s="205" t="s">
        <v>2564</v>
      </c>
      <c r="W23" s="57" t="s">
        <v>2513</v>
      </c>
      <c r="X23" s="126" t="s">
        <v>2511</v>
      </c>
      <c r="Y23" s="126" t="s">
        <v>2511</v>
      </c>
      <c r="Z23" s="57" t="s">
        <v>2514</v>
      </c>
      <c r="AA23" s="57" t="s">
        <v>2529</v>
      </c>
      <c r="AB23" s="57" t="s">
        <v>2393</v>
      </c>
      <c r="AC23" s="57" t="s">
        <v>2516</v>
      </c>
      <c r="AD23" s="65" t="str">
        <f t="shared" si="0"/>
        <v>GPIO_PT5</v>
      </c>
      <c r="AE23" s="70"/>
      <c r="AF23" s="67" t="str">
        <f t="shared" si="1"/>
        <v>PULL_DOWN</v>
      </c>
      <c r="AG23" s="67" t="str">
        <f>IF($AV23="slave", "TRISTATE", IF($AR23="Input", "TRISTATE", IF($AS23="Z","TRISTATE",IF($AQ23=$F23,"TRISTATE","NORMAL"))))</f>
        <v>TRISTATE</v>
      </c>
      <c r="AH23" s="67" t="str">
        <f>IF(OR((AND($AQ23=$G23,$AR23="INPUT")),(AND($AQ23=$H23,$AV23="Slave")),$AR23="Bidirectional"),"ENABLE","DISABLE")</f>
        <v>ENABLE</v>
      </c>
      <c r="AI23" s="71" t="str">
        <f t="shared" si="2"/>
        <v/>
      </c>
      <c r="AJ23" s="189" t="b">
        <v>1</v>
      </c>
      <c r="AK23" s="189" t="b">
        <v>1</v>
      </c>
      <c r="AL23" s="189" t="b">
        <v>1</v>
      </c>
      <c r="AM23" s="189" t="b">
        <v>1</v>
      </c>
      <c r="AN23" s="189" t="b">
        <v>1</v>
      </c>
      <c r="AO23" s="189" t="b">
        <v>1</v>
      </c>
      <c r="AP23" s="69" t="str">
        <f t="shared" si="3"/>
        <v>VALID</v>
      </c>
      <c r="AQ23" s="166" t="s">
        <v>2235</v>
      </c>
      <c r="AR23" s="194" t="s">
        <v>862</v>
      </c>
      <c r="AS23" s="193" t="s">
        <v>875</v>
      </c>
      <c r="AT23" s="72"/>
      <c r="AU23" s="72"/>
      <c r="AV23" s="193" t="s">
        <v>900</v>
      </c>
      <c r="AW23" s="72"/>
      <c r="AX23" s="193" t="s">
        <v>136</v>
      </c>
      <c r="AY23" s="72"/>
      <c r="AZ23" s="193"/>
      <c r="BA23" s="193"/>
      <c r="BB23" s="8"/>
      <c r="BC23" s="140"/>
      <c r="BD23" s="11" t="s">
        <v>5556</v>
      </c>
      <c r="BE23" s="336" t="s">
        <v>5524</v>
      </c>
    </row>
    <row r="24" spans="1:57" ht="12.95" customHeight="1">
      <c r="A24" s="320" t="s">
        <v>5419</v>
      </c>
      <c r="B24" s="251">
        <v>193</v>
      </c>
      <c r="C24" s="239" t="s">
        <v>969</v>
      </c>
      <c r="D24" s="239" t="s">
        <v>2566</v>
      </c>
      <c r="E24" s="58"/>
      <c r="F24" s="59" t="s">
        <v>1752</v>
      </c>
      <c r="G24" s="191" t="s">
        <v>2236</v>
      </c>
      <c r="H24" s="192" t="s">
        <v>2464</v>
      </c>
      <c r="I24" s="61" t="s">
        <v>2567</v>
      </c>
      <c r="J24" s="61" t="s">
        <v>2511</v>
      </c>
      <c r="K24" s="62" t="s">
        <v>2511</v>
      </c>
      <c r="L24" s="60" t="s">
        <v>2389</v>
      </c>
      <c r="M24" s="61" t="s">
        <v>2519</v>
      </c>
      <c r="N24" s="61" t="s">
        <v>2388</v>
      </c>
      <c r="O24" s="61" t="s">
        <v>2511</v>
      </c>
      <c r="P24" s="62" t="s">
        <v>2511</v>
      </c>
      <c r="Q24" s="58" t="s">
        <v>845</v>
      </c>
      <c r="R24" s="58" t="s">
        <v>833</v>
      </c>
      <c r="S24" s="58" t="s">
        <v>112</v>
      </c>
      <c r="T24" s="58" t="s">
        <v>113</v>
      </c>
      <c r="U24" s="63" t="s">
        <v>112</v>
      </c>
      <c r="V24" s="138" t="s">
        <v>2568</v>
      </c>
      <c r="W24" s="57" t="s">
        <v>2513</v>
      </c>
      <c r="X24" s="126" t="s">
        <v>2511</v>
      </c>
      <c r="Y24" s="126" t="s">
        <v>2511</v>
      </c>
      <c r="Z24" s="57" t="s">
        <v>2514</v>
      </c>
      <c r="AA24" s="57" t="s">
        <v>2529</v>
      </c>
      <c r="AB24" s="57" t="s">
        <v>2393</v>
      </c>
      <c r="AC24" s="57" t="s">
        <v>2516</v>
      </c>
      <c r="AD24" s="65" t="str">
        <f t="shared" si="0"/>
        <v>GPIO_PT6</v>
      </c>
      <c r="AE24" s="70"/>
      <c r="AF24" s="67" t="str">
        <f t="shared" si="1"/>
        <v>PULL_DOWN</v>
      </c>
      <c r="AG24" s="67" t="str">
        <f t="shared" si="4"/>
        <v>TRISTATE</v>
      </c>
      <c r="AH24" s="67" t="str">
        <f>IF(OR($AQ24=$F24,$AR24="Output"),"DISABLE","ENABLE")</f>
        <v>ENABLE</v>
      </c>
      <c r="AI24" s="71" t="str">
        <f t="shared" si="2"/>
        <v/>
      </c>
      <c r="AJ24" s="189" t="b">
        <v>1</v>
      </c>
      <c r="AK24" s="189" t="b">
        <v>1</v>
      </c>
      <c r="AL24" s="189" t="b">
        <v>1</v>
      </c>
      <c r="AM24" s="189" t="b">
        <v>1</v>
      </c>
      <c r="AN24" s="189" t="b">
        <v>1</v>
      </c>
      <c r="AO24" s="189" t="b">
        <v>1</v>
      </c>
      <c r="AP24" s="69" t="str">
        <f t="shared" si="3"/>
        <v>VALID</v>
      </c>
      <c r="AQ24" s="166" t="s">
        <v>2236</v>
      </c>
      <c r="AR24" s="194" t="s">
        <v>862</v>
      </c>
      <c r="AS24" s="193" t="s">
        <v>875</v>
      </c>
      <c r="AT24" s="72"/>
      <c r="AU24" s="72"/>
      <c r="AV24" s="193" t="s">
        <v>900</v>
      </c>
      <c r="AW24" s="72"/>
      <c r="AX24" s="193" t="s">
        <v>136</v>
      </c>
      <c r="AY24" s="72"/>
      <c r="AZ24" s="193"/>
      <c r="BA24" s="193"/>
      <c r="BB24" s="8"/>
      <c r="BC24" s="140"/>
      <c r="BD24" s="11" t="s">
        <v>5557</v>
      </c>
      <c r="BE24" s="337"/>
    </row>
    <row r="25" spans="1:57" ht="12.95" customHeight="1">
      <c r="A25" s="320" t="s">
        <v>5420</v>
      </c>
      <c r="B25" s="253">
        <v>195</v>
      </c>
      <c r="C25" s="285" t="s">
        <v>970</v>
      </c>
      <c r="D25" s="239" t="s">
        <v>2569</v>
      </c>
      <c r="E25" s="58"/>
      <c r="F25" s="59" t="s">
        <v>1753</v>
      </c>
      <c r="G25" s="191" t="s">
        <v>2384</v>
      </c>
      <c r="H25" s="192" t="s">
        <v>2433</v>
      </c>
      <c r="I25" s="61" t="s">
        <v>2570</v>
      </c>
      <c r="J25" s="61" t="s">
        <v>2571</v>
      </c>
      <c r="K25" s="62" t="s">
        <v>2511</v>
      </c>
      <c r="L25" s="60" t="s">
        <v>2389</v>
      </c>
      <c r="M25" s="61" t="s">
        <v>2523</v>
      </c>
      <c r="N25" s="61" t="s">
        <v>2523</v>
      </c>
      <c r="O25" s="61" t="s">
        <v>2388</v>
      </c>
      <c r="P25" s="62" t="s">
        <v>2511</v>
      </c>
      <c r="Q25" s="58" t="s">
        <v>845</v>
      </c>
      <c r="R25" s="58" t="s">
        <v>832</v>
      </c>
      <c r="S25" s="58" t="s">
        <v>831</v>
      </c>
      <c r="T25" s="58" t="s">
        <v>113</v>
      </c>
      <c r="U25" s="63" t="s">
        <v>113</v>
      </c>
      <c r="V25" s="138" t="s">
        <v>2572</v>
      </c>
      <c r="W25" s="57" t="s">
        <v>2513</v>
      </c>
      <c r="X25" s="126" t="s">
        <v>2511</v>
      </c>
      <c r="Y25" s="126" t="s">
        <v>2511</v>
      </c>
      <c r="Z25" s="57" t="s">
        <v>2514</v>
      </c>
      <c r="AA25" s="57" t="s">
        <v>2529</v>
      </c>
      <c r="AB25" s="57" t="s">
        <v>2393</v>
      </c>
      <c r="AC25" s="57" t="s">
        <v>2516</v>
      </c>
      <c r="AD25" s="65" t="str">
        <f t="shared" si="0"/>
        <v>GPIO_PT7</v>
      </c>
      <c r="AE25" s="70"/>
      <c r="AF25" s="67" t="str">
        <f t="shared" si="1"/>
        <v>PULL_DOWN</v>
      </c>
      <c r="AG25" s="67" t="str">
        <f t="shared" si="4"/>
        <v>TRISTATE</v>
      </c>
      <c r="AH25" s="67" t="str">
        <f>IF(OR($AQ25=$F25,$AR25="Output"),"DISABLE","ENABLE")</f>
        <v>ENABLE</v>
      </c>
      <c r="AI25" s="71" t="str">
        <f t="shared" si="2"/>
        <v/>
      </c>
      <c r="AJ25" s="189" t="b">
        <v>1</v>
      </c>
      <c r="AK25" s="189" t="b">
        <v>1</v>
      </c>
      <c r="AL25" s="189" t="b">
        <v>1</v>
      </c>
      <c r="AM25" s="189" t="b">
        <v>1</v>
      </c>
      <c r="AN25" s="189" t="b">
        <v>1</v>
      </c>
      <c r="AO25" s="189" t="b">
        <v>1</v>
      </c>
      <c r="AP25" s="69" t="str">
        <f t="shared" si="3"/>
        <v>VALID</v>
      </c>
      <c r="AQ25" s="166" t="s">
        <v>2384</v>
      </c>
      <c r="AR25" s="194" t="s">
        <v>862</v>
      </c>
      <c r="AS25" s="193" t="s">
        <v>875</v>
      </c>
      <c r="AT25" s="72"/>
      <c r="AU25" s="72"/>
      <c r="AV25" s="193" t="s">
        <v>900</v>
      </c>
      <c r="AW25" s="72"/>
      <c r="AX25" s="193" t="s">
        <v>136</v>
      </c>
      <c r="AY25" s="72"/>
      <c r="AZ25" s="193"/>
      <c r="BA25" s="193"/>
      <c r="BB25" s="8"/>
      <c r="BC25" s="140"/>
      <c r="BD25" s="11" t="s">
        <v>5558</v>
      </c>
      <c r="BE25" s="337"/>
    </row>
    <row r="26" spans="1:57" ht="12.95" customHeight="1">
      <c r="A26" s="320" t="s">
        <v>5418</v>
      </c>
      <c r="B26" s="253">
        <v>197</v>
      </c>
      <c r="C26" s="285" t="s">
        <v>971</v>
      </c>
      <c r="D26" s="239" t="s">
        <v>2573</v>
      </c>
      <c r="E26" s="58"/>
      <c r="F26" s="59" t="s">
        <v>1754</v>
      </c>
      <c r="G26" s="191" t="s">
        <v>2385</v>
      </c>
      <c r="H26" s="192" t="s">
        <v>2465</v>
      </c>
      <c r="I26" s="61" t="s">
        <v>2574</v>
      </c>
      <c r="J26" s="61" t="s">
        <v>2575</v>
      </c>
      <c r="K26" s="62" t="s">
        <v>2511</v>
      </c>
      <c r="L26" s="60" t="s">
        <v>2389</v>
      </c>
      <c r="M26" s="61" t="s">
        <v>2389</v>
      </c>
      <c r="N26" s="61" t="s">
        <v>2388</v>
      </c>
      <c r="O26" s="61" t="s">
        <v>2388</v>
      </c>
      <c r="P26" s="62" t="s">
        <v>2511</v>
      </c>
      <c r="Q26" s="58" t="s">
        <v>845</v>
      </c>
      <c r="R26" s="58" t="s">
        <v>832</v>
      </c>
      <c r="S26" s="58" t="s">
        <v>831</v>
      </c>
      <c r="T26" s="58" t="s">
        <v>113</v>
      </c>
      <c r="U26" s="63" t="s">
        <v>113</v>
      </c>
      <c r="V26" s="138" t="s">
        <v>2576</v>
      </c>
      <c r="W26" s="57" t="s">
        <v>2513</v>
      </c>
      <c r="X26" s="126" t="s">
        <v>2511</v>
      </c>
      <c r="Y26" s="126" t="s">
        <v>2511</v>
      </c>
      <c r="Z26" s="57" t="s">
        <v>2514</v>
      </c>
      <c r="AA26" s="57" t="s">
        <v>2529</v>
      </c>
      <c r="AB26" s="57" t="s">
        <v>2393</v>
      </c>
      <c r="AC26" s="57" t="s">
        <v>2516</v>
      </c>
      <c r="AD26" s="65" t="str">
        <f t="shared" si="0"/>
        <v>GPIO_PU0</v>
      </c>
      <c r="AE26" s="70"/>
      <c r="AF26" s="67" t="str">
        <f t="shared" si="1"/>
        <v>PULL_DOWN</v>
      </c>
      <c r="AG26" s="67" t="str">
        <f>IF($AV26="slave", "TRISTATE", IF($AR26="Input", "TRISTATE", IF($AS26="Z","TRISTATE",IF($AQ26=$F26,"TRISTATE","NORMAL"))))</f>
        <v>TRISTATE</v>
      </c>
      <c r="AH26" s="67" t="str">
        <f>IF(OR((AND($AQ26=$G26,$AR26="INPUT")),(AND($AQ26=$H26,$AV26="Slave")),$AR26="Bidirectional"),"ENABLE","DISABLE")</f>
        <v>ENABLE</v>
      </c>
      <c r="AI26" s="71" t="str">
        <f t="shared" si="2"/>
        <v/>
      </c>
      <c r="AJ26" s="189" t="b">
        <v>1</v>
      </c>
      <c r="AK26" s="189" t="b">
        <v>1</v>
      </c>
      <c r="AL26" s="189" t="b">
        <v>1</v>
      </c>
      <c r="AM26" s="189" t="b">
        <v>1</v>
      </c>
      <c r="AN26" s="189" t="b">
        <v>1</v>
      </c>
      <c r="AO26" s="189" t="b">
        <v>1</v>
      </c>
      <c r="AP26" s="69" t="str">
        <f t="shared" si="3"/>
        <v>VALID</v>
      </c>
      <c r="AQ26" s="166" t="s">
        <v>2385</v>
      </c>
      <c r="AR26" s="194" t="s">
        <v>862</v>
      </c>
      <c r="AS26" s="193" t="s">
        <v>875</v>
      </c>
      <c r="AT26" s="72"/>
      <c r="AU26" s="72"/>
      <c r="AV26" s="193" t="s">
        <v>900</v>
      </c>
      <c r="AW26" s="72"/>
      <c r="AX26" s="193" t="s">
        <v>136</v>
      </c>
      <c r="AY26" s="72"/>
      <c r="AZ26" s="193"/>
      <c r="BA26" s="193"/>
      <c r="BB26" s="8"/>
      <c r="BC26" s="140"/>
      <c r="BD26" s="11" t="s">
        <v>5559</v>
      </c>
      <c r="BE26" s="338"/>
    </row>
    <row r="27" spans="1:57" s="56" customFormat="1" ht="18" hidden="1" customHeight="1">
      <c r="A27" s="368"/>
      <c r="B27" s="369"/>
      <c r="C27" s="303" t="s">
        <v>858</v>
      </c>
      <c r="D27" s="264"/>
      <c r="E27" s="51"/>
      <c r="F27" s="51"/>
      <c r="G27" s="52"/>
      <c r="H27" s="52"/>
      <c r="I27" s="52"/>
      <c r="J27" s="52"/>
      <c r="K27" s="52"/>
      <c r="L27" s="51"/>
      <c r="M27" s="51"/>
      <c r="N27" s="51"/>
      <c r="O27" s="51"/>
      <c r="P27" s="51"/>
      <c r="Q27" s="51"/>
      <c r="R27" s="51"/>
      <c r="S27" s="51"/>
      <c r="T27" s="51"/>
      <c r="U27" s="51"/>
      <c r="V27" s="51"/>
      <c r="W27" s="51"/>
      <c r="X27" s="125"/>
      <c r="Y27" s="125"/>
      <c r="Z27" s="53"/>
      <c r="AA27" s="53"/>
      <c r="AB27" s="53"/>
      <c r="AC27" s="53"/>
      <c r="AD27" s="53"/>
      <c r="AE27" s="53"/>
      <c r="AF27" s="53"/>
      <c r="AG27" s="53"/>
      <c r="AH27" s="53"/>
      <c r="AI27" s="53"/>
      <c r="AJ27" s="53" t="b">
        <v>0</v>
      </c>
      <c r="AK27" s="53"/>
      <c r="AL27" s="53"/>
      <c r="AM27" s="53"/>
      <c r="AN27" s="53"/>
      <c r="AO27" s="53"/>
      <c r="AP27" s="53"/>
      <c r="AQ27" s="54"/>
      <c r="AR27" s="54"/>
      <c r="AS27" s="55"/>
      <c r="AT27" s="55"/>
      <c r="AU27" s="55"/>
      <c r="AV27" s="55"/>
      <c r="AW27" s="55"/>
      <c r="AX27" s="55"/>
      <c r="AY27" s="55"/>
      <c r="AZ27" s="55"/>
      <c r="BA27" s="55"/>
      <c r="BB27" s="55"/>
      <c r="BC27" s="175" t="s">
        <v>829</v>
      </c>
      <c r="BD27" s="55"/>
      <c r="BE27" s="197" t="s">
        <v>858</v>
      </c>
    </row>
    <row r="28" spans="1:57" ht="12.95" hidden="1" customHeight="1">
      <c r="A28" s="248" t="e">
        <v>#N/A</v>
      </c>
      <c r="B28" s="252" t="e">
        <v>#N/A</v>
      </c>
      <c r="C28" s="263" t="s">
        <v>22</v>
      </c>
      <c r="D28" s="239" t="s">
        <v>2578</v>
      </c>
      <c r="E28" s="58"/>
      <c r="F28" s="59" t="s">
        <v>144</v>
      </c>
      <c r="G28" s="191" t="s">
        <v>2579</v>
      </c>
      <c r="H28" s="192" t="s">
        <v>22</v>
      </c>
      <c r="I28" s="61" t="s">
        <v>2511</v>
      </c>
      <c r="J28" s="61"/>
      <c r="K28" s="62" t="s">
        <v>2511</v>
      </c>
      <c r="L28" s="60" t="s">
        <v>2389</v>
      </c>
      <c r="M28" s="61" t="s">
        <v>2388</v>
      </c>
      <c r="N28" s="61" t="s">
        <v>2511</v>
      </c>
      <c r="O28" s="61" t="s">
        <v>2388</v>
      </c>
      <c r="P28" s="62" t="s">
        <v>2511</v>
      </c>
      <c r="Q28" s="58" t="s">
        <v>67</v>
      </c>
      <c r="R28" s="58" t="s">
        <v>126</v>
      </c>
      <c r="S28" s="58" t="s">
        <v>1852</v>
      </c>
      <c r="T28" s="58" t="s">
        <v>113</v>
      </c>
      <c r="U28" s="106" t="s">
        <v>126</v>
      </c>
      <c r="V28" s="137" t="s">
        <v>2580</v>
      </c>
      <c r="W28" s="57" t="s">
        <v>2581</v>
      </c>
      <c r="X28" s="126" t="s">
        <v>2511</v>
      </c>
      <c r="Y28" s="126" t="s">
        <v>2511</v>
      </c>
      <c r="Z28" s="57" t="s">
        <v>2582</v>
      </c>
      <c r="AA28" s="57" t="s">
        <v>2583</v>
      </c>
      <c r="AB28" s="57" t="s">
        <v>2584</v>
      </c>
      <c r="AC28" s="57" t="s">
        <v>2516</v>
      </c>
      <c r="AD28" s="65" t="str">
        <f t="shared" ref="AD28:AD55" si="5">IF(OR($AQ28="",$AQ28=$F28),$U28,IF($AQ28=$G28,SUBSTITUTE(SUBSTITUTE($AQ28,"GPIO3_","GPIO_"),".0",""),IF($AQ28=$H28,$Q28,IF($AQ28=$I28,$R28,IF($AQ28=$J28,$S28,IF($AQ28=$K28,$T28,"INVALID"))))))</f>
        <v>SDMMC1</v>
      </c>
      <c r="AE28" s="66"/>
      <c r="AF28" s="67" t="str">
        <f t="shared" ref="AF28:AF55" si="6">IF(AND(OR($AS28="Int PU",$AS28="Int PD"),OR(AND($AZ28&lt;&gt;"",$AZ28&lt;&gt;"0"),AND($BA28&lt;&gt;"",$BA28&lt;&gt;"0"))),"INVALID",IF(OR($AQ28=$F28,$AS28="Int PD"),"PULL_DOWN",IF(OR($AS28="Int PU",AND($AE28="YES",OR($AZ28="",$AZ28="0"),OR($BA28="",$BA28="0"),OR($AR28="Input",$AR28="Bidirectional"))),"PULL_UP","NORMAL")))</f>
        <v>NORMAL</v>
      </c>
      <c r="AG28" s="67" t="str">
        <f t="shared" si="4"/>
        <v>NORMAL</v>
      </c>
      <c r="AH28" s="67" t="str">
        <f>IF($AQ28=$H28,"ENABLE",IF(OR($AQ28=$F28,$AR28="Output"),"DISABLE","ENABLE"))</f>
        <v>ENABLE</v>
      </c>
      <c r="AI28" s="68" t="str">
        <f>IF($AQ28&lt;&gt;$G28,"N/A",IF($AS28="Drive 1", "1", IF($AS28="Drive 0", "0", "")))</f>
        <v>N/A</v>
      </c>
      <c r="AJ28" s="189" t="b">
        <v>1</v>
      </c>
      <c r="AK28" s="189" t="b">
        <v>1</v>
      </c>
      <c r="AL28" s="189" t="b">
        <v>1</v>
      </c>
      <c r="AM28" s="189" t="b">
        <v>1</v>
      </c>
      <c r="AN28" s="189" t="b">
        <v>1</v>
      </c>
      <c r="AO28" s="189" t="b">
        <v>1</v>
      </c>
      <c r="AP28" s="69" t="str">
        <f t="shared" ref="AP28:AP33" si="7">IF(AND($AJ28:$AO28), "VALID", "INVALID")</f>
        <v>VALID</v>
      </c>
      <c r="AQ28" s="165" t="s">
        <v>22</v>
      </c>
      <c r="AR28" s="2" t="s">
        <v>861</v>
      </c>
      <c r="AS28" s="193"/>
      <c r="AT28" s="3"/>
      <c r="AU28" s="3"/>
      <c r="AV28" s="3"/>
      <c r="AW28" s="3"/>
      <c r="AX28" s="3"/>
      <c r="AY28" s="193" t="s">
        <v>872</v>
      </c>
      <c r="AZ28" s="4"/>
      <c r="BA28" s="4"/>
      <c r="BB28" s="13"/>
      <c r="BC28" s="139"/>
      <c r="BD28" s="17" t="s">
        <v>2577</v>
      </c>
      <c r="BE28" s="333" t="s">
        <v>5686</v>
      </c>
    </row>
    <row r="29" spans="1:57" ht="12.95" hidden="1" customHeight="1">
      <c r="A29" s="248" t="e">
        <v>#N/A</v>
      </c>
      <c r="B29" s="252" t="e">
        <v>#N/A</v>
      </c>
      <c r="C29" s="263" t="s">
        <v>23</v>
      </c>
      <c r="D29" s="239" t="s">
        <v>2587</v>
      </c>
      <c r="E29" s="58"/>
      <c r="F29" s="59" t="s">
        <v>145</v>
      </c>
      <c r="G29" s="191" t="s">
        <v>2588</v>
      </c>
      <c r="H29" s="192" t="s">
        <v>23</v>
      </c>
      <c r="I29" s="61" t="s">
        <v>2511</v>
      </c>
      <c r="J29" s="61"/>
      <c r="K29" s="62" t="s">
        <v>2511</v>
      </c>
      <c r="L29" s="60" t="s">
        <v>2389</v>
      </c>
      <c r="M29" s="61" t="s">
        <v>2389</v>
      </c>
      <c r="N29" s="61" t="s">
        <v>2511</v>
      </c>
      <c r="O29" s="61" t="s">
        <v>2388</v>
      </c>
      <c r="P29" s="62" t="s">
        <v>2511</v>
      </c>
      <c r="Q29" s="58" t="s">
        <v>67</v>
      </c>
      <c r="R29" s="58" t="s">
        <v>126</v>
      </c>
      <c r="S29" s="58" t="s">
        <v>1852</v>
      </c>
      <c r="T29" s="58" t="s">
        <v>113</v>
      </c>
      <c r="U29" s="63" t="s">
        <v>126</v>
      </c>
      <c r="V29" s="138" t="s">
        <v>2589</v>
      </c>
      <c r="W29" s="57" t="s">
        <v>2581</v>
      </c>
      <c r="X29" s="126" t="s">
        <v>2511</v>
      </c>
      <c r="Y29" s="126" t="s">
        <v>2511</v>
      </c>
      <c r="Z29" s="57" t="s">
        <v>2582</v>
      </c>
      <c r="AA29" s="57" t="s">
        <v>2583</v>
      </c>
      <c r="AB29" s="57" t="s">
        <v>2584</v>
      </c>
      <c r="AC29" s="57" t="s">
        <v>2516</v>
      </c>
      <c r="AD29" s="65" t="str">
        <f t="shared" si="5"/>
        <v>SDMMC1</v>
      </c>
      <c r="AE29" s="70"/>
      <c r="AF29" s="67" t="str">
        <f t="shared" si="6"/>
        <v>PULL_UP</v>
      </c>
      <c r="AG29" s="67" t="str">
        <f t="shared" si="4"/>
        <v>NORMAL</v>
      </c>
      <c r="AH29" s="67" t="str">
        <f t="shared" ref="AH29:AH55" si="8">IF(OR($AQ29=$F29,$AR29="Output"),"DISABLE","ENABLE")</f>
        <v>ENABLE</v>
      </c>
      <c r="AI29" s="71" t="str">
        <f t="shared" ref="AI29:AI110" si="9">IF($AQ29&lt;&gt;$G29,"N/A",IF($AS29="Drive 1", "1", IF($AS29="Drive 0", "0", "")))</f>
        <v>N/A</v>
      </c>
      <c r="AJ29" s="189" t="b">
        <v>1</v>
      </c>
      <c r="AK29" s="189" t="b">
        <v>1</v>
      </c>
      <c r="AL29" s="189" t="b">
        <v>1</v>
      </c>
      <c r="AM29" s="189" t="b">
        <v>1</v>
      </c>
      <c r="AN29" s="189" t="b">
        <v>1</v>
      </c>
      <c r="AO29" s="189" t="b">
        <v>1</v>
      </c>
      <c r="AP29" s="69" t="str">
        <f t="shared" si="7"/>
        <v>VALID</v>
      </c>
      <c r="AQ29" s="166" t="s">
        <v>23</v>
      </c>
      <c r="AR29" s="194" t="s">
        <v>860</v>
      </c>
      <c r="AS29" s="193" t="s">
        <v>873</v>
      </c>
      <c r="AT29" s="72"/>
      <c r="AU29" s="72"/>
      <c r="AV29" s="72"/>
      <c r="AW29" s="72"/>
      <c r="AX29" s="72"/>
      <c r="AY29" s="72"/>
      <c r="AZ29" s="193"/>
      <c r="BA29" s="193"/>
      <c r="BB29" s="8"/>
      <c r="BC29" s="140"/>
      <c r="BD29" s="11" t="s">
        <v>2585</v>
      </c>
      <c r="BE29" s="334"/>
    </row>
    <row r="30" spans="1:57" ht="12.95" hidden="1" customHeight="1">
      <c r="A30" s="248" t="e">
        <v>#N/A</v>
      </c>
      <c r="B30" s="252" t="e">
        <v>#N/A</v>
      </c>
      <c r="C30" s="263" t="s">
        <v>24</v>
      </c>
      <c r="D30" s="239" t="s">
        <v>2591</v>
      </c>
      <c r="E30" s="58"/>
      <c r="F30" s="59" t="s">
        <v>146</v>
      </c>
      <c r="G30" s="191" t="s">
        <v>2592</v>
      </c>
      <c r="H30" s="192" t="s">
        <v>24</v>
      </c>
      <c r="I30" s="61" t="s">
        <v>2511</v>
      </c>
      <c r="J30" s="61"/>
      <c r="K30" s="62" t="s">
        <v>2511</v>
      </c>
      <c r="L30" s="60" t="s">
        <v>2389</v>
      </c>
      <c r="M30" s="61" t="s">
        <v>2389</v>
      </c>
      <c r="N30" s="61" t="s">
        <v>2511</v>
      </c>
      <c r="O30" s="61" t="s">
        <v>2388</v>
      </c>
      <c r="P30" s="62" t="s">
        <v>2511</v>
      </c>
      <c r="Q30" s="58" t="s">
        <v>67</v>
      </c>
      <c r="R30" s="58" t="s">
        <v>126</v>
      </c>
      <c r="S30" s="58" t="s">
        <v>1852</v>
      </c>
      <c r="T30" s="58" t="s">
        <v>113</v>
      </c>
      <c r="U30" s="63" t="s">
        <v>126</v>
      </c>
      <c r="V30" s="138" t="s">
        <v>2593</v>
      </c>
      <c r="W30" s="57" t="s">
        <v>2581</v>
      </c>
      <c r="X30" s="126" t="s">
        <v>2511</v>
      </c>
      <c r="Y30" s="126" t="s">
        <v>2511</v>
      </c>
      <c r="Z30" s="57" t="s">
        <v>2582</v>
      </c>
      <c r="AA30" s="57" t="s">
        <v>2583</v>
      </c>
      <c r="AB30" s="57" t="s">
        <v>2584</v>
      </c>
      <c r="AC30" s="57" t="s">
        <v>2516</v>
      </c>
      <c r="AD30" s="65" t="str">
        <f t="shared" si="5"/>
        <v>SDMMC1</v>
      </c>
      <c r="AE30" s="70"/>
      <c r="AF30" s="67" t="str">
        <f t="shared" si="6"/>
        <v>PULL_UP</v>
      </c>
      <c r="AG30" s="67" t="str">
        <f t="shared" si="4"/>
        <v>NORMAL</v>
      </c>
      <c r="AH30" s="67" t="str">
        <f t="shared" si="8"/>
        <v>ENABLE</v>
      </c>
      <c r="AI30" s="71" t="str">
        <f t="shared" si="9"/>
        <v>N/A</v>
      </c>
      <c r="AJ30" s="189" t="b">
        <v>1</v>
      </c>
      <c r="AK30" s="189" t="b">
        <v>1</v>
      </c>
      <c r="AL30" s="189" t="b">
        <v>1</v>
      </c>
      <c r="AM30" s="189" t="b">
        <v>1</v>
      </c>
      <c r="AN30" s="189" t="b">
        <v>1</v>
      </c>
      <c r="AO30" s="189" t="b">
        <v>1</v>
      </c>
      <c r="AP30" s="69" t="str">
        <f t="shared" si="7"/>
        <v>VALID</v>
      </c>
      <c r="AQ30" s="166" t="s">
        <v>24</v>
      </c>
      <c r="AR30" s="194" t="s">
        <v>860</v>
      </c>
      <c r="AS30" s="193" t="s">
        <v>873</v>
      </c>
      <c r="AT30" s="72"/>
      <c r="AU30" s="72"/>
      <c r="AV30" s="72"/>
      <c r="AW30" s="72"/>
      <c r="AX30" s="72"/>
      <c r="AY30" s="72"/>
      <c r="AZ30" s="193"/>
      <c r="BA30" s="193"/>
      <c r="BB30" s="8"/>
      <c r="BC30" s="140"/>
      <c r="BD30" s="11" t="s">
        <v>2590</v>
      </c>
      <c r="BE30" s="334"/>
    </row>
    <row r="31" spans="1:57" ht="12.95" hidden="1" customHeight="1">
      <c r="A31" s="248" t="e">
        <v>#N/A</v>
      </c>
      <c r="B31" s="252" t="e">
        <v>#N/A</v>
      </c>
      <c r="C31" s="263" t="s">
        <v>25</v>
      </c>
      <c r="D31" s="239" t="s">
        <v>2596</v>
      </c>
      <c r="E31" s="58"/>
      <c r="F31" s="59" t="s">
        <v>147</v>
      </c>
      <c r="G31" s="191" t="s">
        <v>2597</v>
      </c>
      <c r="H31" s="192" t="s">
        <v>25</v>
      </c>
      <c r="I31" s="61" t="s">
        <v>2511</v>
      </c>
      <c r="J31" s="61"/>
      <c r="K31" s="62" t="s">
        <v>2511</v>
      </c>
      <c r="L31" s="60" t="s">
        <v>2389</v>
      </c>
      <c r="M31" s="61" t="s">
        <v>2389</v>
      </c>
      <c r="N31" s="61" t="s">
        <v>2511</v>
      </c>
      <c r="O31" s="61" t="s">
        <v>2388</v>
      </c>
      <c r="P31" s="62" t="s">
        <v>2511</v>
      </c>
      <c r="Q31" s="58" t="s">
        <v>67</v>
      </c>
      <c r="R31" s="58" t="s">
        <v>126</v>
      </c>
      <c r="S31" s="58" t="s">
        <v>1852</v>
      </c>
      <c r="T31" s="58" t="s">
        <v>113</v>
      </c>
      <c r="U31" s="63" t="s">
        <v>126</v>
      </c>
      <c r="V31" s="138" t="s">
        <v>2598</v>
      </c>
      <c r="W31" s="57" t="s">
        <v>2581</v>
      </c>
      <c r="X31" s="126" t="s">
        <v>2599</v>
      </c>
      <c r="Y31" s="126" t="s">
        <v>2511</v>
      </c>
      <c r="Z31" s="57" t="s">
        <v>2582</v>
      </c>
      <c r="AA31" s="57" t="s">
        <v>2583</v>
      </c>
      <c r="AB31" s="57" t="s">
        <v>2584</v>
      </c>
      <c r="AC31" s="57" t="s">
        <v>2516</v>
      </c>
      <c r="AD31" s="65" t="str">
        <f t="shared" si="5"/>
        <v>SDMMC1</v>
      </c>
      <c r="AE31" s="70"/>
      <c r="AF31" s="67" t="str">
        <f t="shared" si="6"/>
        <v>PULL_UP</v>
      </c>
      <c r="AG31" s="67" t="str">
        <f t="shared" si="4"/>
        <v>NORMAL</v>
      </c>
      <c r="AH31" s="67" t="str">
        <f t="shared" si="8"/>
        <v>ENABLE</v>
      </c>
      <c r="AI31" s="71" t="str">
        <f t="shared" si="9"/>
        <v>N/A</v>
      </c>
      <c r="AJ31" s="189" t="b">
        <v>1</v>
      </c>
      <c r="AK31" s="189" t="b">
        <v>1</v>
      </c>
      <c r="AL31" s="189" t="b">
        <v>1</v>
      </c>
      <c r="AM31" s="189" t="b">
        <v>1</v>
      </c>
      <c r="AN31" s="189" t="b">
        <v>1</v>
      </c>
      <c r="AO31" s="189" t="b">
        <v>1</v>
      </c>
      <c r="AP31" s="69" t="str">
        <f t="shared" si="7"/>
        <v>VALID</v>
      </c>
      <c r="AQ31" s="166" t="s">
        <v>25</v>
      </c>
      <c r="AR31" s="194" t="s">
        <v>860</v>
      </c>
      <c r="AS31" s="193" t="s">
        <v>873</v>
      </c>
      <c r="AT31" s="193" t="s">
        <v>117</v>
      </c>
      <c r="AU31" s="5"/>
      <c r="AV31" s="5"/>
      <c r="AW31" s="72"/>
      <c r="AX31" s="72"/>
      <c r="AY31" s="72"/>
      <c r="AZ31" s="193"/>
      <c r="BA31" s="193"/>
      <c r="BB31" s="8"/>
      <c r="BC31" s="140"/>
      <c r="BD31" s="11" t="s">
        <v>2594</v>
      </c>
      <c r="BE31" s="334"/>
    </row>
    <row r="32" spans="1:57" ht="12.95" hidden="1" customHeight="1">
      <c r="A32" s="248" t="e">
        <v>#N/A</v>
      </c>
      <c r="B32" s="252" t="e">
        <v>#N/A</v>
      </c>
      <c r="C32" s="263" t="s">
        <v>26</v>
      </c>
      <c r="D32" s="239" t="s">
        <v>2601</v>
      </c>
      <c r="E32" s="58"/>
      <c r="F32" s="59" t="s">
        <v>148</v>
      </c>
      <c r="G32" s="191" t="s">
        <v>2602</v>
      </c>
      <c r="H32" s="192" t="s">
        <v>26</v>
      </c>
      <c r="I32" s="61" t="s">
        <v>2511</v>
      </c>
      <c r="J32" s="61"/>
      <c r="K32" s="62" t="s">
        <v>2511</v>
      </c>
      <c r="L32" s="60" t="s">
        <v>2389</v>
      </c>
      <c r="M32" s="61" t="s">
        <v>2389</v>
      </c>
      <c r="N32" s="61" t="s">
        <v>2511</v>
      </c>
      <c r="O32" s="61" t="s">
        <v>2388</v>
      </c>
      <c r="P32" s="62" t="s">
        <v>2511</v>
      </c>
      <c r="Q32" s="58" t="s">
        <v>67</v>
      </c>
      <c r="R32" s="58" t="s">
        <v>126</v>
      </c>
      <c r="S32" s="58" t="s">
        <v>1852</v>
      </c>
      <c r="T32" s="58" t="s">
        <v>113</v>
      </c>
      <c r="U32" s="63" t="s">
        <v>126</v>
      </c>
      <c r="V32" s="138" t="s">
        <v>2603</v>
      </c>
      <c r="W32" s="57" t="s">
        <v>2581</v>
      </c>
      <c r="X32" s="126" t="s">
        <v>2511</v>
      </c>
      <c r="Y32" s="126" t="s">
        <v>2511</v>
      </c>
      <c r="Z32" s="57" t="s">
        <v>2582</v>
      </c>
      <c r="AA32" s="57" t="s">
        <v>2583</v>
      </c>
      <c r="AB32" s="57" t="s">
        <v>2584</v>
      </c>
      <c r="AC32" s="57" t="s">
        <v>2516</v>
      </c>
      <c r="AD32" s="65" t="str">
        <f t="shared" si="5"/>
        <v>SDMMC1</v>
      </c>
      <c r="AE32" s="70"/>
      <c r="AF32" s="67" t="str">
        <f t="shared" si="6"/>
        <v>PULL_UP</v>
      </c>
      <c r="AG32" s="67" t="str">
        <f t="shared" si="4"/>
        <v>NORMAL</v>
      </c>
      <c r="AH32" s="67" t="str">
        <f t="shared" si="8"/>
        <v>ENABLE</v>
      </c>
      <c r="AI32" s="71" t="str">
        <f t="shared" si="9"/>
        <v>N/A</v>
      </c>
      <c r="AJ32" s="189" t="b">
        <v>1</v>
      </c>
      <c r="AK32" s="189" t="b">
        <v>1</v>
      </c>
      <c r="AL32" s="189" t="b">
        <v>1</v>
      </c>
      <c r="AM32" s="189" t="b">
        <v>1</v>
      </c>
      <c r="AN32" s="189" t="b">
        <v>1</v>
      </c>
      <c r="AO32" s="189" t="b">
        <v>1</v>
      </c>
      <c r="AP32" s="69" t="str">
        <f t="shared" si="7"/>
        <v>VALID</v>
      </c>
      <c r="AQ32" s="166" t="s">
        <v>26</v>
      </c>
      <c r="AR32" s="194" t="s">
        <v>860</v>
      </c>
      <c r="AS32" s="193" t="s">
        <v>873</v>
      </c>
      <c r="AT32" s="72"/>
      <c r="AU32" s="72"/>
      <c r="AV32" s="72"/>
      <c r="AW32" s="72"/>
      <c r="AX32" s="72"/>
      <c r="AY32" s="72"/>
      <c r="AZ32" s="193"/>
      <c r="BA32" s="193"/>
      <c r="BB32" s="8"/>
      <c r="BC32" s="140"/>
      <c r="BD32" s="11" t="s">
        <v>2600</v>
      </c>
      <c r="BE32" s="334"/>
    </row>
    <row r="33" spans="1:57" ht="12.95" hidden="1" customHeight="1">
      <c r="A33" s="248" t="e">
        <v>#N/A</v>
      </c>
      <c r="B33" s="252" t="e">
        <v>#N/A</v>
      </c>
      <c r="C33" s="263" t="s">
        <v>27</v>
      </c>
      <c r="D33" s="239" t="s">
        <v>2605</v>
      </c>
      <c r="E33" s="58"/>
      <c r="F33" s="59" t="s">
        <v>149</v>
      </c>
      <c r="G33" s="191" t="s">
        <v>2606</v>
      </c>
      <c r="H33" s="192" t="s">
        <v>27</v>
      </c>
      <c r="I33" s="61" t="s">
        <v>2511</v>
      </c>
      <c r="J33" s="61"/>
      <c r="K33" s="62" t="s">
        <v>2511</v>
      </c>
      <c r="L33" s="60" t="s">
        <v>2389</v>
      </c>
      <c r="M33" s="61" t="s">
        <v>2389</v>
      </c>
      <c r="N33" s="61" t="s">
        <v>2511</v>
      </c>
      <c r="O33" s="61" t="s">
        <v>2388</v>
      </c>
      <c r="P33" s="62" t="s">
        <v>2511</v>
      </c>
      <c r="Q33" s="58" t="s">
        <v>67</v>
      </c>
      <c r="R33" s="58" t="s">
        <v>126</v>
      </c>
      <c r="S33" s="58" t="s">
        <v>1852</v>
      </c>
      <c r="T33" s="58" t="s">
        <v>113</v>
      </c>
      <c r="U33" s="63" t="s">
        <v>126</v>
      </c>
      <c r="V33" s="138" t="s">
        <v>2607</v>
      </c>
      <c r="W33" s="57" t="s">
        <v>2581</v>
      </c>
      <c r="X33" s="126" t="s">
        <v>2511</v>
      </c>
      <c r="Y33" s="126" t="s">
        <v>2511</v>
      </c>
      <c r="Z33" s="57" t="s">
        <v>2582</v>
      </c>
      <c r="AA33" s="57" t="s">
        <v>2583</v>
      </c>
      <c r="AB33" s="57" t="s">
        <v>2584</v>
      </c>
      <c r="AC33" s="57" t="s">
        <v>2516</v>
      </c>
      <c r="AD33" s="65" t="str">
        <f t="shared" si="5"/>
        <v>SDMMC1</v>
      </c>
      <c r="AE33" s="70"/>
      <c r="AF33" s="67" t="str">
        <f t="shared" si="6"/>
        <v>PULL_UP</v>
      </c>
      <c r="AG33" s="67" t="str">
        <f t="shared" si="4"/>
        <v>NORMAL</v>
      </c>
      <c r="AH33" s="67" t="str">
        <f t="shared" si="8"/>
        <v>ENABLE</v>
      </c>
      <c r="AI33" s="71" t="str">
        <f t="shared" si="9"/>
        <v>N/A</v>
      </c>
      <c r="AJ33" s="189" t="b">
        <v>1</v>
      </c>
      <c r="AK33" s="189" t="b">
        <v>1</v>
      </c>
      <c r="AL33" s="189" t="b">
        <v>1</v>
      </c>
      <c r="AM33" s="189" t="b">
        <v>1</v>
      </c>
      <c r="AN33" s="189" t="b">
        <v>1</v>
      </c>
      <c r="AO33" s="189" t="b">
        <v>1</v>
      </c>
      <c r="AP33" s="69" t="str">
        <f t="shared" si="7"/>
        <v>VALID</v>
      </c>
      <c r="AQ33" s="166" t="s">
        <v>27</v>
      </c>
      <c r="AR33" s="194" t="s">
        <v>860</v>
      </c>
      <c r="AS33" s="193" t="s">
        <v>873</v>
      </c>
      <c r="AT33" s="72"/>
      <c r="AU33" s="72"/>
      <c r="AV33" s="72"/>
      <c r="AW33" s="72"/>
      <c r="AX33" s="72"/>
      <c r="AY33" s="72"/>
      <c r="AZ33" s="193"/>
      <c r="BA33" s="193"/>
      <c r="BB33" s="8"/>
      <c r="BC33" s="140"/>
      <c r="BD33" s="11" t="s">
        <v>2604</v>
      </c>
      <c r="BE33" s="335"/>
    </row>
    <row r="34" spans="1:57" s="56" customFormat="1" ht="18" customHeight="1">
      <c r="A34" s="361"/>
      <c r="B34" s="362"/>
      <c r="C34" s="303" t="s">
        <v>859</v>
      </c>
      <c r="D34" s="264"/>
      <c r="E34" s="51"/>
      <c r="F34" s="51"/>
      <c r="G34" s="52"/>
      <c r="H34" s="52"/>
      <c r="I34" s="52"/>
      <c r="J34" s="52"/>
      <c r="K34" s="52"/>
      <c r="L34" s="51"/>
      <c r="M34" s="51"/>
      <c r="N34" s="51"/>
      <c r="O34" s="51"/>
      <c r="P34" s="51"/>
      <c r="Q34" s="51"/>
      <c r="R34" s="51"/>
      <c r="S34" s="51"/>
      <c r="T34" s="51"/>
      <c r="U34" s="51"/>
      <c r="V34" s="51"/>
      <c r="W34" s="51"/>
      <c r="X34" s="125"/>
      <c r="Y34" s="125"/>
      <c r="Z34" s="53"/>
      <c r="AA34" s="53"/>
      <c r="AB34" s="53"/>
      <c r="AC34" s="53"/>
      <c r="AD34" s="53"/>
      <c r="AE34" s="53"/>
      <c r="AF34" s="53"/>
      <c r="AG34" s="53"/>
      <c r="AH34" s="53"/>
      <c r="AI34" s="53"/>
      <c r="AJ34" s="53" t="b">
        <v>0</v>
      </c>
      <c r="AK34" s="53"/>
      <c r="AL34" s="53"/>
      <c r="AM34" s="53"/>
      <c r="AN34" s="53"/>
      <c r="AO34" s="53"/>
      <c r="AP34" s="53"/>
      <c r="AQ34" s="54"/>
      <c r="AR34" s="54"/>
      <c r="AS34" s="55"/>
      <c r="AT34" s="55"/>
      <c r="AU34" s="55"/>
      <c r="AV34" s="55"/>
      <c r="AW34" s="55"/>
      <c r="AX34" s="55"/>
      <c r="AY34" s="55"/>
      <c r="AZ34" s="55"/>
      <c r="BA34" s="55"/>
      <c r="BB34" s="55"/>
      <c r="BC34" s="175" t="s">
        <v>829</v>
      </c>
      <c r="BD34" s="185"/>
      <c r="BE34" s="207" t="s">
        <v>859</v>
      </c>
    </row>
    <row r="35" spans="1:57" ht="12.95" customHeight="1">
      <c r="A35" s="250" t="s">
        <v>5485</v>
      </c>
      <c r="B35" s="253">
        <v>229</v>
      </c>
      <c r="C35" s="250" t="s">
        <v>28</v>
      </c>
      <c r="D35" s="239" t="s">
        <v>2608</v>
      </c>
      <c r="E35" s="58"/>
      <c r="F35" s="59" t="s">
        <v>150</v>
      </c>
      <c r="G35" s="191" t="s">
        <v>2434</v>
      </c>
      <c r="H35" s="192" t="s">
        <v>28</v>
      </c>
      <c r="I35" s="61" t="s">
        <v>2511</v>
      </c>
      <c r="J35" s="61" t="s">
        <v>2511</v>
      </c>
      <c r="K35" s="62" t="s">
        <v>2511</v>
      </c>
      <c r="L35" s="60" t="s">
        <v>2389</v>
      </c>
      <c r="M35" s="61" t="s">
        <v>2388</v>
      </c>
      <c r="N35" s="61" t="s">
        <v>2511</v>
      </c>
      <c r="O35" s="61" t="s">
        <v>2511</v>
      </c>
      <c r="P35" s="62" t="s">
        <v>2511</v>
      </c>
      <c r="Q35" s="58" t="s">
        <v>66</v>
      </c>
      <c r="R35" s="58" t="s">
        <v>126</v>
      </c>
      <c r="S35" s="58" t="s">
        <v>112</v>
      </c>
      <c r="T35" s="58" t="s">
        <v>113</v>
      </c>
      <c r="U35" s="63" t="s">
        <v>126</v>
      </c>
      <c r="V35" s="137" t="s">
        <v>2609</v>
      </c>
      <c r="W35" s="57" t="s">
        <v>2610</v>
      </c>
      <c r="X35" s="126" t="s">
        <v>2511</v>
      </c>
      <c r="Y35" s="126" t="s">
        <v>2511</v>
      </c>
      <c r="Z35" s="57" t="s">
        <v>2582</v>
      </c>
      <c r="AA35" s="57" t="s">
        <v>2583</v>
      </c>
      <c r="AB35" s="57" t="s">
        <v>2584</v>
      </c>
      <c r="AC35" s="57" t="s">
        <v>2516</v>
      </c>
      <c r="AD35" s="65" t="str">
        <f t="shared" si="5"/>
        <v>SDMMC3</v>
      </c>
      <c r="AE35" s="70"/>
      <c r="AF35" s="67" t="str">
        <f t="shared" si="6"/>
        <v>NORMAL</v>
      </c>
      <c r="AG35" s="67" t="str">
        <f t="shared" si="4"/>
        <v>NORMAL</v>
      </c>
      <c r="AH35" s="67" t="str">
        <f>IF($AQ35=$H35,"ENABLE",IF(OR($AQ35=$F35,$AR35="Output"),"DISABLE","ENABLE"))</f>
        <v>ENABLE</v>
      </c>
      <c r="AI35" s="71" t="str">
        <f t="shared" si="9"/>
        <v>N/A</v>
      </c>
      <c r="AJ35" s="189" t="b">
        <v>1</v>
      </c>
      <c r="AK35" s="189" t="b">
        <v>1</v>
      </c>
      <c r="AL35" s="189" t="b">
        <v>1</v>
      </c>
      <c r="AM35" s="189" t="b">
        <v>1</v>
      </c>
      <c r="AN35" s="189" t="b">
        <v>1</v>
      </c>
      <c r="AO35" s="189" t="b">
        <v>1</v>
      </c>
      <c r="AP35" s="69" t="str">
        <f t="shared" ref="AP35:AP40" si="10">IF(AND($AJ35:$AO35), "VALID", "INVALID")</f>
        <v>VALID</v>
      </c>
      <c r="AQ35" s="166" t="s">
        <v>28</v>
      </c>
      <c r="AR35" s="194" t="s">
        <v>861</v>
      </c>
      <c r="AS35" s="193"/>
      <c r="AT35" s="72"/>
      <c r="AU35" s="72"/>
      <c r="AV35" s="72"/>
      <c r="AW35" s="72"/>
      <c r="AX35" s="72"/>
      <c r="AY35" s="193" t="s">
        <v>872</v>
      </c>
      <c r="AZ35" s="193"/>
      <c r="BA35" s="193"/>
      <c r="BB35" s="8"/>
      <c r="BC35" s="140"/>
      <c r="BD35" s="11" t="s">
        <v>5485</v>
      </c>
      <c r="BE35" s="333" t="s">
        <v>5525</v>
      </c>
    </row>
    <row r="36" spans="1:57" ht="12.95" customHeight="1">
      <c r="A36" s="250" t="s">
        <v>5486</v>
      </c>
      <c r="B36" s="253">
        <v>227</v>
      </c>
      <c r="C36" s="250" t="s">
        <v>29</v>
      </c>
      <c r="D36" s="239" t="s">
        <v>2611</v>
      </c>
      <c r="E36" s="58"/>
      <c r="F36" s="59" t="s">
        <v>151</v>
      </c>
      <c r="G36" s="191" t="s">
        <v>2483</v>
      </c>
      <c r="H36" s="192" t="s">
        <v>29</v>
      </c>
      <c r="I36" s="61" t="s">
        <v>2511</v>
      </c>
      <c r="J36" s="61" t="s">
        <v>2511</v>
      </c>
      <c r="K36" s="62" t="s">
        <v>2511</v>
      </c>
      <c r="L36" s="60" t="s">
        <v>2389</v>
      </c>
      <c r="M36" s="61" t="s">
        <v>2389</v>
      </c>
      <c r="N36" s="61" t="s">
        <v>2511</v>
      </c>
      <c r="O36" s="61" t="s">
        <v>2511</v>
      </c>
      <c r="P36" s="62" t="s">
        <v>2511</v>
      </c>
      <c r="Q36" s="58" t="s">
        <v>66</v>
      </c>
      <c r="R36" s="58" t="s">
        <v>126</v>
      </c>
      <c r="S36" s="58" t="s">
        <v>112</v>
      </c>
      <c r="T36" s="58" t="s">
        <v>113</v>
      </c>
      <c r="U36" s="63" t="s">
        <v>126</v>
      </c>
      <c r="V36" s="138" t="s">
        <v>2612</v>
      </c>
      <c r="W36" s="57" t="s">
        <v>2610</v>
      </c>
      <c r="X36" s="126" t="s">
        <v>2511</v>
      </c>
      <c r="Y36" s="126" t="s">
        <v>2511</v>
      </c>
      <c r="Z36" s="57" t="s">
        <v>2582</v>
      </c>
      <c r="AA36" s="57" t="s">
        <v>2583</v>
      </c>
      <c r="AB36" s="57" t="s">
        <v>2584</v>
      </c>
      <c r="AC36" s="57" t="s">
        <v>2516</v>
      </c>
      <c r="AD36" s="65" t="str">
        <f t="shared" si="5"/>
        <v>SDMMC3</v>
      </c>
      <c r="AE36" s="70"/>
      <c r="AF36" s="67" t="str">
        <f t="shared" si="6"/>
        <v>PULL_UP</v>
      </c>
      <c r="AG36" s="67" t="str">
        <f t="shared" si="4"/>
        <v>NORMAL</v>
      </c>
      <c r="AH36" s="67" t="str">
        <f t="shared" si="8"/>
        <v>ENABLE</v>
      </c>
      <c r="AI36" s="71" t="str">
        <f t="shared" si="9"/>
        <v>N/A</v>
      </c>
      <c r="AJ36" s="189" t="b">
        <v>1</v>
      </c>
      <c r="AK36" s="189" t="b">
        <v>1</v>
      </c>
      <c r="AL36" s="189" t="b">
        <v>1</v>
      </c>
      <c r="AM36" s="189" t="b">
        <v>1</v>
      </c>
      <c r="AN36" s="189" t="b">
        <v>1</v>
      </c>
      <c r="AO36" s="189" t="b">
        <v>1</v>
      </c>
      <c r="AP36" s="69" t="str">
        <f t="shared" si="10"/>
        <v>VALID</v>
      </c>
      <c r="AQ36" s="166" t="s">
        <v>29</v>
      </c>
      <c r="AR36" s="194" t="s">
        <v>860</v>
      </c>
      <c r="AS36" s="193" t="s">
        <v>873</v>
      </c>
      <c r="AT36" s="72"/>
      <c r="AU36" s="72"/>
      <c r="AV36" s="72"/>
      <c r="AW36" s="72"/>
      <c r="AX36" s="72"/>
      <c r="AY36" s="72"/>
      <c r="AZ36" s="193"/>
      <c r="BA36" s="193"/>
      <c r="BB36" s="8"/>
      <c r="BC36" s="140"/>
      <c r="BD36" s="11" t="s">
        <v>5486</v>
      </c>
      <c r="BE36" s="334" t="s">
        <v>83</v>
      </c>
    </row>
    <row r="37" spans="1:57" ht="12.95" customHeight="1">
      <c r="A37" s="250" t="s">
        <v>5487</v>
      </c>
      <c r="B37" s="253">
        <v>219</v>
      </c>
      <c r="C37" s="250" t="s">
        <v>30</v>
      </c>
      <c r="D37" s="239" t="s">
        <v>2613</v>
      </c>
      <c r="E37" s="58"/>
      <c r="F37" s="59" t="s">
        <v>152</v>
      </c>
      <c r="G37" s="191" t="s">
        <v>2614</v>
      </c>
      <c r="H37" s="192" t="s">
        <v>30</v>
      </c>
      <c r="I37" s="61" t="s">
        <v>2511</v>
      </c>
      <c r="J37" s="61" t="s">
        <v>2511</v>
      </c>
      <c r="K37" s="62" t="s">
        <v>2511</v>
      </c>
      <c r="L37" s="60" t="s">
        <v>2389</v>
      </c>
      <c r="M37" s="61" t="s">
        <v>2389</v>
      </c>
      <c r="N37" s="61" t="s">
        <v>2511</v>
      </c>
      <c r="O37" s="61" t="s">
        <v>2511</v>
      </c>
      <c r="P37" s="62" t="s">
        <v>2511</v>
      </c>
      <c r="Q37" s="58" t="s">
        <v>66</v>
      </c>
      <c r="R37" s="58" t="s">
        <v>126</v>
      </c>
      <c r="S37" s="58" t="s">
        <v>112</v>
      </c>
      <c r="T37" s="58" t="s">
        <v>113</v>
      </c>
      <c r="U37" s="63" t="s">
        <v>126</v>
      </c>
      <c r="V37" s="138" t="s">
        <v>2615</v>
      </c>
      <c r="W37" s="57" t="s">
        <v>2610</v>
      </c>
      <c r="X37" s="126" t="s">
        <v>2511</v>
      </c>
      <c r="Y37" s="126" t="s">
        <v>2511</v>
      </c>
      <c r="Z37" s="57" t="s">
        <v>2582</v>
      </c>
      <c r="AA37" s="57" t="s">
        <v>2583</v>
      </c>
      <c r="AB37" s="57" t="s">
        <v>2584</v>
      </c>
      <c r="AC37" s="57" t="s">
        <v>2516</v>
      </c>
      <c r="AD37" s="65" t="str">
        <f t="shared" si="5"/>
        <v>SDMMC3</v>
      </c>
      <c r="AE37" s="70"/>
      <c r="AF37" s="67" t="str">
        <f t="shared" si="6"/>
        <v>PULL_UP</v>
      </c>
      <c r="AG37" s="67" t="str">
        <f t="shared" si="4"/>
        <v>NORMAL</v>
      </c>
      <c r="AH37" s="67" t="str">
        <f t="shared" si="8"/>
        <v>ENABLE</v>
      </c>
      <c r="AI37" s="71" t="str">
        <f t="shared" si="9"/>
        <v>N/A</v>
      </c>
      <c r="AJ37" s="189" t="b">
        <v>1</v>
      </c>
      <c r="AK37" s="189" t="b">
        <v>1</v>
      </c>
      <c r="AL37" s="189" t="b">
        <v>1</v>
      </c>
      <c r="AM37" s="189" t="b">
        <v>1</v>
      </c>
      <c r="AN37" s="189" t="b">
        <v>1</v>
      </c>
      <c r="AO37" s="189" t="b">
        <v>1</v>
      </c>
      <c r="AP37" s="69" t="str">
        <f t="shared" si="10"/>
        <v>VALID</v>
      </c>
      <c r="AQ37" s="166" t="s">
        <v>30</v>
      </c>
      <c r="AR37" s="194" t="s">
        <v>860</v>
      </c>
      <c r="AS37" s="193" t="s">
        <v>873</v>
      </c>
      <c r="AT37" s="72"/>
      <c r="AU37" s="72"/>
      <c r="AV37" s="72"/>
      <c r="AW37" s="72"/>
      <c r="AX37" s="72"/>
      <c r="AY37" s="72"/>
      <c r="AZ37" s="193"/>
      <c r="BA37" s="193"/>
      <c r="BB37" s="8"/>
      <c r="BC37" s="140"/>
      <c r="BD37" s="11" t="s">
        <v>5487</v>
      </c>
      <c r="BE37" s="334" t="s">
        <v>83</v>
      </c>
    </row>
    <row r="38" spans="1:57" ht="12.95" customHeight="1">
      <c r="A38" s="250" t="s">
        <v>5488</v>
      </c>
      <c r="B38" s="253">
        <v>221</v>
      </c>
      <c r="C38" s="250" t="s">
        <v>31</v>
      </c>
      <c r="D38" s="239" t="s">
        <v>2616</v>
      </c>
      <c r="E38" s="58"/>
      <c r="F38" s="59" t="s">
        <v>153</v>
      </c>
      <c r="G38" s="191" t="s">
        <v>2617</v>
      </c>
      <c r="H38" s="192" t="s">
        <v>31</v>
      </c>
      <c r="I38" s="61" t="s">
        <v>2511</v>
      </c>
      <c r="J38" s="61" t="s">
        <v>2511</v>
      </c>
      <c r="K38" s="62" t="s">
        <v>2511</v>
      </c>
      <c r="L38" s="60" t="s">
        <v>2389</v>
      </c>
      <c r="M38" s="61" t="s">
        <v>2389</v>
      </c>
      <c r="N38" s="61" t="s">
        <v>2511</v>
      </c>
      <c r="O38" s="61" t="s">
        <v>2511</v>
      </c>
      <c r="P38" s="62" t="s">
        <v>2511</v>
      </c>
      <c r="Q38" s="58" t="s">
        <v>66</v>
      </c>
      <c r="R38" s="58" t="s">
        <v>126</v>
      </c>
      <c r="S38" s="58" t="s">
        <v>112</v>
      </c>
      <c r="T38" s="58" t="s">
        <v>113</v>
      </c>
      <c r="U38" s="63" t="s">
        <v>126</v>
      </c>
      <c r="V38" s="138" t="s">
        <v>2618</v>
      </c>
      <c r="W38" s="57" t="s">
        <v>2610</v>
      </c>
      <c r="X38" s="126" t="s">
        <v>2619</v>
      </c>
      <c r="Y38" s="126" t="s">
        <v>2511</v>
      </c>
      <c r="Z38" s="57" t="s">
        <v>2582</v>
      </c>
      <c r="AA38" s="57" t="s">
        <v>2583</v>
      </c>
      <c r="AB38" s="57" t="s">
        <v>2584</v>
      </c>
      <c r="AC38" s="57" t="s">
        <v>2516</v>
      </c>
      <c r="AD38" s="65" t="str">
        <f t="shared" si="5"/>
        <v>SDMMC3</v>
      </c>
      <c r="AE38" s="70"/>
      <c r="AF38" s="67" t="str">
        <f t="shared" si="6"/>
        <v>PULL_UP</v>
      </c>
      <c r="AG38" s="67" t="str">
        <f t="shared" si="4"/>
        <v>NORMAL</v>
      </c>
      <c r="AH38" s="67" t="str">
        <f t="shared" si="8"/>
        <v>ENABLE</v>
      </c>
      <c r="AI38" s="71" t="str">
        <f t="shared" si="9"/>
        <v>N/A</v>
      </c>
      <c r="AJ38" s="189" t="b">
        <v>1</v>
      </c>
      <c r="AK38" s="189" t="b">
        <v>1</v>
      </c>
      <c r="AL38" s="189" t="b">
        <v>1</v>
      </c>
      <c r="AM38" s="189" t="b">
        <v>1</v>
      </c>
      <c r="AN38" s="189" t="b">
        <v>1</v>
      </c>
      <c r="AO38" s="189" t="b">
        <v>1</v>
      </c>
      <c r="AP38" s="69" t="str">
        <f t="shared" si="10"/>
        <v>VALID</v>
      </c>
      <c r="AQ38" s="166" t="s">
        <v>31</v>
      </c>
      <c r="AR38" s="194" t="s">
        <v>860</v>
      </c>
      <c r="AS38" s="193" t="s">
        <v>873</v>
      </c>
      <c r="AT38" s="193" t="s">
        <v>117</v>
      </c>
      <c r="AU38" s="72"/>
      <c r="AV38" s="72"/>
      <c r="AW38" s="72"/>
      <c r="AX38" s="72"/>
      <c r="AY38" s="72"/>
      <c r="AZ38" s="193"/>
      <c r="BA38" s="193"/>
      <c r="BB38" s="8"/>
      <c r="BC38" s="140"/>
      <c r="BD38" s="11" t="s">
        <v>5488</v>
      </c>
      <c r="BE38" s="334" t="s">
        <v>83</v>
      </c>
    </row>
    <row r="39" spans="1:57" ht="12.95" customHeight="1">
      <c r="A39" s="250" t="s">
        <v>5489</v>
      </c>
      <c r="B39" s="253">
        <v>223</v>
      </c>
      <c r="C39" s="250" t="s">
        <v>32</v>
      </c>
      <c r="D39" s="239" t="s">
        <v>2620</v>
      </c>
      <c r="E39" s="58"/>
      <c r="F39" s="59" t="s">
        <v>154</v>
      </c>
      <c r="G39" s="191" t="s">
        <v>2435</v>
      </c>
      <c r="H39" s="192" t="s">
        <v>32</v>
      </c>
      <c r="I39" s="61" t="s">
        <v>2511</v>
      </c>
      <c r="J39" s="61" t="s">
        <v>2511</v>
      </c>
      <c r="K39" s="62" t="s">
        <v>2511</v>
      </c>
      <c r="L39" s="60" t="s">
        <v>2389</v>
      </c>
      <c r="M39" s="61" t="s">
        <v>2389</v>
      </c>
      <c r="N39" s="61" t="s">
        <v>2511</v>
      </c>
      <c r="O39" s="61" t="s">
        <v>2511</v>
      </c>
      <c r="P39" s="62" t="s">
        <v>2511</v>
      </c>
      <c r="Q39" s="58" t="s">
        <v>66</v>
      </c>
      <c r="R39" s="58" t="s">
        <v>126</v>
      </c>
      <c r="S39" s="58" t="s">
        <v>112</v>
      </c>
      <c r="T39" s="58" t="s">
        <v>113</v>
      </c>
      <c r="U39" s="63" t="s">
        <v>126</v>
      </c>
      <c r="V39" s="138" t="s">
        <v>2621</v>
      </c>
      <c r="W39" s="57" t="s">
        <v>2610</v>
      </c>
      <c r="X39" s="126" t="s">
        <v>2511</v>
      </c>
      <c r="Y39" s="126" t="s">
        <v>2511</v>
      </c>
      <c r="Z39" s="57" t="s">
        <v>2582</v>
      </c>
      <c r="AA39" s="57" t="s">
        <v>2583</v>
      </c>
      <c r="AB39" s="57" t="s">
        <v>2584</v>
      </c>
      <c r="AC39" s="57" t="s">
        <v>2516</v>
      </c>
      <c r="AD39" s="65" t="str">
        <f t="shared" si="5"/>
        <v>SDMMC3</v>
      </c>
      <c r="AE39" s="70"/>
      <c r="AF39" s="67" t="str">
        <f t="shared" si="6"/>
        <v>PULL_UP</v>
      </c>
      <c r="AG39" s="67" t="str">
        <f t="shared" si="4"/>
        <v>NORMAL</v>
      </c>
      <c r="AH39" s="67" t="str">
        <f t="shared" si="8"/>
        <v>ENABLE</v>
      </c>
      <c r="AI39" s="71" t="str">
        <f t="shared" si="9"/>
        <v>N/A</v>
      </c>
      <c r="AJ39" s="189" t="b">
        <v>1</v>
      </c>
      <c r="AK39" s="189" t="b">
        <v>1</v>
      </c>
      <c r="AL39" s="189" t="b">
        <v>1</v>
      </c>
      <c r="AM39" s="189" t="b">
        <v>1</v>
      </c>
      <c r="AN39" s="189" t="b">
        <v>1</v>
      </c>
      <c r="AO39" s="189" t="b">
        <v>1</v>
      </c>
      <c r="AP39" s="69" t="str">
        <f t="shared" si="10"/>
        <v>VALID</v>
      </c>
      <c r="AQ39" s="166" t="s">
        <v>32</v>
      </c>
      <c r="AR39" s="194" t="s">
        <v>860</v>
      </c>
      <c r="AS39" s="193" t="s">
        <v>873</v>
      </c>
      <c r="AT39" s="72"/>
      <c r="AU39" s="72"/>
      <c r="AV39" s="72"/>
      <c r="AW39" s="72"/>
      <c r="AX39" s="72"/>
      <c r="AY39" s="72"/>
      <c r="AZ39" s="193"/>
      <c r="BA39" s="193"/>
      <c r="BB39" s="8"/>
      <c r="BC39" s="140"/>
      <c r="BD39" s="11" t="s">
        <v>5489</v>
      </c>
      <c r="BE39" s="334" t="s">
        <v>83</v>
      </c>
    </row>
    <row r="40" spans="1:57" ht="12.75" customHeight="1">
      <c r="A40" s="250" t="s">
        <v>5490</v>
      </c>
      <c r="B40" s="253">
        <v>225</v>
      </c>
      <c r="C40" s="250" t="s">
        <v>33</v>
      </c>
      <c r="D40" s="239" t="s">
        <v>2622</v>
      </c>
      <c r="E40" s="58"/>
      <c r="F40" s="59" t="s">
        <v>155</v>
      </c>
      <c r="G40" s="191" t="s">
        <v>2436</v>
      </c>
      <c r="H40" s="192" t="s">
        <v>33</v>
      </c>
      <c r="I40" s="61" t="s">
        <v>2511</v>
      </c>
      <c r="J40" s="61" t="s">
        <v>2511</v>
      </c>
      <c r="K40" s="62" t="s">
        <v>2511</v>
      </c>
      <c r="L40" s="60" t="s">
        <v>2389</v>
      </c>
      <c r="M40" s="61" t="s">
        <v>2389</v>
      </c>
      <c r="N40" s="61" t="s">
        <v>2511</v>
      </c>
      <c r="O40" s="61" t="s">
        <v>2511</v>
      </c>
      <c r="P40" s="62" t="s">
        <v>2511</v>
      </c>
      <c r="Q40" s="58" t="s">
        <v>66</v>
      </c>
      <c r="R40" s="58" t="s">
        <v>126</v>
      </c>
      <c r="S40" s="58" t="s">
        <v>112</v>
      </c>
      <c r="T40" s="58" t="s">
        <v>113</v>
      </c>
      <c r="U40" s="63" t="s">
        <v>126</v>
      </c>
      <c r="V40" s="138" t="s">
        <v>2623</v>
      </c>
      <c r="W40" s="57" t="s">
        <v>2610</v>
      </c>
      <c r="X40" s="126" t="s">
        <v>2511</v>
      </c>
      <c r="Y40" s="126" t="s">
        <v>2511</v>
      </c>
      <c r="Z40" s="57" t="s">
        <v>2582</v>
      </c>
      <c r="AA40" s="57" t="s">
        <v>2583</v>
      </c>
      <c r="AB40" s="57" t="s">
        <v>2584</v>
      </c>
      <c r="AC40" s="57" t="s">
        <v>2516</v>
      </c>
      <c r="AD40" s="65" t="str">
        <f t="shared" si="5"/>
        <v>SDMMC3</v>
      </c>
      <c r="AE40" s="70"/>
      <c r="AF40" s="67" t="str">
        <f t="shared" si="6"/>
        <v>PULL_UP</v>
      </c>
      <c r="AG40" s="67" t="str">
        <f t="shared" si="4"/>
        <v>NORMAL</v>
      </c>
      <c r="AH40" s="67" t="str">
        <f t="shared" si="8"/>
        <v>ENABLE</v>
      </c>
      <c r="AI40" s="71" t="str">
        <f t="shared" si="9"/>
        <v>N/A</v>
      </c>
      <c r="AJ40" s="189" t="b">
        <v>1</v>
      </c>
      <c r="AK40" s="189" t="b">
        <v>1</v>
      </c>
      <c r="AL40" s="189" t="b">
        <v>1</v>
      </c>
      <c r="AM40" s="189" t="b">
        <v>1</v>
      </c>
      <c r="AN40" s="189" t="b">
        <v>1</v>
      </c>
      <c r="AO40" s="189" t="b">
        <v>1</v>
      </c>
      <c r="AP40" s="69" t="str">
        <f t="shared" si="10"/>
        <v>VALID</v>
      </c>
      <c r="AQ40" s="166" t="s">
        <v>33</v>
      </c>
      <c r="AR40" s="194" t="s">
        <v>860</v>
      </c>
      <c r="AS40" s="193" t="s">
        <v>873</v>
      </c>
      <c r="AT40" s="72"/>
      <c r="AU40" s="72"/>
      <c r="AV40" s="72"/>
      <c r="AW40" s="72"/>
      <c r="AX40" s="72"/>
      <c r="AY40" s="72"/>
      <c r="AZ40" s="193"/>
      <c r="BA40" s="193"/>
      <c r="BB40" s="8"/>
      <c r="BC40" s="140"/>
      <c r="BD40" s="11" t="s">
        <v>5490</v>
      </c>
      <c r="BE40" s="335" t="s">
        <v>83</v>
      </c>
    </row>
    <row r="41" spans="1:57" s="56" customFormat="1" ht="18" hidden="1" customHeight="1">
      <c r="A41" s="361"/>
      <c r="B41" s="362"/>
      <c r="C41" s="264" t="s">
        <v>840</v>
      </c>
      <c r="D41" s="264"/>
      <c r="E41" s="51"/>
      <c r="F41" s="51"/>
      <c r="G41" s="52"/>
      <c r="H41" s="52"/>
      <c r="I41" s="52"/>
      <c r="J41" s="52"/>
      <c r="K41" s="52"/>
      <c r="L41" s="51"/>
      <c r="M41" s="51"/>
      <c r="N41" s="51"/>
      <c r="O41" s="51"/>
      <c r="P41" s="51"/>
      <c r="Q41" s="51"/>
      <c r="R41" s="51"/>
      <c r="S41" s="51"/>
      <c r="T41" s="51"/>
      <c r="U41" s="51"/>
      <c r="V41" s="51"/>
      <c r="W41" s="51"/>
      <c r="X41" s="125"/>
      <c r="Y41" s="125"/>
      <c r="Z41" s="53"/>
      <c r="AA41" s="53"/>
      <c r="AB41" s="53"/>
      <c r="AC41" s="53"/>
      <c r="AD41" s="53"/>
      <c r="AE41" s="53"/>
      <c r="AF41" s="53"/>
      <c r="AG41" s="53"/>
      <c r="AH41" s="53"/>
      <c r="AI41" s="53"/>
      <c r="AJ41" s="53" t="b">
        <v>0</v>
      </c>
      <c r="AK41" s="53"/>
      <c r="AL41" s="53"/>
      <c r="AM41" s="53"/>
      <c r="AN41" s="53"/>
      <c r="AO41" s="53"/>
      <c r="AP41" s="53"/>
      <c r="AQ41" s="54"/>
      <c r="AR41" s="54"/>
      <c r="AS41" s="55"/>
      <c r="AT41" s="55"/>
      <c r="AU41" s="55"/>
      <c r="AV41" s="55"/>
      <c r="AW41" s="55"/>
      <c r="AX41" s="55"/>
      <c r="AY41" s="55"/>
      <c r="AZ41" s="55"/>
      <c r="BA41" s="55"/>
      <c r="BB41" s="55"/>
      <c r="BC41" s="175" t="s">
        <v>59</v>
      </c>
      <c r="BD41" s="185"/>
      <c r="BE41" s="207" t="s">
        <v>840</v>
      </c>
    </row>
    <row r="42" spans="1:57" ht="12.95" hidden="1" customHeight="1">
      <c r="A42" s="248" t="e">
        <v>#N/A</v>
      </c>
      <c r="B42" s="252" t="e">
        <v>#N/A</v>
      </c>
      <c r="C42" s="248" t="s">
        <v>709</v>
      </c>
      <c r="D42" s="239" t="s">
        <v>2625</v>
      </c>
      <c r="E42" s="58"/>
      <c r="F42" s="59" t="s">
        <v>777</v>
      </c>
      <c r="G42" s="191" t="s">
        <v>2437</v>
      </c>
      <c r="H42" s="192" t="s">
        <v>709</v>
      </c>
      <c r="I42" s="61" t="s">
        <v>2511</v>
      </c>
      <c r="J42" s="61" t="s">
        <v>2511</v>
      </c>
      <c r="K42" s="62" t="s">
        <v>2511</v>
      </c>
      <c r="L42" s="60" t="s">
        <v>2389</v>
      </c>
      <c r="M42" s="61" t="s">
        <v>2388</v>
      </c>
      <c r="N42" s="61" t="s">
        <v>2511</v>
      </c>
      <c r="O42" s="61" t="s">
        <v>2511</v>
      </c>
      <c r="P42" s="62" t="s">
        <v>2511</v>
      </c>
      <c r="Q42" s="58" t="s">
        <v>840</v>
      </c>
      <c r="R42" s="58" t="s">
        <v>126</v>
      </c>
      <c r="S42" s="58" t="s">
        <v>112</v>
      </c>
      <c r="T42" s="58" t="s">
        <v>113</v>
      </c>
      <c r="U42" s="63" t="s">
        <v>126</v>
      </c>
      <c r="V42" s="137" t="s">
        <v>2626</v>
      </c>
      <c r="W42" s="57" t="s">
        <v>2627</v>
      </c>
      <c r="X42" s="126" t="s">
        <v>2511</v>
      </c>
      <c r="Y42" s="126" t="s">
        <v>2511</v>
      </c>
      <c r="Z42" s="57" t="s">
        <v>2628</v>
      </c>
      <c r="AA42" s="57" t="s">
        <v>2629</v>
      </c>
      <c r="AB42" s="57" t="s">
        <v>2630</v>
      </c>
      <c r="AC42" s="57" t="s">
        <v>2631</v>
      </c>
      <c r="AD42" s="65" t="str">
        <f t="shared" si="5"/>
        <v>EQOS</v>
      </c>
      <c r="AE42" s="70"/>
      <c r="AF42" s="67" t="str">
        <f t="shared" si="6"/>
        <v>NORMAL</v>
      </c>
      <c r="AG42" s="67" t="str">
        <f t="shared" si="4"/>
        <v>NORMAL</v>
      </c>
      <c r="AH42" s="67" t="str">
        <f t="shared" si="8"/>
        <v>DISABLE</v>
      </c>
      <c r="AI42" s="71" t="str">
        <f t="shared" si="9"/>
        <v>N/A</v>
      </c>
      <c r="AJ42" s="189" t="b">
        <v>1</v>
      </c>
      <c r="AK42" s="189" t="b">
        <v>1</v>
      </c>
      <c r="AL42" s="189" t="b">
        <v>1</v>
      </c>
      <c r="AM42" s="189" t="b">
        <v>1</v>
      </c>
      <c r="AN42" s="189" t="b">
        <v>1</v>
      </c>
      <c r="AO42" s="189" t="b">
        <v>1</v>
      </c>
      <c r="AP42" s="69" t="str">
        <f t="shared" ref="AP42:AP55" si="11">IF(AND($AJ42:$AO42), "VALID", "INVALID")</f>
        <v>VALID</v>
      </c>
      <c r="AQ42" s="166" t="s">
        <v>709</v>
      </c>
      <c r="AR42" s="194" t="s">
        <v>861</v>
      </c>
      <c r="AS42" s="193"/>
      <c r="AT42" s="72"/>
      <c r="AU42" s="5"/>
      <c r="AV42" s="5"/>
      <c r="AW42" s="72"/>
      <c r="AX42" s="72"/>
      <c r="AY42" s="72"/>
      <c r="AZ42" s="193"/>
      <c r="BA42" s="193"/>
      <c r="BB42" s="8"/>
      <c r="BC42" s="140"/>
      <c r="BD42" s="11" t="s">
        <v>2624</v>
      </c>
      <c r="BE42" s="333" t="s">
        <v>5534</v>
      </c>
    </row>
    <row r="43" spans="1:57" ht="12.95" hidden="1" customHeight="1">
      <c r="A43" s="248" t="e">
        <v>#N/A</v>
      </c>
      <c r="B43" s="252" t="e">
        <v>#N/A</v>
      </c>
      <c r="C43" s="248" t="s">
        <v>710</v>
      </c>
      <c r="D43" s="239" t="s">
        <v>2634</v>
      </c>
      <c r="E43" s="58"/>
      <c r="F43" s="59" t="s">
        <v>778</v>
      </c>
      <c r="G43" s="191" t="s">
        <v>2438</v>
      </c>
      <c r="H43" s="192" t="s">
        <v>710</v>
      </c>
      <c r="I43" s="61" t="s">
        <v>2511</v>
      </c>
      <c r="J43" s="61" t="s">
        <v>2511</v>
      </c>
      <c r="K43" s="62" t="s">
        <v>2511</v>
      </c>
      <c r="L43" s="60" t="s">
        <v>2389</v>
      </c>
      <c r="M43" s="61" t="s">
        <v>2388</v>
      </c>
      <c r="N43" s="61" t="s">
        <v>2511</v>
      </c>
      <c r="O43" s="61" t="s">
        <v>2511</v>
      </c>
      <c r="P43" s="62" t="s">
        <v>2511</v>
      </c>
      <c r="Q43" s="58" t="s">
        <v>840</v>
      </c>
      <c r="R43" s="58" t="s">
        <v>126</v>
      </c>
      <c r="S43" s="58" t="s">
        <v>112</v>
      </c>
      <c r="T43" s="58" t="s">
        <v>113</v>
      </c>
      <c r="U43" s="63" t="s">
        <v>126</v>
      </c>
      <c r="V43" s="138" t="s">
        <v>2635</v>
      </c>
      <c r="W43" s="57" t="s">
        <v>2627</v>
      </c>
      <c r="X43" s="126" t="s">
        <v>2511</v>
      </c>
      <c r="Y43" s="126" t="s">
        <v>2511</v>
      </c>
      <c r="Z43" s="57" t="s">
        <v>2628</v>
      </c>
      <c r="AA43" s="57" t="s">
        <v>2629</v>
      </c>
      <c r="AB43" s="57" t="s">
        <v>2630</v>
      </c>
      <c r="AC43" s="57" t="s">
        <v>2631</v>
      </c>
      <c r="AD43" s="65" t="str">
        <f t="shared" si="5"/>
        <v>EQOS</v>
      </c>
      <c r="AE43" s="70"/>
      <c r="AF43" s="67" t="str">
        <f t="shared" si="6"/>
        <v>NORMAL</v>
      </c>
      <c r="AG43" s="67" t="str">
        <f t="shared" si="4"/>
        <v>NORMAL</v>
      </c>
      <c r="AH43" s="67" t="str">
        <f t="shared" si="8"/>
        <v>DISABLE</v>
      </c>
      <c r="AI43" s="71" t="str">
        <f t="shared" si="9"/>
        <v>N/A</v>
      </c>
      <c r="AJ43" s="189" t="b">
        <v>1</v>
      </c>
      <c r="AK43" s="189" t="b">
        <v>1</v>
      </c>
      <c r="AL43" s="189" t="b">
        <v>1</v>
      </c>
      <c r="AM43" s="189" t="b">
        <v>1</v>
      </c>
      <c r="AN43" s="189" t="b">
        <v>1</v>
      </c>
      <c r="AO43" s="189" t="b">
        <v>1</v>
      </c>
      <c r="AP43" s="69" t="str">
        <f t="shared" si="11"/>
        <v>VALID</v>
      </c>
      <c r="AQ43" s="166" t="s">
        <v>710</v>
      </c>
      <c r="AR43" s="194" t="s">
        <v>861</v>
      </c>
      <c r="AS43" s="193"/>
      <c r="AT43" s="72"/>
      <c r="AU43" s="5"/>
      <c r="AV43" s="5"/>
      <c r="AW43" s="72"/>
      <c r="AX43" s="72"/>
      <c r="AY43" s="72"/>
      <c r="AZ43" s="193"/>
      <c r="BA43" s="193"/>
      <c r="BB43" s="8"/>
      <c r="BC43" s="140"/>
      <c r="BD43" s="11" t="s">
        <v>2632</v>
      </c>
      <c r="BE43" s="334"/>
    </row>
    <row r="44" spans="1:57" ht="12.95" hidden="1" customHeight="1">
      <c r="A44" s="248" t="e">
        <v>#N/A</v>
      </c>
      <c r="B44" s="252" t="e">
        <v>#N/A</v>
      </c>
      <c r="C44" s="248" t="s">
        <v>711</v>
      </c>
      <c r="D44" s="239" t="s">
        <v>2638</v>
      </c>
      <c r="E44" s="58"/>
      <c r="F44" s="59" t="s">
        <v>779</v>
      </c>
      <c r="G44" s="191" t="s">
        <v>2439</v>
      </c>
      <c r="H44" s="192" t="s">
        <v>711</v>
      </c>
      <c r="I44" s="61" t="s">
        <v>2511</v>
      </c>
      <c r="J44" s="61" t="s">
        <v>2511</v>
      </c>
      <c r="K44" s="62" t="s">
        <v>2511</v>
      </c>
      <c r="L44" s="60" t="s">
        <v>2389</v>
      </c>
      <c r="M44" s="61" t="s">
        <v>2388</v>
      </c>
      <c r="N44" s="61" t="s">
        <v>2511</v>
      </c>
      <c r="O44" s="61" t="s">
        <v>2511</v>
      </c>
      <c r="P44" s="62" t="s">
        <v>2511</v>
      </c>
      <c r="Q44" s="58" t="s">
        <v>840</v>
      </c>
      <c r="R44" s="58" t="s">
        <v>126</v>
      </c>
      <c r="S44" s="58" t="s">
        <v>112</v>
      </c>
      <c r="T44" s="58" t="s">
        <v>113</v>
      </c>
      <c r="U44" s="63" t="s">
        <v>126</v>
      </c>
      <c r="V44" s="138" t="s">
        <v>2639</v>
      </c>
      <c r="W44" s="57" t="s">
        <v>2627</v>
      </c>
      <c r="X44" s="126" t="s">
        <v>2511</v>
      </c>
      <c r="Y44" s="126" t="s">
        <v>2511</v>
      </c>
      <c r="Z44" s="57" t="s">
        <v>2628</v>
      </c>
      <c r="AA44" s="57" t="s">
        <v>2629</v>
      </c>
      <c r="AB44" s="57" t="s">
        <v>2630</v>
      </c>
      <c r="AC44" s="57" t="s">
        <v>2631</v>
      </c>
      <c r="AD44" s="65" t="str">
        <f t="shared" si="5"/>
        <v>EQOS</v>
      </c>
      <c r="AE44" s="70"/>
      <c r="AF44" s="67" t="str">
        <f t="shared" si="6"/>
        <v>NORMAL</v>
      </c>
      <c r="AG44" s="67" t="str">
        <f t="shared" si="4"/>
        <v>NORMAL</v>
      </c>
      <c r="AH44" s="67" t="str">
        <f t="shared" si="8"/>
        <v>DISABLE</v>
      </c>
      <c r="AI44" s="71" t="str">
        <f t="shared" si="9"/>
        <v>N/A</v>
      </c>
      <c r="AJ44" s="189" t="b">
        <v>1</v>
      </c>
      <c r="AK44" s="189" t="b">
        <v>1</v>
      </c>
      <c r="AL44" s="189" t="b">
        <v>1</v>
      </c>
      <c r="AM44" s="189" t="b">
        <v>1</v>
      </c>
      <c r="AN44" s="189" t="b">
        <v>1</v>
      </c>
      <c r="AO44" s="189" t="b">
        <v>1</v>
      </c>
      <c r="AP44" s="69" t="str">
        <f t="shared" si="11"/>
        <v>VALID</v>
      </c>
      <c r="AQ44" s="166" t="s">
        <v>711</v>
      </c>
      <c r="AR44" s="194" t="s">
        <v>861</v>
      </c>
      <c r="AS44" s="193"/>
      <c r="AT44" s="72"/>
      <c r="AU44" s="72"/>
      <c r="AV44" s="72"/>
      <c r="AW44" s="72"/>
      <c r="AX44" s="72"/>
      <c r="AY44" s="72"/>
      <c r="AZ44" s="193"/>
      <c r="BA44" s="193"/>
      <c r="BB44" s="8"/>
      <c r="BC44" s="140"/>
      <c r="BD44" s="11" t="s">
        <v>2636</v>
      </c>
      <c r="BE44" s="334"/>
    </row>
    <row r="45" spans="1:57" ht="14.25" hidden="1" customHeight="1">
      <c r="A45" s="248" t="e">
        <v>#N/A</v>
      </c>
      <c r="B45" s="252" t="e">
        <v>#N/A</v>
      </c>
      <c r="C45" s="248" t="s">
        <v>712</v>
      </c>
      <c r="D45" s="239" t="s">
        <v>2642</v>
      </c>
      <c r="E45" s="58"/>
      <c r="F45" s="59" t="s">
        <v>780</v>
      </c>
      <c r="G45" s="191" t="s">
        <v>2440</v>
      </c>
      <c r="H45" s="192" t="s">
        <v>712</v>
      </c>
      <c r="I45" s="61" t="s">
        <v>2511</v>
      </c>
      <c r="J45" s="61" t="s">
        <v>2511</v>
      </c>
      <c r="K45" s="62" t="s">
        <v>2511</v>
      </c>
      <c r="L45" s="60" t="s">
        <v>2389</v>
      </c>
      <c r="M45" s="61" t="s">
        <v>2388</v>
      </c>
      <c r="N45" s="61" t="s">
        <v>2511</v>
      </c>
      <c r="O45" s="61" t="s">
        <v>2511</v>
      </c>
      <c r="P45" s="62" t="s">
        <v>2511</v>
      </c>
      <c r="Q45" s="58" t="s">
        <v>840</v>
      </c>
      <c r="R45" s="58" t="s">
        <v>126</v>
      </c>
      <c r="S45" s="58" t="s">
        <v>112</v>
      </c>
      <c r="T45" s="58" t="s">
        <v>113</v>
      </c>
      <c r="U45" s="63" t="s">
        <v>126</v>
      </c>
      <c r="V45" s="138" t="s">
        <v>2643</v>
      </c>
      <c r="W45" s="57" t="s">
        <v>2627</v>
      </c>
      <c r="X45" s="126" t="s">
        <v>2511</v>
      </c>
      <c r="Y45" s="126" t="s">
        <v>2511</v>
      </c>
      <c r="Z45" s="57" t="s">
        <v>2628</v>
      </c>
      <c r="AA45" s="57" t="s">
        <v>2629</v>
      </c>
      <c r="AB45" s="57" t="s">
        <v>2630</v>
      </c>
      <c r="AC45" s="57" t="s">
        <v>2631</v>
      </c>
      <c r="AD45" s="65" t="str">
        <f t="shared" si="5"/>
        <v>EQOS</v>
      </c>
      <c r="AE45" s="70"/>
      <c r="AF45" s="67" t="str">
        <f t="shared" si="6"/>
        <v>NORMAL</v>
      </c>
      <c r="AG45" s="67" t="str">
        <f t="shared" si="4"/>
        <v>NORMAL</v>
      </c>
      <c r="AH45" s="67" t="str">
        <f t="shared" si="8"/>
        <v>DISABLE</v>
      </c>
      <c r="AI45" s="71" t="str">
        <f t="shared" si="9"/>
        <v>N/A</v>
      </c>
      <c r="AJ45" s="189" t="b">
        <v>1</v>
      </c>
      <c r="AK45" s="189" t="b">
        <v>1</v>
      </c>
      <c r="AL45" s="189" t="b">
        <v>1</v>
      </c>
      <c r="AM45" s="189" t="b">
        <v>1</v>
      </c>
      <c r="AN45" s="189" t="b">
        <v>1</v>
      </c>
      <c r="AO45" s="189" t="b">
        <v>1</v>
      </c>
      <c r="AP45" s="69" t="str">
        <f t="shared" si="11"/>
        <v>VALID</v>
      </c>
      <c r="AQ45" s="166" t="s">
        <v>712</v>
      </c>
      <c r="AR45" s="194" t="s">
        <v>861</v>
      </c>
      <c r="AS45" s="193"/>
      <c r="AT45" s="72"/>
      <c r="AU45" s="72"/>
      <c r="AV45" s="72"/>
      <c r="AW45" s="72"/>
      <c r="AX45" s="72"/>
      <c r="AY45" s="72"/>
      <c r="AZ45" s="193"/>
      <c r="BA45" s="193"/>
      <c r="BB45" s="8"/>
      <c r="BC45" s="140"/>
      <c r="BD45" s="11" t="s">
        <v>2640</v>
      </c>
      <c r="BE45" s="334"/>
    </row>
    <row r="46" spans="1:57" ht="12.95" hidden="1" customHeight="1">
      <c r="A46" s="248" t="e">
        <v>#N/A</v>
      </c>
      <c r="B46" s="252" t="e">
        <v>#N/A</v>
      </c>
      <c r="C46" s="248" t="s">
        <v>713</v>
      </c>
      <c r="D46" s="239" t="s">
        <v>2646</v>
      </c>
      <c r="E46" s="58"/>
      <c r="F46" s="59" t="s">
        <v>781</v>
      </c>
      <c r="G46" s="191" t="s">
        <v>2441</v>
      </c>
      <c r="H46" s="192" t="s">
        <v>713</v>
      </c>
      <c r="I46" s="61" t="s">
        <v>2511</v>
      </c>
      <c r="J46" s="61" t="s">
        <v>2511</v>
      </c>
      <c r="K46" s="62" t="s">
        <v>2511</v>
      </c>
      <c r="L46" s="60" t="s">
        <v>2389</v>
      </c>
      <c r="M46" s="61" t="s">
        <v>2388</v>
      </c>
      <c r="N46" s="61" t="s">
        <v>2511</v>
      </c>
      <c r="O46" s="61" t="s">
        <v>2511</v>
      </c>
      <c r="P46" s="62" t="s">
        <v>2511</v>
      </c>
      <c r="Q46" s="58" t="s">
        <v>840</v>
      </c>
      <c r="R46" s="58" t="s">
        <v>126</v>
      </c>
      <c r="S46" s="58" t="s">
        <v>112</v>
      </c>
      <c r="T46" s="58" t="s">
        <v>113</v>
      </c>
      <c r="U46" s="63" t="s">
        <v>126</v>
      </c>
      <c r="V46" s="138" t="s">
        <v>2647</v>
      </c>
      <c r="W46" s="57" t="s">
        <v>2627</v>
      </c>
      <c r="X46" s="126" t="s">
        <v>2511</v>
      </c>
      <c r="Y46" s="126" t="s">
        <v>2511</v>
      </c>
      <c r="Z46" s="57" t="s">
        <v>2628</v>
      </c>
      <c r="AA46" s="57" t="s">
        <v>2629</v>
      </c>
      <c r="AB46" s="57" t="s">
        <v>2630</v>
      </c>
      <c r="AC46" s="57" t="s">
        <v>2631</v>
      </c>
      <c r="AD46" s="65" t="str">
        <f t="shared" si="5"/>
        <v>EQOS</v>
      </c>
      <c r="AE46" s="70"/>
      <c r="AF46" s="67" t="str">
        <f t="shared" si="6"/>
        <v>NORMAL</v>
      </c>
      <c r="AG46" s="67" t="str">
        <f t="shared" si="4"/>
        <v>NORMAL</v>
      </c>
      <c r="AH46" s="67" t="str">
        <f t="shared" si="8"/>
        <v>DISABLE</v>
      </c>
      <c r="AI46" s="71" t="str">
        <f t="shared" si="9"/>
        <v>N/A</v>
      </c>
      <c r="AJ46" s="189" t="b">
        <v>1</v>
      </c>
      <c r="AK46" s="189" t="b">
        <v>1</v>
      </c>
      <c r="AL46" s="189" t="b">
        <v>1</v>
      </c>
      <c r="AM46" s="189" t="b">
        <v>1</v>
      </c>
      <c r="AN46" s="189" t="b">
        <v>1</v>
      </c>
      <c r="AO46" s="189" t="b">
        <v>1</v>
      </c>
      <c r="AP46" s="69" t="str">
        <f t="shared" si="11"/>
        <v>VALID</v>
      </c>
      <c r="AQ46" s="166" t="s">
        <v>713</v>
      </c>
      <c r="AR46" s="194" t="s">
        <v>861</v>
      </c>
      <c r="AS46" s="193"/>
      <c r="AT46" s="72"/>
      <c r="AU46" s="72"/>
      <c r="AV46" s="72"/>
      <c r="AW46" s="72"/>
      <c r="AX46" s="72"/>
      <c r="AY46" s="72"/>
      <c r="AZ46" s="193"/>
      <c r="BA46" s="193"/>
      <c r="BB46" s="8"/>
      <c r="BC46" s="140"/>
      <c r="BD46" s="11" t="s">
        <v>2644</v>
      </c>
      <c r="BE46" s="334"/>
    </row>
    <row r="47" spans="1:57" ht="12.95" hidden="1" customHeight="1">
      <c r="A47" s="248" t="e">
        <v>#N/A</v>
      </c>
      <c r="B47" s="252" t="e">
        <v>#N/A</v>
      </c>
      <c r="C47" s="248" t="s">
        <v>714</v>
      </c>
      <c r="D47" s="239" t="s">
        <v>2649</v>
      </c>
      <c r="E47" s="58"/>
      <c r="F47" s="59" t="s">
        <v>782</v>
      </c>
      <c r="G47" s="191" t="s">
        <v>2442</v>
      </c>
      <c r="H47" s="192" t="s">
        <v>714</v>
      </c>
      <c r="I47" s="61" t="s">
        <v>2511</v>
      </c>
      <c r="J47" s="61" t="s">
        <v>2511</v>
      </c>
      <c r="K47" s="62" t="s">
        <v>2511</v>
      </c>
      <c r="L47" s="60" t="s">
        <v>2389</v>
      </c>
      <c r="M47" s="61" t="s">
        <v>2388</v>
      </c>
      <c r="N47" s="61" t="s">
        <v>2511</v>
      </c>
      <c r="O47" s="61" t="s">
        <v>2511</v>
      </c>
      <c r="P47" s="62" t="s">
        <v>2511</v>
      </c>
      <c r="Q47" s="58" t="s">
        <v>840</v>
      </c>
      <c r="R47" s="58" t="s">
        <v>126</v>
      </c>
      <c r="S47" s="58" t="s">
        <v>112</v>
      </c>
      <c r="T47" s="58" t="s">
        <v>113</v>
      </c>
      <c r="U47" s="63" t="s">
        <v>126</v>
      </c>
      <c r="V47" s="138" t="s">
        <v>2650</v>
      </c>
      <c r="W47" s="57" t="s">
        <v>2627</v>
      </c>
      <c r="X47" s="126" t="s">
        <v>2511</v>
      </c>
      <c r="Y47" s="126" t="s">
        <v>2511</v>
      </c>
      <c r="Z47" s="57" t="s">
        <v>2628</v>
      </c>
      <c r="AA47" s="57" t="s">
        <v>2629</v>
      </c>
      <c r="AB47" s="57" t="s">
        <v>2630</v>
      </c>
      <c r="AC47" s="57" t="s">
        <v>2631</v>
      </c>
      <c r="AD47" s="65" t="str">
        <f t="shared" si="5"/>
        <v>EQOS</v>
      </c>
      <c r="AE47" s="70"/>
      <c r="AF47" s="67" t="str">
        <f t="shared" si="6"/>
        <v>NORMAL</v>
      </c>
      <c r="AG47" s="67" t="str">
        <f t="shared" si="4"/>
        <v>NORMAL</v>
      </c>
      <c r="AH47" s="67" t="str">
        <f t="shared" si="8"/>
        <v>DISABLE</v>
      </c>
      <c r="AI47" s="71" t="str">
        <f t="shared" si="9"/>
        <v>N/A</v>
      </c>
      <c r="AJ47" s="189" t="b">
        <v>1</v>
      </c>
      <c r="AK47" s="189" t="b">
        <v>1</v>
      </c>
      <c r="AL47" s="189" t="b">
        <v>1</v>
      </c>
      <c r="AM47" s="189" t="b">
        <v>1</v>
      </c>
      <c r="AN47" s="189" t="b">
        <v>1</v>
      </c>
      <c r="AO47" s="189" t="b">
        <v>1</v>
      </c>
      <c r="AP47" s="69" t="str">
        <f t="shared" si="11"/>
        <v>VALID</v>
      </c>
      <c r="AQ47" s="169" t="s">
        <v>714</v>
      </c>
      <c r="AR47" s="170" t="s">
        <v>861</v>
      </c>
      <c r="AS47" s="9"/>
      <c r="AT47" s="72"/>
      <c r="AU47" s="10"/>
      <c r="AV47" s="10"/>
      <c r="AW47" s="10"/>
      <c r="AX47" s="10"/>
      <c r="AY47" s="10"/>
      <c r="AZ47" s="9"/>
      <c r="BA47" s="9"/>
      <c r="BB47" s="14"/>
      <c r="BC47" s="141"/>
      <c r="BD47" s="12" t="s">
        <v>2648</v>
      </c>
      <c r="BE47" s="334"/>
    </row>
    <row r="48" spans="1:57" ht="12.95" hidden="1" customHeight="1">
      <c r="A48" s="248" t="e">
        <v>#N/A</v>
      </c>
      <c r="B48" s="252" t="e">
        <v>#N/A</v>
      </c>
      <c r="C48" s="248" t="s">
        <v>715</v>
      </c>
      <c r="D48" s="239" t="s">
        <v>2653</v>
      </c>
      <c r="E48" s="58"/>
      <c r="F48" s="59" t="s">
        <v>783</v>
      </c>
      <c r="G48" s="191" t="s">
        <v>2443</v>
      </c>
      <c r="H48" s="192" t="s">
        <v>715</v>
      </c>
      <c r="I48" s="61" t="s">
        <v>2511</v>
      </c>
      <c r="J48" s="61" t="s">
        <v>2511</v>
      </c>
      <c r="K48" s="62" t="s">
        <v>2511</v>
      </c>
      <c r="L48" s="60" t="s">
        <v>2389</v>
      </c>
      <c r="M48" s="61" t="s">
        <v>2523</v>
      </c>
      <c r="N48" s="61" t="s">
        <v>2511</v>
      </c>
      <c r="O48" s="61" t="s">
        <v>2511</v>
      </c>
      <c r="P48" s="62" t="s">
        <v>2511</v>
      </c>
      <c r="Q48" s="58" t="s">
        <v>840</v>
      </c>
      <c r="R48" s="58" t="s">
        <v>126</v>
      </c>
      <c r="S48" s="58" t="s">
        <v>112</v>
      </c>
      <c r="T48" s="58" t="s">
        <v>113</v>
      </c>
      <c r="U48" s="63" t="s">
        <v>126</v>
      </c>
      <c r="V48" s="138" t="s">
        <v>2654</v>
      </c>
      <c r="W48" s="57" t="s">
        <v>2627</v>
      </c>
      <c r="X48" s="126" t="s">
        <v>2511</v>
      </c>
      <c r="Y48" s="126" t="s">
        <v>2511</v>
      </c>
      <c r="Z48" s="57" t="s">
        <v>2628</v>
      </c>
      <c r="AA48" s="57" t="s">
        <v>2629</v>
      </c>
      <c r="AB48" s="57" t="s">
        <v>2630</v>
      </c>
      <c r="AC48" s="57" t="s">
        <v>2631</v>
      </c>
      <c r="AD48" s="65" t="str">
        <f t="shared" si="5"/>
        <v>EQOS</v>
      </c>
      <c r="AE48" s="70"/>
      <c r="AF48" s="67" t="str">
        <f t="shared" si="6"/>
        <v>NORMAL</v>
      </c>
      <c r="AG48" s="67" t="str">
        <f t="shared" si="4"/>
        <v>TRISTATE</v>
      </c>
      <c r="AH48" s="67" t="str">
        <f t="shared" si="8"/>
        <v>ENABLE</v>
      </c>
      <c r="AI48" s="71" t="str">
        <f t="shared" si="9"/>
        <v>N/A</v>
      </c>
      <c r="AJ48" s="189" t="b">
        <v>1</v>
      </c>
      <c r="AK48" s="189" t="b">
        <v>1</v>
      </c>
      <c r="AL48" s="189" t="b">
        <v>1</v>
      </c>
      <c r="AM48" s="189" t="b">
        <v>1</v>
      </c>
      <c r="AN48" s="189" t="b">
        <v>1</v>
      </c>
      <c r="AO48" s="189" t="b">
        <v>1</v>
      </c>
      <c r="AP48" s="69" t="str">
        <f t="shared" si="11"/>
        <v>VALID</v>
      </c>
      <c r="AQ48" s="176" t="s">
        <v>715</v>
      </c>
      <c r="AR48" s="194" t="s">
        <v>862</v>
      </c>
      <c r="AS48" s="193"/>
      <c r="AT48" s="72"/>
      <c r="AU48" s="72"/>
      <c r="AV48" s="72"/>
      <c r="AW48" s="72"/>
      <c r="AX48" s="72"/>
      <c r="AY48" s="72"/>
      <c r="AZ48" s="193"/>
      <c r="BA48" s="193"/>
      <c r="BB48" s="15" t="s">
        <v>114</v>
      </c>
      <c r="BC48" s="142"/>
      <c r="BD48" s="18" t="s">
        <v>2651</v>
      </c>
      <c r="BE48" s="334"/>
    </row>
    <row r="49" spans="1:57" ht="12.95" hidden="1" customHeight="1">
      <c r="A49" s="248" t="e">
        <v>#N/A</v>
      </c>
      <c r="B49" s="252" t="e">
        <v>#N/A</v>
      </c>
      <c r="C49" s="248" t="s">
        <v>716</v>
      </c>
      <c r="D49" s="239" t="s">
        <v>2656</v>
      </c>
      <c r="E49" s="58"/>
      <c r="F49" s="59" t="s">
        <v>784</v>
      </c>
      <c r="G49" s="191" t="s">
        <v>2444</v>
      </c>
      <c r="H49" s="192" t="s">
        <v>716</v>
      </c>
      <c r="I49" s="61" t="s">
        <v>2511</v>
      </c>
      <c r="J49" s="61" t="s">
        <v>2511</v>
      </c>
      <c r="K49" s="62" t="s">
        <v>2511</v>
      </c>
      <c r="L49" s="60" t="s">
        <v>2389</v>
      </c>
      <c r="M49" s="61" t="s">
        <v>2523</v>
      </c>
      <c r="N49" s="61" t="s">
        <v>2511</v>
      </c>
      <c r="O49" s="61" t="s">
        <v>2511</v>
      </c>
      <c r="P49" s="62" t="s">
        <v>2511</v>
      </c>
      <c r="Q49" s="58" t="s">
        <v>840</v>
      </c>
      <c r="R49" s="58" t="s">
        <v>126</v>
      </c>
      <c r="S49" s="58" t="s">
        <v>112</v>
      </c>
      <c r="T49" s="58" t="s">
        <v>113</v>
      </c>
      <c r="U49" s="63" t="s">
        <v>126</v>
      </c>
      <c r="V49" s="205" t="s">
        <v>2657</v>
      </c>
      <c r="W49" s="57" t="s">
        <v>2627</v>
      </c>
      <c r="X49" s="126" t="s">
        <v>2511</v>
      </c>
      <c r="Y49" s="126" t="s">
        <v>2511</v>
      </c>
      <c r="Z49" s="57" t="s">
        <v>2628</v>
      </c>
      <c r="AA49" s="57" t="s">
        <v>2629</v>
      </c>
      <c r="AB49" s="57" t="s">
        <v>2630</v>
      </c>
      <c r="AC49" s="57" t="s">
        <v>2631</v>
      </c>
      <c r="AD49" s="65" t="str">
        <f t="shared" si="5"/>
        <v>EQOS</v>
      </c>
      <c r="AE49" s="70"/>
      <c r="AF49" s="67" t="str">
        <f t="shared" si="6"/>
        <v>NORMAL</v>
      </c>
      <c r="AG49" s="67" t="str">
        <f t="shared" si="4"/>
        <v>TRISTATE</v>
      </c>
      <c r="AH49" s="67" t="str">
        <f t="shared" si="8"/>
        <v>ENABLE</v>
      </c>
      <c r="AI49" s="71" t="str">
        <f t="shared" si="9"/>
        <v>N/A</v>
      </c>
      <c r="AJ49" s="189" t="b">
        <v>1</v>
      </c>
      <c r="AK49" s="189" t="b">
        <v>1</v>
      </c>
      <c r="AL49" s="189" t="b">
        <v>1</v>
      </c>
      <c r="AM49" s="189" t="b">
        <v>1</v>
      </c>
      <c r="AN49" s="189" t="b">
        <v>1</v>
      </c>
      <c r="AO49" s="189" t="b">
        <v>1</v>
      </c>
      <c r="AP49" s="69" t="str">
        <f t="shared" si="11"/>
        <v>VALID</v>
      </c>
      <c r="AQ49" s="166" t="s">
        <v>716</v>
      </c>
      <c r="AR49" s="194" t="s">
        <v>862</v>
      </c>
      <c r="AS49" s="193"/>
      <c r="AT49" s="72"/>
      <c r="AU49" s="72"/>
      <c r="AV49" s="72"/>
      <c r="AW49" s="72"/>
      <c r="AX49" s="72"/>
      <c r="AY49" s="72"/>
      <c r="AZ49" s="193"/>
      <c r="BA49" s="193"/>
      <c r="BB49" s="8"/>
      <c r="BC49" s="140"/>
      <c r="BD49" s="11" t="s">
        <v>2655</v>
      </c>
      <c r="BE49" s="334"/>
    </row>
    <row r="50" spans="1:57" ht="12.95" hidden="1" customHeight="1">
      <c r="A50" s="248" t="e">
        <v>#N/A</v>
      </c>
      <c r="B50" s="252" t="e">
        <v>#N/A</v>
      </c>
      <c r="C50" s="248" t="s">
        <v>717</v>
      </c>
      <c r="D50" s="239" t="s">
        <v>2660</v>
      </c>
      <c r="E50" s="58"/>
      <c r="F50" s="59" t="s">
        <v>785</v>
      </c>
      <c r="G50" s="191" t="s">
        <v>2445</v>
      </c>
      <c r="H50" s="192" t="s">
        <v>717</v>
      </c>
      <c r="I50" s="61" t="s">
        <v>2511</v>
      </c>
      <c r="J50" s="61" t="s">
        <v>2511</v>
      </c>
      <c r="K50" s="62" t="s">
        <v>2511</v>
      </c>
      <c r="L50" s="60" t="s">
        <v>2389</v>
      </c>
      <c r="M50" s="61" t="s">
        <v>2523</v>
      </c>
      <c r="N50" s="61" t="s">
        <v>2511</v>
      </c>
      <c r="O50" s="61" t="s">
        <v>2511</v>
      </c>
      <c r="P50" s="62" t="s">
        <v>2511</v>
      </c>
      <c r="Q50" s="58" t="s">
        <v>840</v>
      </c>
      <c r="R50" s="58" t="s">
        <v>126</v>
      </c>
      <c r="S50" s="58" t="s">
        <v>112</v>
      </c>
      <c r="T50" s="58" t="s">
        <v>113</v>
      </c>
      <c r="U50" s="63" t="s">
        <v>126</v>
      </c>
      <c r="V50" s="137" t="s">
        <v>2661</v>
      </c>
      <c r="W50" s="57" t="s">
        <v>2627</v>
      </c>
      <c r="X50" s="126" t="s">
        <v>2511</v>
      </c>
      <c r="Y50" s="126" t="s">
        <v>2511</v>
      </c>
      <c r="Z50" s="57" t="s">
        <v>2628</v>
      </c>
      <c r="AA50" s="57" t="s">
        <v>2629</v>
      </c>
      <c r="AB50" s="57" t="s">
        <v>2630</v>
      </c>
      <c r="AC50" s="57" t="s">
        <v>2631</v>
      </c>
      <c r="AD50" s="65" t="str">
        <f t="shared" si="5"/>
        <v>EQOS</v>
      </c>
      <c r="AE50" s="70"/>
      <c r="AF50" s="67" t="str">
        <f t="shared" si="6"/>
        <v>NORMAL</v>
      </c>
      <c r="AG50" s="67" t="str">
        <f t="shared" si="4"/>
        <v>TRISTATE</v>
      </c>
      <c r="AH50" s="67" t="str">
        <f t="shared" si="8"/>
        <v>ENABLE</v>
      </c>
      <c r="AI50" s="71" t="str">
        <f t="shared" si="9"/>
        <v>N/A</v>
      </c>
      <c r="AJ50" s="189" t="b">
        <v>1</v>
      </c>
      <c r="AK50" s="189" t="b">
        <v>1</v>
      </c>
      <c r="AL50" s="189" t="b">
        <v>1</v>
      </c>
      <c r="AM50" s="189" t="b">
        <v>1</v>
      </c>
      <c r="AN50" s="189" t="b">
        <v>1</v>
      </c>
      <c r="AO50" s="189" t="b">
        <v>1</v>
      </c>
      <c r="AP50" s="69" t="str">
        <f t="shared" si="11"/>
        <v>VALID</v>
      </c>
      <c r="AQ50" s="166" t="s">
        <v>717</v>
      </c>
      <c r="AR50" s="194" t="s">
        <v>862</v>
      </c>
      <c r="AS50" s="193"/>
      <c r="AT50" s="72"/>
      <c r="AU50" s="5"/>
      <c r="AV50" s="5"/>
      <c r="AW50" s="72"/>
      <c r="AX50" s="72"/>
      <c r="AY50" s="72"/>
      <c r="AZ50" s="193"/>
      <c r="BA50" s="193"/>
      <c r="BB50" s="8"/>
      <c r="BC50" s="140"/>
      <c r="BD50" s="11" t="s">
        <v>2658</v>
      </c>
      <c r="BE50" s="334"/>
    </row>
    <row r="51" spans="1:57" ht="12.95" hidden="1" customHeight="1">
      <c r="A51" s="248" t="e">
        <v>#N/A</v>
      </c>
      <c r="B51" s="252" t="e">
        <v>#N/A</v>
      </c>
      <c r="C51" s="248" t="s">
        <v>718</v>
      </c>
      <c r="D51" s="239" t="s">
        <v>2663</v>
      </c>
      <c r="E51" s="58"/>
      <c r="F51" s="59" t="s">
        <v>786</v>
      </c>
      <c r="G51" s="191" t="s">
        <v>2446</v>
      </c>
      <c r="H51" s="192" t="s">
        <v>718</v>
      </c>
      <c r="I51" s="61" t="s">
        <v>2511</v>
      </c>
      <c r="J51" s="61" t="s">
        <v>2511</v>
      </c>
      <c r="K51" s="62" t="s">
        <v>2511</v>
      </c>
      <c r="L51" s="60" t="s">
        <v>2389</v>
      </c>
      <c r="M51" s="61" t="s">
        <v>2523</v>
      </c>
      <c r="N51" s="61" t="s">
        <v>2511</v>
      </c>
      <c r="O51" s="61" t="s">
        <v>2511</v>
      </c>
      <c r="P51" s="62" t="s">
        <v>2511</v>
      </c>
      <c r="Q51" s="58" t="s">
        <v>840</v>
      </c>
      <c r="R51" s="58" t="s">
        <v>126</v>
      </c>
      <c r="S51" s="58" t="s">
        <v>112</v>
      </c>
      <c r="T51" s="58" t="s">
        <v>113</v>
      </c>
      <c r="U51" s="63" t="s">
        <v>126</v>
      </c>
      <c r="V51" s="138" t="s">
        <v>2664</v>
      </c>
      <c r="W51" s="57" t="s">
        <v>2627</v>
      </c>
      <c r="X51" s="126" t="s">
        <v>2511</v>
      </c>
      <c r="Y51" s="126" t="s">
        <v>2511</v>
      </c>
      <c r="Z51" s="57" t="s">
        <v>2628</v>
      </c>
      <c r="AA51" s="57" t="s">
        <v>2629</v>
      </c>
      <c r="AB51" s="57" t="s">
        <v>2630</v>
      </c>
      <c r="AC51" s="57" t="s">
        <v>2631</v>
      </c>
      <c r="AD51" s="65" t="str">
        <f t="shared" si="5"/>
        <v>EQOS</v>
      </c>
      <c r="AE51" s="70"/>
      <c r="AF51" s="67" t="str">
        <f t="shared" si="6"/>
        <v>NORMAL</v>
      </c>
      <c r="AG51" s="67" t="str">
        <f t="shared" si="4"/>
        <v>TRISTATE</v>
      </c>
      <c r="AH51" s="67" t="str">
        <f t="shared" si="8"/>
        <v>ENABLE</v>
      </c>
      <c r="AI51" s="71" t="str">
        <f t="shared" si="9"/>
        <v>N/A</v>
      </c>
      <c r="AJ51" s="189" t="b">
        <v>1</v>
      </c>
      <c r="AK51" s="189" t="b">
        <v>1</v>
      </c>
      <c r="AL51" s="189" t="b">
        <v>1</v>
      </c>
      <c r="AM51" s="189" t="b">
        <v>1</v>
      </c>
      <c r="AN51" s="189" t="b">
        <v>1</v>
      </c>
      <c r="AO51" s="189" t="b">
        <v>1</v>
      </c>
      <c r="AP51" s="69" t="str">
        <f t="shared" si="11"/>
        <v>VALID</v>
      </c>
      <c r="AQ51" s="166" t="s">
        <v>718</v>
      </c>
      <c r="AR51" s="194" t="s">
        <v>862</v>
      </c>
      <c r="AS51" s="193"/>
      <c r="AT51" s="72"/>
      <c r="AU51" s="5"/>
      <c r="AV51" s="5"/>
      <c r="AW51" s="72"/>
      <c r="AX51" s="72"/>
      <c r="AY51" s="72"/>
      <c r="AZ51" s="193"/>
      <c r="BA51" s="193"/>
      <c r="BB51" s="8"/>
      <c r="BC51" s="140"/>
      <c r="BD51" s="11" t="s">
        <v>2662</v>
      </c>
      <c r="BE51" s="334"/>
    </row>
    <row r="52" spans="1:57" ht="12.95" hidden="1" customHeight="1">
      <c r="A52" s="248" t="e">
        <v>#N/A</v>
      </c>
      <c r="B52" s="252" t="e">
        <v>#N/A</v>
      </c>
      <c r="C52" s="248" t="s">
        <v>719</v>
      </c>
      <c r="D52" s="239" t="s">
        <v>2666</v>
      </c>
      <c r="E52" s="58"/>
      <c r="F52" s="59" t="s">
        <v>787</v>
      </c>
      <c r="G52" s="191" t="s">
        <v>2447</v>
      </c>
      <c r="H52" s="192" t="s">
        <v>719</v>
      </c>
      <c r="I52" s="61" t="s">
        <v>2511</v>
      </c>
      <c r="J52" s="61" t="s">
        <v>2511</v>
      </c>
      <c r="K52" s="62" t="s">
        <v>2511</v>
      </c>
      <c r="L52" s="60" t="s">
        <v>2389</v>
      </c>
      <c r="M52" s="61" t="s">
        <v>2523</v>
      </c>
      <c r="N52" s="61" t="s">
        <v>2511</v>
      </c>
      <c r="O52" s="61" t="s">
        <v>2511</v>
      </c>
      <c r="P52" s="62" t="s">
        <v>2511</v>
      </c>
      <c r="Q52" s="58" t="s">
        <v>840</v>
      </c>
      <c r="R52" s="58" t="s">
        <v>126</v>
      </c>
      <c r="S52" s="58" t="s">
        <v>112</v>
      </c>
      <c r="T52" s="58" t="s">
        <v>113</v>
      </c>
      <c r="U52" s="63" t="s">
        <v>126</v>
      </c>
      <c r="V52" s="138" t="s">
        <v>2667</v>
      </c>
      <c r="W52" s="57" t="s">
        <v>2627</v>
      </c>
      <c r="X52" s="126" t="s">
        <v>2668</v>
      </c>
      <c r="Y52" s="126" t="s">
        <v>2511</v>
      </c>
      <c r="Z52" s="57" t="s">
        <v>2628</v>
      </c>
      <c r="AA52" s="57" t="s">
        <v>2629</v>
      </c>
      <c r="AB52" s="57" t="s">
        <v>2630</v>
      </c>
      <c r="AC52" s="57" t="s">
        <v>2631</v>
      </c>
      <c r="AD52" s="65" t="str">
        <f t="shared" si="5"/>
        <v>EQOS</v>
      </c>
      <c r="AE52" s="70"/>
      <c r="AF52" s="67" t="str">
        <f t="shared" si="6"/>
        <v>NORMAL</v>
      </c>
      <c r="AG52" s="67" t="str">
        <f t="shared" si="4"/>
        <v>TRISTATE</v>
      </c>
      <c r="AH52" s="67" t="str">
        <f t="shared" si="8"/>
        <v>ENABLE</v>
      </c>
      <c r="AI52" s="71" t="str">
        <f t="shared" si="9"/>
        <v>N/A</v>
      </c>
      <c r="AJ52" s="189" t="b">
        <v>1</v>
      </c>
      <c r="AK52" s="189" t="b">
        <v>1</v>
      </c>
      <c r="AL52" s="189" t="b">
        <v>1</v>
      </c>
      <c r="AM52" s="189" t="b">
        <v>1</v>
      </c>
      <c r="AN52" s="189" t="b">
        <v>1</v>
      </c>
      <c r="AO52" s="189" t="b">
        <v>1</v>
      </c>
      <c r="AP52" s="69" t="str">
        <f t="shared" si="11"/>
        <v>VALID</v>
      </c>
      <c r="AQ52" s="166" t="s">
        <v>719</v>
      </c>
      <c r="AR52" s="194" t="s">
        <v>862</v>
      </c>
      <c r="AS52" s="193"/>
      <c r="AT52" s="193" t="s">
        <v>117</v>
      </c>
      <c r="AU52" s="72"/>
      <c r="AV52" s="72"/>
      <c r="AW52" s="72"/>
      <c r="AX52" s="72"/>
      <c r="AY52" s="72"/>
      <c r="AZ52" s="193"/>
      <c r="BA52" s="193"/>
      <c r="BB52" s="8"/>
      <c r="BC52" s="140"/>
      <c r="BD52" s="11" t="s">
        <v>2665</v>
      </c>
      <c r="BE52" s="334"/>
    </row>
    <row r="53" spans="1:57" ht="14.25" hidden="1" customHeight="1">
      <c r="A53" s="248" t="e">
        <v>#N/A</v>
      </c>
      <c r="B53" s="252" t="e">
        <v>#N/A</v>
      </c>
      <c r="C53" s="248" t="s">
        <v>720</v>
      </c>
      <c r="D53" s="239" t="s">
        <v>2671</v>
      </c>
      <c r="E53" s="58"/>
      <c r="F53" s="59" t="s">
        <v>788</v>
      </c>
      <c r="G53" s="191" t="s">
        <v>2448</v>
      </c>
      <c r="H53" s="192" t="s">
        <v>720</v>
      </c>
      <c r="I53" s="61" t="s">
        <v>2511</v>
      </c>
      <c r="J53" s="61" t="s">
        <v>2511</v>
      </c>
      <c r="K53" s="62" t="s">
        <v>2511</v>
      </c>
      <c r="L53" s="60" t="s">
        <v>2389</v>
      </c>
      <c r="M53" s="61" t="s">
        <v>2523</v>
      </c>
      <c r="N53" s="61" t="s">
        <v>2511</v>
      </c>
      <c r="O53" s="61" t="s">
        <v>2511</v>
      </c>
      <c r="P53" s="62" t="s">
        <v>2511</v>
      </c>
      <c r="Q53" s="58" t="s">
        <v>840</v>
      </c>
      <c r="R53" s="58" t="s">
        <v>126</v>
      </c>
      <c r="S53" s="58" t="s">
        <v>112</v>
      </c>
      <c r="T53" s="58" t="s">
        <v>113</v>
      </c>
      <c r="U53" s="63" t="s">
        <v>126</v>
      </c>
      <c r="V53" s="138" t="s">
        <v>2672</v>
      </c>
      <c r="W53" s="57" t="s">
        <v>2627</v>
      </c>
      <c r="X53" s="126" t="s">
        <v>2511</v>
      </c>
      <c r="Y53" s="126" t="s">
        <v>2511</v>
      </c>
      <c r="Z53" s="57" t="s">
        <v>2628</v>
      </c>
      <c r="AA53" s="57" t="s">
        <v>2629</v>
      </c>
      <c r="AB53" s="57" t="s">
        <v>2630</v>
      </c>
      <c r="AC53" s="57" t="s">
        <v>2631</v>
      </c>
      <c r="AD53" s="65" t="str">
        <f t="shared" si="5"/>
        <v>EQOS</v>
      </c>
      <c r="AE53" s="70"/>
      <c r="AF53" s="67" t="str">
        <f t="shared" si="6"/>
        <v>NORMAL</v>
      </c>
      <c r="AG53" s="67" t="str">
        <f t="shared" si="4"/>
        <v>TRISTATE</v>
      </c>
      <c r="AH53" s="67" t="str">
        <f t="shared" si="8"/>
        <v>ENABLE</v>
      </c>
      <c r="AI53" s="71" t="str">
        <f t="shared" si="9"/>
        <v>N/A</v>
      </c>
      <c r="AJ53" s="189" t="b">
        <v>1</v>
      </c>
      <c r="AK53" s="189" t="b">
        <v>1</v>
      </c>
      <c r="AL53" s="189" t="b">
        <v>1</v>
      </c>
      <c r="AM53" s="189" t="b">
        <v>1</v>
      </c>
      <c r="AN53" s="189" t="b">
        <v>1</v>
      </c>
      <c r="AO53" s="189" t="b">
        <v>1</v>
      </c>
      <c r="AP53" s="69" t="str">
        <f t="shared" si="11"/>
        <v>VALID</v>
      </c>
      <c r="AQ53" s="166" t="s">
        <v>720</v>
      </c>
      <c r="AR53" s="194" t="s">
        <v>862</v>
      </c>
      <c r="AS53" s="193"/>
      <c r="AT53" s="72"/>
      <c r="AU53" s="72"/>
      <c r="AV53" s="72"/>
      <c r="AW53" s="72"/>
      <c r="AX53" s="72"/>
      <c r="AY53" s="72"/>
      <c r="AZ53" s="193"/>
      <c r="BA53" s="193"/>
      <c r="BB53" s="8"/>
      <c r="BC53" s="140"/>
      <c r="BD53" s="11" t="s">
        <v>2669</v>
      </c>
      <c r="BE53" s="334"/>
    </row>
    <row r="54" spans="1:57" ht="12.95" hidden="1" customHeight="1">
      <c r="A54" s="248" t="e">
        <v>#N/A</v>
      </c>
      <c r="B54" s="252" t="e">
        <v>#N/A</v>
      </c>
      <c r="C54" s="248" t="s">
        <v>972</v>
      </c>
      <c r="D54" s="239" t="s">
        <v>2674</v>
      </c>
      <c r="E54" s="58"/>
      <c r="F54" s="59" t="s">
        <v>1755</v>
      </c>
      <c r="G54" s="191" t="s">
        <v>2449</v>
      </c>
      <c r="H54" s="192" t="s">
        <v>972</v>
      </c>
      <c r="I54" s="61" t="s">
        <v>2511</v>
      </c>
      <c r="J54" s="61" t="s">
        <v>2511</v>
      </c>
      <c r="K54" s="62" t="s">
        <v>2511</v>
      </c>
      <c r="L54" s="60" t="s">
        <v>2389</v>
      </c>
      <c r="M54" s="61" t="s">
        <v>2389</v>
      </c>
      <c r="N54" s="61" t="s">
        <v>2511</v>
      </c>
      <c r="O54" s="61" t="s">
        <v>2511</v>
      </c>
      <c r="P54" s="62" t="s">
        <v>2511</v>
      </c>
      <c r="Q54" s="58" t="s">
        <v>840</v>
      </c>
      <c r="R54" s="58" t="s">
        <v>126</v>
      </c>
      <c r="S54" s="58" t="s">
        <v>112</v>
      </c>
      <c r="T54" s="58" t="s">
        <v>113</v>
      </c>
      <c r="U54" s="63" t="s">
        <v>126</v>
      </c>
      <c r="V54" s="138" t="s">
        <v>2675</v>
      </c>
      <c r="W54" s="57" t="s">
        <v>2627</v>
      </c>
      <c r="X54" s="126" t="s">
        <v>2676</v>
      </c>
      <c r="Y54" s="126" t="s">
        <v>2511</v>
      </c>
      <c r="Z54" s="57" t="s">
        <v>2628</v>
      </c>
      <c r="AA54" s="57" t="s">
        <v>2629</v>
      </c>
      <c r="AB54" s="57" t="s">
        <v>2630</v>
      </c>
      <c r="AC54" s="57" t="s">
        <v>2548</v>
      </c>
      <c r="AD54" s="65" t="str">
        <f t="shared" si="5"/>
        <v>EQOS</v>
      </c>
      <c r="AE54" s="70"/>
      <c r="AF54" s="67" t="str">
        <f t="shared" si="6"/>
        <v>NORMAL</v>
      </c>
      <c r="AG54" s="67" t="str">
        <f t="shared" si="4"/>
        <v>NORMAL</v>
      </c>
      <c r="AH54" s="67" t="str">
        <f t="shared" si="8"/>
        <v>ENABLE</v>
      </c>
      <c r="AI54" s="71" t="str">
        <f t="shared" si="9"/>
        <v>N/A</v>
      </c>
      <c r="AJ54" s="189" t="b">
        <v>1</v>
      </c>
      <c r="AK54" s="189" t="b">
        <v>1</v>
      </c>
      <c r="AL54" s="189" t="b">
        <v>1</v>
      </c>
      <c r="AM54" s="189" t="b">
        <v>1</v>
      </c>
      <c r="AN54" s="189" t="b">
        <v>1</v>
      </c>
      <c r="AO54" s="189" t="b">
        <v>1</v>
      </c>
      <c r="AP54" s="69" t="str">
        <f t="shared" si="11"/>
        <v>VALID</v>
      </c>
      <c r="AQ54" s="166" t="s">
        <v>972</v>
      </c>
      <c r="AR54" s="194" t="s">
        <v>860</v>
      </c>
      <c r="AS54" s="193"/>
      <c r="AT54" s="193" t="s">
        <v>117</v>
      </c>
      <c r="AU54" s="72"/>
      <c r="AV54" s="72"/>
      <c r="AW54" s="72"/>
      <c r="AX54" s="72"/>
      <c r="AY54" s="72"/>
      <c r="AZ54" s="193" t="s">
        <v>5560</v>
      </c>
      <c r="BA54" s="193"/>
      <c r="BB54" s="8"/>
      <c r="BC54" s="140"/>
      <c r="BD54" s="11" t="s">
        <v>2673</v>
      </c>
      <c r="BE54" s="334"/>
    </row>
    <row r="55" spans="1:57" ht="12.95" hidden="1" customHeight="1">
      <c r="A55" s="248" t="e">
        <v>#N/A</v>
      </c>
      <c r="B55" s="252" t="e">
        <v>#N/A</v>
      </c>
      <c r="C55" s="248" t="s">
        <v>973</v>
      </c>
      <c r="D55" s="239" t="s">
        <v>2678</v>
      </c>
      <c r="E55" s="58"/>
      <c r="F55" s="59" t="s">
        <v>1756</v>
      </c>
      <c r="G55" s="191" t="s">
        <v>2450</v>
      </c>
      <c r="H55" s="192" t="s">
        <v>973</v>
      </c>
      <c r="I55" s="61" t="s">
        <v>2511</v>
      </c>
      <c r="J55" s="61" t="s">
        <v>2511</v>
      </c>
      <c r="K55" s="62" t="s">
        <v>2511</v>
      </c>
      <c r="L55" s="60" t="s">
        <v>2389</v>
      </c>
      <c r="M55" s="61" t="s">
        <v>2388</v>
      </c>
      <c r="N55" s="61" t="s">
        <v>2511</v>
      </c>
      <c r="O55" s="61" t="s">
        <v>2511</v>
      </c>
      <c r="P55" s="62" t="s">
        <v>2511</v>
      </c>
      <c r="Q55" s="58" t="s">
        <v>840</v>
      </c>
      <c r="R55" s="58" t="s">
        <v>126</v>
      </c>
      <c r="S55" s="58" t="s">
        <v>112</v>
      </c>
      <c r="T55" s="58" t="s">
        <v>113</v>
      </c>
      <c r="U55" s="63" t="s">
        <v>126</v>
      </c>
      <c r="V55" s="138" t="s">
        <v>2679</v>
      </c>
      <c r="W55" s="57" t="s">
        <v>2627</v>
      </c>
      <c r="X55" s="126" t="s">
        <v>2511</v>
      </c>
      <c r="Y55" s="126" t="s">
        <v>2511</v>
      </c>
      <c r="Z55" s="57" t="s">
        <v>2628</v>
      </c>
      <c r="AA55" s="57" t="s">
        <v>2629</v>
      </c>
      <c r="AB55" s="57" t="s">
        <v>2630</v>
      </c>
      <c r="AC55" s="57" t="s">
        <v>2631</v>
      </c>
      <c r="AD55" s="65" t="str">
        <f t="shared" si="5"/>
        <v>EQOS</v>
      </c>
      <c r="AE55" s="70"/>
      <c r="AF55" s="67" t="str">
        <f t="shared" si="6"/>
        <v>NORMAL</v>
      </c>
      <c r="AG55" s="67" t="str">
        <f t="shared" si="4"/>
        <v>NORMAL</v>
      </c>
      <c r="AH55" s="67" t="str">
        <f t="shared" si="8"/>
        <v>DISABLE</v>
      </c>
      <c r="AI55" s="71" t="str">
        <f t="shared" si="9"/>
        <v>N/A</v>
      </c>
      <c r="AJ55" s="189" t="b">
        <v>1</v>
      </c>
      <c r="AK55" s="189" t="b">
        <v>1</v>
      </c>
      <c r="AL55" s="189" t="b">
        <v>1</v>
      </c>
      <c r="AM55" s="189" t="b">
        <v>1</v>
      </c>
      <c r="AN55" s="189" t="b">
        <v>1</v>
      </c>
      <c r="AO55" s="189" t="b">
        <v>1</v>
      </c>
      <c r="AP55" s="69" t="str">
        <f t="shared" si="11"/>
        <v>VALID</v>
      </c>
      <c r="AQ55" s="169" t="s">
        <v>973</v>
      </c>
      <c r="AR55" s="170" t="s">
        <v>861</v>
      </c>
      <c r="AS55" s="9"/>
      <c r="AT55" s="10"/>
      <c r="AU55" s="10"/>
      <c r="AV55" s="10"/>
      <c r="AW55" s="10"/>
      <c r="AX55" s="10"/>
      <c r="AY55" s="10"/>
      <c r="AZ55" s="9"/>
      <c r="BA55" s="9"/>
      <c r="BB55" s="14"/>
      <c r="BC55" s="141"/>
      <c r="BD55" s="12" t="s">
        <v>2677</v>
      </c>
      <c r="BE55" s="335"/>
    </row>
    <row r="56" spans="1:57" s="56" customFormat="1" ht="18" hidden="1" customHeight="1">
      <c r="A56" s="361"/>
      <c r="B56" s="362"/>
      <c r="C56" s="264" t="s">
        <v>551</v>
      </c>
      <c r="D56" s="264"/>
      <c r="E56" s="51"/>
      <c r="F56" s="51"/>
      <c r="G56" s="52"/>
      <c r="H56" s="52"/>
      <c r="I56" s="52"/>
      <c r="J56" s="52"/>
      <c r="K56" s="52"/>
      <c r="L56" s="51"/>
      <c r="M56" s="51"/>
      <c r="N56" s="51"/>
      <c r="O56" s="51"/>
      <c r="P56" s="51"/>
      <c r="Q56" s="51"/>
      <c r="R56" s="51"/>
      <c r="S56" s="51"/>
      <c r="T56" s="51"/>
      <c r="U56" s="51"/>
      <c r="V56" s="51"/>
      <c r="W56" s="51"/>
      <c r="X56" s="125"/>
      <c r="Y56" s="125"/>
      <c r="Z56" s="53"/>
      <c r="AA56" s="53"/>
      <c r="AB56" s="53"/>
      <c r="AC56" s="53"/>
      <c r="AD56" s="53"/>
      <c r="AE56" s="53"/>
      <c r="AF56" s="53"/>
      <c r="AG56" s="53"/>
      <c r="AH56" s="53"/>
      <c r="AI56" s="53"/>
      <c r="AJ56" s="53" t="b">
        <v>0</v>
      </c>
      <c r="AK56" s="53"/>
      <c r="AL56" s="53"/>
      <c r="AM56" s="53"/>
      <c r="AN56" s="53"/>
      <c r="AO56" s="53"/>
      <c r="AP56" s="53"/>
      <c r="AQ56" s="54"/>
      <c r="AR56" s="54"/>
      <c r="AS56" s="55"/>
      <c r="AT56" s="55"/>
      <c r="AU56" s="55"/>
      <c r="AV56" s="55"/>
      <c r="AW56" s="55"/>
      <c r="AX56" s="55"/>
      <c r="AY56" s="55"/>
      <c r="AZ56" s="55"/>
      <c r="BA56" s="55"/>
      <c r="BB56" s="55"/>
      <c r="BC56" s="175" t="s">
        <v>59</v>
      </c>
      <c r="BD56" s="185"/>
      <c r="BE56" s="207" t="s">
        <v>551</v>
      </c>
    </row>
    <row r="57" spans="1:57" ht="12.95" hidden="1" customHeight="1">
      <c r="A57" s="248" t="e">
        <v>#N/A</v>
      </c>
      <c r="B57" s="252" t="e">
        <v>#N/A</v>
      </c>
      <c r="C57" s="263" t="s">
        <v>974</v>
      </c>
      <c r="D57" s="239" t="s">
        <v>2680</v>
      </c>
      <c r="E57" s="58"/>
      <c r="F57" s="59" t="s">
        <v>1757</v>
      </c>
      <c r="G57" s="191" t="s">
        <v>2681</v>
      </c>
      <c r="H57" s="192" t="s">
        <v>974</v>
      </c>
      <c r="I57" s="61" t="s">
        <v>2511</v>
      </c>
      <c r="J57" s="61" t="s">
        <v>2511</v>
      </c>
      <c r="K57" s="62" t="s">
        <v>2511</v>
      </c>
      <c r="L57" s="60" t="s">
        <v>2389</v>
      </c>
      <c r="M57" s="61" t="s">
        <v>2389</v>
      </c>
      <c r="N57" s="61" t="s">
        <v>2511</v>
      </c>
      <c r="O57" s="61" t="s">
        <v>2511</v>
      </c>
      <c r="P57" s="62" t="s">
        <v>2511</v>
      </c>
      <c r="Q57" s="58" t="s">
        <v>2426</v>
      </c>
      <c r="R57" s="58" t="s">
        <v>126</v>
      </c>
      <c r="S57" s="58" t="s">
        <v>112</v>
      </c>
      <c r="T57" s="58" t="s">
        <v>113</v>
      </c>
      <c r="U57" s="63" t="s">
        <v>126</v>
      </c>
      <c r="V57" s="137" t="s">
        <v>2682</v>
      </c>
      <c r="W57" s="57" t="s">
        <v>2683</v>
      </c>
      <c r="X57" s="126" t="s">
        <v>2511</v>
      </c>
      <c r="Y57" s="126" t="s">
        <v>2511</v>
      </c>
      <c r="Z57" s="57" t="s">
        <v>2628</v>
      </c>
      <c r="AA57" s="57" t="s">
        <v>2629</v>
      </c>
      <c r="AB57" s="57" t="s">
        <v>2630</v>
      </c>
      <c r="AC57" s="57" t="s">
        <v>2516</v>
      </c>
      <c r="AD57" s="65" t="str">
        <f t="shared" ref="AD57:AD80" si="12">IF(OR($AQ57="",$AQ57=$F57),$U57,IF($AQ57=$G57,SUBSTITUTE(SUBSTITUTE($AQ57,"GPIO3_","GPIO_"),".0",""),IF($AQ57=$H57,$Q57,IF($AQ57=$I57,$R57,IF($AQ57=$J57,$S57,IF($AQ57=$K57,$T57,"INVALID"))))))</f>
        <v>QSPI0</v>
      </c>
      <c r="AE57" s="70"/>
      <c r="AF57" s="67" t="str">
        <f t="shared" ref="AF57:AF80" si="13">IF(AND(OR($AS57="Int PU",$AS57="Int PD"),OR(AND($AZ57&lt;&gt;"",$AZ57&lt;&gt;"0"),AND($BA57&lt;&gt;"",$BA57&lt;&gt;"0"))),"INVALID",IF(OR($AQ57=$F57,$AS57="Int PD"),"PULL_DOWN",IF(OR($AS57="Int PU",AND($AE57="YES",OR($AZ57="",$AZ57="0"),OR($BA57="",$BA57="0"),OR($AR57="Input",$AR57="Bidirectional"))),"PULL_UP","NORMAL")))</f>
        <v>NORMAL</v>
      </c>
      <c r="AG57" s="67" t="str">
        <f t="shared" si="4"/>
        <v>NORMAL</v>
      </c>
      <c r="AH57" s="67" t="str">
        <f t="shared" ref="AH57:AH80" si="14">IF(OR($AQ57=$F57,$AR57="Output"),"DISABLE","ENABLE")</f>
        <v>ENABLE</v>
      </c>
      <c r="AI57" s="71" t="str">
        <f t="shared" si="9"/>
        <v>N/A</v>
      </c>
      <c r="AJ57" s="189" t="b">
        <v>1</v>
      </c>
      <c r="AK57" s="189" t="b">
        <v>1</v>
      </c>
      <c r="AL57" s="189" t="b">
        <v>1</v>
      </c>
      <c r="AM57" s="189" t="b">
        <v>1</v>
      </c>
      <c r="AN57" s="189" t="b">
        <v>1</v>
      </c>
      <c r="AO57" s="189" t="b">
        <v>1</v>
      </c>
      <c r="AP57" s="69" t="str">
        <f t="shared" ref="AP57:AP68" si="15">IF(AND($AJ57:$AO57), "VALID", "INVALID")</f>
        <v>VALID</v>
      </c>
      <c r="AQ57" s="167" t="s">
        <v>974</v>
      </c>
      <c r="AR57" s="194" t="s">
        <v>860</v>
      </c>
      <c r="AS57" s="193"/>
      <c r="AT57" s="72"/>
      <c r="AU57" s="5"/>
      <c r="AV57" s="5"/>
      <c r="AW57" s="72"/>
      <c r="AX57" s="72"/>
      <c r="AY57" s="193" t="s">
        <v>872</v>
      </c>
      <c r="AZ57" s="193"/>
      <c r="BA57" s="193"/>
      <c r="BB57" s="8"/>
      <c r="BC57" s="140"/>
      <c r="BD57" s="11" t="s">
        <v>5527</v>
      </c>
      <c r="BE57" s="336" t="s">
        <v>5526</v>
      </c>
    </row>
    <row r="58" spans="1:57" ht="12.95" hidden="1" customHeight="1">
      <c r="A58" s="248" t="e">
        <v>#N/A</v>
      </c>
      <c r="B58" s="252" t="e">
        <v>#N/A</v>
      </c>
      <c r="C58" s="263" t="s">
        <v>975</v>
      </c>
      <c r="D58" s="239" t="s">
        <v>2684</v>
      </c>
      <c r="E58" s="58"/>
      <c r="F58" s="59" t="s">
        <v>1758</v>
      </c>
      <c r="G58" s="191" t="s">
        <v>2685</v>
      </c>
      <c r="H58" s="192" t="s">
        <v>975</v>
      </c>
      <c r="I58" s="61" t="s">
        <v>2511</v>
      </c>
      <c r="J58" s="61" t="s">
        <v>2511</v>
      </c>
      <c r="K58" s="62" t="s">
        <v>2511</v>
      </c>
      <c r="L58" s="60" t="s">
        <v>2389</v>
      </c>
      <c r="M58" s="61" t="s">
        <v>2388</v>
      </c>
      <c r="N58" s="61" t="s">
        <v>2511</v>
      </c>
      <c r="O58" s="61" t="s">
        <v>2511</v>
      </c>
      <c r="P58" s="62" t="s">
        <v>2511</v>
      </c>
      <c r="Q58" s="58" t="s">
        <v>2426</v>
      </c>
      <c r="R58" s="58" t="s">
        <v>126</v>
      </c>
      <c r="S58" s="58" t="s">
        <v>112</v>
      </c>
      <c r="T58" s="58" t="s">
        <v>113</v>
      </c>
      <c r="U58" s="63" t="s">
        <v>126</v>
      </c>
      <c r="V58" s="138" t="s">
        <v>2686</v>
      </c>
      <c r="W58" s="57" t="s">
        <v>2683</v>
      </c>
      <c r="X58" s="126" t="s">
        <v>2687</v>
      </c>
      <c r="Y58" s="126" t="s">
        <v>2511</v>
      </c>
      <c r="Z58" s="57" t="s">
        <v>2628</v>
      </c>
      <c r="AA58" s="57" t="s">
        <v>2629</v>
      </c>
      <c r="AB58" s="57" t="s">
        <v>2630</v>
      </c>
      <c r="AC58" s="57" t="s">
        <v>2548</v>
      </c>
      <c r="AD58" s="65" t="str">
        <f t="shared" si="12"/>
        <v>QSPI0</v>
      </c>
      <c r="AE58" s="70"/>
      <c r="AF58" s="67" t="str">
        <f t="shared" si="13"/>
        <v>NORMAL</v>
      </c>
      <c r="AG58" s="67" t="str">
        <f t="shared" si="4"/>
        <v>NORMAL</v>
      </c>
      <c r="AH58" s="67" t="str">
        <f t="shared" si="14"/>
        <v>DISABLE</v>
      </c>
      <c r="AI58" s="71" t="str">
        <f t="shared" si="9"/>
        <v>N/A</v>
      </c>
      <c r="AJ58" s="189" t="b">
        <v>1</v>
      </c>
      <c r="AK58" s="189" t="b">
        <v>1</v>
      </c>
      <c r="AL58" s="189" t="b">
        <v>1</v>
      </c>
      <c r="AM58" s="189" t="b">
        <v>1</v>
      </c>
      <c r="AN58" s="189" t="b">
        <v>1</v>
      </c>
      <c r="AO58" s="189" t="b">
        <v>1</v>
      </c>
      <c r="AP58" s="69" t="str">
        <f t="shared" si="15"/>
        <v>VALID</v>
      </c>
      <c r="AQ58" s="167" t="s">
        <v>975</v>
      </c>
      <c r="AR58" s="194" t="s">
        <v>861</v>
      </c>
      <c r="AS58" s="193"/>
      <c r="AT58" s="193" t="s">
        <v>117</v>
      </c>
      <c r="AU58" s="5"/>
      <c r="AV58" s="5"/>
      <c r="AW58" s="72"/>
      <c r="AX58" s="72"/>
      <c r="AY58" s="72"/>
      <c r="AZ58" s="193"/>
      <c r="BA58" s="193"/>
      <c r="BB58" s="8"/>
      <c r="BC58" s="140"/>
      <c r="BD58" s="11" t="s">
        <v>5528</v>
      </c>
      <c r="BE58" s="337"/>
    </row>
    <row r="59" spans="1:57" ht="12.95" hidden="1" customHeight="1">
      <c r="A59" s="248" t="e">
        <v>#N/A</v>
      </c>
      <c r="B59" s="252" t="e">
        <v>#N/A</v>
      </c>
      <c r="C59" s="263" t="s">
        <v>976</v>
      </c>
      <c r="D59" s="239" t="s">
        <v>2688</v>
      </c>
      <c r="E59" s="58"/>
      <c r="F59" s="59" t="s">
        <v>1759</v>
      </c>
      <c r="G59" s="191" t="s">
        <v>2689</v>
      </c>
      <c r="H59" s="192" t="s">
        <v>976</v>
      </c>
      <c r="I59" s="61" t="s">
        <v>2511</v>
      </c>
      <c r="J59" s="61" t="s">
        <v>2511</v>
      </c>
      <c r="K59" s="62" t="s">
        <v>2511</v>
      </c>
      <c r="L59" s="60" t="s">
        <v>2389</v>
      </c>
      <c r="M59" s="61" t="s">
        <v>2389</v>
      </c>
      <c r="N59" s="61" t="s">
        <v>2511</v>
      </c>
      <c r="O59" s="61" t="s">
        <v>2511</v>
      </c>
      <c r="P59" s="62" t="s">
        <v>2511</v>
      </c>
      <c r="Q59" s="58" t="s">
        <v>2426</v>
      </c>
      <c r="R59" s="58" t="s">
        <v>126</v>
      </c>
      <c r="S59" s="58" t="s">
        <v>112</v>
      </c>
      <c r="T59" s="58" t="s">
        <v>113</v>
      </c>
      <c r="U59" s="63" t="s">
        <v>126</v>
      </c>
      <c r="V59" s="138" t="s">
        <v>2690</v>
      </c>
      <c r="W59" s="57" t="s">
        <v>2683</v>
      </c>
      <c r="X59" s="126" t="s">
        <v>2511</v>
      </c>
      <c r="Y59" s="126" t="s">
        <v>2511</v>
      </c>
      <c r="Z59" s="57" t="s">
        <v>2628</v>
      </c>
      <c r="AA59" s="57" t="s">
        <v>2629</v>
      </c>
      <c r="AB59" s="57" t="s">
        <v>2630</v>
      </c>
      <c r="AC59" s="57" t="s">
        <v>2548</v>
      </c>
      <c r="AD59" s="65" t="str">
        <f t="shared" si="12"/>
        <v>QSPI0</v>
      </c>
      <c r="AE59" s="70"/>
      <c r="AF59" s="67" t="str">
        <f t="shared" si="13"/>
        <v>NORMAL</v>
      </c>
      <c r="AG59" s="67" t="str">
        <f t="shared" si="4"/>
        <v>NORMAL</v>
      </c>
      <c r="AH59" s="67" t="str">
        <f t="shared" si="14"/>
        <v>ENABLE</v>
      </c>
      <c r="AI59" s="71" t="str">
        <f t="shared" si="9"/>
        <v>N/A</v>
      </c>
      <c r="AJ59" s="189" t="b">
        <v>1</v>
      </c>
      <c r="AK59" s="189" t="b">
        <v>1</v>
      </c>
      <c r="AL59" s="189" t="b">
        <v>1</v>
      </c>
      <c r="AM59" s="189" t="b">
        <v>1</v>
      </c>
      <c r="AN59" s="189" t="b">
        <v>1</v>
      </c>
      <c r="AO59" s="189" t="b">
        <v>1</v>
      </c>
      <c r="AP59" s="69" t="str">
        <f t="shared" si="15"/>
        <v>VALID</v>
      </c>
      <c r="AQ59" s="167" t="s">
        <v>976</v>
      </c>
      <c r="AR59" s="194" t="s">
        <v>860</v>
      </c>
      <c r="AS59" s="193"/>
      <c r="AT59" s="72"/>
      <c r="AU59" s="72"/>
      <c r="AV59" s="72"/>
      <c r="AW59" s="72"/>
      <c r="AX59" s="72"/>
      <c r="AY59" s="72"/>
      <c r="AZ59" s="193"/>
      <c r="BA59" s="193"/>
      <c r="BB59" s="8"/>
      <c r="BC59" s="140"/>
      <c r="BD59" s="11" t="s">
        <v>5529</v>
      </c>
      <c r="BE59" s="337"/>
    </row>
    <row r="60" spans="1:57" ht="12.95" hidden="1" customHeight="1">
      <c r="A60" s="248" t="e">
        <v>#N/A</v>
      </c>
      <c r="B60" s="252" t="e">
        <v>#N/A</v>
      </c>
      <c r="C60" s="263" t="s">
        <v>977</v>
      </c>
      <c r="D60" s="239" t="s">
        <v>2691</v>
      </c>
      <c r="E60" s="58"/>
      <c r="F60" s="59" t="s">
        <v>1760</v>
      </c>
      <c r="G60" s="191" t="s">
        <v>2692</v>
      </c>
      <c r="H60" s="192" t="s">
        <v>977</v>
      </c>
      <c r="I60" s="61" t="s">
        <v>2511</v>
      </c>
      <c r="J60" s="61" t="s">
        <v>2511</v>
      </c>
      <c r="K60" s="62" t="s">
        <v>2511</v>
      </c>
      <c r="L60" s="60" t="s">
        <v>2389</v>
      </c>
      <c r="M60" s="61" t="s">
        <v>2389</v>
      </c>
      <c r="N60" s="61" t="s">
        <v>2511</v>
      </c>
      <c r="O60" s="61" t="s">
        <v>2511</v>
      </c>
      <c r="P60" s="62" t="s">
        <v>2511</v>
      </c>
      <c r="Q60" s="58" t="s">
        <v>2426</v>
      </c>
      <c r="R60" s="58" t="s">
        <v>126</v>
      </c>
      <c r="S60" s="58" t="s">
        <v>112</v>
      </c>
      <c r="T60" s="58" t="s">
        <v>113</v>
      </c>
      <c r="U60" s="63" t="s">
        <v>126</v>
      </c>
      <c r="V60" s="138" t="s">
        <v>2693</v>
      </c>
      <c r="W60" s="57" t="s">
        <v>2683</v>
      </c>
      <c r="X60" s="126" t="s">
        <v>2511</v>
      </c>
      <c r="Y60" s="126" t="s">
        <v>2511</v>
      </c>
      <c r="Z60" s="57" t="s">
        <v>2628</v>
      </c>
      <c r="AA60" s="57" t="s">
        <v>2629</v>
      </c>
      <c r="AB60" s="57" t="s">
        <v>2630</v>
      </c>
      <c r="AC60" s="57" t="s">
        <v>2548</v>
      </c>
      <c r="AD60" s="65" t="str">
        <f t="shared" si="12"/>
        <v>QSPI0</v>
      </c>
      <c r="AE60" s="70"/>
      <c r="AF60" s="67" t="str">
        <f t="shared" si="13"/>
        <v>NORMAL</v>
      </c>
      <c r="AG60" s="67" t="str">
        <f t="shared" si="4"/>
        <v>NORMAL</v>
      </c>
      <c r="AH60" s="67" t="str">
        <f t="shared" si="14"/>
        <v>ENABLE</v>
      </c>
      <c r="AI60" s="71" t="str">
        <f t="shared" si="9"/>
        <v>N/A</v>
      </c>
      <c r="AJ60" s="189" t="b">
        <v>1</v>
      </c>
      <c r="AK60" s="189" t="b">
        <v>1</v>
      </c>
      <c r="AL60" s="189" t="b">
        <v>1</v>
      </c>
      <c r="AM60" s="189" t="b">
        <v>1</v>
      </c>
      <c r="AN60" s="189" t="b">
        <v>1</v>
      </c>
      <c r="AO60" s="189" t="b">
        <v>1</v>
      </c>
      <c r="AP60" s="69" t="str">
        <f t="shared" si="15"/>
        <v>VALID</v>
      </c>
      <c r="AQ60" s="167" t="s">
        <v>977</v>
      </c>
      <c r="AR60" s="194" t="s">
        <v>860</v>
      </c>
      <c r="AS60" s="193"/>
      <c r="AT60" s="72"/>
      <c r="AU60" s="72"/>
      <c r="AV60" s="72"/>
      <c r="AW60" s="72"/>
      <c r="AX60" s="72"/>
      <c r="AY60" s="72"/>
      <c r="AZ60" s="193"/>
      <c r="BA60" s="193"/>
      <c r="BB60" s="8"/>
      <c r="BC60" s="140"/>
      <c r="BD60" s="11" t="s">
        <v>5530</v>
      </c>
      <c r="BE60" s="337"/>
    </row>
    <row r="61" spans="1:57" ht="12.95" hidden="1" customHeight="1">
      <c r="A61" s="248" t="e">
        <v>#N/A</v>
      </c>
      <c r="B61" s="252" t="e">
        <v>#N/A</v>
      </c>
      <c r="C61" s="263" t="s">
        <v>978</v>
      </c>
      <c r="D61" s="239" t="s">
        <v>2694</v>
      </c>
      <c r="E61" s="58"/>
      <c r="F61" s="59" t="s">
        <v>1761</v>
      </c>
      <c r="G61" s="191" t="s">
        <v>2695</v>
      </c>
      <c r="H61" s="192" t="s">
        <v>2156</v>
      </c>
      <c r="I61" s="61" t="s">
        <v>2511</v>
      </c>
      <c r="J61" s="61" t="s">
        <v>2511</v>
      </c>
      <c r="K61" s="62" t="s">
        <v>2511</v>
      </c>
      <c r="L61" s="60" t="s">
        <v>2389</v>
      </c>
      <c r="M61" s="61" t="s">
        <v>114</v>
      </c>
      <c r="N61" s="61" t="s">
        <v>2511</v>
      </c>
      <c r="O61" s="61" t="s">
        <v>2511</v>
      </c>
      <c r="P61" s="62" t="s">
        <v>2511</v>
      </c>
      <c r="Q61" s="58" t="s">
        <v>2426</v>
      </c>
      <c r="R61" s="58" t="s">
        <v>126</v>
      </c>
      <c r="S61" s="58" t="s">
        <v>112</v>
      </c>
      <c r="T61" s="58" t="s">
        <v>113</v>
      </c>
      <c r="U61" s="63" t="s">
        <v>126</v>
      </c>
      <c r="V61" s="138" t="s">
        <v>2696</v>
      </c>
      <c r="W61" s="57" t="s">
        <v>2683</v>
      </c>
      <c r="X61" s="126" t="s">
        <v>2511</v>
      </c>
      <c r="Y61" s="126" t="s">
        <v>2511</v>
      </c>
      <c r="Z61" s="57" t="s">
        <v>2628</v>
      </c>
      <c r="AA61" s="57" t="s">
        <v>2629</v>
      </c>
      <c r="AB61" s="57" t="s">
        <v>2630</v>
      </c>
      <c r="AC61" s="57" t="s">
        <v>2548</v>
      </c>
      <c r="AD61" s="65" t="str">
        <f t="shared" si="12"/>
        <v>QSPI0</v>
      </c>
      <c r="AE61" s="70"/>
      <c r="AF61" s="67" t="str">
        <f t="shared" si="13"/>
        <v>NORMAL</v>
      </c>
      <c r="AG61" s="67" t="str">
        <f t="shared" si="4"/>
        <v>NORMAL</v>
      </c>
      <c r="AH61" s="67" t="str">
        <f t="shared" si="14"/>
        <v>ENABLE</v>
      </c>
      <c r="AI61" s="71" t="str">
        <f t="shared" si="9"/>
        <v>N/A</v>
      </c>
      <c r="AJ61" s="189" t="b">
        <v>1</v>
      </c>
      <c r="AK61" s="189" t="b">
        <v>1</v>
      </c>
      <c r="AL61" s="189" t="b">
        <v>1</v>
      </c>
      <c r="AM61" s="189" t="b">
        <v>1</v>
      </c>
      <c r="AN61" s="189" t="b">
        <v>1</v>
      </c>
      <c r="AO61" s="189" t="b">
        <v>1</v>
      </c>
      <c r="AP61" s="69" t="str">
        <f t="shared" si="15"/>
        <v>VALID</v>
      </c>
      <c r="AQ61" s="167" t="s">
        <v>2156</v>
      </c>
      <c r="AR61" s="194" t="s">
        <v>860</v>
      </c>
      <c r="AS61" s="193"/>
      <c r="AT61" s="72"/>
      <c r="AU61" s="72"/>
      <c r="AV61" s="72"/>
      <c r="AW61" s="72"/>
      <c r="AX61" s="72"/>
      <c r="AY61" s="72"/>
      <c r="AZ61" s="193"/>
      <c r="BA61" s="193"/>
      <c r="BB61" s="8"/>
      <c r="BC61" s="140"/>
      <c r="BD61" s="11" t="s">
        <v>5531</v>
      </c>
      <c r="BE61" s="337"/>
    </row>
    <row r="62" spans="1:57" ht="12.95" hidden="1" customHeight="1">
      <c r="A62" s="248" t="e">
        <v>#N/A</v>
      </c>
      <c r="B62" s="252" t="e">
        <v>#N/A</v>
      </c>
      <c r="C62" s="263" t="s">
        <v>979</v>
      </c>
      <c r="D62" s="239" t="s">
        <v>2697</v>
      </c>
      <c r="E62" s="58"/>
      <c r="F62" s="59" t="s">
        <v>1762</v>
      </c>
      <c r="G62" s="191" t="s">
        <v>2698</v>
      </c>
      <c r="H62" s="192" t="s">
        <v>979</v>
      </c>
      <c r="I62" s="61" t="s">
        <v>2511</v>
      </c>
      <c r="J62" s="61" t="s">
        <v>2511</v>
      </c>
      <c r="K62" s="62" t="s">
        <v>2511</v>
      </c>
      <c r="L62" s="60" t="s">
        <v>2389</v>
      </c>
      <c r="M62" s="61" t="s">
        <v>2389</v>
      </c>
      <c r="N62" s="61" t="s">
        <v>2511</v>
      </c>
      <c r="O62" s="61" t="s">
        <v>2511</v>
      </c>
      <c r="P62" s="62" t="s">
        <v>2511</v>
      </c>
      <c r="Q62" s="58" t="s">
        <v>2426</v>
      </c>
      <c r="R62" s="58" t="s">
        <v>126</v>
      </c>
      <c r="S62" s="58" t="s">
        <v>112</v>
      </c>
      <c r="T62" s="58" t="s">
        <v>113</v>
      </c>
      <c r="U62" s="63" t="s">
        <v>126</v>
      </c>
      <c r="V62" s="138" t="s">
        <v>2699</v>
      </c>
      <c r="W62" s="57" t="s">
        <v>2683</v>
      </c>
      <c r="X62" s="126" t="s">
        <v>2700</v>
      </c>
      <c r="Y62" s="126" t="s">
        <v>2511</v>
      </c>
      <c r="Z62" s="57" t="s">
        <v>2628</v>
      </c>
      <c r="AA62" s="57" t="s">
        <v>2629</v>
      </c>
      <c r="AB62" s="57" t="s">
        <v>2630</v>
      </c>
      <c r="AC62" s="57" t="s">
        <v>2548</v>
      </c>
      <c r="AD62" s="65" t="str">
        <f t="shared" si="12"/>
        <v>QSPI0</v>
      </c>
      <c r="AE62" s="70"/>
      <c r="AF62" s="67" t="str">
        <f t="shared" si="13"/>
        <v>NORMAL</v>
      </c>
      <c r="AG62" s="67" t="str">
        <f t="shared" si="4"/>
        <v>NORMAL</v>
      </c>
      <c r="AH62" s="67" t="str">
        <f t="shared" si="14"/>
        <v>ENABLE</v>
      </c>
      <c r="AI62" s="71" t="str">
        <f t="shared" si="9"/>
        <v>N/A</v>
      </c>
      <c r="AJ62" s="189" t="b">
        <v>1</v>
      </c>
      <c r="AK62" s="189" t="b">
        <v>1</v>
      </c>
      <c r="AL62" s="189" t="b">
        <v>1</v>
      </c>
      <c r="AM62" s="189" t="b">
        <v>1</v>
      </c>
      <c r="AN62" s="189" t="b">
        <v>1</v>
      </c>
      <c r="AO62" s="189" t="b">
        <v>1</v>
      </c>
      <c r="AP62" s="69" t="str">
        <f t="shared" si="15"/>
        <v>VALID</v>
      </c>
      <c r="AQ62" s="167" t="s">
        <v>979</v>
      </c>
      <c r="AR62" s="194" t="s">
        <v>860</v>
      </c>
      <c r="AS62" s="193"/>
      <c r="AT62" s="193" t="s">
        <v>117</v>
      </c>
      <c r="AU62" s="72"/>
      <c r="AV62" s="72"/>
      <c r="AW62" s="72"/>
      <c r="AX62" s="72"/>
      <c r="AY62" s="72"/>
      <c r="AZ62" s="193"/>
      <c r="BA62" s="193"/>
      <c r="BB62" s="8"/>
      <c r="BC62" s="140"/>
      <c r="BD62" s="11" t="s">
        <v>5532</v>
      </c>
      <c r="BE62" s="338"/>
    </row>
    <row r="63" spans="1:57" ht="12.95" hidden="1" customHeight="1">
      <c r="A63" s="248" t="e">
        <v>#N/A</v>
      </c>
      <c r="B63" s="252" t="e">
        <v>#N/A</v>
      </c>
      <c r="C63" s="263" t="s">
        <v>980</v>
      </c>
      <c r="D63" s="239" t="s">
        <v>2701</v>
      </c>
      <c r="E63" s="58"/>
      <c r="F63" s="59" t="s">
        <v>1763</v>
      </c>
      <c r="G63" s="191" t="s">
        <v>2702</v>
      </c>
      <c r="H63" s="192" t="s">
        <v>980</v>
      </c>
      <c r="I63" s="61" t="s">
        <v>2511</v>
      </c>
      <c r="J63" s="61" t="s">
        <v>2511</v>
      </c>
      <c r="K63" s="62" t="s">
        <v>2511</v>
      </c>
      <c r="L63" s="60" t="s">
        <v>2389</v>
      </c>
      <c r="M63" s="61" t="s">
        <v>2389</v>
      </c>
      <c r="N63" s="61" t="s">
        <v>2511</v>
      </c>
      <c r="O63" s="61" t="s">
        <v>2511</v>
      </c>
      <c r="P63" s="62" t="s">
        <v>2511</v>
      </c>
      <c r="Q63" s="58" t="s">
        <v>2427</v>
      </c>
      <c r="R63" s="58" t="s">
        <v>126</v>
      </c>
      <c r="S63" s="58" t="s">
        <v>112</v>
      </c>
      <c r="T63" s="58" t="s">
        <v>113</v>
      </c>
      <c r="U63" s="63" t="s">
        <v>126</v>
      </c>
      <c r="V63" s="138" t="s">
        <v>2703</v>
      </c>
      <c r="W63" s="57" t="s">
        <v>2683</v>
      </c>
      <c r="X63" s="126" t="s">
        <v>2511</v>
      </c>
      <c r="Y63" s="126" t="s">
        <v>2511</v>
      </c>
      <c r="Z63" s="57" t="s">
        <v>2628</v>
      </c>
      <c r="AA63" s="57" t="s">
        <v>2629</v>
      </c>
      <c r="AB63" s="57" t="s">
        <v>2630</v>
      </c>
      <c r="AC63" s="57" t="s">
        <v>2516</v>
      </c>
      <c r="AD63" s="65" t="str">
        <f t="shared" si="12"/>
        <v>RSVD1</v>
      </c>
      <c r="AE63" s="70"/>
      <c r="AF63" s="67" t="str">
        <f t="shared" si="13"/>
        <v>PULL_DOWN</v>
      </c>
      <c r="AG63" s="67" t="str">
        <f t="shared" si="4"/>
        <v>TRISTATE</v>
      </c>
      <c r="AH63" s="67" t="str">
        <f t="shared" si="14"/>
        <v>DISABLE</v>
      </c>
      <c r="AI63" s="71" t="str">
        <f t="shared" si="9"/>
        <v>N/A</v>
      </c>
      <c r="AJ63" s="189" t="b">
        <v>1</v>
      </c>
      <c r="AK63" s="189" t="b">
        <v>1</v>
      </c>
      <c r="AL63" s="189" t="b">
        <v>1</v>
      </c>
      <c r="AM63" s="189" t="b">
        <v>1</v>
      </c>
      <c r="AN63" s="189" t="b">
        <v>1</v>
      </c>
      <c r="AO63" s="189" t="b">
        <v>1</v>
      </c>
      <c r="AP63" s="69" t="str">
        <f t="shared" si="15"/>
        <v>VALID</v>
      </c>
      <c r="AQ63" s="167" t="s">
        <v>1763</v>
      </c>
      <c r="AR63" s="194" t="s">
        <v>79</v>
      </c>
      <c r="AS63" s="193"/>
      <c r="AT63" s="72"/>
      <c r="AU63" s="5"/>
      <c r="AV63" s="5"/>
      <c r="AW63" s="72"/>
      <c r="AX63" s="72"/>
      <c r="AY63" s="193" t="s">
        <v>872</v>
      </c>
      <c r="AZ63" s="193"/>
      <c r="BA63" s="193"/>
      <c r="BB63" s="8"/>
      <c r="BC63" s="140"/>
      <c r="BD63" s="147" t="s">
        <v>83</v>
      </c>
      <c r="BE63" s="147" t="s">
        <v>83</v>
      </c>
    </row>
    <row r="64" spans="1:57" ht="12.95" hidden="1" customHeight="1">
      <c r="A64" s="248" t="e">
        <v>#N/A</v>
      </c>
      <c r="B64" s="252" t="e">
        <v>#N/A</v>
      </c>
      <c r="C64" s="263" t="s">
        <v>981</v>
      </c>
      <c r="D64" s="239" t="s">
        <v>2704</v>
      </c>
      <c r="E64" s="58"/>
      <c r="F64" s="59" t="s">
        <v>1765</v>
      </c>
      <c r="G64" s="191" t="s">
        <v>2705</v>
      </c>
      <c r="H64" s="192" t="s">
        <v>981</v>
      </c>
      <c r="I64" s="61" t="s">
        <v>2511</v>
      </c>
      <c r="J64" s="61" t="s">
        <v>2511</v>
      </c>
      <c r="K64" s="62" t="s">
        <v>2511</v>
      </c>
      <c r="L64" s="60" t="s">
        <v>2389</v>
      </c>
      <c r="M64" s="61" t="s">
        <v>2388</v>
      </c>
      <c r="N64" s="61" t="s">
        <v>2511</v>
      </c>
      <c r="O64" s="61" t="s">
        <v>2511</v>
      </c>
      <c r="P64" s="62" t="s">
        <v>2511</v>
      </c>
      <c r="Q64" s="58" t="s">
        <v>2427</v>
      </c>
      <c r="R64" s="58" t="s">
        <v>126</v>
      </c>
      <c r="S64" s="58" t="s">
        <v>112</v>
      </c>
      <c r="T64" s="58" t="s">
        <v>113</v>
      </c>
      <c r="U64" s="63" t="s">
        <v>126</v>
      </c>
      <c r="V64" s="138" t="s">
        <v>2706</v>
      </c>
      <c r="W64" s="57" t="s">
        <v>2683</v>
      </c>
      <c r="X64" s="126" t="s">
        <v>2707</v>
      </c>
      <c r="Y64" s="126" t="s">
        <v>2511</v>
      </c>
      <c r="Z64" s="57" t="s">
        <v>2628</v>
      </c>
      <c r="AA64" s="57" t="s">
        <v>2629</v>
      </c>
      <c r="AB64" s="57" t="s">
        <v>2630</v>
      </c>
      <c r="AC64" s="57" t="s">
        <v>2548</v>
      </c>
      <c r="AD64" s="65" t="str">
        <f t="shared" si="12"/>
        <v>RSVD1</v>
      </c>
      <c r="AE64" s="70"/>
      <c r="AF64" s="67" t="str">
        <f t="shared" si="13"/>
        <v>PULL_DOWN</v>
      </c>
      <c r="AG64" s="67" t="str">
        <f t="shared" si="4"/>
        <v>TRISTATE</v>
      </c>
      <c r="AH64" s="67" t="str">
        <f t="shared" si="14"/>
        <v>DISABLE</v>
      </c>
      <c r="AI64" s="71" t="str">
        <f t="shared" si="9"/>
        <v>N/A</v>
      </c>
      <c r="AJ64" s="189" t="b">
        <v>1</v>
      </c>
      <c r="AK64" s="189" t="b">
        <v>1</v>
      </c>
      <c r="AL64" s="189" t="b">
        <v>1</v>
      </c>
      <c r="AM64" s="189" t="b">
        <v>1</v>
      </c>
      <c r="AN64" s="189" t="b">
        <v>1</v>
      </c>
      <c r="AO64" s="189" t="b">
        <v>1</v>
      </c>
      <c r="AP64" s="69" t="str">
        <f t="shared" si="15"/>
        <v>VALID</v>
      </c>
      <c r="AQ64" s="167" t="s">
        <v>1765</v>
      </c>
      <c r="AR64" s="194" t="s">
        <v>79</v>
      </c>
      <c r="AS64" s="193"/>
      <c r="AT64" s="193" t="s">
        <v>117</v>
      </c>
      <c r="AU64" s="5"/>
      <c r="AV64" s="5"/>
      <c r="AW64" s="72"/>
      <c r="AX64" s="72"/>
      <c r="AY64" s="72"/>
      <c r="AZ64" s="193"/>
      <c r="BA64" s="193"/>
      <c r="BB64" s="8"/>
      <c r="BC64" s="140"/>
      <c r="BD64" s="147" t="s">
        <v>83</v>
      </c>
      <c r="BE64" s="147" t="s">
        <v>83</v>
      </c>
    </row>
    <row r="65" spans="1:57" ht="12.95" hidden="1" customHeight="1">
      <c r="A65" s="248" t="e">
        <v>#N/A</v>
      </c>
      <c r="B65" s="252" t="e">
        <v>#N/A</v>
      </c>
      <c r="C65" s="263" t="s">
        <v>982</v>
      </c>
      <c r="D65" s="239" t="s">
        <v>2708</v>
      </c>
      <c r="E65" s="58"/>
      <c r="F65" s="59" t="s">
        <v>1764</v>
      </c>
      <c r="G65" s="191" t="s">
        <v>2709</v>
      </c>
      <c r="H65" s="192" t="s">
        <v>982</v>
      </c>
      <c r="I65" s="61" t="s">
        <v>2511</v>
      </c>
      <c r="J65" s="61" t="s">
        <v>2511</v>
      </c>
      <c r="K65" s="62" t="s">
        <v>2511</v>
      </c>
      <c r="L65" s="60" t="s">
        <v>2389</v>
      </c>
      <c r="M65" s="61" t="s">
        <v>2389</v>
      </c>
      <c r="N65" s="61" t="s">
        <v>2511</v>
      </c>
      <c r="O65" s="61" t="s">
        <v>2511</v>
      </c>
      <c r="P65" s="62" t="s">
        <v>2511</v>
      </c>
      <c r="Q65" s="58" t="s">
        <v>2427</v>
      </c>
      <c r="R65" s="58" t="s">
        <v>126</v>
      </c>
      <c r="S65" s="58" t="s">
        <v>112</v>
      </c>
      <c r="T65" s="58" t="s">
        <v>113</v>
      </c>
      <c r="U65" s="63" t="s">
        <v>126</v>
      </c>
      <c r="V65" s="138" t="s">
        <v>2710</v>
      </c>
      <c r="W65" s="57" t="s">
        <v>2683</v>
      </c>
      <c r="X65" s="126" t="s">
        <v>2511</v>
      </c>
      <c r="Y65" s="126" t="s">
        <v>2511</v>
      </c>
      <c r="Z65" s="57" t="s">
        <v>2628</v>
      </c>
      <c r="AA65" s="57" t="s">
        <v>2629</v>
      </c>
      <c r="AB65" s="57" t="s">
        <v>2630</v>
      </c>
      <c r="AC65" s="57" t="s">
        <v>2548</v>
      </c>
      <c r="AD65" s="65" t="str">
        <f t="shared" si="12"/>
        <v>RSVD1</v>
      </c>
      <c r="AE65" s="70"/>
      <c r="AF65" s="67" t="str">
        <f t="shared" si="13"/>
        <v>PULL_DOWN</v>
      </c>
      <c r="AG65" s="67" t="str">
        <f t="shared" si="4"/>
        <v>TRISTATE</v>
      </c>
      <c r="AH65" s="67" t="str">
        <f t="shared" si="14"/>
        <v>DISABLE</v>
      </c>
      <c r="AI65" s="71" t="str">
        <f t="shared" si="9"/>
        <v>N/A</v>
      </c>
      <c r="AJ65" s="189" t="b">
        <v>1</v>
      </c>
      <c r="AK65" s="189" t="b">
        <v>1</v>
      </c>
      <c r="AL65" s="189" t="b">
        <v>1</v>
      </c>
      <c r="AM65" s="189" t="b">
        <v>1</v>
      </c>
      <c r="AN65" s="189" t="b">
        <v>1</v>
      </c>
      <c r="AO65" s="189" t="b">
        <v>1</v>
      </c>
      <c r="AP65" s="69" t="str">
        <f t="shared" si="15"/>
        <v>VALID</v>
      </c>
      <c r="AQ65" s="167" t="s">
        <v>1764</v>
      </c>
      <c r="AR65" s="194" t="s">
        <v>79</v>
      </c>
      <c r="AS65" s="193"/>
      <c r="AT65" s="72"/>
      <c r="AU65" s="72"/>
      <c r="AV65" s="72"/>
      <c r="AW65" s="72"/>
      <c r="AX65" s="72"/>
      <c r="AY65" s="72"/>
      <c r="AZ65" s="193"/>
      <c r="BA65" s="193"/>
      <c r="BB65" s="8"/>
      <c r="BC65" s="140"/>
      <c r="BD65" s="147" t="s">
        <v>83</v>
      </c>
      <c r="BE65" s="147" t="s">
        <v>83</v>
      </c>
    </row>
    <row r="66" spans="1:57" ht="12.95" hidden="1" customHeight="1">
      <c r="A66" s="248" t="e">
        <v>#N/A</v>
      </c>
      <c r="B66" s="252" t="e">
        <v>#N/A</v>
      </c>
      <c r="C66" s="263" t="s">
        <v>983</v>
      </c>
      <c r="D66" s="239" t="s">
        <v>2711</v>
      </c>
      <c r="E66" s="58"/>
      <c r="F66" s="59" t="s">
        <v>1766</v>
      </c>
      <c r="G66" s="191" t="s">
        <v>2712</v>
      </c>
      <c r="H66" s="192" t="s">
        <v>983</v>
      </c>
      <c r="I66" s="61" t="s">
        <v>2511</v>
      </c>
      <c r="J66" s="61" t="s">
        <v>2511</v>
      </c>
      <c r="K66" s="62" t="s">
        <v>2511</v>
      </c>
      <c r="L66" s="60" t="s">
        <v>2389</v>
      </c>
      <c r="M66" s="61" t="s">
        <v>2389</v>
      </c>
      <c r="N66" s="61" t="s">
        <v>2511</v>
      </c>
      <c r="O66" s="61" t="s">
        <v>2511</v>
      </c>
      <c r="P66" s="62" t="s">
        <v>2511</v>
      </c>
      <c r="Q66" s="58" t="s">
        <v>2427</v>
      </c>
      <c r="R66" s="58" t="s">
        <v>126</v>
      </c>
      <c r="S66" s="58" t="s">
        <v>112</v>
      </c>
      <c r="T66" s="58" t="s">
        <v>113</v>
      </c>
      <c r="U66" s="63" t="s">
        <v>126</v>
      </c>
      <c r="V66" s="138" t="s">
        <v>2713</v>
      </c>
      <c r="W66" s="57" t="s">
        <v>2683</v>
      </c>
      <c r="X66" s="126" t="s">
        <v>2511</v>
      </c>
      <c r="Y66" s="126" t="s">
        <v>2511</v>
      </c>
      <c r="Z66" s="57" t="s">
        <v>2628</v>
      </c>
      <c r="AA66" s="57" t="s">
        <v>2629</v>
      </c>
      <c r="AB66" s="57" t="s">
        <v>2630</v>
      </c>
      <c r="AC66" s="57" t="s">
        <v>2548</v>
      </c>
      <c r="AD66" s="65" t="str">
        <f t="shared" si="12"/>
        <v>RSVD1</v>
      </c>
      <c r="AE66" s="70"/>
      <c r="AF66" s="67" t="str">
        <f t="shared" si="13"/>
        <v>PULL_DOWN</v>
      </c>
      <c r="AG66" s="67" t="str">
        <f t="shared" si="4"/>
        <v>TRISTATE</v>
      </c>
      <c r="AH66" s="67" t="str">
        <f t="shared" si="14"/>
        <v>DISABLE</v>
      </c>
      <c r="AI66" s="71" t="str">
        <f t="shared" si="9"/>
        <v>N/A</v>
      </c>
      <c r="AJ66" s="189" t="b">
        <v>1</v>
      </c>
      <c r="AK66" s="189" t="b">
        <v>1</v>
      </c>
      <c r="AL66" s="189" t="b">
        <v>1</v>
      </c>
      <c r="AM66" s="189" t="b">
        <v>1</v>
      </c>
      <c r="AN66" s="189" t="b">
        <v>1</v>
      </c>
      <c r="AO66" s="189" t="b">
        <v>1</v>
      </c>
      <c r="AP66" s="69" t="str">
        <f t="shared" si="15"/>
        <v>VALID</v>
      </c>
      <c r="AQ66" s="167" t="s">
        <v>1766</v>
      </c>
      <c r="AR66" s="194" t="s">
        <v>79</v>
      </c>
      <c r="AS66" s="193"/>
      <c r="AT66" s="72"/>
      <c r="AU66" s="72"/>
      <c r="AV66" s="72"/>
      <c r="AW66" s="72"/>
      <c r="AX66" s="72"/>
      <c r="AY66" s="72"/>
      <c r="AZ66" s="193"/>
      <c r="BA66" s="193"/>
      <c r="BB66" s="8"/>
      <c r="BC66" s="140"/>
      <c r="BD66" s="147" t="s">
        <v>83</v>
      </c>
      <c r="BE66" s="147" t="s">
        <v>83</v>
      </c>
    </row>
    <row r="67" spans="1:57" ht="12.95" hidden="1" customHeight="1">
      <c r="A67" s="248" t="e">
        <v>#N/A</v>
      </c>
      <c r="B67" s="252" t="e">
        <v>#N/A</v>
      </c>
      <c r="C67" s="263" t="s">
        <v>984</v>
      </c>
      <c r="D67" s="239" t="s">
        <v>2714</v>
      </c>
      <c r="E67" s="58"/>
      <c r="F67" s="59" t="s">
        <v>1767</v>
      </c>
      <c r="G67" s="191" t="s">
        <v>2715</v>
      </c>
      <c r="H67" s="192" t="s">
        <v>2157</v>
      </c>
      <c r="I67" s="61" t="s">
        <v>2511</v>
      </c>
      <c r="J67" s="61" t="s">
        <v>2511</v>
      </c>
      <c r="K67" s="62" t="s">
        <v>2511</v>
      </c>
      <c r="L67" s="60" t="s">
        <v>2389</v>
      </c>
      <c r="M67" s="61" t="s">
        <v>114</v>
      </c>
      <c r="N67" s="61" t="s">
        <v>2511</v>
      </c>
      <c r="O67" s="61" t="s">
        <v>2511</v>
      </c>
      <c r="P67" s="62" t="s">
        <v>2511</v>
      </c>
      <c r="Q67" s="58" t="s">
        <v>2427</v>
      </c>
      <c r="R67" s="58" t="s">
        <v>126</v>
      </c>
      <c r="S67" s="58" t="s">
        <v>112</v>
      </c>
      <c r="T67" s="58" t="s">
        <v>113</v>
      </c>
      <c r="U67" s="63" t="s">
        <v>126</v>
      </c>
      <c r="V67" s="205" t="s">
        <v>2716</v>
      </c>
      <c r="W67" s="57" t="s">
        <v>2683</v>
      </c>
      <c r="X67" s="126" t="s">
        <v>2511</v>
      </c>
      <c r="Y67" s="126" t="s">
        <v>2511</v>
      </c>
      <c r="Z67" s="57" t="s">
        <v>2628</v>
      </c>
      <c r="AA67" s="57" t="s">
        <v>2629</v>
      </c>
      <c r="AB67" s="57" t="s">
        <v>2630</v>
      </c>
      <c r="AC67" s="57" t="s">
        <v>2548</v>
      </c>
      <c r="AD67" s="65" t="str">
        <f t="shared" si="12"/>
        <v>RSVD1</v>
      </c>
      <c r="AE67" s="70"/>
      <c r="AF67" s="67" t="str">
        <f t="shared" si="13"/>
        <v>PULL_DOWN</v>
      </c>
      <c r="AG67" s="67" t="str">
        <f t="shared" si="4"/>
        <v>TRISTATE</v>
      </c>
      <c r="AH67" s="67" t="str">
        <f t="shared" si="14"/>
        <v>DISABLE</v>
      </c>
      <c r="AI67" s="71" t="str">
        <f t="shared" si="9"/>
        <v>N/A</v>
      </c>
      <c r="AJ67" s="189" t="b">
        <v>1</v>
      </c>
      <c r="AK67" s="189" t="b">
        <v>1</v>
      </c>
      <c r="AL67" s="189" t="b">
        <v>1</v>
      </c>
      <c r="AM67" s="189" t="b">
        <v>1</v>
      </c>
      <c r="AN67" s="189" t="b">
        <v>1</v>
      </c>
      <c r="AO67" s="189" t="b">
        <v>1</v>
      </c>
      <c r="AP67" s="69" t="str">
        <f t="shared" si="15"/>
        <v>VALID</v>
      </c>
      <c r="AQ67" s="167" t="s">
        <v>1767</v>
      </c>
      <c r="AR67" s="194" t="s">
        <v>79</v>
      </c>
      <c r="AS67" s="193"/>
      <c r="AT67" s="72"/>
      <c r="AU67" s="72"/>
      <c r="AV67" s="72"/>
      <c r="AW67" s="72"/>
      <c r="AX67" s="72"/>
      <c r="AY67" s="72"/>
      <c r="AZ67" s="193"/>
      <c r="BA67" s="193"/>
      <c r="BB67" s="8"/>
      <c r="BC67" s="140"/>
      <c r="BD67" s="147" t="s">
        <v>83</v>
      </c>
      <c r="BE67" s="147" t="s">
        <v>83</v>
      </c>
    </row>
    <row r="68" spans="1:57" ht="12.95" hidden="1" customHeight="1">
      <c r="A68" s="248" t="e">
        <v>#N/A</v>
      </c>
      <c r="B68" s="252" t="e">
        <v>#N/A</v>
      </c>
      <c r="C68" s="263" t="s">
        <v>985</v>
      </c>
      <c r="D68" s="239" t="s">
        <v>2717</v>
      </c>
      <c r="E68" s="58"/>
      <c r="F68" s="59" t="s">
        <v>1768</v>
      </c>
      <c r="G68" s="191" t="s">
        <v>2718</v>
      </c>
      <c r="H68" s="192" t="s">
        <v>985</v>
      </c>
      <c r="I68" s="61" t="s">
        <v>2511</v>
      </c>
      <c r="J68" s="61" t="s">
        <v>2511</v>
      </c>
      <c r="K68" s="62" t="s">
        <v>2511</v>
      </c>
      <c r="L68" s="60" t="s">
        <v>2389</v>
      </c>
      <c r="M68" s="61" t="s">
        <v>2389</v>
      </c>
      <c r="N68" s="61" t="s">
        <v>2511</v>
      </c>
      <c r="O68" s="61" t="s">
        <v>2511</v>
      </c>
      <c r="P68" s="62" t="s">
        <v>2511</v>
      </c>
      <c r="Q68" s="58" t="s">
        <v>2427</v>
      </c>
      <c r="R68" s="58" t="s">
        <v>126</v>
      </c>
      <c r="S68" s="58" t="s">
        <v>112</v>
      </c>
      <c r="T68" s="58" t="s">
        <v>113</v>
      </c>
      <c r="U68" s="63" t="s">
        <v>126</v>
      </c>
      <c r="V68" s="137" t="s">
        <v>2719</v>
      </c>
      <c r="W68" s="57" t="s">
        <v>2683</v>
      </c>
      <c r="X68" s="126" t="s">
        <v>2720</v>
      </c>
      <c r="Y68" s="126" t="s">
        <v>2511</v>
      </c>
      <c r="Z68" s="57" t="s">
        <v>2628</v>
      </c>
      <c r="AA68" s="57" t="s">
        <v>2629</v>
      </c>
      <c r="AB68" s="57" t="s">
        <v>2630</v>
      </c>
      <c r="AC68" s="57" t="s">
        <v>2548</v>
      </c>
      <c r="AD68" s="65" t="str">
        <f t="shared" si="12"/>
        <v>RSVD1</v>
      </c>
      <c r="AE68" s="70"/>
      <c r="AF68" s="67" t="str">
        <f t="shared" si="13"/>
        <v>PULL_DOWN</v>
      </c>
      <c r="AG68" s="67" t="str">
        <f t="shared" si="4"/>
        <v>TRISTATE</v>
      </c>
      <c r="AH68" s="67" t="str">
        <f t="shared" si="14"/>
        <v>DISABLE</v>
      </c>
      <c r="AI68" s="71" t="str">
        <f t="shared" si="9"/>
        <v>N/A</v>
      </c>
      <c r="AJ68" s="189" t="b">
        <v>1</v>
      </c>
      <c r="AK68" s="189" t="b">
        <v>1</v>
      </c>
      <c r="AL68" s="189" t="b">
        <v>1</v>
      </c>
      <c r="AM68" s="189" t="b">
        <v>1</v>
      </c>
      <c r="AN68" s="189" t="b">
        <v>1</v>
      </c>
      <c r="AO68" s="189" t="b">
        <v>1</v>
      </c>
      <c r="AP68" s="69" t="str">
        <f t="shared" si="15"/>
        <v>VALID</v>
      </c>
      <c r="AQ68" s="167" t="s">
        <v>1768</v>
      </c>
      <c r="AR68" s="194" t="s">
        <v>79</v>
      </c>
      <c r="AS68" s="193"/>
      <c r="AT68" s="193" t="s">
        <v>117</v>
      </c>
      <c r="AU68" s="5"/>
      <c r="AV68" s="5"/>
      <c r="AW68" s="72"/>
      <c r="AX68" s="72"/>
      <c r="AY68" s="72"/>
      <c r="AZ68" s="193"/>
      <c r="BA68" s="193"/>
      <c r="BB68" s="8"/>
      <c r="BC68" s="140"/>
      <c r="BD68" s="147" t="s">
        <v>83</v>
      </c>
      <c r="BE68" s="147" t="s">
        <v>83</v>
      </c>
    </row>
    <row r="69" spans="1:57" s="56" customFormat="1" ht="18" hidden="1" customHeight="1">
      <c r="A69" s="361"/>
      <c r="B69" s="362"/>
      <c r="C69" s="264" t="s">
        <v>65</v>
      </c>
      <c r="D69" s="264"/>
      <c r="E69" s="51"/>
      <c r="F69" s="51"/>
      <c r="G69" s="52"/>
      <c r="H69" s="52"/>
      <c r="I69" s="52"/>
      <c r="J69" s="52"/>
      <c r="K69" s="52"/>
      <c r="L69" s="51"/>
      <c r="M69" s="51"/>
      <c r="N69" s="51"/>
      <c r="O69" s="51"/>
      <c r="P69" s="51"/>
      <c r="Q69" s="51"/>
      <c r="R69" s="51"/>
      <c r="S69" s="51"/>
      <c r="T69" s="51"/>
      <c r="U69" s="51"/>
      <c r="V69" s="51"/>
      <c r="W69" s="51"/>
      <c r="X69" s="125"/>
      <c r="Y69" s="125"/>
      <c r="Z69" s="53"/>
      <c r="AA69" s="53"/>
      <c r="AB69" s="53"/>
      <c r="AC69" s="53"/>
      <c r="AD69" s="53"/>
      <c r="AE69" s="53"/>
      <c r="AF69" s="53"/>
      <c r="AG69" s="53"/>
      <c r="AH69" s="53"/>
      <c r="AI69" s="53"/>
      <c r="AJ69" s="53"/>
      <c r="AK69" s="53"/>
      <c r="AL69" s="53"/>
      <c r="AM69" s="53"/>
      <c r="AN69" s="53"/>
      <c r="AO69" s="53"/>
      <c r="AP69" s="53"/>
      <c r="AQ69" s="54"/>
      <c r="AR69" s="54"/>
      <c r="AS69" s="55"/>
      <c r="AT69" s="55"/>
      <c r="AU69" s="55"/>
      <c r="AV69" s="55"/>
      <c r="AW69" s="55"/>
      <c r="AX69" s="55"/>
      <c r="AY69" s="55"/>
      <c r="AZ69" s="55"/>
      <c r="BA69" s="55"/>
      <c r="BB69" s="55"/>
      <c r="BC69" s="175" t="s">
        <v>59</v>
      </c>
      <c r="BD69" s="185"/>
      <c r="BE69" s="207" t="s">
        <v>65</v>
      </c>
    </row>
    <row r="70" spans="1:57" ht="12.95" hidden="1" customHeight="1">
      <c r="A70" s="248" t="e">
        <v>#N/A</v>
      </c>
      <c r="B70" s="252" t="e">
        <v>#N/A</v>
      </c>
      <c r="C70" s="263" t="s">
        <v>76</v>
      </c>
      <c r="D70" s="239" t="s">
        <v>2721</v>
      </c>
      <c r="E70" s="58"/>
      <c r="F70" s="59" t="s">
        <v>156</v>
      </c>
      <c r="G70" s="191" t="s">
        <v>2511</v>
      </c>
      <c r="H70" s="192" t="s">
        <v>76</v>
      </c>
      <c r="I70" s="61" t="s">
        <v>2511</v>
      </c>
      <c r="J70" s="61" t="s">
        <v>2511</v>
      </c>
      <c r="K70" s="62" t="s">
        <v>2511</v>
      </c>
      <c r="L70" s="60" t="s">
        <v>2511</v>
      </c>
      <c r="M70" s="61" t="s">
        <v>2388</v>
      </c>
      <c r="N70" s="61" t="s">
        <v>2511</v>
      </c>
      <c r="O70" s="61" t="s">
        <v>2511</v>
      </c>
      <c r="P70" s="62" t="s">
        <v>2511</v>
      </c>
      <c r="Q70" s="58" t="s">
        <v>65</v>
      </c>
      <c r="R70" s="58" t="s">
        <v>126</v>
      </c>
      <c r="S70" s="58" t="s">
        <v>112</v>
      </c>
      <c r="T70" s="58" t="s">
        <v>113</v>
      </c>
      <c r="U70" s="63" t="s">
        <v>126</v>
      </c>
      <c r="V70" s="137" t="s">
        <v>2722</v>
      </c>
      <c r="W70" s="57" t="s">
        <v>2723</v>
      </c>
      <c r="X70" s="126" t="s">
        <v>2511</v>
      </c>
      <c r="Y70" s="126" t="s">
        <v>2511</v>
      </c>
      <c r="Z70" s="57" t="s">
        <v>2724</v>
      </c>
      <c r="AA70" s="57" t="s">
        <v>2725</v>
      </c>
      <c r="AB70" s="57" t="s">
        <v>2726</v>
      </c>
      <c r="AC70" s="57">
        <v>0</v>
      </c>
      <c r="AD70" s="65" t="str">
        <f t="shared" si="12"/>
        <v>SDMMC4</v>
      </c>
      <c r="AE70" s="70"/>
      <c r="AF70" s="67" t="str">
        <f t="shared" si="13"/>
        <v>NORMAL</v>
      </c>
      <c r="AG70" s="67" t="str">
        <f t="shared" si="4"/>
        <v>NORMAL</v>
      </c>
      <c r="AH70" s="67" t="str">
        <f>IF($AQ70=$H70,"ENABLE",IF(OR($AQ70=$F70,$AR70="Output"),"DISABLE","ENABLE"))</f>
        <v>ENABLE</v>
      </c>
      <c r="AI70" s="71" t="str">
        <f t="shared" si="9"/>
        <v>N/A</v>
      </c>
      <c r="AJ70" s="189" t="b">
        <v>1</v>
      </c>
      <c r="AK70" s="189" t="b">
        <v>1</v>
      </c>
      <c r="AL70" s="189" t="b">
        <v>1</v>
      </c>
      <c r="AM70" s="189" t="b">
        <v>1</v>
      </c>
      <c r="AN70" s="189" t="b">
        <v>1</v>
      </c>
      <c r="AO70" s="189" t="b">
        <v>1</v>
      </c>
      <c r="AP70" s="69" t="str">
        <f t="shared" ref="AP70:AP102" si="16">IF(AND($AJ70:$AO70), "VALID", "INVALID")</f>
        <v>VALID</v>
      </c>
      <c r="AQ70" s="167" t="s">
        <v>76</v>
      </c>
      <c r="AR70" s="194" t="s">
        <v>861</v>
      </c>
      <c r="AS70" s="193" t="s">
        <v>874</v>
      </c>
      <c r="AT70" s="72"/>
      <c r="AU70" s="72"/>
      <c r="AV70" s="72"/>
      <c r="AW70" s="72"/>
      <c r="AX70" s="72"/>
      <c r="AY70" s="193" t="s">
        <v>872</v>
      </c>
      <c r="AZ70" s="193"/>
      <c r="BA70" s="193"/>
      <c r="BB70" s="8"/>
      <c r="BC70" s="140"/>
      <c r="BD70" s="11" t="s">
        <v>76</v>
      </c>
      <c r="BE70" s="333" t="s">
        <v>5533</v>
      </c>
    </row>
    <row r="71" spans="1:57" ht="12.95" hidden="1" customHeight="1">
      <c r="A71" s="248" t="e">
        <v>#N/A</v>
      </c>
      <c r="B71" s="252" t="e">
        <v>#N/A</v>
      </c>
      <c r="C71" s="263" t="s">
        <v>34</v>
      </c>
      <c r="D71" s="239" t="s">
        <v>2727</v>
      </c>
      <c r="E71" s="58"/>
      <c r="F71" s="59" t="s">
        <v>157</v>
      </c>
      <c r="G71" s="191" t="s">
        <v>2511</v>
      </c>
      <c r="H71" s="192" t="s">
        <v>34</v>
      </c>
      <c r="I71" s="61" t="s">
        <v>2511</v>
      </c>
      <c r="J71" s="61" t="s">
        <v>2511</v>
      </c>
      <c r="K71" s="62" t="s">
        <v>2511</v>
      </c>
      <c r="L71" s="60" t="s">
        <v>2511</v>
      </c>
      <c r="M71" s="61" t="s">
        <v>2389</v>
      </c>
      <c r="N71" s="61" t="s">
        <v>2511</v>
      </c>
      <c r="O71" s="61" t="s">
        <v>2511</v>
      </c>
      <c r="P71" s="62" t="s">
        <v>2511</v>
      </c>
      <c r="Q71" s="58" t="s">
        <v>65</v>
      </c>
      <c r="R71" s="58" t="s">
        <v>126</v>
      </c>
      <c r="S71" s="58" t="s">
        <v>112</v>
      </c>
      <c r="T71" s="58" t="s">
        <v>113</v>
      </c>
      <c r="U71" s="63" t="s">
        <v>126</v>
      </c>
      <c r="V71" s="138" t="s">
        <v>2728</v>
      </c>
      <c r="W71" s="57" t="s">
        <v>2723</v>
      </c>
      <c r="X71" s="126" t="s">
        <v>2511</v>
      </c>
      <c r="Y71" s="126" t="s">
        <v>2511</v>
      </c>
      <c r="Z71" s="57" t="s">
        <v>2724</v>
      </c>
      <c r="AA71" s="57" t="s">
        <v>2725</v>
      </c>
      <c r="AB71" s="57" t="s">
        <v>2726</v>
      </c>
      <c r="AC71" s="57" t="s">
        <v>2548</v>
      </c>
      <c r="AD71" s="65" t="str">
        <f t="shared" si="12"/>
        <v>SDMMC4</v>
      </c>
      <c r="AE71" s="70"/>
      <c r="AF71" s="67" t="str">
        <f t="shared" si="13"/>
        <v>NORMAL</v>
      </c>
      <c r="AG71" s="67" t="str">
        <f t="shared" si="4"/>
        <v>NORMAL</v>
      </c>
      <c r="AH71" s="67" t="str">
        <f t="shared" si="14"/>
        <v>ENABLE</v>
      </c>
      <c r="AI71" s="71" t="str">
        <f t="shared" si="9"/>
        <v>N/A</v>
      </c>
      <c r="AJ71" s="189" t="b">
        <v>1</v>
      </c>
      <c r="AK71" s="189" t="b">
        <v>1</v>
      </c>
      <c r="AL71" s="189" t="b">
        <v>1</v>
      </c>
      <c r="AM71" s="189" t="b">
        <v>1</v>
      </c>
      <c r="AN71" s="189" t="b">
        <v>1</v>
      </c>
      <c r="AO71" s="189" t="b">
        <v>1</v>
      </c>
      <c r="AP71" s="69" t="str">
        <f t="shared" si="16"/>
        <v>VALID</v>
      </c>
      <c r="AQ71" s="167" t="s">
        <v>34</v>
      </c>
      <c r="AR71" s="194" t="s">
        <v>860</v>
      </c>
      <c r="AS71" s="193"/>
      <c r="AT71" s="72"/>
      <c r="AU71" s="72"/>
      <c r="AV71" s="72"/>
      <c r="AW71" s="72"/>
      <c r="AX71" s="72"/>
      <c r="AY71" s="72"/>
      <c r="AZ71" s="193"/>
      <c r="BA71" s="193"/>
      <c r="BB71" s="8"/>
      <c r="BC71" s="140"/>
      <c r="BD71" s="11" t="s">
        <v>34</v>
      </c>
      <c r="BE71" s="334" t="s">
        <v>83</v>
      </c>
    </row>
    <row r="72" spans="1:57" ht="12.95" hidden="1" customHeight="1">
      <c r="A72" s="248" t="e">
        <v>#N/A</v>
      </c>
      <c r="B72" s="252" t="e">
        <v>#N/A</v>
      </c>
      <c r="C72" s="263" t="s">
        <v>35</v>
      </c>
      <c r="D72" s="239" t="s">
        <v>2729</v>
      </c>
      <c r="E72" s="58"/>
      <c r="F72" s="59" t="s">
        <v>158</v>
      </c>
      <c r="G72" s="191" t="s">
        <v>2511</v>
      </c>
      <c r="H72" s="192" t="s">
        <v>35</v>
      </c>
      <c r="I72" s="61" t="s">
        <v>2511</v>
      </c>
      <c r="J72" s="61" t="s">
        <v>2511</v>
      </c>
      <c r="K72" s="62" t="s">
        <v>2511</v>
      </c>
      <c r="L72" s="60" t="s">
        <v>2511</v>
      </c>
      <c r="M72" s="61" t="s">
        <v>2389</v>
      </c>
      <c r="N72" s="61" t="s">
        <v>2511</v>
      </c>
      <c r="O72" s="61" t="s">
        <v>2511</v>
      </c>
      <c r="P72" s="62" t="s">
        <v>2511</v>
      </c>
      <c r="Q72" s="58" t="s">
        <v>65</v>
      </c>
      <c r="R72" s="58" t="s">
        <v>126</v>
      </c>
      <c r="S72" s="58" t="s">
        <v>112</v>
      </c>
      <c r="T72" s="58" t="s">
        <v>113</v>
      </c>
      <c r="U72" s="63" t="s">
        <v>126</v>
      </c>
      <c r="V72" s="138" t="s">
        <v>2730</v>
      </c>
      <c r="W72" s="57" t="s">
        <v>2723</v>
      </c>
      <c r="X72" s="126" t="s">
        <v>2511</v>
      </c>
      <c r="Y72" s="126" t="s">
        <v>2511</v>
      </c>
      <c r="Z72" s="57" t="s">
        <v>2724</v>
      </c>
      <c r="AA72" s="57" t="s">
        <v>2725</v>
      </c>
      <c r="AB72" s="57" t="s">
        <v>2726</v>
      </c>
      <c r="AC72" s="57" t="s">
        <v>2548</v>
      </c>
      <c r="AD72" s="65" t="str">
        <f t="shared" si="12"/>
        <v>SDMMC4</v>
      </c>
      <c r="AE72" s="70"/>
      <c r="AF72" s="67" t="str">
        <f t="shared" si="13"/>
        <v>PULL_UP</v>
      </c>
      <c r="AG72" s="67" t="str">
        <f t="shared" si="4"/>
        <v>NORMAL</v>
      </c>
      <c r="AH72" s="67" t="str">
        <f t="shared" si="14"/>
        <v>ENABLE</v>
      </c>
      <c r="AI72" s="71" t="str">
        <f t="shared" si="9"/>
        <v>N/A</v>
      </c>
      <c r="AJ72" s="189" t="b">
        <v>1</v>
      </c>
      <c r="AK72" s="189" t="b">
        <v>1</v>
      </c>
      <c r="AL72" s="189" t="b">
        <v>1</v>
      </c>
      <c r="AM72" s="189" t="b">
        <v>1</v>
      </c>
      <c r="AN72" s="189" t="b">
        <v>1</v>
      </c>
      <c r="AO72" s="189" t="b">
        <v>1</v>
      </c>
      <c r="AP72" s="69" t="str">
        <f t="shared" si="16"/>
        <v>VALID</v>
      </c>
      <c r="AQ72" s="167" t="s">
        <v>35</v>
      </c>
      <c r="AR72" s="194" t="s">
        <v>860</v>
      </c>
      <c r="AS72" s="193" t="s">
        <v>873</v>
      </c>
      <c r="AT72" s="72"/>
      <c r="AU72" s="72"/>
      <c r="AV72" s="72"/>
      <c r="AW72" s="72"/>
      <c r="AX72" s="72"/>
      <c r="AY72" s="72"/>
      <c r="AZ72" s="193"/>
      <c r="BA72" s="193"/>
      <c r="BB72" s="8"/>
      <c r="BC72" s="140"/>
      <c r="BD72" s="11" t="s">
        <v>35</v>
      </c>
      <c r="BE72" s="334" t="s">
        <v>83</v>
      </c>
    </row>
    <row r="73" spans="1:57" ht="12.95" hidden="1" customHeight="1">
      <c r="A73" s="248" t="e">
        <v>#N/A</v>
      </c>
      <c r="B73" s="252" t="e">
        <v>#N/A</v>
      </c>
      <c r="C73" s="263" t="s">
        <v>36</v>
      </c>
      <c r="D73" s="239" t="s">
        <v>2731</v>
      </c>
      <c r="E73" s="58"/>
      <c r="F73" s="59" t="s">
        <v>159</v>
      </c>
      <c r="G73" s="191" t="s">
        <v>2511</v>
      </c>
      <c r="H73" s="192" t="s">
        <v>36</v>
      </c>
      <c r="I73" s="61" t="s">
        <v>2511</v>
      </c>
      <c r="J73" s="61" t="s">
        <v>2511</v>
      </c>
      <c r="K73" s="62" t="s">
        <v>2511</v>
      </c>
      <c r="L73" s="60" t="s">
        <v>2511</v>
      </c>
      <c r="M73" s="61" t="s">
        <v>2389</v>
      </c>
      <c r="N73" s="61" t="s">
        <v>2511</v>
      </c>
      <c r="O73" s="61" t="s">
        <v>2511</v>
      </c>
      <c r="P73" s="62" t="s">
        <v>2511</v>
      </c>
      <c r="Q73" s="58" t="s">
        <v>65</v>
      </c>
      <c r="R73" s="58" t="s">
        <v>126</v>
      </c>
      <c r="S73" s="58" t="s">
        <v>112</v>
      </c>
      <c r="T73" s="58" t="s">
        <v>113</v>
      </c>
      <c r="U73" s="63" t="s">
        <v>126</v>
      </c>
      <c r="V73" s="138" t="s">
        <v>2732</v>
      </c>
      <c r="W73" s="57" t="s">
        <v>2723</v>
      </c>
      <c r="X73" s="126" t="s">
        <v>2733</v>
      </c>
      <c r="Y73" s="126" t="s">
        <v>2511</v>
      </c>
      <c r="Z73" s="57" t="s">
        <v>2724</v>
      </c>
      <c r="AA73" s="57" t="s">
        <v>2725</v>
      </c>
      <c r="AB73" s="57" t="s">
        <v>2726</v>
      </c>
      <c r="AC73" s="57" t="s">
        <v>2548</v>
      </c>
      <c r="AD73" s="65" t="str">
        <f t="shared" si="12"/>
        <v>SDMMC4</v>
      </c>
      <c r="AE73" s="70"/>
      <c r="AF73" s="67" t="str">
        <f t="shared" si="13"/>
        <v>PULL_UP</v>
      </c>
      <c r="AG73" s="67" t="str">
        <f t="shared" si="4"/>
        <v>NORMAL</v>
      </c>
      <c r="AH73" s="67" t="str">
        <f t="shared" si="14"/>
        <v>ENABLE</v>
      </c>
      <c r="AI73" s="71" t="str">
        <f t="shared" si="9"/>
        <v>N/A</v>
      </c>
      <c r="AJ73" s="189" t="b">
        <v>1</v>
      </c>
      <c r="AK73" s="189" t="b">
        <v>1</v>
      </c>
      <c r="AL73" s="189" t="b">
        <v>1</v>
      </c>
      <c r="AM73" s="189" t="b">
        <v>1</v>
      </c>
      <c r="AN73" s="189" t="b">
        <v>1</v>
      </c>
      <c r="AO73" s="189" t="b">
        <v>1</v>
      </c>
      <c r="AP73" s="69" t="str">
        <f t="shared" si="16"/>
        <v>VALID</v>
      </c>
      <c r="AQ73" s="177" t="s">
        <v>36</v>
      </c>
      <c r="AR73" s="170" t="s">
        <v>860</v>
      </c>
      <c r="AS73" s="9" t="s">
        <v>873</v>
      </c>
      <c r="AT73" s="193" t="s">
        <v>117</v>
      </c>
      <c r="AU73" s="10"/>
      <c r="AV73" s="10"/>
      <c r="AW73" s="72"/>
      <c r="AX73" s="72"/>
      <c r="AY73" s="72"/>
      <c r="AZ73" s="9"/>
      <c r="BA73" s="9"/>
      <c r="BB73" s="14"/>
      <c r="BC73" s="141"/>
      <c r="BD73" s="12" t="s">
        <v>36</v>
      </c>
      <c r="BE73" s="334" t="s">
        <v>83</v>
      </c>
    </row>
    <row r="74" spans="1:57" ht="12.95" hidden="1" customHeight="1">
      <c r="A74" s="248" t="e">
        <v>#N/A</v>
      </c>
      <c r="B74" s="252" t="e">
        <v>#N/A</v>
      </c>
      <c r="C74" s="263" t="s">
        <v>37</v>
      </c>
      <c r="D74" s="239" t="s">
        <v>2734</v>
      </c>
      <c r="E74" s="58"/>
      <c r="F74" s="59" t="s">
        <v>160</v>
      </c>
      <c r="G74" s="191" t="s">
        <v>2511</v>
      </c>
      <c r="H74" s="192" t="s">
        <v>37</v>
      </c>
      <c r="I74" s="61" t="s">
        <v>2511</v>
      </c>
      <c r="J74" s="61" t="s">
        <v>2511</v>
      </c>
      <c r="K74" s="62" t="s">
        <v>2511</v>
      </c>
      <c r="L74" s="60" t="s">
        <v>2511</v>
      </c>
      <c r="M74" s="61" t="s">
        <v>2389</v>
      </c>
      <c r="N74" s="61" t="s">
        <v>2511</v>
      </c>
      <c r="O74" s="61" t="s">
        <v>2511</v>
      </c>
      <c r="P74" s="62" t="s">
        <v>2511</v>
      </c>
      <c r="Q74" s="58" t="s">
        <v>65</v>
      </c>
      <c r="R74" s="58" t="s">
        <v>126</v>
      </c>
      <c r="S74" s="58" t="s">
        <v>112</v>
      </c>
      <c r="T74" s="58" t="s">
        <v>113</v>
      </c>
      <c r="U74" s="63" t="s">
        <v>126</v>
      </c>
      <c r="V74" s="138" t="s">
        <v>2735</v>
      </c>
      <c r="W74" s="57" t="s">
        <v>2723</v>
      </c>
      <c r="X74" s="126" t="s">
        <v>2511</v>
      </c>
      <c r="Y74" s="126" t="s">
        <v>2511</v>
      </c>
      <c r="Z74" s="57" t="s">
        <v>2724</v>
      </c>
      <c r="AA74" s="57" t="s">
        <v>2725</v>
      </c>
      <c r="AB74" s="57" t="s">
        <v>2726</v>
      </c>
      <c r="AC74" s="57" t="s">
        <v>2548</v>
      </c>
      <c r="AD74" s="65" t="str">
        <f>IF(OR($AQ74="",$AQ74=$F74),$U74,IF($AQ74=$G74,SUBSTITUTE(SUBSTITUTE($AQ74,"GPIO3_","GPIO_"),".0",""),IF($AQ74=$H74,$Q74,IF($AQ74=$I74,$R74,IF($AQ74=$J74,$S74,IF($AQ74=$K74,$T74,"INVALID"))))))</f>
        <v>SDMMC4</v>
      </c>
      <c r="AE74" s="70"/>
      <c r="AF74" s="67" t="str">
        <f t="shared" si="13"/>
        <v>PULL_UP</v>
      </c>
      <c r="AG74" s="67" t="str">
        <f t="shared" si="4"/>
        <v>NORMAL</v>
      </c>
      <c r="AH74" s="67" t="str">
        <f t="shared" si="14"/>
        <v>ENABLE</v>
      </c>
      <c r="AI74" s="71" t="str">
        <f t="shared" si="9"/>
        <v>N/A</v>
      </c>
      <c r="AJ74" s="189" t="b">
        <v>1</v>
      </c>
      <c r="AK74" s="189" t="b">
        <v>1</v>
      </c>
      <c r="AL74" s="189" t="b">
        <v>1</v>
      </c>
      <c r="AM74" s="189" t="b">
        <v>1</v>
      </c>
      <c r="AN74" s="189" t="b">
        <v>1</v>
      </c>
      <c r="AO74" s="189" t="b">
        <v>1</v>
      </c>
      <c r="AP74" s="69" t="str">
        <f t="shared" si="16"/>
        <v>VALID</v>
      </c>
      <c r="AQ74" s="176" t="s">
        <v>37</v>
      </c>
      <c r="AR74" s="194" t="s">
        <v>860</v>
      </c>
      <c r="AS74" s="193" t="s">
        <v>873</v>
      </c>
      <c r="AT74" s="72"/>
      <c r="AU74" s="10"/>
      <c r="AV74" s="10"/>
      <c r="AW74" s="72"/>
      <c r="AX74" s="72"/>
      <c r="AY74" s="72"/>
      <c r="AZ74" s="193"/>
      <c r="BA74" s="193"/>
      <c r="BB74" s="15" t="s">
        <v>114</v>
      </c>
      <c r="BC74" s="142"/>
      <c r="BD74" s="18" t="s">
        <v>37</v>
      </c>
      <c r="BE74" s="334" t="s">
        <v>83</v>
      </c>
    </row>
    <row r="75" spans="1:57" ht="12.95" hidden="1" customHeight="1">
      <c r="A75" s="248" t="e">
        <v>#N/A</v>
      </c>
      <c r="B75" s="252" t="e">
        <v>#N/A</v>
      </c>
      <c r="C75" s="263" t="s">
        <v>38</v>
      </c>
      <c r="D75" s="239" t="s">
        <v>2736</v>
      </c>
      <c r="E75" s="58"/>
      <c r="F75" s="59" t="s">
        <v>161</v>
      </c>
      <c r="G75" s="191" t="s">
        <v>2511</v>
      </c>
      <c r="H75" s="192" t="s">
        <v>38</v>
      </c>
      <c r="I75" s="61" t="s">
        <v>2511</v>
      </c>
      <c r="J75" s="61" t="s">
        <v>2511</v>
      </c>
      <c r="K75" s="62" t="s">
        <v>2511</v>
      </c>
      <c r="L75" s="60" t="s">
        <v>2511</v>
      </c>
      <c r="M75" s="61" t="s">
        <v>2389</v>
      </c>
      <c r="N75" s="61" t="s">
        <v>2511</v>
      </c>
      <c r="O75" s="61" t="s">
        <v>2511</v>
      </c>
      <c r="P75" s="62" t="s">
        <v>2511</v>
      </c>
      <c r="Q75" s="58" t="s">
        <v>65</v>
      </c>
      <c r="R75" s="58" t="s">
        <v>126</v>
      </c>
      <c r="S75" s="58" t="s">
        <v>112</v>
      </c>
      <c r="T75" s="58" t="s">
        <v>113</v>
      </c>
      <c r="U75" s="63" t="s">
        <v>126</v>
      </c>
      <c r="V75" s="138" t="s">
        <v>2737</v>
      </c>
      <c r="W75" s="57" t="s">
        <v>2723</v>
      </c>
      <c r="X75" s="126" t="s">
        <v>2511</v>
      </c>
      <c r="Y75" s="126" t="s">
        <v>2511</v>
      </c>
      <c r="Z75" s="57" t="s">
        <v>2724</v>
      </c>
      <c r="AA75" s="57" t="s">
        <v>2725</v>
      </c>
      <c r="AB75" s="57" t="s">
        <v>2726</v>
      </c>
      <c r="AC75" s="57" t="s">
        <v>2548</v>
      </c>
      <c r="AD75" s="65" t="str">
        <f>IF(OR($AQ75="",$AQ75=$F75),$U75,IF($AQ75=$G75,SUBSTITUTE(SUBSTITUTE($AQ75,"GPIO3_","GPIO_"),".0",""),IF($AQ75=$H75,$Q75,IF($AQ75=$I75,$R75,IF($AQ75=$J75,$S75,IF($AQ75=$K75,$T75,"INVALID"))))))</f>
        <v>SDMMC4</v>
      </c>
      <c r="AE75" s="70"/>
      <c r="AF75" s="67" t="str">
        <f t="shared" si="13"/>
        <v>PULL_UP</v>
      </c>
      <c r="AG75" s="67" t="str">
        <f t="shared" si="4"/>
        <v>NORMAL</v>
      </c>
      <c r="AH75" s="67" t="str">
        <f t="shared" si="14"/>
        <v>ENABLE</v>
      </c>
      <c r="AI75" s="71" t="str">
        <f t="shared" si="9"/>
        <v>N/A</v>
      </c>
      <c r="AJ75" s="189" t="b">
        <v>1</v>
      </c>
      <c r="AK75" s="189" t="b">
        <v>1</v>
      </c>
      <c r="AL75" s="189" t="b">
        <v>1</v>
      </c>
      <c r="AM75" s="189" t="b">
        <v>1</v>
      </c>
      <c r="AN75" s="189" t="b">
        <v>1</v>
      </c>
      <c r="AO75" s="189" t="b">
        <v>1</v>
      </c>
      <c r="AP75" s="69" t="str">
        <f t="shared" si="16"/>
        <v>VALID</v>
      </c>
      <c r="AQ75" s="166" t="s">
        <v>38</v>
      </c>
      <c r="AR75" s="194" t="s">
        <v>860</v>
      </c>
      <c r="AS75" s="193" t="s">
        <v>873</v>
      </c>
      <c r="AT75" s="72"/>
      <c r="AU75" s="10"/>
      <c r="AV75" s="10"/>
      <c r="AW75" s="72"/>
      <c r="AX75" s="72"/>
      <c r="AY75" s="72"/>
      <c r="AZ75" s="193"/>
      <c r="BA75" s="193"/>
      <c r="BB75" s="8"/>
      <c r="BC75" s="140"/>
      <c r="BD75" s="11" t="s">
        <v>38</v>
      </c>
      <c r="BE75" s="334" t="s">
        <v>83</v>
      </c>
    </row>
    <row r="76" spans="1:57" ht="12.95" hidden="1" customHeight="1">
      <c r="A76" s="248" t="e">
        <v>#N/A</v>
      </c>
      <c r="B76" s="252" t="e">
        <v>#N/A</v>
      </c>
      <c r="C76" s="263" t="s">
        <v>39</v>
      </c>
      <c r="D76" s="239" t="s">
        <v>2738</v>
      </c>
      <c r="E76" s="58"/>
      <c r="F76" s="59" t="s">
        <v>162</v>
      </c>
      <c r="G76" s="191" t="s">
        <v>2511</v>
      </c>
      <c r="H76" s="192" t="s">
        <v>39</v>
      </c>
      <c r="I76" s="61" t="s">
        <v>2511</v>
      </c>
      <c r="J76" s="61" t="s">
        <v>2511</v>
      </c>
      <c r="K76" s="62" t="s">
        <v>2511</v>
      </c>
      <c r="L76" s="60" t="s">
        <v>2511</v>
      </c>
      <c r="M76" s="61" t="s">
        <v>2389</v>
      </c>
      <c r="N76" s="61" t="s">
        <v>2511</v>
      </c>
      <c r="O76" s="61" t="s">
        <v>2511</v>
      </c>
      <c r="P76" s="62" t="s">
        <v>2511</v>
      </c>
      <c r="Q76" s="58" t="s">
        <v>65</v>
      </c>
      <c r="R76" s="58" t="s">
        <v>126</v>
      </c>
      <c r="S76" s="58" t="s">
        <v>112</v>
      </c>
      <c r="T76" s="58" t="s">
        <v>113</v>
      </c>
      <c r="U76" s="63" t="s">
        <v>126</v>
      </c>
      <c r="V76" s="205" t="s">
        <v>2739</v>
      </c>
      <c r="W76" s="57" t="s">
        <v>2723</v>
      </c>
      <c r="X76" s="126" t="s">
        <v>2511</v>
      </c>
      <c r="Y76" s="126" t="s">
        <v>2511</v>
      </c>
      <c r="Z76" s="57" t="s">
        <v>2724</v>
      </c>
      <c r="AA76" s="57" t="s">
        <v>2725</v>
      </c>
      <c r="AB76" s="57" t="s">
        <v>2726</v>
      </c>
      <c r="AC76" s="57" t="s">
        <v>2548</v>
      </c>
      <c r="AD76" s="65" t="str">
        <f>IF(OR($AQ76="",$AQ76=$F76),$U76,IF($AQ76=$G76,SUBSTITUTE(SUBSTITUTE($AQ76,"GPIO3_","GPIO_"),".0",""),IF($AQ76=$H76,$Q76,IF($AQ76=$I76,$R76,IF($AQ76=$J76,$S76,IF($AQ76=$K76,$T76,"INVALID"))))))</f>
        <v>SDMMC4</v>
      </c>
      <c r="AE76" s="70"/>
      <c r="AF76" s="67" t="str">
        <f t="shared" si="13"/>
        <v>PULL_UP</v>
      </c>
      <c r="AG76" s="67" t="str">
        <f t="shared" si="4"/>
        <v>NORMAL</v>
      </c>
      <c r="AH76" s="67" t="str">
        <f t="shared" si="14"/>
        <v>ENABLE</v>
      </c>
      <c r="AI76" s="71" t="str">
        <f t="shared" si="9"/>
        <v>N/A</v>
      </c>
      <c r="AJ76" s="189" t="b">
        <v>1</v>
      </c>
      <c r="AK76" s="189" t="b">
        <v>1</v>
      </c>
      <c r="AL76" s="189" t="b">
        <v>1</v>
      </c>
      <c r="AM76" s="189" t="b">
        <v>1</v>
      </c>
      <c r="AN76" s="189" t="b">
        <v>1</v>
      </c>
      <c r="AO76" s="189" t="b">
        <v>1</v>
      </c>
      <c r="AP76" s="69" t="str">
        <f t="shared" si="16"/>
        <v>VALID</v>
      </c>
      <c r="AQ76" s="166" t="s">
        <v>39</v>
      </c>
      <c r="AR76" s="194" t="s">
        <v>860</v>
      </c>
      <c r="AS76" s="193" t="s">
        <v>873</v>
      </c>
      <c r="AT76" s="72"/>
      <c r="AU76" s="72"/>
      <c r="AV76" s="72"/>
      <c r="AW76" s="72"/>
      <c r="AX76" s="72"/>
      <c r="AY76" s="72"/>
      <c r="AZ76" s="193"/>
      <c r="BA76" s="193"/>
      <c r="BB76" s="8"/>
      <c r="BC76" s="140"/>
      <c r="BD76" s="11" t="s">
        <v>39</v>
      </c>
      <c r="BE76" s="334" t="s">
        <v>83</v>
      </c>
    </row>
    <row r="77" spans="1:57" ht="12.95" hidden="1" customHeight="1">
      <c r="A77" s="248" t="e">
        <v>#N/A</v>
      </c>
      <c r="B77" s="252" t="e">
        <v>#N/A</v>
      </c>
      <c r="C77" s="263" t="s">
        <v>40</v>
      </c>
      <c r="D77" s="239" t="s">
        <v>2740</v>
      </c>
      <c r="E77" s="58"/>
      <c r="F77" s="59" t="s">
        <v>163</v>
      </c>
      <c r="G77" s="191" t="s">
        <v>2511</v>
      </c>
      <c r="H77" s="192" t="s">
        <v>40</v>
      </c>
      <c r="I77" s="61" t="s">
        <v>2511</v>
      </c>
      <c r="J77" s="61" t="s">
        <v>2511</v>
      </c>
      <c r="K77" s="62" t="s">
        <v>2511</v>
      </c>
      <c r="L77" s="60" t="s">
        <v>2511</v>
      </c>
      <c r="M77" s="61" t="s">
        <v>2389</v>
      </c>
      <c r="N77" s="61" t="s">
        <v>2511</v>
      </c>
      <c r="O77" s="61" t="s">
        <v>2511</v>
      </c>
      <c r="P77" s="62" t="s">
        <v>2511</v>
      </c>
      <c r="Q77" s="58" t="s">
        <v>65</v>
      </c>
      <c r="R77" s="58" t="s">
        <v>126</v>
      </c>
      <c r="S77" s="58" t="s">
        <v>112</v>
      </c>
      <c r="T77" s="58" t="s">
        <v>113</v>
      </c>
      <c r="U77" s="63" t="s">
        <v>126</v>
      </c>
      <c r="V77" s="137" t="s">
        <v>2741</v>
      </c>
      <c r="W77" s="57" t="s">
        <v>2723</v>
      </c>
      <c r="X77" s="126" t="s">
        <v>2511</v>
      </c>
      <c r="Y77" s="126" t="s">
        <v>2511</v>
      </c>
      <c r="Z77" s="57" t="s">
        <v>2724</v>
      </c>
      <c r="AA77" s="57" t="s">
        <v>2725</v>
      </c>
      <c r="AB77" s="57" t="s">
        <v>2726</v>
      </c>
      <c r="AC77" s="57" t="s">
        <v>2548</v>
      </c>
      <c r="AD77" s="65" t="str">
        <f t="shared" si="12"/>
        <v>SDMMC4</v>
      </c>
      <c r="AE77" s="70"/>
      <c r="AF77" s="67" t="str">
        <f t="shared" si="13"/>
        <v>PULL_UP</v>
      </c>
      <c r="AG77" s="67" t="str">
        <f t="shared" si="4"/>
        <v>NORMAL</v>
      </c>
      <c r="AH77" s="67" t="str">
        <f t="shared" si="14"/>
        <v>ENABLE</v>
      </c>
      <c r="AI77" s="71" t="str">
        <f t="shared" si="9"/>
        <v>N/A</v>
      </c>
      <c r="AJ77" s="189" t="b">
        <v>1</v>
      </c>
      <c r="AK77" s="189" t="b">
        <v>1</v>
      </c>
      <c r="AL77" s="189" t="b">
        <v>1</v>
      </c>
      <c r="AM77" s="189" t="b">
        <v>1</v>
      </c>
      <c r="AN77" s="189" t="b">
        <v>1</v>
      </c>
      <c r="AO77" s="189" t="b">
        <v>1</v>
      </c>
      <c r="AP77" s="69" t="str">
        <f t="shared" si="16"/>
        <v>VALID</v>
      </c>
      <c r="AQ77" s="167" t="s">
        <v>40</v>
      </c>
      <c r="AR77" s="194" t="s">
        <v>860</v>
      </c>
      <c r="AS77" s="193" t="s">
        <v>873</v>
      </c>
      <c r="AT77" s="72"/>
      <c r="AU77" s="72"/>
      <c r="AV77" s="72"/>
      <c r="AW77" s="72"/>
      <c r="AX77" s="72"/>
      <c r="AY77" s="72"/>
      <c r="AZ77" s="193"/>
      <c r="BA77" s="193"/>
      <c r="BB77" s="8"/>
      <c r="BC77" s="140"/>
      <c r="BD77" s="11" t="s">
        <v>40</v>
      </c>
      <c r="BE77" s="334" t="s">
        <v>83</v>
      </c>
    </row>
    <row r="78" spans="1:57" ht="12.95" hidden="1" customHeight="1">
      <c r="A78" s="248" t="e">
        <v>#N/A</v>
      </c>
      <c r="B78" s="252" t="e">
        <v>#N/A</v>
      </c>
      <c r="C78" s="263" t="s">
        <v>41</v>
      </c>
      <c r="D78" s="239" t="s">
        <v>2742</v>
      </c>
      <c r="E78" s="58"/>
      <c r="F78" s="59" t="s">
        <v>164</v>
      </c>
      <c r="G78" s="191" t="s">
        <v>2511</v>
      </c>
      <c r="H78" s="192" t="s">
        <v>41</v>
      </c>
      <c r="I78" s="61" t="s">
        <v>2511</v>
      </c>
      <c r="J78" s="61" t="s">
        <v>2511</v>
      </c>
      <c r="K78" s="62" t="s">
        <v>2511</v>
      </c>
      <c r="L78" s="60" t="s">
        <v>2511</v>
      </c>
      <c r="M78" s="61" t="s">
        <v>2389</v>
      </c>
      <c r="N78" s="61" t="s">
        <v>2511</v>
      </c>
      <c r="O78" s="61" t="s">
        <v>2511</v>
      </c>
      <c r="P78" s="62" t="s">
        <v>2511</v>
      </c>
      <c r="Q78" s="58" t="s">
        <v>65</v>
      </c>
      <c r="R78" s="58" t="s">
        <v>126</v>
      </c>
      <c r="S78" s="58" t="s">
        <v>112</v>
      </c>
      <c r="T78" s="58" t="s">
        <v>113</v>
      </c>
      <c r="U78" s="63" t="s">
        <v>126</v>
      </c>
      <c r="V78" s="138" t="s">
        <v>2743</v>
      </c>
      <c r="W78" s="57" t="s">
        <v>2723</v>
      </c>
      <c r="X78" s="126" t="s">
        <v>2511</v>
      </c>
      <c r="Y78" s="126" t="s">
        <v>2511</v>
      </c>
      <c r="Z78" s="57" t="s">
        <v>2724</v>
      </c>
      <c r="AA78" s="57" t="s">
        <v>2725</v>
      </c>
      <c r="AB78" s="57" t="s">
        <v>2726</v>
      </c>
      <c r="AC78" s="57" t="s">
        <v>2548</v>
      </c>
      <c r="AD78" s="65" t="str">
        <f t="shared" si="12"/>
        <v>SDMMC4</v>
      </c>
      <c r="AE78" s="70"/>
      <c r="AF78" s="67" t="str">
        <f t="shared" si="13"/>
        <v>PULL_UP</v>
      </c>
      <c r="AG78" s="67" t="str">
        <f t="shared" si="4"/>
        <v>NORMAL</v>
      </c>
      <c r="AH78" s="67" t="str">
        <f t="shared" si="14"/>
        <v>ENABLE</v>
      </c>
      <c r="AI78" s="71" t="str">
        <f t="shared" si="9"/>
        <v>N/A</v>
      </c>
      <c r="AJ78" s="189" t="b">
        <v>1</v>
      </c>
      <c r="AK78" s="189" t="b">
        <v>1</v>
      </c>
      <c r="AL78" s="189" t="b">
        <v>1</v>
      </c>
      <c r="AM78" s="189" t="b">
        <v>1</v>
      </c>
      <c r="AN78" s="189" t="b">
        <v>1</v>
      </c>
      <c r="AO78" s="189" t="b">
        <v>1</v>
      </c>
      <c r="AP78" s="69" t="str">
        <f t="shared" si="16"/>
        <v>VALID</v>
      </c>
      <c r="AQ78" s="167" t="s">
        <v>41</v>
      </c>
      <c r="AR78" s="194" t="s">
        <v>860</v>
      </c>
      <c r="AS78" s="193" t="s">
        <v>873</v>
      </c>
      <c r="AT78" s="72"/>
      <c r="AU78" s="72"/>
      <c r="AV78" s="72"/>
      <c r="AW78" s="72"/>
      <c r="AX78" s="72"/>
      <c r="AY78" s="72"/>
      <c r="AZ78" s="193"/>
      <c r="BA78" s="193"/>
      <c r="BB78" s="8"/>
      <c r="BC78" s="140"/>
      <c r="BD78" s="11" t="s">
        <v>41</v>
      </c>
      <c r="BE78" s="334" t="s">
        <v>83</v>
      </c>
    </row>
    <row r="79" spans="1:57" ht="12.95" hidden="1" customHeight="1">
      <c r="A79" s="248" t="e">
        <v>#N/A</v>
      </c>
      <c r="B79" s="252" t="e">
        <v>#N/A</v>
      </c>
      <c r="C79" s="263" t="s">
        <v>42</v>
      </c>
      <c r="D79" s="239" t="s">
        <v>2744</v>
      </c>
      <c r="E79" s="58"/>
      <c r="F79" s="59" t="s">
        <v>165</v>
      </c>
      <c r="G79" s="191" t="s">
        <v>2511</v>
      </c>
      <c r="H79" s="192" t="s">
        <v>42</v>
      </c>
      <c r="I79" s="61" t="s">
        <v>2511</v>
      </c>
      <c r="J79" s="61" t="s">
        <v>2511</v>
      </c>
      <c r="K79" s="62" t="s">
        <v>2511</v>
      </c>
      <c r="L79" s="60" t="s">
        <v>2511</v>
      </c>
      <c r="M79" s="61" t="s">
        <v>2389</v>
      </c>
      <c r="N79" s="61" t="s">
        <v>2511</v>
      </c>
      <c r="O79" s="61" t="s">
        <v>2511</v>
      </c>
      <c r="P79" s="62" t="s">
        <v>2511</v>
      </c>
      <c r="Q79" s="58" t="s">
        <v>65</v>
      </c>
      <c r="R79" s="58" t="s">
        <v>126</v>
      </c>
      <c r="S79" s="58" t="s">
        <v>112</v>
      </c>
      <c r="T79" s="58" t="s">
        <v>113</v>
      </c>
      <c r="U79" s="63" t="s">
        <v>126</v>
      </c>
      <c r="V79" s="138" t="s">
        <v>2745</v>
      </c>
      <c r="W79" s="57" t="s">
        <v>2723</v>
      </c>
      <c r="X79" s="126" t="s">
        <v>2511</v>
      </c>
      <c r="Y79" s="126" t="s">
        <v>2511</v>
      </c>
      <c r="Z79" s="57" t="s">
        <v>2724</v>
      </c>
      <c r="AA79" s="57" t="s">
        <v>2725</v>
      </c>
      <c r="AB79" s="57" t="s">
        <v>2726</v>
      </c>
      <c r="AC79" s="57" t="s">
        <v>2548</v>
      </c>
      <c r="AD79" s="65" t="str">
        <f t="shared" si="12"/>
        <v>SDMMC4</v>
      </c>
      <c r="AE79" s="70"/>
      <c r="AF79" s="67" t="str">
        <f t="shared" si="13"/>
        <v>PULL_UP</v>
      </c>
      <c r="AG79" s="67" t="str">
        <f t="shared" si="4"/>
        <v>NORMAL</v>
      </c>
      <c r="AH79" s="67" t="str">
        <f t="shared" si="14"/>
        <v>ENABLE</v>
      </c>
      <c r="AI79" s="71" t="str">
        <f t="shared" si="9"/>
        <v>N/A</v>
      </c>
      <c r="AJ79" s="189" t="b">
        <v>1</v>
      </c>
      <c r="AK79" s="189" t="b">
        <v>1</v>
      </c>
      <c r="AL79" s="189" t="b">
        <v>1</v>
      </c>
      <c r="AM79" s="189" t="b">
        <v>1</v>
      </c>
      <c r="AN79" s="189" t="b">
        <v>1</v>
      </c>
      <c r="AO79" s="189" t="b">
        <v>1</v>
      </c>
      <c r="AP79" s="69" t="str">
        <f t="shared" si="16"/>
        <v>VALID</v>
      </c>
      <c r="AQ79" s="167" t="s">
        <v>42</v>
      </c>
      <c r="AR79" s="194" t="s">
        <v>860</v>
      </c>
      <c r="AS79" s="193" t="s">
        <v>873</v>
      </c>
      <c r="AT79" s="72"/>
      <c r="AU79" s="72"/>
      <c r="AV79" s="72"/>
      <c r="AW79" s="72"/>
      <c r="AX79" s="72"/>
      <c r="AY79" s="72"/>
      <c r="AZ79" s="193"/>
      <c r="BA79" s="193"/>
      <c r="BB79" s="8"/>
      <c r="BC79" s="140"/>
      <c r="BD79" s="11" t="s">
        <v>42</v>
      </c>
      <c r="BE79" s="334" t="s">
        <v>83</v>
      </c>
    </row>
    <row r="80" spans="1:57" ht="12.95" hidden="1" customHeight="1">
      <c r="A80" s="248" t="e">
        <v>#N/A</v>
      </c>
      <c r="B80" s="252" t="e">
        <v>#N/A</v>
      </c>
      <c r="C80" s="263" t="s">
        <v>275</v>
      </c>
      <c r="D80" s="239" t="s">
        <v>2746</v>
      </c>
      <c r="E80" s="58"/>
      <c r="F80" s="59" t="s">
        <v>488</v>
      </c>
      <c r="G80" s="191" t="s">
        <v>2511</v>
      </c>
      <c r="H80" s="192" t="s">
        <v>275</v>
      </c>
      <c r="I80" s="61" t="s">
        <v>2511</v>
      </c>
      <c r="J80" s="61" t="s">
        <v>2511</v>
      </c>
      <c r="K80" s="62" t="s">
        <v>2511</v>
      </c>
      <c r="L80" s="60" t="s">
        <v>2511</v>
      </c>
      <c r="M80" s="61" t="s">
        <v>2389</v>
      </c>
      <c r="N80" s="61" t="s">
        <v>2511</v>
      </c>
      <c r="O80" s="61" t="s">
        <v>2511</v>
      </c>
      <c r="P80" s="62" t="s">
        <v>2511</v>
      </c>
      <c r="Q80" s="58" t="s">
        <v>65</v>
      </c>
      <c r="R80" s="58" t="s">
        <v>126</v>
      </c>
      <c r="S80" s="58" t="s">
        <v>112</v>
      </c>
      <c r="T80" s="58" t="s">
        <v>113</v>
      </c>
      <c r="U80" s="63" t="s">
        <v>126</v>
      </c>
      <c r="V80" s="138" t="s">
        <v>2747</v>
      </c>
      <c r="W80" s="57" t="s">
        <v>2723</v>
      </c>
      <c r="X80" s="126" t="s">
        <v>2511</v>
      </c>
      <c r="Y80" s="126" t="s">
        <v>2511</v>
      </c>
      <c r="Z80" s="57" t="s">
        <v>2724</v>
      </c>
      <c r="AA80" s="57" t="s">
        <v>2725</v>
      </c>
      <c r="AB80" s="57" t="s">
        <v>2726</v>
      </c>
      <c r="AC80" s="57" t="s">
        <v>2516</v>
      </c>
      <c r="AD80" s="65" t="str">
        <f t="shared" si="12"/>
        <v>SDMMC4</v>
      </c>
      <c r="AE80" s="70"/>
      <c r="AF80" s="67" t="str">
        <f t="shared" si="13"/>
        <v>NORMAL</v>
      </c>
      <c r="AG80" s="67" t="str">
        <f t="shared" si="4"/>
        <v>TRISTATE</v>
      </c>
      <c r="AH80" s="67" t="str">
        <f t="shared" si="14"/>
        <v>ENABLE</v>
      </c>
      <c r="AI80" s="71" t="str">
        <f t="shared" si="9"/>
        <v>N/A</v>
      </c>
      <c r="AJ80" s="189" t="b">
        <v>1</v>
      </c>
      <c r="AK80" s="189" t="b">
        <v>1</v>
      </c>
      <c r="AL80" s="189" t="b">
        <v>1</v>
      </c>
      <c r="AM80" s="189" t="b">
        <v>1</v>
      </c>
      <c r="AN80" s="189" t="b">
        <v>1</v>
      </c>
      <c r="AO80" s="189" t="b">
        <v>1</v>
      </c>
      <c r="AP80" s="69" t="str">
        <f t="shared" si="16"/>
        <v>VALID</v>
      </c>
      <c r="AQ80" s="177" t="s">
        <v>275</v>
      </c>
      <c r="AR80" s="170" t="s">
        <v>900</v>
      </c>
      <c r="AS80" s="9" t="s">
        <v>895</v>
      </c>
      <c r="AT80" s="10"/>
      <c r="AU80" s="10"/>
      <c r="AV80" s="10"/>
      <c r="AW80" s="72"/>
      <c r="AX80" s="72"/>
      <c r="AY80" s="72"/>
      <c r="AZ80" s="9"/>
      <c r="BA80" s="9"/>
      <c r="BB80" s="14"/>
      <c r="BC80" s="141"/>
      <c r="BD80" s="12" t="s">
        <v>275</v>
      </c>
      <c r="BE80" s="334" t="s">
        <v>83</v>
      </c>
    </row>
    <row r="81" spans="1:57" s="56" customFormat="1" ht="18" customHeight="1">
      <c r="A81" s="361"/>
      <c r="B81" s="362"/>
      <c r="C81" s="264" t="s">
        <v>721</v>
      </c>
      <c r="D81" s="264"/>
      <c r="E81" s="51"/>
      <c r="F81" s="51"/>
      <c r="G81" s="52"/>
      <c r="H81" s="52"/>
      <c r="I81" s="52"/>
      <c r="J81" s="52"/>
      <c r="K81" s="52"/>
      <c r="L81" s="51"/>
      <c r="M81" s="51"/>
      <c r="N81" s="51"/>
      <c r="O81" s="51"/>
      <c r="P81" s="51"/>
      <c r="Q81" s="51"/>
      <c r="R81" s="51"/>
      <c r="S81" s="51"/>
      <c r="T81" s="51"/>
      <c r="U81" s="51"/>
      <c r="V81" s="51"/>
      <c r="W81" s="51"/>
      <c r="X81" s="125"/>
      <c r="Y81" s="125"/>
      <c r="Z81" s="53"/>
      <c r="AA81" s="53"/>
      <c r="AB81" s="53"/>
      <c r="AC81" s="53"/>
      <c r="AD81" s="53"/>
      <c r="AE81" s="53"/>
      <c r="AF81" s="53"/>
      <c r="AG81" s="53"/>
      <c r="AH81" s="53"/>
      <c r="AI81" s="53"/>
      <c r="AJ81" s="53"/>
      <c r="AK81" s="53"/>
      <c r="AL81" s="53"/>
      <c r="AM81" s="53"/>
      <c r="AN81" s="53"/>
      <c r="AO81" s="53"/>
      <c r="AP81" s="53"/>
      <c r="AQ81" s="54"/>
      <c r="AR81" s="54"/>
      <c r="AS81" s="55"/>
      <c r="AT81" s="55"/>
      <c r="AU81" s="55"/>
      <c r="AV81" s="55"/>
      <c r="AW81" s="55"/>
      <c r="AX81" s="55"/>
      <c r="AY81" s="55"/>
      <c r="AZ81" s="55"/>
      <c r="BA81" s="55"/>
      <c r="BB81" s="55"/>
      <c r="BC81" s="175" t="s">
        <v>59</v>
      </c>
      <c r="BD81" s="185"/>
      <c r="BE81" s="187" t="s">
        <v>721</v>
      </c>
    </row>
    <row r="82" spans="1:57" ht="12.95" customHeight="1">
      <c r="A82" s="247" t="s">
        <v>5494</v>
      </c>
      <c r="B82" s="251">
        <v>214</v>
      </c>
      <c r="C82" s="239" t="s">
        <v>986</v>
      </c>
      <c r="D82" s="239" t="s">
        <v>2748</v>
      </c>
      <c r="E82" s="58"/>
      <c r="F82" s="59" t="s">
        <v>1769</v>
      </c>
      <c r="G82" s="191" t="s">
        <v>2158</v>
      </c>
      <c r="H82" s="192" t="s">
        <v>2511</v>
      </c>
      <c r="I82" s="61" t="s">
        <v>2511</v>
      </c>
      <c r="J82" s="61" t="s">
        <v>2511</v>
      </c>
      <c r="K82" s="62" t="s">
        <v>2511</v>
      </c>
      <c r="L82" s="60" t="s">
        <v>2389</v>
      </c>
      <c r="M82" s="61" t="s">
        <v>2511</v>
      </c>
      <c r="N82" s="61" t="s">
        <v>2511</v>
      </c>
      <c r="O82" s="61" t="s">
        <v>2511</v>
      </c>
      <c r="P82" s="62" t="s">
        <v>2511</v>
      </c>
      <c r="Q82" s="218" t="s">
        <v>552</v>
      </c>
      <c r="R82" s="218" t="s">
        <v>126</v>
      </c>
      <c r="S82" s="218" t="s">
        <v>112</v>
      </c>
      <c r="T82" s="218" t="s">
        <v>113</v>
      </c>
      <c r="U82" s="218" t="s">
        <v>552</v>
      </c>
      <c r="V82" s="137" t="s">
        <v>2749</v>
      </c>
      <c r="W82" s="57" t="s">
        <v>2750</v>
      </c>
      <c r="X82" s="126" t="s">
        <v>2751</v>
      </c>
      <c r="Y82" s="219" t="s">
        <v>2752</v>
      </c>
      <c r="Z82" s="57" t="s">
        <v>2514</v>
      </c>
      <c r="AA82" s="57" t="s">
        <v>2753</v>
      </c>
      <c r="AB82" s="57" t="s">
        <v>2393</v>
      </c>
      <c r="AC82" s="57" t="s">
        <v>2548</v>
      </c>
      <c r="AD82" s="65" t="str">
        <f t="shared" ref="AD82:AD102" si="17">IF(OR($AQ82="",$AQ82=$F82),$U82,IF($AQ82=$G82,SUBSTITUTE(SUBSTITUTE($AQ82,"GPIO3_","GPIO_"),".0",""),IF($AQ82=$H82,$Q82,IF($AQ82=$I82,$R82,IF($AQ82=$J82,$S82,IF($AQ82=$K82,$T82,"INVALID"))))))</f>
        <v>GPIO_PG0</v>
      </c>
      <c r="AE82" s="70"/>
      <c r="AF82" s="67" t="str">
        <f t="shared" ref="AF82:AF102" si="18">IF(AND(OR($AS82="Int PU",$AS82="Int PD"),OR(AND($AZ82&lt;&gt;"",$AZ82&lt;&gt;"0"),AND($BA82&lt;&gt;"",$BA82&lt;&gt;"0"))),"INVALID",IF(OR($AQ82=$F82,$AS82="Int PD"),"PULL_DOWN",IF(OR($AS82="Int PU",AND($AE82="YES",OR($AZ82="",$AZ82="0"),OR($BA82="",$BA82="0"),OR($AR82="Input",$AR82="Bidirectional"))),"PULL_UP","NORMAL")))</f>
        <v>PULL_UP</v>
      </c>
      <c r="AG82" s="67" t="str">
        <f t="shared" si="4"/>
        <v>TRISTATE</v>
      </c>
      <c r="AH82" s="67" t="str">
        <f t="shared" ref="AH82:AH102" si="19">IF(OR($AQ82=$F82,$AR82="Output"),"DISABLE","ENABLE")</f>
        <v>ENABLE</v>
      </c>
      <c r="AI82" s="71" t="str">
        <f t="shared" si="9"/>
        <v/>
      </c>
      <c r="AJ82" s="189" t="b">
        <v>1</v>
      </c>
      <c r="AK82" s="189" t="b">
        <v>1</v>
      </c>
      <c r="AL82" s="189" t="b">
        <v>1</v>
      </c>
      <c r="AM82" s="189" t="b">
        <v>1</v>
      </c>
      <c r="AN82" s="189" t="b">
        <v>1</v>
      </c>
      <c r="AO82" s="189" t="b">
        <v>1</v>
      </c>
      <c r="AP82" s="69" t="str">
        <f t="shared" si="16"/>
        <v>VALID</v>
      </c>
      <c r="AQ82" s="177" t="s">
        <v>2158</v>
      </c>
      <c r="AR82" s="194" t="s">
        <v>862</v>
      </c>
      <c r="AS82" s="193" t="s">
        <v>873</v>
      </c>
      <c r="AT82" s="193" t="s">
        <v>117</v>
      </c>
      <c r="AU82" s="72"/>
      <c r="AV82" s="72"/>
      <c r="AW82" s="72"/>
      <c r="AX82" s="193" t="s">
        <v>136</v>
      </c>
      <c r="AY82" s="72"/>
      <c r="AZ82" s="193"/>
      <c r="BA82" s="193"/>
      <c r="BB82" s="8"/>
      <c r="BC82" s="140"/>
      <c r="BD82" s="11" t="s">
        <v>2233</v>
      </c>
      <c r="BE82" s="311" t="s">
        <v>5536</v>
      </c>
    </row>
    <row r="83" spans="1:57" ht="12.95" hidden="1" customHeight="1">
      <c r="A83" s="248" t="e">
        <v>#N/A</v>
      </c>
      <c r="B83" s="252" t="e">
        <v>#N/A</v>
      </c>
      <c r="C83" s="263" t="s">
        <v>987</v>
      </c>
      <c r="D83" s="239" t="s">
        <v>2754</v>
      </c>
      <c r="E83" s="58"/>
      <c r="F83" s="59" t="s">
        <v>1770</v>
      </c>
      <c r="G83" s="191" t="s">
        <v>2159</v>
      </c>
      <c r="H83" s="192" t="s">
        <v>2511</v>
      </c>
      <c r="I83" s="61" t="s">
        <v>2511</v>
      </c>
      <c r="J83" s="61" t="s">
        <v>2511</v>
      </c>
      <c r="K83" s="62" t="s">
        <v>2511</v>
      </c>
      <c r="L83" s="60" t="s">
        <v>2389</v>
      </c>
      <c r="M83" s="61" t="s">
        <v>2511</v>
      </c>
      <c r="N83" s="61" t="s">
        <v>2511</v>
      </c>
      <c r="O83" s="61" t="s">
        <v>2511</v>
      </c>
      <c r="P83" s="62" t="s">
        <v>2511</v>
      </c>
      <c r="Q83" s="218" t="s">
        <v>552</v>
      </c>
      <c r="R83" s="218" t="s">
        <v>126</v>
      </c>
      <c r="S83" s="218" t="s">
        <v>112</v>
      </c>
      <c r="T83" s="218" t="s">
        <v>113</v>
      </c>
      <c r="U83" s="218" t="s">
        <v>552</v>
      </c>
      <c r="V83" s="138" t="s">
        <v>2755</v>
      </c>
      <c r="W83" s="57" t="s">
        <v>2750</v>
      </c>
      <c r="X83" s="126" t="s">
        <v>2756</v>
      </c>
      <c r="Y83" s="219" t="s">
        <v>2757</v>
      </c>
      <c r="Z83" s="57" t="s">
        <v>2514</v>
      </c>
      <c r="AA83" s="57" t="s">
        <v>2753</v>
      </c>
      <c r="AB83" s="57" t="s">
        <v>2393</v>
      </c>
      <c r="AC83" s="57" t="s">
        <v>2548</v>
      </c>
      <c r="AD83" s="65" t="str">
        <f t="shared" si="17"/>
        <v>RSVD0</v>
      </c>
      <c r="AE83" s="70"/>
      <c r="AF83" s="67" t="str">
        <f t="shared" si="18"/>
        <v>PULL_DOWN</v>
      </c>
      <c r="AG83" s="67" t="str">
        <f t="shared" si="4"/>
        <v>TRISTATE</v>
      </c>
      <c r="AH83" s="67" t="str">
        <f t="shared" si="19"/>
        <v>DISABLE</v>
      </c>
      <c r="AI83" s="71" t="str">
        <f t="shared" si="9"/>
        <v>N/A</v>
      </c>
      <c r="AJ83" s="189" t="b">
        <v>1</v>
      </c>
      <c r="AK83" s="189" t="b">
        <v>1</v>
      </c>
      <c r="AL83" s="189" t="b">
        <v>1</v>
      </c>
      <c r="AM83" s="189" t="b">
        <v>1</v>
      </c>
      <c r="AN83" s="189" t="b">
        <v>1</v>
      </c>
      <c r="AO83" s="189" t="b">
        <v>1</v>
      </c>
      <c r="AP83" s="69" t="str">
        <f t="shared" si="16"/>
        <v>VALID</v>
      </c>
      <c r="AQ83" s="176" t="s">
        <v>1770</v>
      </c>
      <c r="AR83" s="194" t="s">
        <v>79</v>
      </c>
      <c r="AS83" s="193"/>
      <c r="AT83" s="193" t="s">
        <v>117</v>
      </c>
      <c r="AU83" s="72"/>
      <c r="AV83" s="72"/>
      <c r="AW83" s="72"/>
      <c r="AX83" s="193" t="s">
        <v>136</v>
      </c>
      <c r="AY83" s="72"/>
      <c r="AZ83" s="193"/>
      <c r="BA83" s="193"/>
      <c r="BB83" s="8"/>
      <c r="BC83" s="140"/>
      <c r="BD83" s="147" t="s">
        <v>83</v>
      </c>
      <c r="BE83" s="147" t="s">
        <v>83</v>
      </c>
    </row>
    <row r="84" spans="1:57" ht="12.95" hidden="1" customHeight="1">
      <c r="A84" s="248" t="e">
        <v>#N/A</v>
      </c>
      <c r="B84" s="252" t="e">
        <v>#N/A</v>
      </c>
      <c r="C84" s="263" t="s">
        <v>988</v>
      </c>
      <c r="D84" s="239" t="s">
        <v>2758</v>
      </c>
      <c r="E84" s="58"/>
      <c r="F84" s="59" t="s">
        <v>1771</v>
      </c>
      <c r="G84" s="191" t="s">
        <v>2160</v>
      </c>
      <c r="H84" s="192" t="s">
        <v>2511</v>
      </c>
      <c r="I84" s="61" t="s">
        <v>2511</v>
      </c>
      <c r="J84" s="61" t="s">
        <v>2511</v>
      </c>
      <c r="K84" s="62" t="s">
        <v>2511</v>
      </c>
      <c r="L84" s="60" t="s">
        <v>2389</v>
      </c>
      <c r="M84" s="61" t="s">
        <v>2511</v>
      </c>
      <c r="N84" s="61" t="s">
        <v>2511</v>
      </c>
      <c r="O84" s="61" t="s">
        <v>2511</v>
      </c>
      <c r="P84" s="62" t="s">
        <v>2511</v>
      </c>
      <c r="Q84" s="218" t="s">
        <v>552</v>
      </c>
      <c r="R84" s="218" t="s">
        <v>126</v>
      </c>
      <c r="S84" s="218" t="s">
        <v>112</v>
      </c>
      <c r="T84" s="218" t="s">
        <v>113</v>
      </c>
      <c r="U84" s="218" t="s">
        <v>552</v>
      </c>
      <c r="V84" s="138" t="s">
        <v>2759</v>
      </c>
      <c r="W84" s="57" t="s">
        <v>2750</v>
      </c>
      <c r="X84" s="126" t="s">
        <v>2760</v>
      </c>
      <c r="Y84" s="219" t="s">
        <v>2511</v>
      </c>
      <c r="Z84" s="57" t="s">
        <v>2514</v>
      </c>
      <c r="AA84" s="57" t="s">
        <v>2753</v>
      </c>
      <c r="AB84" s="57" t="s">
        <v>2393</v>
      </c>
      <c r="AC84" s="57" t="s">
        <v>2516</v>
      </c>
      <c r="AD84" s="65" t="str">
        <f t="shared" si="17"/>
        <v>GPIO_PG2</v>
      </c>
      <c r="AE84" s="70"/>
      <c r="AF84" s="67" t="str">
        <f t="shared" si="18"/>
        <v>NORMAL</v>
      </c>
      <c r="AG84" s="67" t="str">
        <f t="shared" ref="AG84:AG110" si="20">IF($AR84="Input", "TRISTATE", IF($AS84="Z","TRISTATE",IF($AQ84=$F84,"TRISTATE","NORMAL")))</f>
        <v>NORMAL</v>
      </c>
      <c r="AH84" s="67" t="str">
        <f t="shared" si="19"/>
        <v>DISABLE</v>
      </c>
      <c r="AI84" s="71" t="str">
        <f t="shared" si="9"/>
        <v>0</v>
      </c>
      <c r="AJ84" s="189" t="b">
        <v>1</v>
      </c>
      <c r="AK84" s="189" t="b">
        <v>1</v>
      </c>
      <c r="AL84" s="189" t="b">
        <v>1</v>
      </c>
      <c r="AM84" s="189" t="b">
        <v>1</v>
      </c>
      <c r="AN84" s="189" t="b">
        <v>1</v>
      </c>
      <c r="AO84" s="189" t="b">
        <v>1</v>
      </c>
      <c r="AP84" s="69" t="str">
        <f t="shared" si="16"/>
        <v>VALID</v>
      </c>
      <c r="AQ84" s="166" t="s">
        <v>2160</v>
      </c>
      <c r="AR84" s="194" t="s">
        <v>861</v>
      </c>
      <c r="AS84" s="193" t="s">
        <v>874</v>
      </c>
      <c r="AT84" s="193" t="s">
        <v>117</v>
      </c>
      <c r="AU84" s="72"/>
      <c r="AV84" s="72"/>
      <c r="AW84" s="72"/>
      <c r="AX84" s="193" t="s">
        <v>136</v>
      </c>
      <c r="AY84" s="72"/>
      <c r="AZ84" s="193"/>
      <c r="BA84" s="193"/>
      <c r="BB84" s="8"/>
      <c r="BC84" s="140"/>
      <c r="BD84" s="11" t="s">
        <v>2476</v>
      </c>
      <c r="BE84" s="311" t="s">
        <v>5535</v>
      </c>
    </row>
    <row r="85" spans="1:57" ht="12.95" hidden="1" customHeight="1">
      <c r="A85" s="248" t="e">
        <v>#N/A</v>
      </c>
      <c r="B85" s="252" t="e">
        <v>#N/A</v>
      </c>
      <c r="C85" s="263" t="s">
        <v>989</v>
      </c>
      <c r="D85" s="239" t="s">
        <v>2763</v>
      </c>
      <c r="E85" s="58"/>
      <c r="F85" s="59" t="s">
        <v>1772</v>
      </c>
      <c r="G85" s="191" t="s">
        <v>2161</v>
      </c>
      <c r="H85" s="192" t="s">
        <v>2511</v>
      </c>
      <c r="I85" s="61" t="s">
        <v>2511</v>
      </c>
      <c r="J85" s="61" t="s">
        <v>2511</v>
      </c>
      <c r="K85" s="62" t="s">
        <v>2511</v>
      </c>
      <c r="L85" s="60" t="s">
        <v>2389</v>
      </c>
      <c r="M85" s="61" t="s">
        <v>2511</v>
      </c>
      <c r="N85" s="61" t="s">
        <v>2511</v>
      </c>
      <c r="O85" s="61" t="s">
        <v>2511</v>
      </c>
      <c r="P85" s="62" t="s">
        <v>2511</v>
      </c>
      <c r="Q85" s="218" t="s">
        <v>552</v>
      </c>
      <c r="R85" s="218" t="s">
        <v>126</v>
      </c>
      <c r="S85" s="218" t="s">
        <v>112</v>
      </c>
      <c r="T85" s="218" t="s">
        <v>113</v>
      </c>
      <c r="U85" s="218" t="s">
        <v>552</v>
      </c>
      <c r="V85" s="138" t="s">
        <v>2764</v>
      </c>
      <c r="W85" s="57" t="s">
        <v>2750</v>
      </c>
      <c r="X85" s="126" t="s">
        <v>2765</v>
      </c>
      <c r="Y85" s="219" t="s">
        <v>2766</v>
      </c>
      <c r="Z85" s="57" t="s">
        <v>2514</v>
      </c>
      <c r="AA85" s="57" t="s">
        <v>2753</v>
      </c>
      <c r="AB85" s="57" t="s">
        <v>2393</v>
      </c>
      <c r="AC85" s="57" t="s">
        <v>2548</v>
      </c>
      <c r="AD85" s="65" t="str">
        <f t="shared" si="17"/>
        <v>RSVD0</v>
      </c>
      <c r="AE85" s="70"/>
      <c r="AF85" s="67" t="str">
        <f t="shared" si="18"/>
        <v>PULL_DOWN</v>
      </c>
      <c r="AG85" s="67" t="str">
        <f t="shared" si="20"/>
        <v>TRISTATE</v>
      </c>
      <c r="AH85" s="67" t="str">
        <f t="shared" si="19"/>
        <v>DISABLE</v>
      </c>
      <c r="AI85" s="71" t="str">
        <f t="shared" si="9"/>
        <v>N/A</v>
      </c>
      <c r="AJ85" s="189" t="b">
        <v>1</v>
      </c>
      <c r="AK85" s="189" t="b">
        <v>1</v>
      </c>
      <c r="AL85" s="189" t="b">
        <v>1</v>
      </c>
      <c r="AM85" s="189" t="b">
        <v>1</v>
      </c>
      <c r="AN85" s="189" t="b">
        <v>1</v>
      </c>
      <c r="AO85" s="189" t="b">
        <v>1</v>
      </c>
      <c r="AP85" s="69" t="str">
        <f t="shared" si="16"/>
        <v>VALID</v>
      </c>
      <c r="AQ85" s="166" t="s">
        <v>1772</v>
      </c>
      <c r="AR85" s="194" t="s">
        <v>79</v>
      </c>
      <c r="AS85" s="193"/>
      <c r="AT85" s="193" t="s">
        <v>117</v>
      </c>
      <c r="AU85" s="72"/>
      <c r="AV85" s="72"/>
      <c r="AW85" s="72"/>
      <c r="AX85" s="193" t="s">
        <v>136</v>
      </c>
      <c r="AY85" s="72"/>
      <c r="AZ85" s="193"/>
      <c r="BA85" s="193"/>
      <c r="BB85" s="8"/>
      <c r="BC85" s="140"/>
      <c r="BD85" s="147" t="s">
        <v>83</v>
      </c>
      <c r="BE85" s="147" t="s">
        <v>83</v>
      </c>
    </row>
    <row r="86" spans="1:57" ht="12.95" hidden="1" customHeight="1">
      <c r="A86" s="248" t="e">
        <v>#N/A</v>
      </c>
      <c r="B86" s="252" t="e">
        <v>#N/A</v>
      </c>
      <c r="C86" s="263" t="s">
        <v>990</v>
      </c>
      <c r="D86" s="239" t="s">
        <v>2768</v>
      </c>
      <c r="E86" s="58"/>
      <c r="F86" s="59" t="s">
        <v>1773</v>
      </c>
      <c r="G86" s="191" t="s">
        <v>2162</v>
      </c>
      <c r="H86" s="192" t="s">
        <v>2511</v>
      </c>
      <c r="I86" s="61"/>
      <c r="J86" s="61" t="s">
        <v>2511</v>
      </c>
      <c r="K86" s="62" t="s">
        <v>2511</v>
      </c>
      <c r="L86" s="60" t="s">
        <v>2389</v>
      </c>
      <c r="M86" s="61" t="s">
        <v>2511</v>
      </c>
      <c r="N86" s="61" t="s">
        <v>2388</v>
      </c>
      <c r="O86" s="61" t="s">
        <v>2511</v>
      </c>
      <c r="P86" s="62" t="s">
        <v>2511</v>
      </c>
      <c r="Q86" s="218" t="s">
        <v>552</v>
      </c>
      <c r="R86" s="218" t="s">
        <v>548</v>
      </c>
      <c r="S86" s="218" t="s">
        <v>112</v>
      </c>
      <c r="T86" s="218" t="s">
        <v>113</v>
      </c>
      <c r="U86" s="218" t="s">
        <v>552</v>
      </c>
      <c r="V86" s="138" t="s">
        <v>2769</v>
      </c>
      <c r="W86" s="57" t="s">
        <v>2750</v>
      </c>
      <c r="X86" s="126" t="s">
        <v>2770</v>
      </c>
      <c r="Y86" s="219" t="s">
        <v>2511</v>
      </c>
      <c r="Z86" s="57" t="s">
        <v>2514</v>
      </c>
      <c r="AA86" s="57" t="s">
        <v>2753</v>
      </c>
      <c r="AB86" s="57" t="s">
        <v>2393</v>
      </c>
      <c r="AC86" s="57" t="s">
        <v>2516</v>
      </c>
      <c r="AD86" s="65" t="str">
        <f t="shared" si="17"/>
        <v>GPIO_PG4</v>
      </c>
      <c r="AE86" s="70"/>
      <c r="AF86" s="67" t="str">
        <f t="shared" si="18"/>
        <v>NORMAL</v>
      </c>
      <c r="AG86" s="67" t="str">
        <f t="shared" si="20"/>
        <v>TRISTATE</v>
      </c>
      <c r="AH86" s="67" t="str">
        <f t="shared" si="19"/>
        <v>ENABLE</v>
      </c>
      <c r="AI86" s="71" t="str">
        <f t="shared" si="9"/>
        <v/>
      </c>
      <c r="AJ86" s="189" t="b">
        <v>1</v>
      </c>
      <c r="AK86" s="189" t="b">
        <v>1</v>
      </c>
      <c r="AL86" s="189" t="b">
        <v>1</v>
      </c>
      <c r="AM86" s="189" t="b">
        <v>1</v>
      </c>
      <c r="AN86" s="189" t="b">
        <v>1</v>
      </c>
      <c r="AO86" s="189" t="b">
        <v>1</v>
      </c>
      <c r="AP86" s="69" t="str">
        <f t="shared" si="16"/>
        <v>VALID</v>
      </c>
      <c r="AQ86" s="166" t="s">
        <v>2162</v>
      </c>
      <c r="AR86" s="194" t="s">
        <v>862</v>
      </c>
      <c r="AS86" s="193"/>
      <c r="AT86" s="193" t="s">
        <v>117</v>
      </c>
      <c r="AU86" s="72"/>
      <c r="AV86" s="72"/>
      <c r="AW86" s="72"/>
      <c r="AX86" s="193" t="s">
        <v>136</v>
      </c>
      <c r="AY86" s="72"/>
      <c r="AZ86" s="193" t="s">
        <v>2461</v>
      </c>
      <c r="BA86" s="193"/>
      <c r="BB86" s="8"/>
      <c r="BC86" s="140"/>
      <c r="BD86" s="11" t="s">
        <v>5561</v>
      </c>
      <c r="BE86" s="311" t="s">
        <v>5537</v>
      </c>
    </row>
    <row r="87" spans="1:57" ht="12.95" hidden="1" customHeight="1">
      <c r="A87" s="248" t="e">
        <v>#N/A</v>
      </c>
      <c r="B87" s="252" t="e">
        <v>#N/A</v>
      </c>
      <c r="C87" s="263" t="s">
        <v>991</v>
      </c>
      <c r="D87" s="239" t="s">
        <v>2771</v>
      </c>
      <c r="E87" s="58"/>
      <c r="F87" s="59" t="s">
        <v>1774</v>
      </c>
      <c r="G87" s="191" t="s">
        <v>2163</v>
      </c>
      <c r="H87" s="192" t="s">
        <v>2511</v>
      </c>
      <c r="I87" s="61" t="s">
        <v>2511</v>
      </c>
      <c r="J87" s="61" t="s">
        <v>2511</v>
      </c>
      <c r="K87" s="62" t="s">
        <v>2511</v>
      </c>
      <c r="L87" s="60" t="s">
        <v>2389</v>
      </c>
      <c r="M87" s="61" t="s">
        <v>2511</v>
      </c>
      <c r="N87" s="61" t="s">
        <v>2511</v>
      </c>
      <c r="O87" s="61" t="s">
        <v>2511</v>
      </c>
      <c r="P87" s="62" t="s">
        <v>2511</v>
      </c>
      <c r="Q87" s="218" t="s">
        <v>552</v>
      </c>
      <c r="R87" s="218" t="s">
        <v>126</v>
      </c>
      <c r="S87" s="218" t="s">
        <v>112</v>
      </c>
      <c r="T87" s="218" t="s">
        <v>113</v>
      </c>
      <c r="U87" s="218" t="s">
        <v>552</v>
      </c>
      <c r="V87" s="205" t="s">
        <v>2772</v>
      </c>
      <c r="W87" s="57" t="s">
        <v>2750</v>
      </c>
      <c r="X87" s="126" t="s">
        <v>2511</v>
      </c>
      <c r="Y87" s="219" t="s">
        <v>2511</v>
      </c>
      <c r="Z87" s="57" t="s">
        <v>2514</v>
      </c>
      <c r="AA87" s="57" t="s">
        <v>2515</v>
      </c>
      <c r="AB87" s="57" t="s">
        <v>2393</v>
      </c>
      <c r="AC87" s="57" t="s">
        <v>2516</v>
      </c>
      <c r="AD87" s="65" t="str">
        <f t="shared" si="17"/>
        <v>RSVD0</v>
      </c>
      <c r="AE87" s="70"/>
      <c r="AF87" s="67" t="str">
        <f t="shared" si="18"/>
        <v>PULL_DOWN</v>
      </c>
      <c r="AG87" s="67" t="str">
        <f t="shared" si="20"/>
        <v>TRISTATE</v>
      </c>
      <c r="AH87" s="67" t="str">
        <f t="shared" si="19"/>
        <v>DISABLE</v>
      </c>
      <c r="AI87" s="71" t="str">
        <f t="shared" si="9"/>
        <v>N/A</v>
      </c>
      <c r="AJ87" s="189" t="b">
        <v>1</v>
      </c>
      <c r="AK87" s="189" t="b">
        <v>1</v>
      </c>
      <c r="AL87" s="189" t="b">
        <v>1</v>
      </c>
      <c r="AM87" s="189" t="b">
        <v>1</v>
      </c>
      <c r="AN87" s="189" t="b">
        <v>1</v>
      </c>
      <c r="AO87" s="189" t="b">
        <v>1</v>
      </c>
      <c r="AP87" s="69" t="str">
        <f t="shared" si="16"/>
        <v>VALID</v>
      </c>
      <c r="AQ87" s="166" t="s">
        <v>1774</v>
      </c>
      <c r="AR87" s="194" t="s">
        <v>79</v>
      </c>
      <c r="AS87" s="193"/>
      <c r="AT87" s="72"/>
      <c r="AU87" s="72"/>
      <c r="AV87" s="72"/>
      <c r="AW87" s="72"/>
      <c r="AX87" s="193" t="s">
        <v>136</v>
      </c>
      <c r="AY87" s="72"/>
      <c r="AZ87" s="193"/>
      <c r="BA87" s="193"/>
      <c r="BB87" s="8"/>
      <c r="BC87" s="140"/>
      <c r="BD87" s="147" t="s">
        <v>83</v>
      </c>
      <c r="BE87" s="147" t="s">
        <v>83</v>
      </c>
    </row>
    <row r="88" spans="1:57" ht="12.95" hidden="1" customHeight="1">
      <c r="A88" s="248" t="e">
        <v>#N/A</v>
      </c>
      <c r="B88" s="252" t="e">
        <v>#N/A</v>
      </c>
      <c r="C88" s="263" t="s">
        <v>992</v>
      </c>
      <c r="D88" s="239" t="s">
        <v>2773</v>
      </c>
      <c r="E88" s="58"/>
      <c r="F88" s="59" t="s">
        <v>1775</v>
      </c>
      <c r="G88" s="191" t="s">
        <v>2774</v>
      </c>
      <c r="H88" s="192" t="s">
        <v>742</v>
      </c>
      <c r="I88" s="61" t="s">
        <v>2511</v>
      </c>
      <c r="J88" s="61" t="s">
        <v>2511</v>
      </c>
      <c r="K88" s="62" t="s">
        <v>2511</v>
      </c>
      <c r="L88" s="60" t="s">
        <v>2389</v>
      </c>
      <c r="M88" s="61" t="s">
        <v>2388</v>
      </c>
      <c r="N88" s="61" t="s">
        <v>2511</v>
      </c>
      <c r="O88" s="61" t="s">
        <v>2511</v>
      </c>
      <c r="P88" s="62" t="s">
        <v>2511</v>
      </c>
      <c r="Q88" s="218" t="s">
        <v>2425</v>
      </c>
      <c r="R88" s="218" t="s">
        <v>126</v>
      </c>
      <c r="S88" s="218" t="s">
        <v>112</v>
      </c>
      <c r="T88" s="218" t="s">
        <v>113</v>
      </c>
      <c r="U88" s="218" t="s">
        <v>126</v>
      </c>
      <c r="V88" s="137" t="s">
        <v>2775</v>
      </c>
      <c r="W88" s="57" t="s">
        <v>2750</v>
      </c>
      <c r="X88" s="126" t="s">
        <v>2511</v>
      </c>
      <c r="Y88" s="219" t="s">
        <v>2511</v>
      </c>
      <c r="Z88" s="57" t="s">
        <v>2514</v>
      </c>
      <c r="AA88" s="57" t="s">
        <v>2515</v>
      </c>
      <c r="AB88" s="57" t="s">
        <v>2393</v>
      </c>
      <c r="AC88" s="57" t="s">
        <v>2631</v>
      </c>
      <c r="AD88" s="65" t="str">
        <f t="shared" si="17"/>
        <v>GP</v>
      </c>
      <c r="AE88" s="70"/>
      <c r="AF88" s="67" t="str">
        <f t="shared" si="18"/>
        <v>NORMAL</v>
      </c>
      <c r="AG88" s="67" t="str">
        <f t="shared" si="20"/>
        <v>TRISTATE</v>
      </c>
      <c r="AH88" s="67" t="str">
        <f t="shared" si="19"/>
        <v>DISABLE</v>
      </c>
      <c r="AI88" s="71" t="str">
        <f t="shared" si="9"/>
        <v>N/A</v>
      </c>
      <c r="AJ88" s="189" t="b">
        <v>1</v>
      </c>
      <c r="AK88" s="189" t="b">
        <v>1</v>
      </c>
      <c r="AL88" s="189" t="b">
        <v>1</v>
      </c>
      <c r="AM88" s="189" t="b">
        <v>1</v>
      </c>
      <c r="AN88" s="189" t="b">
        <v>1</v>
      </c>
      <c r="AO88" s="189" t="b">
        <v>1</v>
      </c>
      <c r="AP88" s="69" t="str">
        <f t="shared" si="16"/>
        <v>VALID</v>
      </c>
      <c r="AQ88" s="177" t="s">
        <v>742</v>
      </c>
      <c r="AR88" s="194" t="s">
        <v>861</v>
      </c>
      <c r="AS88" s="193" t="s">
        <v>895</v>
      </c>
      <c r="AT88" s="72"/>
      <c r="AU88" s="72"/>
      <c r="AV88" s="72"/>
      <c r="AW88" s="72"/>
      <c r="AX88" s="193" t="s">
        <v>136</v>
      </c>
      <c r="AY88" s="72"/>
      <c r="AZ88" s="193"/>
      <c r="BA88" s="193"/>
      <c r="BB88" s="8"/>
      <c r="BC88" s="140"/>
      <c r="BD88" s="11" t="s">
        <v>5562</v>
      </c>
      <c r="BE88" s="312" t="s">
        <v>5538</v>
      </c>
    </row>
    <row r="89" spans="1:57" ht="12.95" hidden="1" customHeight="1">
      <c r="A89" s="248" t="e">
        <v>#N/A</v>
      </c>
      <c r="B89" s="252" t="e">
        <v>#N/A</v>
      </c>
      <c r="C89" s="263" t="s">
        <v>993</v>
      </c>
      <c r="D89" s="239" t="s">
        <v>2777</v>
      </c>
      <c r="E89" s="58"/>
      <c r="F89" s="59" t="s">
        <v>1776</v>
      </c>
      <c r="G89" s="191" t="s">
        <v>2392</v>
      </c>
      <c r="H89" s="192" t="s">
        <v>2511</v>
      </c>
      <c r="I89" s="61" t="s">
        <v>957</v>
      </c>
      <c r="J89" s="61" t="s">
        <v>2511</v>
      </c>
      <c r="K89" s="62" t="s">
        <v>2511</v>
      </c>
      <c r="L89" s="60" t="s">
        <v>2389</v>
      </c>
      <c r="M89" s="61" t="s">
        <v>2511</v>
      </c>
      <c r="N89" s="61" t="s">
        <v>2523</v>
      </c>
      <c r="O89" s="61" t="s">
        <v>2511</v>
      </c>
      <c r="P89" s="62" t="s">
        <v>2511</v>
      </c>
      <c r="Q89" s="218" t="s">
        <v>552</v>
      </c>
      <c r="R89" s="218" t="s">
        <v>67</v>
      </c>
      <c r="S89" s="218" t="s">
        <v>112</v>
      </c>
      <c r="T89" s="218" t="s">
        <v>113</v>
      </c>
      <c r="U89" s="218" t="s">
        <v>552</v>
      </c>
      <c r="V89" s="138" t="s">
        <v>2778</v>
      </c>
      <c r="W89" s="57" t="s">
        <v>2750</v>
      </c>
      <c r="X89" s="126" t="s">
        <v>2779</v>
      </c>
      <c r="Y89" s="219" t="s">
        <v>2511</v>
      </c>
      <c r="Z89" s="57" t="s">
        <v>2514</v>
      </c>
      <c r="AA89" s="57" t="s">
        <v>2753</v>
      </c>
      <c r="AB89" s="57" t="s">
        <v>2393</v>
      </c>
      <c r="AC89" s="57" t="s">
        <v>2516</v>
      </c>
      <c r="AD89" s="65" t="str">
        <f t="shared" si="17"/>
        <v>GPIO_PG7</v>
      </c>
      <c r="AE89" s="70"/>
      <c r="AF89" s="67" t="str">
        <f t="shared" si="18"/>
        <v>PULL_UP</v>
      </c>
      <c r="AG89" s="67" t="str">
        <f t="shared" si="20"/>
        <v>TRISTATE</v>
      </c>
      <c r="AH89" s="67" t="str">
        <f t="shared" si="19"/>
        <v>ENABLE</v>
      </c>
      <c r="AI89" s="71" t="str">
        <f t="shared" si="9"/>
        <v/>
      </c>
      <c r="AJ89" s="189" t="b">
        <v>1</v>
      </c>
      <c r="AK89" s="189" t="b">
        <v>1</v>
      </c>
      <c r="AL89" s="189" t="b">
        <v>1</v>
      </c>
      <c r="AM89" s="189" t="b">
        <v>1</v>
      </c>
      <c r="AN89" s="189" t="b">
        <v>1</v>
      </c>
      <c r="AO89" s="189" t="b">
        <v>1</v>
      </c>
      <c r="AP89" s="69" t="str">
        <f t="shared" si="16"/>
        <v>VALID</v>
      </c>
      <c r="AQ89" s="176" t="s">
        <v>2392</v>
      </c>
      <c r="AR89" s="194" t="s">
        <v>862</v>
      </c>
      <c r="AS89" s="193" t="s">
        <v>873</v>
      </c>
      <c r="AT89" s="193" t="s">
        <v>863</v>
      </c>
      <c r="AU89" s="72"/>
      <c r="AV89" s="72"/>
      <c r="AW89" s="72"/>
      <c r="AX89" s="193" t="s">
        <v>136</v>
      </c>
      <c r="AY89" s="72"/>
      <c r="AZ89" s="193"/>
      <c r="BA89" s="193"/>
      <c r="BB89" s="8"/>
      <c r="BC89" s="140"/>
      <c r="BD89" s="11" t="s">
        <v>5563</v>
      </c>
      <c r="BE89" s="312" t="s">
        <v>5539</v>
      </c>
    </row>
    <row r="90" spans="1:57" ht="12.95" hidden="1" customHeight="1">
      <c r="A90" s="248" t="e">
        <v>#N/A</v>
      </c>
      <c r="B90" s="252" t="e">
        <v>#N/A</v>
      </c>
      <c r="C90" s="263" t="s">
        <v>994</v>
      </c>
      <c r="D90" s="239" t="s">
        <v>2781</v>
      </c>
      <c r="E90" s="58"/>
      <c r="F90" s="59" t="s">
        <v>1777</v>
      </c>
      <c r="G90" s="191" t="s">
        <v>2497</v>
      </c>
      <c r="H90" s="192" t="s">
        <v>2511</v>
      </c>
      <c r="I90" s="61" t="s">
        <v>2164</v>
      </c>
      <c r="J90" s="61" t="s">
        <v>2511</v>
      </c>
      <c r="K90" s="62" t="s">
        <v>2511</v>
      </c>
      <c r="L90" s="60" t="s">
        <v>2389</v>
      </c>
      <c r="M90" s="61" t="s">
        <v>2511</v>
      </c>
      <c r="N90" s="61" t="s">
        <v>2388</v>
      </c>
      <c r="O90" s="61" t="s">
        <v>2511</v>
      </c>
      <c r="P90" s="62" t="s">
        <v>2511</v>
      </c>
      <c r="Q90" s="218" t="s">
        <v>552</v>
      </c>
      <c r="R90" s="218" t="s">
        <v>2425</v>
      </c>
      <c r="S90" s="218" t="s">
        <v>112</v>
      </c>
      <c r="T90" s="218" t="s">
        <v>113</v>
      </c>
      <c r="U90" s="218" t="s">
        <v>552</v>
      </c>
      <c r="V90" s="138" t="s">
        <v>2782</v>
      </c>
      <c r="W90" s="57" t="s">
        <v>2750</v>
      </c>
      <c r="X90" s="126" t="s">
        <v>2511</v>
      </c>
      <c r="Y90" s="219" t="s">
        <v>2511</v>
      </c>
      <c r="Z90" s="57" t="s">
        <v>2514</v>
      </c>
      <c r="AA90" s="57" t="s">
        <v>2515</v>
      </c>
      <c r="AB90" s="57" t="s">
        <v>2393</v>
      </c>
      <c r="AC90" s="57" t="s">
        <v>2631</v>
      </c>
      <c r="AD90" s="65" t="str">
        <f t="shared" si="17"/>
        <v>RSVD0</v>
      </c>
      <c r="AE90" s="70"/>
      <c r="AF90" s="67" t="str">
        <f t="shared" si="18"/>
        <v>PULL_DOWN</v>
      </c>
      <c r="AG90" s="67" t="str">
        <f t="shared" si="20"/>
        <v>TRISTATE</v>
      </c>
      <c r="AH90" s="67" t="str">
        <f t="shared" si="19"/>
        <v>DISABLE</v>
      </c>
      <c r="AI90" s="71" t="str">
        <f t="shared" si="9"/>
        <v>N/A</v>
      </c>
      <c r="AJ90" s="189" t="b">
        <v>1</v>
      </c>
      <c r="AK90" s="189" t="b">
        <v>1</v>
      </c>
      <c r="AL90" s="189" t="b">
        <v>1</v>
      </c>
      <c r="AM90" s="189" t="b">
        <v>1</v>
      </c>
      <c r="AN90" s="189" t="b">
        <v>1</v>
      </c>
      <c r="AO90" s="189" t="b">
        <v>1</v>
      </c>
      <c r="AP90" s="69" t="str">
        <f t="shared" si="16"/>
        <v>VALID</v>
      </c>
      <c r="AQ90" s="166" t="s">
        <v>1777</v>
      </c>
      <c r="AR90" s="194" t="s">
        <v>79</v>
      </c>
      <c r="AS90" s="193"/>
      <c r="AT90" s="72"/>
      <c r="AU90" s="72"/>
      <c r="AV90" s="72"/>
      <c r="AW90" s="72"/>
      <c r="AX90" s="193" t="s">
        <v>136</v>
      </c>
      <c r="AY90" s="72"/>
      <c r="AZ90" s="193"/>
      <c r="BA90" s="193"/>
      <c r="BB90" s="8"/>
      <c r="BC90" s="140"/>
      <c r="BD90" s="147" t="s">
        <v>83</v>
      </c>
      <c r="BE90" s="147" t="s">
        <v>83</v>
      </c>
    </row>
    <row r="91" spans="1:57" ht="12.95" customHeight="1">
      <c r="A91" s="250" t="s">
        <v>2558</v>
      </c>
      <c r="B91" s="253">
        <v>230</v>
      </c>
      <c r="C91" s="285" t="s">
        <v>995</v>
      </c>
      <c r="D91" s="239" t="s">
        <v>2783</v>
      </c>
      <c r="E91" s="58"/>
      <c r="F91" s="59" t="s">
        <v>1778</v>
      </c>
      <c r="G91" s="191" t="s">
        <v>2784</v>
      </c>
      <c r="H91" s="192" t="s">
        <v>2511</v>
      </c>
      <c r="I91" s="61" t="s">
        <v>741</v>
      </c>
      <c r="J91" s="61" t="s">
        <v>2511</v>
      </c>
      <c r="K91" s="62" t="s">
        <v>2511</v>
      </c>
      <c r="L91" s="60" t="s">
        <v>2389</v>
      </c>
      <c r="M91" s="61" t="s">
        <v>2511</v>
      </c>
      <c r="N91" s="61" t="s">
        <v>2388</v>
      </c>
      <c r="O91" s="61" t="s">
        <v>2511</v>
      </c>
      <c r="P91" s="62" t="s">
        <v>2511</v>
      </c>
      <c r="Q91" s="218" t="s">
        <v>552</v>
      </c>
      <c r="R91" s="218" t="s">
        <v>2425</v>
      </c>
      <c r="S91" s="218" t="s">
        <v>112</v>
      </c>
      <c r="T91" s="218" t="s">
        <v>113</v>
      </c>
      <c r="U91" s="218" t="s">
        <v>552</v>
      </c>
      <c r="V91" s="138" t="s">
        <v>2785</v>
      </c>
      <c r="W91" s="57" t="s">
        <v>2750</v>
      </c>
      <c r="X91" s="126" t="s">
        <v>2786</v>
      </c>
      <c r="Y91" s="219" t="s">
        <v>2511</v>
      </c>
      <c r="Z91" s="57" t="s">
        <v>2514</v>
      </c>
      <c r="AA91" s="57" t="s">
        <v>2753</v>
      </c>
      <c r="AB91" s="57" t="s">
        <v>2393</v>
      </c>
      <c r="AC91" s="57" t="s">
        <v>2631</v>
      </c>
      <c r="AD91" s="65" t="str">
        <f t="shared" si="17"/>
        <v>GP</v>
      </c>
      <c r="AE91" s="70"/>
      <c r="AF91" s="67" t="str">
        <f t="shared" si="18"/>
        <v>NORMAL</v>
      </c>
      <c r="AG91" s="67" t="str">
        <f t="shared" si="20"/>
        <v>NORMAL</v>
      </c>
      <c r="AH91" s="67" t="str">
        <f t="shared" si="19"/>
        <v>DISABLE</v>
      </c>
      <c r="AI91" s="71" t="str">
        <f t="shared" si="9"/>
        <v>N/A</v>
      </c>
      <c r="AJ91" s="189" t="b">
        <v>1</v>
      </c>
      <c r="AK91" s="189" t="b">
        <v>1</v>
      </c>
      <c r="AL91" s="189" t="b">
        <v>1</v>
      </c>
      <c r="AM91" s="189" t="b">
        <v>1</v>
      </c>
      <c r="AN91" s="189" t="b">
        <v>1</v>
      </c>
      <c r="AO91" s="189" t="b">
        <v>1</v>
      </c>
      <c r="AP91" s="69" t="str">
        <f t="shared" si="16"/>
        <v>VALID</v>
      </c>
      <c r="AQ91" s="166" t="s">
        <v>741</v>
      </c>
      <c r="AR91" s="194" t="s">
        <v>861</v>
      </c>
      <c r="AS91" s="193"/>
      <c r="AT91" s="193" t="s">
        <v>117</v>
      </c>
      <c r="AU91" s="72"/>
      <c r="AV91" s="72"/>
      <c r="AW91" s="72"/>
      <c r="AX91" s="193" t="s">
        <v>136</v>
      </c>
      <c r="AY91" s="72"/>
      <c r="AZ91" s="193"/>
      <c r="BA91" s="193"/>
      <c r="BB91" s="8"/>
      <c r="BC91" s="140"/>
      <c r="BD91" s="11" t="s">
        <v>5564</v>
      </c>
      <c r="BE91" s="312" t="s">
        <v>5540</v>
      </c>
    </row>
    <row r="92" spans="1:57" ht="12.95" hidden="1" customHeight="1">
      <c r="A92" s="248" t="e">
        <v>#N/A</v>
      </c>
      <c r="B92" s="252" t="e">
        <v>#N/A</v>
      </c>
      <c r="C92" s="263" t="s">
        <v>996</v>
      </c>
      <c r="D92" s="239" t="s">
        <v>2787</v>
      </c>
      <c r="E92" s="58"/>
      <c r="F92" s="59" t="s">
        <v>1779</v>
      </c>
      <c r="G92" s="191" t="s">
        <v>2165</v>
      </c>
      <c r="H92" s="192" t="s">
        <v>2511</v>
      </c>
      <c r="I92" s="61" t="s">
        <v>2511</v>
      </c>
      <c r="J92" s="61" t="s">
        <v>2511</v>
      </c>
      <c r="K92" s="62" t="s">
        <v>2511</v>
      </c>
      <c r="L92" s="60" t="s">
        <v>2389</v>
      </c>
      <c r="M92" s="61" t="s">
        <v>2511</v>
      </c>
      <c r="N92" s="61" t="s">
        <v>2511</v>
      </c>
      <c r="O92" s="61" t="s">
        <v>2511</v>
      </c>
      <c r="P92" s="62" t="s">
        <v>2511</v>
      </c>
      <c r="Q92" s="218" t="s">
        <v>552</v>
      </c>
      <c r="R92" s="218" t="s">
        <v>126</v>
      </c>
      <c r="S92" s="218" t="s">
        <v>112</v>
      </c>
      <c r="T92" s="218" t="s">
        <v>113</v>
      </c>
      <c r="U92" s="218" t="s">
        <v>552</v>
      </c>
      <c r="V92" s="137" t="s">
        <v>2788</v>
      </c>
      <c r="W92" s="57" t="s">
        <v>2750</v>
      </c>
      <c r="X92" s="126" t="s">
        <v>2511</v>
      </c>
      <c r="Y92" s="219" t="s">
        <v>2511</v>
      </c>
      <c r="Z92" s="57" t="s">
        <v>2514</v>
      </c>
      <c r="AA92" s="57" t="s">
        <v>2753</v>
      </c>
      <c r="AB92" s="57" t="s">
        <v>2393</v>
      </c>
      <c r="AC92" s="57" t="s">
        <v>2516</v>
      </c>
      <c r="AD92" s="65" t="str">
        <f t="shared" si="17"/>
        <v>RSVD0</v>
      </c>
      <c r="AE92" s="70"/>
      <c r="AF92" s="67" t="str">
        <f t="shared" si="18"/>
        <v>PULL_DOWN</v>
      </c>
      <c r="AG92" s="67" t="str">
        <f t="shared" si="20"/>
        <v>TRISTATE</v>
      </c>
      <c r="AH92" s="67" t="str">
        <f t="shared" si="19"/>
        <v>DISABLE</v>
      </c>
      <c r="AI92" s="71" t="str">
        <f t="shared" si="9"/>
        <v>N/A</v>
      </c>
      <c r="AJ92" s="189" t="b">
        <v>1</v>
      </c>
      <c r="AK92" s="189" t="b">
        <v>1</v>
      </c>
      <c r="AL92" s="189" t="b">
        <v>1</v>
      </c>
      <c r="AM92" s="189" t="b">
        <v>1</v>
      </c>
      <c r="AN92" s="189" t="b">
        <v>1</v>
      </c>
      <c r="AO92" s="189" t="b">
        <v>1</v>
      </c>
      <c r="AP92" s="69" t="str">
        <f t="shared" si="16"/>
        <v>VALID</v>
      </c>
      <c r="AQ92" s="177" t="s">
        <v>1779</v>
      </c>
      <c r="AR92" s="194" t="s">
        <v>79</v>
      </c>
      <c r="AS92" s="193"/>
      <c r="AT92" s="72"/>
      <c r="AU92" s="72"/>
      <c r="AV92" s="72"/>
      <c r="AW92" s="72"/>
      <c r="AX92" s="193" t="s">
        <v>136</v>
      </c>
      <c r="AY92" s="72"/>
      <c r="AZ92" s="193"/>
      <c r="BA92" s="193"/>
      <c r="BB92" s="8"/>
      <c r="BC92" s="140"/>
      <c r="BD92" s="147" t="s">
        <v>83</v>
      </c>
      <c r="BE92" s="147" t="s">
        <v>83</v>
      </c>
    </row>
    <row r="93" spans="1:57" ht="12.95" hidden="1" customHeight="1">
      <c r="A93" s="248" t="e">
        <v>#N/A</v>
      </c>
      <c r="B93" s="252" t="e">
        <v>#N/A</v>
      </c>
      <c r="C93" s="263" t="s">
        <v>276</v>
      </c>
      <c r="D93" s="239" t="s">
        <v>2789</v>
      </c>
      <c r="E93" s="58"/>
      <c r="F93" s="59" t="s">
        <v>505</v>
      </c>
      <c r="G93" s="191" t="s">
        <v>2239</v>
      </c>
      <c r="H93" s="192"/>
      <c r="I93" s="61" t="s">
        <v>2511</v>
      </c>
      <c r="J93" s="61" t="s">
        <v>2511</v>
      </c>
      <c r="K93" s="62" t="s">
        <v>2511</v>
      </c>
      <c r="L93" s="60" t="s">
        <v>2389</v>
      </c>
      <c r="M93" s="61" t="s">
        <v>2388</v>
      </c>
      <c r="N93" s="61" t="s">
        <v>2511</v>
      </c>
      <c r="O93" s="61" t="s">
        <v>2511</v>
      </c>
      <c r="P93" s="62" t="s">
        <v>2511</v>
      </c>
      <c r="Q93" s="218" t="s">
        <v>130</v>
      </c>
      <c r="R93" s="218" t="s">
        <v>126</v>
      </c>
      <c r="S93" s="218" t="s">
        <v>112</v>
      </c>
      <c r="T93" s="218" t="s">
        <v>113</v>
      </c>
      <c r="U93" s="218" t="s">
        <v>126</v>
      </c>
      <c r="V93" s="138" t="s">
        <v>2790</v>
      </c>
      <c r="W93" s="57" t="s">
        <v>2750</v>
      </c>
      <c r="X93" s="126" t="s">
        <v>2511</v>
      </c>
      <c r="Y93" s="219" t="s">
        <v>2791</v>
      </c>
      <c r="Z93" s="57" t="s">
        <v>2514</v>
      </c>
      <c r="AA93" s="57" t="s">
        <v>2515</v>
      </c>
      <c r="AB93" s="57" t="s">
        <v>2393</v>
      </c>
      <c r="AC93" s="57" t="s">
        <v>2516</v>
      </c>
      <c r="AD93" s="65" t="str">
        <f t="shared" si="17"/>
        <v>GPIO_PH3</v>
      </c>
      <c r="AE93" s="70"/>
      <c r="AF93" s="67" t="str">
        <f t="shared" si="18"/>
        <v>NORMAL</v>
      </c>
      <c r="AG93" s="67" t="str">
        <f t="shared" si="20"/>
        <v>TRISTATE</v>
      </c>
      <c r="AH93" s="67" t="str">
        <f t="shared" si="19"/>
        <v>ENABLE</v>
      </c>
      <c r="AI93" s="71" t="str">
        <f t="shared" si="9"/>
        <v/>
      </c>
      <c r="AJ93" s="189" t="b">
        <v>1</v>
      </c>
      <c r="AK93" s="189" t="b">
        <v>1</v>
      </c>
      <c r="AL93" s="189" t="b">
        <v>1</v>
      </c>
      <c r="AM93" s="189" t="b">
        <v>1</v>
      </c>
      <c r="AN93" s="189" t="b">
        <v>1</v>
      </c>
      <c r="AO93" s="189" t="b">
        <v>1</v>
      </c>
      <c r="AP93" s="69" t="str">
        <f t="shared" si="16"/>
        <v>VALID</v>
      </c>
      <c r="AQ93" s="176" t="s">
        <v>2239</v>
      </c>
      <c r="AR93" s="194" t="s">
        <v>862</v>
      </c>
      <c r="AS93" s="193"/>
      <c r="AT93" s="72"/>
      <c r="AU93" s="72"/>
      <c r="AV93" s="72"/>
      <c r="AW93" s="72"/>
      <c r="AX93" s="193" t="s">
        <v>136</v>
      </c>
      <c r="AY93" s="72"/>
      <c r="AZ93" s="193"/>
      <c r="BA93" s="193"/>
      <c r="BB93" s="8"/>
      <c r="BC93" s="140"/>
      <c r="BD93" s="11" t="s">
        <v>5565</v>
      </c>
      <c r="BE93" s="311" t="s">
        <v>5541</v>
      </c>
    </row>
    <row r="94" spans="1:57" ht="12.95" hidden="1" customHeight="1">
      <c r="A94" s="282"/>
      <c r="B94" s="283"/>
      <c r="C94" s="284" t="s">
        <v>277</v>
      </c>
      <c r="D94" s="239" t="s">
        <v>2793</v>
      </c>
      <c r="E94" s="58"/>
      <c r="F94" s="59" t="s">
        <v>506</v>
      </c>
      <c r="G94" s="191"/>
      <c r="H94" s="192"/>
      <c r="I94" s="61" t="s">
        <v>2511</v>
      </c>
      <c r="J94" s="61" t="s">
        <v>2511</v>
      </c>
      <c r="K94" s="62" t="s">
        <v>2511</v>
      </c>
      <c r="L94" s="60" t="s">
        <v>2389</v>
      </c>
      <c r="M94" s="61" t="s">
        <v>2523</v>
      </c>
      <c r="N94" s="61" t="s">
        <v>2511</v>
      </c>
      <c r="O94" s="61" t="s">
        <v>2511</v>
      </c>
      <c r="P94" s="62" t="s">
        <v>2511</v>
      </c>
      <c r="Q94" s="218" t="s">
        <v>130</v>
      </c>
      <c r="R94" s="218" t="s">
        <v>126</v>
      </c>
      <c r="S94" s="218" t="s">
        <v>112</v>
      </c>
      <c r="T94" s="218" t="s">
        <v>113</v>
      </c>
      <c r="U94" s="218" t="s">
        <v>126</v>
      </c>
      <c r="V94" s="138" t="s">
        <v>2794</v>
      </c>
      <c r="W94" s="57" t="s">
        <v>2750</v>
      </c>
      <c r="X94" s="126" t="s">
        <v>2511</v>
      </c>
      <c r="Y94" s="219" t="s">
        <v>2511</v>
      </c>
      <c r="Z94" s="57" t="s">
        <v>2514</v>
      </c>
      <c r="AA94" s="57" t="s">
        <v>2515</v>
      </c>
      <c r="AB94" s="57" t="s">
        <v>2393</v>
      </c>
      <c r="AC94" s="57" t="s">
        <v>2516</v>
      </c>
      <c r="AD94" s="65" t="str">
        <f t="shared" si="17"/>
        <v>RSVD1</v>
      </c>
      <c r="AE94" s="70"/>
      <c r="AF94" s="67" t="str">
        <f t="shared" si="18"/>
        <v>PULL_DOWN</v>
      </c>
      <c r="AG94" s="67" t="str">
        <f t="shared" si="20"/>
        <v>TRISTATE</v>
      </c>
      <c r="AH94" s="67" t="str">
        <f t="shared" si="19"/>
        <v>DISABLE</v>
      </c>
      <c r="AI94" s="71" t="str">
        <f t="shared" si="9"/>
        <v>N/A</v>
      </c>
      <c r="AJ94" s="189" t="b">
        <v>1</v>
      </c>
      <c r="AK94" s="189" t="b">
        <v>1</v>
      </c>
      <c r="AL94" s="189" t="b">
        <v>1</v>
      </c>
      <c r="AM94" s="189" t="b">
        <v>1</v>
      </c>
      <c r="AN94" s="189" t="b">
        <v>1</v>
      </c>
      <c r="AO94" s="189" t="b">
        <v>1</v>
      </c>
      <c r="AP94" s="69" t="str">
        <f t="shared" si="16"/>
        <v>VALID</v>
      </c>
      <c r="AQ94" s="166" t="s">
        <v>506</v>
      </c>
      <c r="AR94" s="194" t="s">
        <v>79</v>
      </c>
      <c r="AS94" s="193"/>
      <c r="AT94" s="72"/>
      <c r="AU94" s="72"/>
      <c r="AV94" s="72"/>
      <c r="AW94" s="72"/>
      <c r="AX94" s="193" t="s">
        <v>136</v>
      </c>
      <c r="AY94" s="72"/>
      <c r="AZ94" s="193"/>
      <c r="BA94" s="193"/>
      <c r="BB94" s="8"/>
      <c r="BC94" s="140"/>
      <c r="BD94" s="147" t="s">
        <v>83</v>
      </c>
      <c r="BE94" s="147" t="s">
        <v>83</v>
      </c>
    </row>
    <row r="95" spans="1:57" ht="12.95" hidden="1" customHeight="1">
      <c r="A95" s="248" t="e">
        <v>#N/A</v>
      </c>
      <c r="B95" s="252" t="e">
        <v>#N/A</v>
      </c>
      <c r="C95" s="263" t="s">
        <v>265</v>
      </c>
      <c r="D95" s="239" t="s">
        <v>2795</v>
      </c>
      <c r="E95" s="58"/>
      <c r="F95" s="59" t="s">
        <v>507</v>
      </c>
      <c r="G95" s="191" t="s">
        <v>2240</v>
      </c>
      <c r="H95" s="192"/>
      <c r="I95" s="61" t="s">
        <v>2511</v>
      </c>
      <c r="J95" s="61" t="s">
        <v>2511</v>
      </c>
      <c r="K95" s="62" t="s">
        <v>2511</v>
      </c>
      <c r="L95" s="60" t="s">
        <v>2389</v>
      </c>
      <c r="M95" s="61" t="s">
        <v>2388</v>
      </c>
      <c r="N95" s="61" t="s">
        <v>2511</v>
      </c>
      <c r="O95" s="61" t="s">
        <v>2511</v>
      </c>
      <c r="P95" s="62" t="s">
        <v>2511</v>
      </c>
      <c r="Q95" s="218" t="s">
        <v>130</v>
      </c>
      <c r="R95" s="218" t="s">
        <v>126</v>
      </c>
      <c r="S95" s="218" t="s">
        <v>112</v>
      </c>
      <c r="T95" s="218" t="s">
        <v>113</v>
      </c>
      <c r="U95" s="218" t="s">
        <v>126</v>
      </c>
      <c r="V95" s="138" t="s">
        <v>2796</v>
      </c>
      <c r="W95" s="57" t="s">
        <v>2750</v>
      </c>
      <c r="X95" s="126" t="s">
        <v>2511</v>
      </c>
      <c r="Y95" s="219" t="s">
        <v>2797</v>
      </c>
      <c r="Z95" s="57" t="s">
        <v>2514</v>
      </c>
      <c r="AA95" s="57" t="s">
        <v>2515</v>
      </c>
      <c r="AB95" s="57" t="s">
        <v>2393</v>
      </c>
      <c r="AC95" s="57" t="s">
        <v>2516</v>
      </c>
      <c r="AD95" s="65" t="str">
        <f t="shared" si="17"/>
        <v>GPIO_PH5</v>
      </c>
      <c r="AE95" s="70"/>
      <c r="AF95" s="67" t="str">
        <f t="shared" si="18"/>
        <v>NORMAL</v>
      </c>
      <c r="AG95" s="67" t="str">
        <f t="shared" si="20"/>
        <v>TRISTATE</v>
      </c>
      <c r="AH95" s="67" t="str">
        <f t="shared" si="19"/>
        <v>ENABLE</v>
      </c>
      <c r="AI95" s="71" t="str">
        <f t="shared" si="9"/>
        <v/>
      </c>
      <c r="AJ95" s="189" t="b">
        <v>1</v>
      </c>
      <c r="AK95" s="189" t="b">
        <v>1</v>
      </c>
      <c r="AL95" s="189" t="b">
        <v>1</v>
      </c>
      <c r="AM95" s="189" t="b">
        <v>1</v>
      </c>
      <c r="AN95" s="189" t="b">
        <v>1</v>
      </c>
      <c r="AO95" s="189" t="b">
        <v>1</v>
      </c>
      <c r="AP95" s="69" t="str">
        <f t="shared" si="16"/>
        <v>VALID</v>
      </c>
      <c r="AQ95" s="166" t="s">
        <v>2240</v>
      </c>
      <c r="AR95" s="194" t="s">
        <v>862</v>
      </c>
      <c r="AS95" s="193"/>
      <c r="AT95" s="72"/>
      <c r="AU95" s="72"/>
      <c r="AV95" s="72"/>
      <c r="AW95" s="72"/>
      <c r="AX95" s="193" t="s">
        <v>136</v>
      </c>
      <c r="AY95" s="72"/>
      <c r="AZ95" s="193"/>
      <c r="BA95" s="193"/>
      <c r="BB95" s="8"/>
      <c r="BC95" s="140"/>
      <c r="BD95" s="11" t="s">
        <v>5566</v>
      </c>
      <c r="BE95" s="311" t="s">
        <v>5542</v>
      </c>
    </row>
    <row r="96" spans="1:57" ht="12.95" hidden="1" customHeight="1">
      <c r="A96" s="248" t="e">
        <v>#N/A</v>
      </c>
      <c r="B96" s="252" t="e">
        <v>#N/A</v>
      </c>
      <c r="C96" s="263" t="s">
        <v>264</v>
      </c>
      <c r="D96" s="239" t="s">
        <v>2799</v>
      </c>
      <c r="E96" s="58"/>
      <c r="F96" s="59" t="s">
        <v>508</v>
      </c>
      <c r="G96" s="191" t="s">
        <v>933</v>
      </c>
      <c r="H96" s="192"/>
      <c r="I96" s="61" t="s">
        <v>2511</v>
      </c>
      <c r="J96" s="61" t="s">
        <v>2511</v>
      </c>
      <c r="K96" s="62" t="s">
        <v>2511</v>
      </c>
      <c r="L96" s="60" t="s">
        <v>2389</v>
      </c>
      <c r="M96" s="61" t="s">
        <v>2523</v>
      </c>
      <c r="N96" s="61" t="s">
        <v>2511</v>
      </c>
      <c r="O96" s="61" t="s">
        <v>2511</v>
      </c>
      <c r="P96" s="62" t="s">
        <v>2511</v>
      </c>
      <c r="Q96" s="218" t="s">
        <v>130</v>
      </c>
      <c r="R96" s="218" t="s">
        <v>126</v>
      </c>
      <c r="S96" s="218" t="s">
        <v>112</v>
      </c>
      <c r="T96" s="218" t="s">
        <v>113</v>
      </c>
      <c r="U96" s="218" t="s">
        <v>126</v>
      </c>
      <c r="V96" s="138" t="s">
        <v>2800</v>
      </c>
      <c r="W96" s="57" t="s">
        <v>2750</v>
      </c>
      <c r="X96" s="126" t="s">
        <v>2801</v>
      </c>
      <c r="Y96" s="219" t="s">
        <v>2511</v>
      </c>
      <c r="Z96" s="57" t="s">
        <v>2514</v>
      </c>
      <c r="AA96" s="57" t="s">
        <v>2753</v>
      </c>
      <c r="AB96" s="57" t="s">
        <v>2393</v>
      </c>
      <c r="AC96" s="57" t="s">
        <v>2548</v>
      </c>
      <c r="AD96" s="65" t="str">
        <f t="shared" si="17"/>
        <v>RSVD1</v>
      </c>
      <c r="AE96" s="70"/>
      <c r="AF96" s="67" t="str">
        <f t="shared" si="18"/>
        <v>PULL_DOWN</v>
      </c>
      <c r="AG96" s="67" t="str">
        <f t="shared" si="20"/>
        <v>TRISTATE</v>
      </c>
      <c r="AH96" s="67" t="str">
        <f t="shared" si="19"/>
        <v>DISABLE</v>
      </c>
      <c r="AI96" s="71" t="str">
        <f t="shared" si="9"/>
        <v>N/A</v>
      </c>
      <c r="AJ96" s="189" t="b">
        <v>1</v>
      </c>
      <c r="AK96" s="189" t="b">
        <v>1</v>
      </c>
      <c r="AL96" s="189" t="b">
        <v>1</v>
      </c>
      <c r="AM96" s="189" t="b">
        <v>1</v>
      </c>
      <c r="AN96" s="189" t="b">
        <v>1</v>
      </c>
      <c r="AO96" s="189" t="b">
        <v>1</v>
      </c>
      <c r="AP96" s="69" t="str">
        <f t="shared" si="16"/>
        <v>VALID</v>
      </c>
      <c r="AQ96" s="166" t="s">
        <v>508</v>
      </c>
      <c r="AR96" s="194" t="s">
        <v>79</v>
      </c>
      <c r="AS96" s="193"/>
      <c r="AT96" s="193" t="s">
        <v>117</v>
      </c>
      <c r="AU96" s="72"/>
      <c r="AV96" s="72"/>
      <c r="AW96" s="72"/>
      <c r="AX96" s="193" t="s">
        <v>136</v>
      </c>
      <c r="AY96" s="72"/>
      <c r="AZ96" s="193"/>
      <c r="BA96" s="193"/>
      <c r="BB96" s="8"/>
      <c r="BC96" s="140"/>
      <c r="BD96" s="147" t="s">
        <v>83</v>
      </c>
      <c r="BE96" s="147" t="s">
        <v>83</v>
      </c>
    </row>
    <row r="97" spans="1:57" ht="12.95" hidden="1" customHeight="1">
      <c r="A97" s="248" t="e">
        <v>#N/A</v>
      </c>
      <c r="B97" s="252" t="e">
        <v>#N/A</v>
      </c>
      <c r="C97" s="263" t="s">
        <v>14</v>
      </c>
      <c r="D97" s="239" t="s">
        <v>2803</v>
      </c>
      <c r="E97" s="58"/>
      <c r="F97" s="59" t="s">
        <v>123</v>
      </c>
      <c r="G97" s="191" t="s">
        <v>2492</v>
      </c>
      <c r="H97" s="192" t="s">
        <v>901</v>
      </c>
      <c r="I97" s="61" t="s">
        <v>2511</v>
      </c>
      <c r="J97" s="61" t="s">
        <v>2511</v>
      </c>
      <c r="K97" s="62" t="s">
        <v>2511</v>
      </c>
      <c r="L97" s="60" t="s">
        <v>2389</v>
      </c>
      <c r="M97" s="61" t="s">
        <v>2389</v>
      </c>
      <c r="N97" s="61" t="s">
        <v>2511</v>
      </c>
      <c r="O97" s="61" t="s">
        <v>2511</v>
      </c>
      <c r="P97" s="62" t="s">
        <v>2511</v>
      </c>
      <c r="Q97" s="218" t="s">
        <v>128</v>
      </c>
      <c r="R97" s="218" t="s">
        <v>126</v>
      </c>
      <c r="S97" s="218" t="s">
        <v>112</v>
      </c>
      <c r="T97" s="218" t="s">
        <v>113</v>
      </c>
      <c r="U97" s="218" t="s">
        <v>126</v>
      </c>
      <c r="V97" s="205" t="s">
        <v>2804</v>
      </c>
      <c r="W97" s="57" t="s">
        <v>2750</v>
      </c>
      <c r="X97" s="126" t="s">
        <v>2511</v>
      </c>
      <c r="Y97" s="219" t="s">
        <v>2511</v>
      </c>
      <c r="Z97" s="57" t="s">
        <v>2514</v>
      </c>
      <c r="AA97" s="57" t="s">
        <v>2515</v>
      </c>
      <c r="AB97" s="57" t="s">
        <v>2393</v>
      </c>
      <c r="AC97" s="57" t="s">
        <v>2516</v>
      </c>
      <c r="AD97" s="65" t="str">
        <f t="shared" si="17"/>
        <v>RSVD1</v>
      </c>
      <c r="AE97" s="70"/>
      <c r="AF97" s="67" t="str">
        <f t="shared" si="18"/>
        <v>PULL_DOWN</v>
      </c>
      <c r="AG97" s="67" t="str">
        <f>IF($AV97="slave", "TRISTATE", IF($AR97="Input", "TRISTATE", IF($AS97="Z","TRISTATE",IF($AQ97=$F97,"TRISTATE","NORMAL"))))</f>
        <v>TRISTATE</v>
      </c>
      <c r="AH97" s="67" t="str">
        <f>IF(OR((AND($AQ97=$G97,$AR97="INPUT")),(AND($AQ97=$H97,$AV97="Slave")),$AR97="Bidirectional"),"ENABLE","DISABLE")</f>
        <v>DISABLE</v>
      </c>
      <c r="AI97" s="71" t="str">
        <f t="shared" si="9"/>
        <v>N/A</v>
      </c>
      <c r="AJ97" s="189" t="b">
        <v>1</v>
      </c>
      <c r="AK97" s="189" t="b">
        <v>1</v>
      </c>
      <c r="AL97" s="189" t="b">
        <v>1</v>
      </c>
      <c r="AM97" s="189" t="b">
        <v>1</v>
      </c>
      <c r="AN97" s="189" t="b">
        <v>1</v>
      </c>
      <c r="AO97" s="189" t="b">
        <v>1</v>
      </c>
      <c r="AP97" s="69" t="str">
        <f t="shared" si="16"/>
        <v>VALID</v>
      </c>
      <c r="AQ97" s="166" t="s">
        <v>123</v>
      </c>
      <c r="AR97" s="194" t="s">
        <v>79</v>
      </c>
      <c r="AS97" s="193"/>
      <c r="AT97" s="72"/>
      <c r="AU97" s="72"/>
      <c r="AV97" s="193" t="s">
        <v>900</v>
      </c>
      <c r="AW97" s="72"/>
      <c r="AX97" s="193" t="s">
        <v>136</v>
      </c>
      <c r="AY97" s="72"/>
      <c r="AZ97" s="193"/>
      <c r="BA97" s="193"/>
      <c r="BB97" s="8"/>
      <c r="BC97" s="140"/>
      <c r="BD97" s="147" t="s">
        <v>83</v>
      </c>
      <c r="BE97" s="147" t="s">
        <v>83</v>
      </c>
    </row>
    <row r="98" spans="1:57" ht="12.95" hidden="1" customHeight="1">
      <c r="A98" s="248" t="e">
        <v>#N/A</v>
      </c>
      <c r="B98" s="252" t="e">
        <v>#N/A</v>
      </c>
      <c r="C98" s="263" t="s">
        <v>12</v>
      </c>
      <c r="D98" s="239" t="s">
        <v>2806</v>
      </c>
      <c r="E98" s="58"/>
      <c r="F98" s="59" t="s">
        <v>121</v>
      </c>
      <c r="G98" s="191" t="s">
        <v>2493</v>
      </c>
      <c r="H98" s="192" t="s">
        <v>902</v>
      </c>
      <c r="I98" s="61" t="s">
        <v>2511</v>
      </c>
      <c r="J98" s="61" t="s">
        <v>2511</v>
      </c>
      <c r="K98" s="62" t="s">
        <v>2511</v>
      </c>
      <c r="L98" s="60" t="s">
        <v>2389</v>
      </c>
      <c r="M98" s="61" t="s">
        <v>2519</v>
      </c>
      <c r="N98" s="61" t="s">
        <v>2511</v>
      </c>
      <c r="O98" s="61" t="s">
        <v>2511</v>
      </c>
      <c r="P98" s="62" t="s">
        <v>2511</v>
      </c>
      <c r="Q98" s="218" t="s">
        <v>128</v>
      </c>
      <c r="R98" s="218" t="s">
        <v>126</v>
      </c>
      <c r="S98" s="218" t="s">
        <v>112</v>
      </c>
      <c r="T98" s="218" t="s">
        <v>113</v>
      </c>
      <c r="U98" s="218" t="s">
        <v>126</v>
      </c>
      <c r="V98" s="137" t="s">
        <v>2807</v>
      </c>
      <c r="W98" s="57" t="s">
        <v>2750</v>
      </c>
      <c r="X98" s="126" t="s">
        <v>2511</v>
      </c>
      <c r="Y98" s="219" t="s">
        <v>2511</v>
      </c>
      <c r="Z98" s="57" t="s">
        <v>2514</v>
      </c>
      <c r="AA98" s="57" t="s">
        <v>2515</v>
      </c>
      <c r="AB98" s="57" t="s">
        <v>2393</v>
      </c>
      <c r="AC98" s="57" t="s">
        <v>2516</v>
      </c>
      <c r="AD98" s="65" t="str">
        <f t="shared" si="17"/>
        <v>RSVD1</v>
      </c>
      <c r="AE98" s="70"/>
      <c r="AF98" s="67" t="str">
        <f t="shared" si="18"/>
        <v>PULL_DOWN</v>
      </c>
      <c r="AG98" s="67" t="str">
        <f t="shared" si="20"/>
        <v>TRISTATE</v>
      </c>
      <c r="AH98" s="67" t="str">
        <f>IF(OR($AQ98=$F98,$AR98="Output"),"DISABLE","ENABLE")</f>
        <v>DISABLE</v>
      </c>
      <c r="AI98" s="71" t="str">
        <f t="shared" si="9"/>
        <v>N/A</v>
      </c>
      <c r="AJ98" s="189" t="b">
        <v>1</v>
      </c>
      <c r="AK98" s="189" t="b">
        <v>1</v>
      </c>
      <c r="AL98" s="189" t="b">
        <v>1</v>
      </c>
      <c r="AM98" s="189" t="b">
        <v>1</v>
      </c>
      <c r="AN98" s="189" t="b">
        <v>1</v>
      </c>
      <c r="AO98" s="189" t="b">
        <v>1</v>
      </c>
      <c r="AP98" s="69" t="str">
        <f t="shared" si="16"/>
        <v>VALID</v>
      </c>
      <c r="AQ98" s="177" t="s">
        <v>121</v>
      </c>
      <c r="AR98" s="194" t="s">
        <v>79</v>
      </c>
      <c r="AS98" s="193"/>
      <c r="AT98" s="72"/>
      <c r="AU98" s="72"/>
      <c r="AV98" s="193" t="s">
        <v>900</v>
      </c>
      <c r="AW98" s="72"/>
      <c r="AX98" s="193" t="s">
        <v>136</v>
      </c>
      <c r="AY98" s="72"/>
      <c r="AZ98" s="193"/>
      <c r="BA98" s="193"/>
      <c r="BB98" s="8"/>
      <c r="BC98" s="140"/>
      <c r="BD98" s="147" t="s">
        <v>83</v>
      </c>
      <c r="BE98" s="147" t="s">
        <v>83</v>
      </c>
    </row>
    <row r="99" spans="1:57" ht="12.95" hidden="1" customHeight="1">
      <c r="A99" s="248" t="e">
        <v>#N/A</v>
      </c>
      <c r="B99" s="252" t="e">
        <v>#N/A</v>
      </c>
      <c r="C99" s="263" t="s">
        <v>11</v>
      </c>
      <c r="D99" s="239" t="s">
        <v>2809</v>
      </c>
      <c r="E99" s="58"/>
      <c r="F99" s="59" t="s">
        <v>120</v>
      </c>
      <c r="G99" s="191" t="s">
        <v>2494</v>
      </c>
      <c r="H99" s="192" t="s">
        <v>903</v>
      </c>
      <c r="I99" s="61" t="s">
        <v>2511</v>
      </c>
      <c r="J99" s="61" t="s">
        <v>2511</v>
      </c>
      <c r="K99" s="62" t="s">
        <v>2511</v>
      </c>
      <c r="L99" s="60" t="s">
        <v>2389</v>
      </c>
      <c r="M99" s="61" t="s">
        <v>2523</v>
      </c>
      <c r="N99" s="61" t="s">
        <v>2511</v>
      </c>
      <c r="O99" s="61" t="s">
        <v>2511</v>
      </c>
      <c r="P99" s="62" t="s">
        <v>2511</v>
      </c>
      <c r="Q99" s="218" t="s">
        <v>128</v>
      </c>
      <c r="R99" s="218" t="s">
        <v>126</v>
      </c>
      <c r="S99" s="218" t="s">
        <v>112</v>
      </c>
      <c r="T99" s="218" t="s">
        <v>113</v>
      </c>
      <c r="U99" s="218" t="s">
        <v>126</v>
      </c>
      <c r="V99" s="138" t="s">
        <v>2810</v>
      </c>
      <c r="W99" s="57" t="s">
        <v>2750</v>
      </c>
      <c r="X99" s="126" t="s">
        <v>2511</v>
      </c>
      <c r="Y99" s="219" t="s">
        <v>2511</v>
      </c>
      <c r="Z99" s="57" t="s">
        <v>2514</v>
      </c>
      <c r="AA99" s="57" t="s">
        <v>2515</v>
      </c>
      <c r="AB99" s="57" t="s">
        <v>2393</v>
      </c>
      <c r="AC99" s="57" t="s">
        <v>2516</v>
      </c>
      <c r="AD99" s="65" t="str">
        <f t="shared" si="17"/>
        <v>RSVD1</v>
      </c>
      <c r="AE99" s="70"/>
      <c r="AF99" s="67" t="str">
        <f t="shared" si="18"/>
        <v>PULL_DOWN</v>
      </c>
      <c r="AG99" s="67" t="str">
        <f t="shared" si="20"/>
        <v>TRISTATE</v>
      </c>
      <c r="AH99" s="67" t="str">
        <f>IF(OR($AQ99=$F99,$AR99="Output"),"DISABLE","ENABLE")</f>
        <v>DISABLE</v>
      </c>
      <c r="AI99" s="71" t="str">
        <f t="shared" si="9"/>
        <v>N/A</v>
      </c>
      <c r="AJ99" s="189" t="b">
        <v>1</v>
      </c>
      <c r="AK99" s="189" t="b">
        <v>1</v>
      </c>
      <c r="AL99" s="189" t="b">
        <v>1</v>
      </c>
      <c r="AM99" s="189" t="b">
        <v>1</v>
      </c>
      <c r="AN99" s="189" t="b">
        <v>1</v>
      </c>
      <c r="AO99" s="189" t="b">
        <v>1</v>
      </c>
      <c r="AP99" s="69" t="str">
        <f t="shared" si="16"/>
        <v>VALID</v>
      </c>
      <c r="AQ99" s="166" t="s">
        <v>120</v>
      </c>
      <c r="AR99" s="194" t="s">
        <v>79</v>
      </c>
      <c r="AS99" s="193"/>
      <c r="AT99" s="72"/>
      <c r="AU99" s="72"/>
      <c r="AV99" s="193" t="s">
        <v>900</v>
      </c>
      <c r="AW99" s="72"/>
      <c r="AX99" s="193" t="s">
        <v>136</v>
      </c>
      <c r="AY99" s="72"/>
      <c r="AZ99" s="193"/>
      <c r="BA99" s="193"/>
      <c r="BB99" s="8"/>
      <c r="BC99" s="140"/>
      <c r="BD99" s="147" t="s">
        <v>83</v>
      </c>
      <c r="BE99" s="147" t="s">
        <v>83</v>
      </c>
    </row>
    <row r="100" spans="1:57" ht="12.95" hidden="1" customHeight="1">
      <c r="A100" s="248" t="e">
        <v>#N/A</v>
      </c>
      <c r="B100" s="252" t="e">
        <v>#N/A</v>
      </c>
      <c r="C100" s="263" t="s">
        <v>13</v>
      </c>
      <c r="D100" s="239" t="s">
        <v>2812</v>
      </c>
      <c r="E100" s="58"/>
      <c r="F100" s="59" t="s">
        <v>122</v>
      </c>
      <c r="G100" s="191" t="s">
        <v>2502</v>
      </c>
      <c r="H100" s="192" t="s">
        <v>904</v>
      </c>
      <c r="I100" s="61" t="s">
        <v>2511</v>
      </c>
      <c r="J100" s="61" t="s">
        <v>2511</v>
      </c>
      <c r="K100" s="62" t="s">
        <v>2511</v>
      </c>
      <c r="L100" s="60" t="s">
        <v>2389</v>
      </c>
      <c r="M100" s="61" t="s">
        <v>2389</v>
      </c>
      <c r="N100" s="61" t="s">
        <v>2511</v>
      </c>
      <c r="O100" s="61" t="s">
        <v>2511</v>
      </c>
      <c r="P100" s="62" t="s">
        <v>2511</v>
      </c>
      <c r="Q100" s="218" t="s">
        <v>128</v>
      </c>
      <c r="R100" s="218" t="s">
        <v>126</v>
      </c>
      <c r="S100" s="218" t="s">
        <v>112</v>
      </c>
      <c r="T100" s="218" t="s">
        <v>113</v>
      </c>
      <c r="U100" s="218" t="s">
        <v>126</v>
      </c>
      <c r="V100" s="138" t="s">
        <v>2813</v>
      </c>
      <c r="W100" s="57" t="s">
        <v>2750</v>
      </c>
      <c r="X100" s="126" t="s">
        <v>2511</v>
      </c>
      <c r="Y100" s="219" t="s">
        <v>2511</v>
      </c>
      <c r="Z100" s="57" t="s">
        <v>2514</v>
      </c>
      <c r="AA100" s="57" t="s">
        <v>2515</v>
      </c>
      <c r="AB100" s="57" t="s">
        <v>2393</v>
      </c>
      <c r="AC100" s="57" t="s">
        <v>2516</v>
      </c>
      <c r="AD100" s="65" t="str">
        <f t="shared" si="17"/>
        <v>RSVD1</v>
      </c>
      <c r="AE100" s="70"/>
      <c r="AF100" s="67" t="str">
        <f t="shared" si="18"/>
        <v>PULL_DOWN</v>
      </c>
      <c r="AG100" s="67" t="str">
        <f>IF($AV100="slave", "TRISTATE", IF($AR100="Input", "TRISTATE", IF($AS100="Z","TRISTATE",IF($AQ100=$F100,"TRISTATE","NORMAL"))))</f>
        <v>TRISTATE</v>
      </c>
      <c r="AH100" s="67" t="str">
        <f>IF(OR((AND($AQ100=$G100,$AR100="INPUT")),(AND($AQ100=$H100,$AV100="Slave")),$AR100="Bidirectional"),"ENABLE","DISABLE")</f>
        <v>DISABLE</v>
      </c>
      <c r="AI100" s="71" t="str">
        <f t="shared" si="9"/>
        <v>N/A</v>
      </c>
      <c r="AJ100" s="189" t="b">
        <v>1</v>
      </c>
      <c r="AK100" s="189" t="b">
        <v>1</v>
      </c>
      <c r="AL100" s="189" t="b">
        <v>1</v>
      </c>
      <c r="AM100" s="189" t="b">
        <v>1</v>
      </c>
      <c r="AN100" s="189" t="b">
        <v>1</v>
      </c>
      <c r="AO100" s="189" t="b">
        <v>1</v>
      </c>
      <c r="AP100" s="69" t="str">
        <f t="shared" si="16"/>
        <v>VALID</v>
      </c>
      <c r="AQ100" s="166" t="s">
        <v>122</v>
      </c>
      <c r="AR100" s="194" t="s">
        <v>79</v>
      </c>
      <c r="AS100" s="193"/>
      <c r="AT100" s="72"/>
      <c r="AU100" s="72"/>
      <c r="AV100" s="193" t="s">
        <v>900</v>
      </c>
      <c r="AW100" s="72"/>
      <c r="AX100" s="193" t="s">
        <v>136</v>
      </c>
      <c r="AY100" s="72"/>
      <c r="AZ100" s="193"/>
      <c r="BA100" s="193"/>
      <c r="BB100" s="8"/>
      <c r="BC100" s="140"/>
      <c r="BD100" s="147" t="s">
        <v>83</v>
      </c>
      <c r="BE100" s="147" t="s">
        <v>83</v>
      </c>
    </row>
    <row r="101" spans="1:57" ht="12.95" customHeight="1">
      <c r="A101" s="247" t="s">
        <v>5455</v>
      </c>
      <c r="B101" s="251">
        <v>232</v>
      </c>
      <c r="C101" s="239" t="s">
        <v>50</v>
      </c>
      <c r="D101" s="239" t="s">
        <v>2814</v>
      </c>
      <c r="E101" s="58"/>
      <c r="F101" s="59" t="s">
        <v>181</v>
      </c>
      <c r="G101" s="191" t="s">
        <v>2815</v>
      </c>
      <c r="H101" s="192" t="s">
        <v>905</v>
      </c>
      <c r="I101" s="61" t="s">
        <v>2511</v>
      </c>
      <c r="J101" s="61" t="s">
        <v>2511</v>
      </c>
      <c r="K101" s="62" t="s">
        <v>2511</v>
      </c>
      <c r="L101" s="60" t="s">
        <v>2389</v>
      </c>
      <c r="M101" s="61" t="s">
        <v>2389</v>
      </c>
      <c r="N101" s="61" t="s">
        <v>2511</v>
      </c>
      <c r="O101" s="61" t="s">
        <v>2511</v>
      </c>
      <c r="P101" s="62" t="s">
        <v>2511</v>
      </c>
      <c r="Q101" s="218" t="s">
        <v>127</v>
      </c>
      <c r="R101" s="218" t="s">
        <v>126</v>
      </c>
      <c r="S101" s="218" t="s">
        <v>112</v>
      </c>
      <c r="T101" s="218" t="s">
        <v>113</v>
      </c>
      <c r="U101" s="218" t="s">
        <v>126</v>
      </c>
      <c r="V101" s="138" t="s">
        <v>2816</v>
      </c>
      <c r="W101" s="57" t="s">
        <v>2750</v>
      </c>
      <c r="X101" s="126" t="s">
        <v>2511</v>
      </c>
      <c r="Y101" s="219" t="s">
        <v>2511</v>
      </c>
      <c r="Z101" s="57" t="s">
        <v>2817</v>
      </c>
      <c r="AA101" s="57" t="s">
        <v>2818</v>
      </c>
      <c r="AB101" s="57" t="s">
        <v>2393</v>
      </c>
      <c r="AC101" s="57" t="s">
        <v>2631</v>
      </c>
      <c r="AD101" s="65" t="str">
        <f t="shared" si="17"/>
        <v>I2C1</v>
      </c>
      <c r="AE101" s="70"/>
      <c r="AF101" s="67" t="str">
        <f t="shared" si="18"/>
        <v>NORMAL</v>
      </c>
      <c r="AG101" s="67" t="str">
        <f t="shared" si="20"/>
        <v>NORMAL</v>
      </c>
      <c r="AH101" s="67" t="str">
        <f t="shared" si="19"/>
        <v>ENABLE</v>
      </c>
      <c r="AI101" s="71" t="str">
        <f t="shared" si="9"/>
        <v>N/A</v>
      </c>
      <c r="AJ101" s="189" t="b">
        <v>1</v>
      </c>
      <c r="AK101" s="189" t="b">
        <v>1</v>
      </c>
      <c r="AL101" s="189" t="b">
        <v>1</v>
      </c>
      <c r="AM101" s="189" t="b">
        <v>1</v>
      </c>
      <c r="AN101" s="189" t="b">
        <v>1</v>
      </c>
      <c r="AO101" s="189" t="b">
        <v>1</v>
      </c>
      <c r="AP101" s="69" t="str">
        <f t="shared" si="16"/>
        <v>VALID</v>
      </c>
      <c r="AQ101" s="166" t="s">
        <v>905</v>
      </c>
      <c r="AR101" s="194" t="s">
        <v>860</v>
      </c>
      <c r="AS101" s="193"/>
      <c r="AT101" s="72"/>
      <c r="AU101" s="72"/>
      <c r="AV101" s="72"/>
      <c r="AW101" s="193" t="s">
        <v>136</v>
      </c>
      <c r="AX101" s="193" t="s">
        <v>872</v>
      </c>
      <c r="AY101" s="72"/>
      <c r="AZ101" s="193" t="s">
        <v>5544</v>
      </c>
      <c r="BA101" s="193"/>
      <c r="BB101" s="8"/>
      <c r="BC101" s="140"/>
      <c r="BD101" s="11" t="s">
        <v>5455</v>
      </c>
      <c r="BE101" s="341" t="s">
        <v>5543</v>
      </c>
    </row>
    <row r="102" spans="1:57" ht="12.95" customHeight="1">
      <c r="A102" s="247" t="s">
        <v>5456</v>
      </c>
      <c r="B102" s="251">
        <v>234</v>
      </c>
      <c r="C102" s="239" t="s">
        <v>51</v>
      </c>
      <c r="D102" s="239" t="s">
        <v>2819</v>
      </c>
      <c r="E102" s="58"/>
      <c r="F102" s="59" t="s">
        <v>182</v>
      </c>
      <c r="G102" s="191" t="s">
        <v>2820</v>
      </c>
      <c r="H102" s="192" t="s">
        <v>906</v>
      </c>
      <c r="I102" s="61" t="s">
        <v>2511</v>
      </c>
      <c r="J102" s="61" t="s">
        <v>2511</v>
      </c>
      <c r="K102" s="62" t="s">
        <v>2511</v>
      </c>
      <c r="L102" s="60" t="s">
        <v>2389</v>
      </c>
      <c r="M102" s="61" t="s">
        <v>2389</v>
      </c>
      <c r="N102" s="61" t="s">
        <v>2511</v>
      </c>
      <c r="O102" s="61" t="s">
        <v>2511</v>
      </c>
      <c r="P102" s="62" t="s">
        <v>2511</v>
      </c>
      <c r="Q102" s="218" t="s">
        <v>127</v>
      </c>
      <c r="R102" s="218" t="s">
        <v>126</v>
      </c>
      <c r="S102" s="218" t="s">
        <v>112</v>
      </c>
      <c r="T102" s="218" t="s">
        <v>113</v>
      </c>
      <c r="U102" s="218" t="s">
        <v>126</v>
      </c>
      <c r="V102" s="205" t="s">
        <v>2821</v>
      </c>
      <c r="W102" s="57" t="s">
        <v>2750</v>
      </c>
      <c r="X102" s="126" t="s">
        <v>2822</v>
      </c>
      <c r="Y102" s="219" t="s">
        <v>2511</v>
      </c>
      <c r="Z102" s="57" t="s">
        <v>2817</v>
      </c>
      <c r="AA102" s="57" t="s">
        <v>2818</v>
      </c>
      <c r="AB102" s="57" t="s">
        <v>2393</v>
      </c>
      <c r="AC102" s="57" t="s">
        <v>2631</v>
      </c>
      <c r="AD102" s="65" t="str">
        <f t="shared" si="17"/>
        <v>I2C1</v>
      </c>
      <c r="AE102" s="70"/>
      <c r="AF102" s="67" t="str">
        <f t="shared" si="18"/>
        <v>NORMAL</v>
      </c>
      <c r="AG102" s="67" t="str">
        <f t="shared" si="20"/>
        <v>NORMAL</v>
      </c>
      <c r="AH102" s="67" t="str">
        <f t="shared" si="19"/>
        <v>ENABLE</v>
      </c>
      <c r="AI102" s="71" t="str">
        <f t="shared" si="9"/>
        <v>N/A</v>
      </c>
      <c r="AJ102" s="189" t="b">
        <v>1</v>
      </c>
      <c r="AK102" s="189" t="b">
        <v>1</v>
      </c>
      <c r="AL102" s="189" t="b">
        <v>1</v>
      </c>
      <c r="AM102" s="189" t="b">
        <v>1</v>
      </c>
      <c r="AN102" s="189" t="b">
        <v>1</v>
      </c>
      <c r="AO102" s="189" t="b">
        <v>1</v>
      </c>
      <c r="AP102" s="69" t="str">
        <f t="shared" si="16"/>
        <v>VALID</v>
      </c>
      <c r="AQ102" s="166" t="s">
        <v>906</v>
      </c>
      <c r="AR102" s="194" t="s">
        <v>860</v>
      </c>
      <c r="AS102" s="193"/>
      <c r="AT102" s="193" t="s">
        <v>117</v>
      </c>
      <c r="AU102" s="72"/>
      <c r="AV102" s="72"/>
      <c r="AW102" s="193" t="s">
        <v>136</v>
      </c>
      <c r="AX102" s="193" t="s">
        <v>872</v>
      </c>
      <c r="AY102" s="72"/>
      <c r="AZ102" s="193" t="s">
        <v>5544</v>
      </c>
      <c r="BA102" s="193"/>
      <c r="BB102" s="8"/>
      <c r="BC102" s="140"/>
      <c r="BD102" s="11" t="s">
        <v>5456</v>
      </c>
      <c r="BE102" s="341"/>
    </row>
    <row r="103" spans="1:57" s="56" customFormat="1" ht="18" hidden="1" customHeight="1">
      <c r="A103" s="363"/>
      <c r="B103" s="364"/>
      <c r="C103" s="265" t="s">
        <v>282</v>
      </c>
      <c r="D103" s="266"/>
      <c r="E103" s="73"/>
      <c r="F103" s="73" t="s">
        <v>2823</v>
      </c>
      <c r="G103" s="74"/>
      <c r="H103" s="74"/>
      <c r="I103" s="74"/>
      <c r="J103" s="74"/>
      <c r="K103" s="74"/>
      <c r="L103" s="73"/>
      <c r="M103" s="73"/>
      <c r="N103" s="73"/>
      <c r="O103" s="73"/>
      <c r="P103" s="73"/>
      <c r="Q103" s="73"/>
      <c r="R103" s="73"/>
      <c r="S103" s="73"/>
      <c r="T103" s="73"/>
      <c r="U103" s="73"/>
      <c r="V103" s="73"/>
      <c r="W103" s="73"/>
      <c r="X103" s="127"/>
      <c r="Y103" s="127"/>
      <c r="Z103" s="75"/>
      <c r="AA103" s="75"/>
      <c r="AB103" s="75"/>
      <c r="AC103" s="75"/>
      <c r="AD103" s="75"/>
      <c r="AE103" s="75"/>
      <c r="AF103" s="75"/>
      <c r="AG103" s="75"/>
      <c r="AH103" s="75"/>
      <c r="AI103" s="75"/>
      <c r="AJ103" s="53"/>
      <c r="AK103" s="53"/>
      <c r="AL103" s="53"/>
      <c r="AM103" s="53"/>
      <c r="AN103" s="53"/>
      <c r="AO103" s="53"/>
      <c r="AP103" s="53"/>
      <c r="AQ103" s="54"/>
      <c r="AR103" s="76"/>
      <c r="AS103" s="77"/>
      <c r="AT103" s="77"/>
      <c r="AU103" s="77"/>
      <c r="AV103" s="77"/>
      <c r="AW103" s="77"/>
      <c r="AX103" s="77"/>
      <c r="AY103" s="77"/>
      <c r="AZ103" s="77"/>
      <c r="BA103" s="77"/>
      <c r="BB103" s="77"/>
      <c r="BC103" s="175" t="s">
        <v>59</v>
      </c>
      <c r="BD103" s="77"/>
      <c r="BE103" s="230" t="s">
        <v>282</v>
      </c>
    </row>
    <row r="104" spans="1:57" ht="12.95" hidden="1" customHeight="1">
      <c r="A104" s="248" t="e">
        <v>#N/A</v>
      </c>
      <c r="B104" s="252" t="e">
        <v>#N/A</v>
      </c>
      <c r="C104" s="263" t="s">
        <v>997</v>
      </c>
      <c r="D104" s="239" t="s">
        <v>2825</v>
      </c>
      <c r="E104" s="58"/>
      <c r="F104" s="59" t="s">
        <v>1813</v>
      </c>
      <c r="G104" s="191" t="s">
        <v>2511</v>
      </c>
      <c r="H104" s="192" t="s">
        <v>997</v>
      </c>
      <c r="I104" s="61" t="s">
        <v>2511</v>
      </c>
      <c r="J104" s="61" t="s">
        <v>2511</v>
      </c>
      <c r="K104" s="62" t="s">
        <v>2511</v>
      </c>
      <c r="L104" s="60" t="s">
        <v>2511</v>
      </c>
      <c r="M104" s="61" t="s">
        <v>2523</v>
      </c>
      <c r="N104" s="61" t="s">
        <v>2511</v>
      </c>
      <c r="O104" s="61" t="s">
        <v>2511</v>
      </c>
      <c r="P104" s="62" t="s">
        <v>2511</v>
      </c>
      <c r="Q104" s="243"/>
      <c r="R104" s="243"/>
      <c r="S104" s="243"/>
      <c r="T104" s="243"/>
      <c r="U104" s="244"/>
      <c r="V104" s="138" t="s">
        <v>2826</v>
      </c>
      <c r="W104" s="57" t="s">
        <v>2824</v>
      </c>
      <c r="X104" s="126" t="s">
        <v>2827</v>
      </c>
      <c r="Y104" s="126" t="s">
        <v>2511</v>
      </c>
      <c r="Z104" s="57" t="s">
        <v>2828</v>
      </c>
      <c r="AA104" s="57" t="s">
        <v>2829</v>
      </c>
      <c r="AB104" s="57" t="s">
        <v>900</v>
      </c>
      <c r="AC104" s="57" t="s">
        <v>2631</v>
      </c>
      <c r="AD104" s="65"/>
      <c r="AE104" s="70"/>
      <c r="AF104" s="67" t="str">
        <f t="shared" ref="AF104:AF110" si="21">IF(AND(OR($AS104="Int PU",$AS104="Int PD"),OR(AND($AZ104&lt;&gt;"",$AZ104&lt;&gt;"0"),AND($BA104&lt;&gt;"",$BA104&lt;&gt;"0"))),"INVALID",IF(OR($AQ104=$F104,$AS104="Int PD"),"PULL_DOWN",IF(OR($AS104="Int PU",AND($AE104="YES",OR($AZ104="",$AZ104="0"),OR($BA104="",$BA104="0"),OR($AR104="Input",$AR104="Bidirectional"))),"PULL_UP","NORMAL")))</f>
        <v>NORMAL</v>
      </c>
      <c r="AG104" s="67" t="str">
        <f t="shared" si="20"/>
        <v>TRISTATE</v>
      </c>
      <c r="AH104" s="67" t="str">
        <f t="shared" ref="AH104:AH110" si="22">IF(OR($AQ104=$F104,$AR104="Output"),"DISABLE","ENABLE")</f>
        <v>ENABLE</v>
      </c>
      <c r="AI104" s="71" t="str">
        <f t="shared" si="9"/>
        <v>N/A</v>
      </c>
      <c r="AJ104" s="189" t="b">
        <v>1</v>
      </c>
      <c r="AK104" s="189" t="b">
        <v>1</v>
      </c>
      <c r="AL104" s="189" t="b">
        <v>1</v>
      </c>
      <c r="AM104" s="189" t="b">
        <v>1</v>
      </c>
      <c r="AN104" s="189" t="b">
        <v>1</v>
      </c>
      <c r="AO104" s="189" t="b">
        <v>1</v>
      </c>
      <c r="AP104" s="69" t="str">
        <f t="shared" ref="AP104:AP110" si="23">IF(AND($AJ104:$AO104), "VALID", "INVALID")</f>
        <v>VALID</v>
      </c>
      <c r="AQ104" s="166" t="s">
        <v>997</v>
      </c>
      <c r="AR104" s="194" t="s">
        <v>862</v>
      </c>
      <c r="AS104" s="193"/>
      <c r="AT104" s="193" t="s">
        <v>117</v>
      </c>
      <c r="AU104" s="72"/>
      <c r="AV104" s="72"/>
      <c r="AW104" s="72"/>
      <c r="AX104" s="72"/>
      <c r="AY104" s="72"/>
      <c r="AZ104" s="193"/>
      <c r="BA104" s="193" t="s">
        <v>2489</v>
      </c>
      <c r="BB104" s="8"/>
      <c r="BC104" s="140"/>
      <c r="BD104" s="11" t="s">
        <v>997</v>
      </c>
      <c r="BE104" s="242" t="s">
        <v>2219</v>
      </c>
    </row>
    <row r="105" spans="1:57" ht="12.95" hidden="1" customHeight="1">
      <c r="A105" s="248" t="e">
        <v>#N/A</v>
      </c>
      <c r="B105" s="252" t="e">
        <v>#N/A</v>
      </c>
      <c r="C105" s="263" t="s">
        <v>998</v>
      </c>
      <c r="D105" s="239" t="s">
        <v>2830</v>
      </c>
      <c r="E105" s="58"/>
      <c r="F105" s="59" t="s">
        <v>1814</v>
      </c>
      <c r="G105" s="191" t="s">
        <v>2511</v>
      </c>
      <c r="H105" s="192" t="s">
        <v>168</v>
      </c>
      <c r="I105" s="61" t="s">
        <v>2511</v>
      </c>
      <c r="J105" s="61" t="s">
        <v>2511</v>
      </c>
      <c r="K105" s="62" t="s">
        <v>2511</v>
      </c>
      <c r="L105" s="60" t="s">
        <v>2511</v>
      </c>
      <c r="M105" s="61" t="s">
        <v>2523</v>
      </c>
      <c r="N105" s="61" t="s">
        <v>2511</v>
      </c>
      <c r="O105" s="61" t="s">
        <v>2511</v>
      </c>
      <c r="P105" s="62" t="s">
        <v>2511</v>
      </c>
      <c r="Q105" s="243"/>
      <c r="R105" s="243"/>
      <c r="S105" s="243"/>
      <c r="T105" s="243"/>
      <c r="U105" s="244"/>
      <c r="V105" s="138" t="s">
        <v>2831</v>
      </c>
      <c r="W105" s="57" t="s">
        <v>2824</v>
      </c>
      <c r="X105" s="126" t="s">
        <v>2511</v>
      </c>
      <c r="Y105" s="126" t="s">
        <v>2511</v>
      </c>
      <c r="Z105" s="57" t="s">
        <v>2828</v>
      </c>
      <c r="AA105" s="57" t="s">
        <v>2829</v>
      </c>
      <c r="AB105" s="57" t="s">
        <v>900</v>
      </c>
      <c r="AC105" s="57" t="s">
        <v>2516</v>
      </c>
      <c r="AD105" s="65"/>
      <c r="AE105" s="70"/>
      <c r="AF105" s="67" t="str">
        <f t="shared" si="21"/>
        <v>NORMAL</v>
      </c>
      <c r="AG105" s="67" t="str">
        <f t="shared" si="20"/>
        <v>TRISTATE</v>
      </c>
      <c r="AH105" s="67" t="str">
        <f t="shared" si="22"/>
        <v>ENABLE</v>
      </c>
      <c r="AI105" s="71" t="str">
        <f t="shared" si="9"/>
        <v>N/A</v>
      </c>
      <c r="AJ105" s="189" t="b">
        <v>1</v>
      </c>
      <c r="AK105" s="189" t="b">
        <v>1</v>
      </c>
      <c r="AL105" s="189" t="b">
        <v>1</v>
      </c>
      <c r="AM105" s="189" t="b">
        <v>1</v>
      </c>
      <c r="AN105" s="189" t="b">
        <v>1</v>
      </c>
      <c r="AO105" s="189" t="b">
        <v>1</v>
      </c>
      <c r="AP105" s="69" t="str">
        <f t="shared" si="23"/>
        <v>VALID</v>
      </c>
      <c r="AQ105" s="166" t="s">
        <v>168</v>
      </c>
      <c r="AR105" s="194" t="s">
        <v>862</v>
      </c>
      <c r="AS105" s="193"/>
      <c r="AT105" s="72"/>
      <c r="AU105" s="72"/>
      <c r="AV105" s="72"/>
      <c r="AW105" s="72"/>
      <c r="AX105" s="72"/>
      <c r="AY105" s="72"/>
      <c r="AZ105" s="193"/>
      <c r="BA105" s="193" t="s">
        <v>2489</v>
      </c>
      <c r="BB105" s="8"/>
      <c r="BC105" s="140"/>
      <c r="BD105" s="11" t="s">
        <v>168</v>
      </c>
      <c r="BE105" s="242" t="s">
        <v>876</v>
      </c>
    </row>
    <row r="106" spans="1:57" ht="12.95" hidden="1" customHeight="1">
      <c r="A106" s="248" t="e">
        <v>#N/A</v>
      </c>
      <c r="B106" s="252" t="e">
        <v>#N/A</v>
      </c>
      <c r="C106" s="263" t="s">
        <v>169</v>
      </c>
      <c r="D106" s="239" t="s">
        <v>2832</v>
      </c>
      <c r="E106" s="58"/>
      <c r="F106" s="59" t="s">
        <v>499</v>
      </c>
      <c r="G106" s="191" t="s">
        <v>2511</v>
      </c>
      <c r="H106" s="192" t="s">
        <v>169</v>
      </c>
      <c r="I106" s="61" t="s">
        <v>2511</v>
      </c>
      <c r="J106" s="61" t="s">
        <v>2511</v>
      </c>
      <c r="K106" s="62" t="s">
        <v>2511</v>
      </c>
      <c r="L106" s="60" t="s">
        <v>2511</v>
      </c>
      <c r="M106" s="61" t="s">
        <v>2388</v>
      </c>
      <c r="N106" s="61" t="s">
        <v>2511</v>
      </c>
      <c r="O106" s="61" t="s">
        <v>2511</v>
      </c>
      <c r="P106" s="62" t="s">
        <v>2511</v>
      </c>
      <c r="Q106" s="243"/>
      <c r="R106" s="243"/>
      <c r="S106" s="243"/>
      <c r="T106" s="243"/>
      <c r="U106" s="244"/>
      <c r="V106" s="138" t="s">
        <v>2833</v>
      </c>
      <c r="W106" s="57" t="s">
        <v>2824</v>
      </c>
      <c r="X106" s="126" t="s">
        <v>2511</v>
      </c>
      <c r="Y106" s="126" t="s">
        <v>2511</v>
      </c>
      <c r="Z106" s="57" t="s">
        <v>2514</v>
      </c>
      <c r="AA106" s="57" t="s">
        <v>2834</v>
      </c>
      <c r="AB106" s="57" t="s">
        <v>2393</v>
      </c>
      <c r="AC106" s="57" t="s">
        <v>2631</v>
      </c>
      <c r="AD106" s="65"/>
      <c r="AE106" s="70"/>
      <c r="AF106" s="67" t="str">
        <f t="shared" si="21"/>
        <v>NORMAL</v>
      </c>
      <c r="AG106" s="67" t="str">
        <f t="shared" si="20"/>
        <v>NORMAL</v>
      </c>
      <c r="AH106" s="67" t="str">
        <f t="shared" si="22"/>
        <v>DISABLE</v>
      </c>
      <c r="AI106" s="71" t="str">
        <f t="shared" si="9"/>
        <v>N/A</v>
      </c>
      <c r="AJ106" s="189" t="b">
        <v>1</v>
      </c>
      <c r="AK106" s="189" t="b">
        <v>1</v>
      </c>
      <c r="AL106" s="189" t="b">
        <v>1</v>
      </c>
      <c r="AM106" s="189" t="b">
        <v>1</v>
      </c>
      <c r="AN106" s="189" t="b">
        <v>1</v>
      </c>
      <c r="AO106" s="189" t="b">
        <v>1</v>
      </c>
      <c r="AP106" s="69" t="str">
        <f t="shared" si="23"/>
        <v>VALID</v>
      </c>
      <c r="AQ106" s="166" t="s">
        <v>169</v>
      </c>
      <c r="AR106" s="194" t="s">
        <v>861</v>
      </c>
      <c r="AS106" s="193"/>
      <c r="AT106" s="72"/>
      <c r="AU106" s="72"/>
      <c r="AV106" s="72"/>
      <c r="AW106" s="72"/>
      <c r="AX106" s="72"/>
      <c r="AY106" s="72"/>
      <c r="AZ106" s="193"/>
      <c r="BA106" s="193"/>
      <c r="BB106" s="8"/>
      <c r="BC106" s="140"/>
      <c r="BD106" s="11" t="s">
        <v>169</v>
      </c>
      <c r="BE106" s="242" t="s">
        <v>876</v>
      </c>
    </row>
    <row r="107" spans="1:57" ht="12.95" hidden="1" customHeight="1">
      <c r="A107" s="248" t="e">
        <v>#N/A</v>
      </c>
      <c r="B107" s="252" t="e">
        <v>#N/A</v>
      </c>
      <c r="C107" s="263" t="s">
        <v>170</v>
      </c>
      <c r="D107" s="239" t="s">
        <v>2835</v>
      </c>
      <c r="E107" s="58"/>
      <c r="F107" s="59" t="s">
        <v>500</v>
      </c>
      <c r="G107" s="191" t="s">
        <v>2511</v>
      </c>
      <c r="H107" s="192" t="s">
        <v>170</v>
      </c>
      <c r="I107" s="61" t="s">
        <v>2511</v>
      </c>
      <c r="J107" s="61" t="s">
        <v>2511</v>
      </c>
      <c r="K107" s="62" t="s">
        <v>2511</v>
      </c>
      <c r="L107" s="60" t="s">
        <v>2511</v>
      </c>
      <c r="M107" s="61" t="s">
        <v>2523</v>
      </c>
      <c r="N107" s="61" t="s">
        <v>2511</v>
      </c>
      <c r="O107" s="61" t="s">
        <v>2511</v>
      </c>
      <c r="P107" s="62" t="s">
        <v>2511</v>
      </c>
      <c r="Q107" s="243"/>
      <c r="R107" s="243"/>
      <c r="S107" s="243"/>
      <c r="T107" s="243"/>
      <c r="U107" s="244"/>
      <c r="V107" s="138" t="s">
        <v>2836</v>
      </c>
      <c r="W107" s="57" t="s">
        <v>2824</v>
      </c>
      <c r="X107" s="126" t="s">
        <v>2511</v>
      </c>
      <c r="Y107" s="126" t="s">
        <v>2511</v>
      </c>
      <c r="Z107" s="57" t="s">
        <v>2828</v>
      </c>
      <c r="AA107" s="57" t="s">
        <v>2829</v>
      </c>
      <c r="AB107" s="57" t="s">
        <v>900</v>
      </c>
      <c r="AC107" s="57" t="s">
        <v>2548</v>
      </c>
      <c r="AD107" s="65"/>
      <c r="AE107" s="70"/>
      <c r="AF107" s="67" t="str">
        <f t="shared" si="21"/>
        <v>PULL_UP</v>
      </c>
      <c r="AG107" s="67" t="str">
        <f t="shared" si="20"/>
        <v>TRISTATE</v>
      </c>
      <c r="AH107" s="67" t="str">
        <f t="shared" si="22"/>
        <v>ENABLE</v>
      </c>
      <c r="AI107" s="71" t="str">
        <f t="shared" si="9"/>
        <v>N/A</v>
      </c>
      <c r="AJ107" s="189" t="b">
        <v>1</v>
      </c>
      <c r="AK107" s="189" t="b">
        <v>1</v>
      </c>
      <c r="AL107" s="189" t="b">
        <v>1</v>
      </c>
      <c r="AM107" s="189" t="b">
        <v>1</v>
      </c>
      <c r="AN107" s="189" t="b">
        <v>1</v>
      </c>
      <c r="AO107" s="189" t="b">
        <v>1</v>
      </c>
      <c r="AP107" s="69" t="str">
        <f t="shared" si="23"/>
        <v>VALID</v>
      </c>
      <c r="AQ107" s="166" t="s">
        <v>170</v>
      </c>
      <c r="AR107" s="194" t="s">
        <v>862</v>
      </c>
      <c r="AS107" s="193" t="s">
        <v>873</v>
      </c>
      <c r="AT107" s="72"/>
      <c r="AU107" s="72"/>
      <c r="AV107" s="72"/>
      <c r="AW107" s="72"/>
      <c r="AX107" s="72"/>
      <c r="AY107" s="72"/>
      <c r="AZ107" s="193"/>
      <c r="BA107" s="193"/>
      <c r="BB107" s="8"/>
      <c r="BC107" s="140"/>
      <c r="BD107" s="11" t="s">
        <v>170</v>
      </c>
      <c r="BE107" s="242" t="s">
        <v>876</v>
      </c>
    </row>
    <row r="108" spans="1:57" ht="12.95" hidden="1" customHeight="1">
      <c r="A108" s="248" t="e">
        <v>#N/A</v>
      </c>
      <c r="B108" s="252" t="e">
        <v>#N/A</v>
      </c>
      <c r="C108" s="263" t="s">
        <v>171</v>
      </c>
      <c r="D108" s="239" t="s">
        <v>2837</v>
      </c>
      <c r="E108" s="58"/>
      <c r="F108" s="59" t="s">
        <v>501</v>
      </c>
      <c r="G108" s="191" t="s">
        <v>2511</v>
      </c>
      <c r="H108" s="192" t="s">
        <v>171</v>
      </c>
      <c r="I108" s="61" t="s">
        <v>2511</v>
      </c>
      <c r="J108" s="61" t="s">
        <v>2511</v>
      </c>
      <c r="K108" s="62" t="s">
        <v>2511</v>
      </c>
      <c r="L108" s="60" t="s">
        <v>2511</v>
      </c>
      <c r="M108" s="61" t="s">
        <v>2523</v>
      </c>
      <c r="N108" s="61" t="s">
        <v>2511</v>
      </c>
      <c r="O108" s="61" t="s">
        <v>2511</v>
      </c>
      <c r="P108" s="62" t="s">
        <v>2511</v>
      </c>
      <c r="Q108" s="243"/>
      <c r="R108" s="243"/>
      <c r="S108" s="243"/>
      <c r="T108" s="243"/>
      <c r="U108" s="244"/>
      <c r="V108" s="205" t="s">
        <v>2838</v>
      </c>
      <c r="W108" s="57" t="s">
        <v>2824</v>
      </c>
      <c r="X108" s="126" t="s">
        <v>2511</v>
      </c>
      <c r="Y108" s="126" t="s">
        <v>2511</v>
      </c>
      <c r="Z108" s="57" t="s">
        <v>2828</v>
      </c>
      <c r="AA108" s="57" t="s">
        <v>2829</v>
      </c>
      <c r="AB108" s="57" t="s">
        <v>900</v>
      </c>
      <c r="AC108" s="57" t="s">
        <v>2631</v>
      </c>
      <c r="AD108" s="65"/>
      <c r="AE108" s="70"/>
      <c r="AF108" s="67" t="str">
        <f t="shared" si="21"/>
        <v>NORMAL</v>
      </c>
      <c r="AG108" s="67" t="str">
        <f t="shared" si="20"/>
        <v>TRISTATE</v>
      </c>
      <c r="AH108" s="67" t="str">
        <f t="shared" si="22"/>
        <v>ENABLE</v>
      </c>
      <c r="AI108" s="71" t="str">
        <f t="shared" si="9"/>
        <v>N/A</v>
      </c>
      <c r="AJ108" s="189" t="b">
        <v>1</v>
      </c>
      <c r="AK108" s="189" t="b">
        <v>1</v>
      </c>
      <c r="AL108" s="189" t="b">
        <v>1</v>
      </c>
      <c r="AM108" s="189" t="b">
        <v>1</v>
      </c>
      <c r="AN108" s="189" t="b">
        <v>1</v>
      </c>
      <c r="AO108" s="189" t="b">
        <v>1</v>
      </c>
      <c r="AP108" s="69" t="str">
        <f t="shared" si="23"/>
        <v>VALID</v>
      </c>
      <c r="AQ108" s="164" t="s">
        <v>171</v>
      </c>
      <c r="AR108" s="194" t="s">
        <v>862</v>
      </c>
      <c r="AS108" s="193"/>
      <c r="AT108" s="140"/>
      <c r="AU108" s="140"/>
      <c r="AV108" s="140"/>
      <c r="AW108" s="140"/>
      <c r="AX108" s="140"/>
      <c r="AY108" s="140"/>
      <c r="AZ108" s="193"/>
      <c r="BA108" s="193" t="s">
        <v>2489</v>
      </c>
      <c r="BB108" s="143"/>
      <c r="BC108" s="140"/>
      <c r="BD108" s="11" t="s">
        <v>171</v>
      </c>
      <c r="BE108" s="242" t="s">
        <v>876</v>
      </c>
    </row>
    <row r="109" spans="1:57" ht="12.95" hidden="1" customHeight="1">
      <c r="A109" s="248" t="e">
        <v>#N/A</v>
      </c>
      <c r="B109" s="252" t="e">
        <v>#N/A</v>
      </c>
      <c r="C109" s="263" t="s">
        <v>172</v>
      </c>
      <c r="D109" s="239" t="s">
        <v>2839</v>
      </c>
      <c r="E109" s="58"/>
      <c r="F109" s="59" t="s">
        <v>502</v>
      </c>
      <c r="G109" s="191" t="s">
        <v>2511</v>
      </c>
      <c r="H109" s="192" t="s">
        <v>172</v>
      </c>
      <c r="I109" s="61" t="s">
        <v>2511</v>
      </c>
      <c r="J109" s="61" t="s">
        <v>2511</v>
      </c>
      <c r="K109" s="62" t="s">
        <v>2511</v>
      </c>
      <c r="L109" s="60" t="s">
        <v>2511</v>
      </c>
      <c r="M109" s="61" t="s">
        <v>2523</v>
      </c>
      <c r="N109" s="61" t="s">
        <v>2511</v>
      </c>
      <c r="O109" s="61" t="s">
        <v>2511</v>
      </c>
      <c r="P109" s="62" t="s">
        <v>2511</v>
      </c>
      <c r="Q109" s="243"/>
      <c r="R109" s="243"/>
      <c r="S109" s="243"/>
      <c r="T109" s="243"/>
      <c r="U109" s="244"/>
      <c r="V109" s="137" t="s">
        <v>2840</v>
      </c>
      <c r="W109" s="57" t="s">
        <v>2824</v>
      </c>
      <c r="X109" s="126" t="s">
        <v>2511</v>
      </c>
      <c r="Y109" s="126" t="s">
        <v>2511</v>
      </c>
      <c r="Z109" s="57" t="s">
        <v>2828</v>
      </c>
      <c r="AA109" s="57" t="s">
        <v>2829</v>
      </c>
      <c r="AB109" s="57" t="s">
        <v>900</v>
      </c>
      <c r="AC109" s="57" t="s">
        <v>2548</v>
      </c>
      <c r="AD109" s="65"/>
      <c r="AE109" s="70"/>
      <c r="AF109" s="67" t="str">
        <f t="shared" si="21"/>
        <v>PULL_UP</v>
      </c>
      <c r="AG109" s="67" t="str">
        <f t="shared" si="20"/>
        <v>TRISTATE</v>
      </c>
      <c r="AH109" s="67" t="str">
        <f t="shared" si="22"/>
        <v>ENABLE</v>
      </c>
      <c r="AI109" s="71" t="str">
        <f t="shared" si="9"/>
        <v>N/A</v>
      </c>
      <c r="AJ109" s="189" t="b">
        <v>1</v>
      </c>
      <c r="AK109" s="189" t="b">
        <v>1</v>
      </c>
      <c r="AL109" s="189" t="b">
        <v>1</v>
      </c>
      <c r="AM109" s="189" t="b">
        <v>1</v>
      </c>
      <c r="AN109" s="189" t="b">
        <v>1</v>
      </c>
      <c r="AO109" s="189" t="b">
        <v>1</v>
      </c>
      <c r="AP109" s="69" t="str">
        <f t="shared" si="23"/>
        <v>VALID</v>
      </c>
      <c r="AQ109" s="166" t="s">
        <v>172</v>
      </c>
      <c r="AR109" s="194" t="s">
        <v>862</v>
      </c>
      <c r="AS109" s="193" t="s">
        <v>873</v>
      </c>
      <c r="AT109" s="72"/>
      <c r="AU109" s="72"/>
      <c r="AV109" s="72"/>
      <c r="AW109" s="72"/>
      <c r="AX109" s="72"/>
      <c r="AY109" s="72"/>
      <c r="AZ109" s="193"/>
      <c r="BA109" s="193"/>
      <c r="BB109" s="8"/>
      <c r="BC109" s="140"/>
      <c r="BD109" s="11" t="s">
        <v>172</v>
      </c>
      <c r="BE109" s="242" t="s">
        <v>876</v>
      </c>
    </row>
    <row r="110" spans="1:57" ht="12.95" hidden="1" customHeight="1">
      <c r="A110" s="248" t="e">
        <v>#N/A</v>
      </c>
      <c r="B110" s="252" t="e">
        <v>#N/A</v>
      </c>
      <c r="C110" s="263" t="s">
        <v>743</v>
      </c>
      <c r="D110" s="239" t="s">
        <v>2841</v>
      </c>
      <c r="E110" s="58"/>
      <c r="F110" s="59" t="s">
        <v>800</v>
      </c>
      <c r="G110" s="191" t="s">
        <v>2511</v>
      </c>
      <c r="H110" s="192" t="s">
        <v>743</v>
      </c>
      <c r="I110" s="61" t="s">
        <v>2511</v>
      </c>
      <c r="J110" s="61" t="s">
        <v>2511</v>
      </c>
      <c r="K110" s="62" t="s">
        <v>2511</v>
      </c>
      <c r="L110" s="60" t="s">
        <v>2511</v>
      </c>
      <c r="M110" s="61" t="s">
        <v>2523</v>
      </c>
      <c r="N110" s="61" t="s">
        <v>2511</v>
      </c>
      <c r="O110" s="61" t="s">
        <v>2511</v>
      </c>
      <c r="P110" s="62" t="s">
        <v>2511</v>
      </c>
      <c r="Q110" s="243"/>
      <c r="R110" s="243"/>
      <c r="S110" s="243"/>
      <c r="T110" s="243"/>
      <c r="U110" s="244"/>
      <c r="V110" s="138" t="s">
        <v>2842</v>
      </c>
      <c r="W110" s="57" t="s">
        <v>2824</v>
      </c>
      <c r="X110" s="126" t="s">
        <v>2511</v>
      </c>
      <c r="Y110" s="126" t="s">
        <v>2511</v>
      </c>
      <c r="Z110" s="57" t="s">
        <v>2828</v>
      </c>
      <c r="AA110" s="57" t="s">
        <v>2829</v>
      </c>
      <c r="AB110" s="57" t="s">
        <v>900</v>
      </c>
      <c r="AC110" s="57" t="s">
        <v>2631</v>
      </c>
      <c r="AD110" s="65"/>
      <c r="AE110" s="70"/>
      <c r="AF110" s="67" t="str">
        <f t="shared" si="21"/>
        <v>NORMAL</v>
      </c>
      <c r="AG110" s="67" t="str">
        <f t="shared" si="20"/>
        <v>TRISTATE</v>
      </c>
      <c r="AH110" s="67" t="str">
        <f t="shared" si="22"/>
        <v>ENABLE</v>
      </c>
      <c r="AI110" s="71" t="str">
        <f t="shared" si="9"/>
        <v>N/A</v>
      </c>
      <c r="AJ110" s="189" t="b">
        <v>1</v>
      </c>
      <c r="AK110" s="189" t="b">
        <v>1</v>
      </c>
      <c r="AL110" s="189" t="b">
        <v>1</v>
      </c>
      <c r="AM110" s="189" t="b">
        <v>1</v>
      </c>
      <c r="AN110" s="189" t="b">
        <v>1</v>
      </c>
      <c r="AO110" s="189" t="b">
        <v>1</v>
      </c>
      <c r="AP110" s="69" t="str">
        <f t="shared" si="23"/>
        <v>VALID</v>
      </c>
      <c r="AQ110" s="166" t="s">
        <v>743</v>
      </c>
      <c r="AR110" s="194" t="s">
        <v>862</v>
      </c>
      <c r="AS110" s="193"/>
      <c r="AT110" s="72"/>
      <c r="AU110" s="72"/>
      <c r="AV110" s="72"/>
      <c r="AW110" s="72"/>
      <c r="AX110" s="72"/>
      <c r="AY110" s="72"/>
      <c r="AZ110" s="193"/>
      <c r="BA110" s="193" t="s">
        <v>2489</v>
      </c>
      <c r="BB110" s="8"/>
      <c r="BC110" s="140"/>
      <c r="BD110" s="11" t="s">
        <v>743</v>
      </c>
      <c r="BE110" s="242" t="s">
        <v>2220</v>
      </c>
    </row>
    <row r="111" spans="1:57" s="56" customFormat="1" ht="18" hidden="1" customHeight="1">
      <c r="A111" s="363"/>
      <c r="B111" s="364"/>
      <c r="C111" s="265" t="s">
        <v>63</v>
      </c>
      <c r="D111" s="266"/>
      <c r="E111" s="73"/>
      <c r="F111" s="73" t="s">
        <v>2843</v>
      </c>
      <c r="G111" s="74"/>
      <c r="H111" s="74"/>
      <c r="I111" s="74"/>
      <c r="J111" s="74"/>
      <c r="K111" s="74"/>
      <c r="L111" s="73"/>
      <c r="M111" s="73"/>
      <c r="N111" s="73"/>
      <c r="O111" s="73"/>
      <c r="P111" s="73"/>
      <c r="Q111" s="200"/>
      <c r="R111" s="200"/>
      <c r="S111" s="200"/>
      <c r="T111" s="200"/>
      <c r="U111" s="200"/>
      <c r="V111" s="200"/>
      <c r="W111" s="73"/>
      <c r="X111" s="127"/>
      <c r="Y111" s="127"/>
      <c r="Z111" s="75"/>
      <c r="AA111" s="75"/>
      <c r="AB111" s="75"/>
      <c r="AC111" s="75"/>
      <c r="AD111" s="75"/>
      <c r="AE111" s="75"/>
      <c r="AF111" s="75"/>
      <c r="AG111" s="75"/>
      <c r="AH111" s="75"/>
      <c r="AI111" s="75"/>
      <c r="AJ111" s="53"/>
      <c r="AK111" s="53"/>
      <c r="AL111" s="53"/>
      <c r="AM111" s="53"/>
      <c r="AN111" s="53"/>
      <c r="AO111" s="53"/>
      <c r="AP111" s="53"/>
      <c r="AQ111" s="54"/>
      <c r="AR111" s="76"/>
      <c r="AS111" s="77"/>
      <c r="AT111" s="77"/>
      <c r="AU111" s="77"/>
      <c r="AV111" s="77"/>
      <c r="AW111" s="77"/>
      <c r="AX111" s="77"/>
      <c r="AY111" s="77"/>
      <c r="AZ111" s="77"/>
      <c r="BA111" s="77"/>
      <c r="BB111" s="77"/>
      <c r="BC111" s="175" t="s">
        <v>59</v>
      </c>
      <c r="BD111" s="77"/>
      <c r="BE111" s="259" t="s">
        <v>63</v>
      </c>
    </row>
    <row r="112" spans="1:57" ht="12.95" hidden="1" customHeight="1">
      <c r="A112" s="248" t="e">
        <v>#N/A</v>
      </c>
      <c r="B112" s="252" t="e">
        <v>#N/A</v>
      </c>
      <c r="C112" s="263" t="s">
        <v>740</v>
      </c>
      <c r="D112" s="239" t="s">
        <v>2844</v>
      </c>
      <c r="E112" s="58"/>
      <c r="F112" s="59" t="s">
        <v>799</v>
      </c>
      <c r="G112" s="191" t="s">
        <v>2166</v>
      </c>
      <c r="H112" s="192" t="s">
        <v>2511</v>
      </c>
      <c r="I112" s="61" t="s">
        <v>2511</v>
      </c>
      <c r="J112" s="61" t="s">
        <v>2511</v>
      </c>
      <c r="K112" s="62" t="s">
        <v>2511</v>
      </c>
      <c r="L112" s="60" t="s">
        <v>2389</v>
      </c>
      <c r="M112" s="61" t="s">
        <v>2511</v>
      </c>
      <c r="N112" s="61" t="s">
        <v>2511</v>
      </c>
      <c r="O112" s="61" t="s">
        <v>2511</v>
      </c>
      <c r="P112" s="62" t="s">
        <v>2511</v>
      </c>
      <c r="Q112" s="63" t="s">
        <v>552</v>
      </c>
      <c r="R112" s="63" t="s">
        <v>126</v>
      </c>
      <c r="S112" s="63" t="s">
        <v>112</v>
      </c>
      <c r="T112" s="63" t="s">
        <v>113</v>
      </c>
      <c r="U112" s="64" t="s">
        <v>552</v>
      </c>
      <c r="V112" s="63" t="s">
        <v>2845</v>
      </c>
      <c r="W112" s="57" t="s">
        <v>2846</v>
      </c>
      <c r="X112" s="126" t="s">
        <v>2511</v>
      </c>
      <c r="Y112" s="126" t="s">
        <v>2511</v>
      </c>
      <c r="Z112" s="57" t="s">
        <v>2514</v>
      </c>
      <c r="AA112" s="57" t="s">
        <v>2515</v>
      </c>
      <c r="AB112" s="57" t="s">
        <v>2393</v>
      </c>
      <c r="AC112" s="57">
        <v>0</v>
      </c>
      <c r="AD112" s="65" t="str">
        <f t="shared" ref="AD112:AD135" si="24">IF(OR($AQ112="",$AQ112=$F112),$U112,IF($AQ112=$G112,SUBSTITUTE(SUBSTITUTE($AQ112,"GPIO3_","GPIO_"),".0",""),IF($AQ112=$H112,$Q112,IF($AQ112=$I112,$R112,IF($AQ112=$J112,$S112,IF($AQ112=$K112,$T112,"INVALID"))))))</f>
        <v>GPIO_PX0</v>
      </c>
      <c r="AE112" s="70"/>
      <c r="AF112" s="67" t="str">
        <f t="shared" ref="AF112:AF135" si="25">IF(AND(OR($AS112="Int PU",$AS112="Int PD"),OR(AND($AZ112&lt;&gt;"",$AZ112&lt;&gt;"0"),AND($BA112&lt;&gt;"",$BA112&lt;&gt;"0"))),"INVALID",IF(OR($AQ112=$F112,$AS112="Int PD"),"PULL_DOWN",IF(OR($AS112="Int PU",AND($AE112="YES",OR($AZ112="",$AZ112="0"),OR($BA112="",$BA112="0"),OR($AR112="Input",$AR112="Bidirectional"))),"PULL_UP","NORMAL")))</f>
        <v>NORMAL</v>
      </c>
      <c r="AG112" s="67" t="str">
        <f t="shared" ref="AG112:AG135" si="26">IF($AR112="Input", "TRISTATE", IF($AS112="Z","TRISTATE",IF($AQ112=$F112,"TRISTATE","NORMAL")))</f>
        <v>NORMAL</v>
      </c>
      <c r="AH112" s="67" t="str">
        <f t="shared" ref="AH112:AH135" si="27">IF(OR($AQ112=$F112,$AR112="Output"),"DISABLE","ENABLE")</f>
        <v>DISABLE</v>
      </c>
      <c r="AI112" s="71" t="str">
        <f t="shared" ref="AI112:AI135" si="28">IF($AQ112&lt;&gt;$G112,"N/A",IF($AS112="Drive 1", "1", IF($AS112="Drive 0", "0", "")))</f>
        <v>0</v>
      </c>
      <c r="AJ112" s="189" t="b">
        <v>1</v>
      </c>
      <c r="AK112" s="189" t="b">
        <v>1</v>
      </c>
      <c r="AL112" s="189" t="b">
        <v>1</v>
      </c>
      <c r="AM112" s="189" t="b">
        <v>1</v>
      </c>
      <c r="AN112" s="189" t="b">
        <v>1</v>
      </c>
      <c r="AO112" s="189" t="b">
        <v>1</v>
      </c>
      <c r="AP112" s="69" t="str">
        <f t="shared" ref="AP112:AP135" si="29">IF(AND($AJ112:$AO112), "VALID", "INVALID")</f>
        <v>VALID</v>
      </c>
      <c r="AQ112" s="168" t="s">
        <v>2166</v>
      </c>
      <c r="AR112" s="2" t="s">
        <v>861</v>
      </c>
      <c r="AS112" s="4" t="s">
        <v>874</v>
      </c>
      <c r="AT112" s="3"/>
      <c r="AU112" s="184"/>
      <c r="AV112" s="184"/>
      <c r="AW112" s="3"/>
      <c r="AX112" s="188" t="s">
        <v>136</v>
      </c>
      <c r="AY112" s="22"/>
      <c r="AZ112" s="4"/>
      <c r="BA112" s="4"/>
      <c r="BB112" s="13" t="s">
        <v>114</v>
      </c>
      <c r="BC112" s="139"/>
      <c r="BD112" s="17" t="s">
        <v>740</v>
      </c>
      <c r="BE112" s="311" t="s">
        <v>5545</v>
      </c>
    </row>
    <row r="113" spans="1:57" ht="12.95" hidden="1" customHeight="1">
      <c r="A113" s="248" t="e">
        <v>#N/A</v>
      </c>
      <c r="B113" s="252" t="e">
        <v>#N/A</v>
      </c>
      <c r="C113" s="263" t="s">
        <v>999</v>
      </c>
      <c r="D113" s="239" t="s">
        <v>2847</v>
      </c>
      <c r="E113" s="58"/>
      <c r="F113" s="59" t="s">
        <v>1815</v>
      </c>
      <c r="G113" s="191" t="s">
        <v>2167</v>
      </c>
      <c r="H113" s="192" t="s">
        <v>2511</v>
      </c>
      <c r="I113" s="61" t="s">
        <v>2511</v>
      </c>
      <c r="J113" s="61" t="s">
        <v>2511</v>
      </c>
      <c r="K113" s="62" t="s">
        <v>2511</v>
      </c>
      <c r="L113" s="60" t="s">
        <v>2389</v>
      </c>
      <c r="M113" s="61" t="s">
        <v>2511</v>
      </c>
      <c r="N113" s="61" t="s">
        <v>2511</v>
      </c>
      <c r="O113" s="61" t="s">
        <v>2511</v>
      </c>
      <c r="P113" s="62" t="s">
        <v>2511</v>
      </c>
      <c r="Q113" s="57" t="s">
        <v>552</v>
      </c>
      <c r="R113" s="63" t="s">
        <v>126</v>
      </c>
      <c r="S113" s="63" t="s">
        <v>112</v>
      </c>
      <c r="T113" s="63" t="s">
        <v>113</v>
      </c>
      <c r="U113" s="64" t="s">
        <v>552</v>
      </c>
      <c r="V113" s="63" t="s">
        <v>2848</v>
      </c>
      <c r="W113" s="57" t="s">
        <v>2846</v>
      </c>
      <c r="X113" s="126" t="s">
        <v>2511</v>
      </c>
      <c r="Y113" s="126" t="s">
        <v>2511</v>
      </c>
      <c r="Z113" s="57" t="s">
        <v>2514</v>
      </c>
      <c r="AA113" s="57" t="s">
        <v>2515</v>
      </c>
      <c r="AB113" s="57" t="s">
        <v>2393</v>
      </c>
      <c r="AC113" s="57">
        <v>0</v>
      </c>
      <c r="AD113" s="65" t="str">
        <f t="shared" si="24"/>
        <v>RSVD0</v>
      </c>
      <c r="AE113" s="70"/>
      <c r="AF113" s="67" t="str">
        <f t="shared" si="25"/>
        <v>PULL_DOWN</v>
      </c>
      <c r="AG113" s="67" t="str">
        <f t="shared" si="26"/>
        <v>TRISTATE</v>
      </c>
      <c r="AH113" s="67" t="str">
        <f t="shared" si="27"/>
        <v>DISABLE</v>
      </c>
      <c r="AI113" s="71" t="str">
        <f t="shared" si="28"/>
        <v>N/A</v>
      </c>
      <c r="AJ113" s="189" t="b">
        <v>1</v>
      </c>
      <c r="AK113" s="189" t="b">
        <v>1</v>
      </c>
      <c r="AL113" s="189" t="b">
        <v>1</v>
      </c>
      <c r="AM113" s="189" t="b">
        <v>1</v>
      </c>
      <c r="AN113" s="189" t="b">
        <v>1</v>
      </c>
      <c r="AO113" s="189" t="b">
        <v>1</v>
      </c>
      <c r="AP113" s="69" t="str">
        <f t="shared" si="29"/>
        <v>VALID</v>
      </c>
      <c r="AQ113" s="178" t="s">
        <v>1815</v>
      </c>
      <c r="AR113" s="179" t="s">
        <v>79</v>
      </c>
      <c r="AS113" s="180"/>
      <c r="AT113" s="22"/>
      <c r="AU113" s="181"/>
      <c r="AV113" s="181"/>
      <c r="AW113" s="22"/>
      <c r="AX113" s="188" t="s">
        <v>136</v>
      </c>
      <c r="AY113" s="22"/>
      <c r="AZ113" s="180"/>
      <c r="BA113" s="180"/>
      <c r="BB113" s="182" t="s">
        <v>114</v>
      </c>
      <c r="BC113" s="183"/>
      <c r="BD113" s="147" t="s">
        <v>83</v>
      </c>
      <c r="BE113" s="147" t="s">
        <v>83</v>
      </c>
    </row>
    <row r="114" spans="1:57" ht="12.95" hidden="1" customHeight="1">
      <c r="A114" s="248" t="e">
        <v>#N/A</v>
      </c>
      <c r="B114" s="252" t="e">
        <v>#N/A</v>
      </c>
      <c r="C114" s="263" t="s">
        <v>958</v>
      </c>
      <c r="D114" s="239" t="s">
        <v>2849</v>
      </c>
      <c r="E114" s="58"/>
      <c r="F114" s="59" t="s">
        <v>1816</v>
      </c>
      <c r="G114" s="191" t="s">
        <v>2850</v>
      </c>
      <c r="H114" s="192" t="s">
        <v>958</v>
      </c>
      <c r="I114" s="61" t="s">
        <v>2511</v>
      </c>
      <c r="J114" s="61" t="s">
        <v>2511</v>
      </c>
      <c r="K114" s="62" t="s">
        <v>2511</v>
      </c>
      <c r="L114" s="60" t="s">
        <v>2389</v>
      </c>
      <c r="M114" s="61" t="s">
        <v>2388</v>
      </c>
      <c r="N114" s="61" t="s">
        <v>2511</v>
      </c>
      <c r="O114" s="61" t="s">
        <v>2511</v>
      </c>
      <c r="P114" s="62" t="s">
        <v>2511</v>
      </c>
      <c r="Q114" s="57" t="s">
        <v>2425</v>
      </c>
      <c r="R114" s="63" t="s">
        <v>126</v>
      </c>
      <c r="S114" s="63" t="s">
        <v>112</v>
      </c>
      <c r="T114" s="63" t="s">
        <v>113</v>
      </c>
      <c r="U114" s="64" t="s">
        <v>126</v>
      </c>
      <c r="V114" s="63" t="s">
        <v>2851</v>
      </c>
      <c r="W114" s="57" t="s">
        <v>2846</v>
      </c>
      <c r="X114" s="126" t="s">
        <v>2511</v>
      </c>
      <c r="Y114" s="126" t="s">
        <v>2511</v>
      </c>
      <c r="Z114" s="57" t="s">
        <v>2514</v>
      </c>
      <c r="AA114" s="57" t="s">
        <v>2515</v>
      </c>
      <c r="AB114" s="57" t="s">
        <v>2393</v>
      </c>
      <c r="AC114" s="57" t="s">
        <v>2631</v>
      </c>
      <c r="AD114" s="65" t="str">
        <f t="shared" si="24"/>
        <v>GP</v>
      </c>
      <c r="AE114" s="70"/>
      <c r="AF114" s="67" t="str">
        <f t="shared" si="25"/>
        <v>NORMAL</v>
      </c>
      <c r="AG114" s="67" t="str">
        <f t="shared" si="26"/>
        <v>TRISTATE</v>
      </c>
      <c r="AH114" s="67" t="str">
        <f t="shared" si="27"/>
        <v>DISABLE</v>
      </c>
      <c r="AI114" s="71" t="str">
        <f t="shared" si="28"/>
        <v>N/A</v>
      </c>
      <c r="AJ114" s="189" t="b">
        <v>1</v>
      </c>
      <c r="AK114" s="189" t="b">
        <v>1</v>
      </c>
      <c r="AL114" s="189" t="b">
        <v>1</v>
      </c>
      <c r="AM114" s="189" t="b">
        <v>1</v>
      </c>
      <c r="AN114" s="189" t="b">
        <v>1</v>
      </c>
      <c r="AO114" s="189" t="b">
        <v>1</v>
      </c>
      <c r="AP114" s="69" t="str">
        <f t="shared" si="29"/>
        <v>VALID</v>
      </c>
      <c r="AQ114" s="166" t="s">
        <v>958</v>
      </c>
      <c r="AR114" s="194" t="s">
        <v>861</v>
      </c>
      <c r="AS114" s="193" t="s">
        <v>895</v>
      </c>
      <c r="AT114" s="72"/>
      <c r="AU114" s="140"/>
      <c r="AV114" s="140"/>
      <c r="AW114" s="72"/>
      <c r="AX114" s="188" t="s">
        <v>136</v>
      </c>
      <c r="AY114" s="72"/>
      <c r="AZ114" s="193"/>
      <c r="BA114" s="193"/>
      <c r="BB114" s="8"/>
      <c r="BC114" s="140"/>
      <c r="BD114" s="11" t="s">
        <v>5567</v>
      </c>
      <c r="BE114" s="311" t="s">
        <v>5546</v>
      </c>
    </row>
    <row r="115" spans="1:57" ht="12.95" hidden="1" customHeight="1">
      <c r="A115" s="248" t="e">
        <v>#N/A</v>
      </c>
      <c r="B115" s="252" t="e">
        <v>#N/A</v>
      </c>
      <c r="C115" s="263" t="s">
        <v>1000</v>
      </c>
      <c r="D115" s="239" t="s">
        <v>2852</v>
      </c>
      <c r="E115" s="58"/>
      <c r="F115" s="59" t="s">
        <v>1817</v>
      </c>
      <c r="G115" s="191" t="s">
        <v>2853</v>
      </c>
      <c r="H115" s="192" t="s">
        <v>1000</v>
      </c>
      <c r="I115" s="61" t="s">
        <v>2511</v>
      </c>
      <c r="J115" s="61" t="s">
        <v>2511</v>
      </c>
      <c r="K115" s="62" t="s">
        <v>2511</v>
      </c>
      <c r="L115" s="60" t="s">
        <v>2389</v>
      </c>
      <c r="M115" s="61" t="s">
        <v>2388</v>
      </c>
      <c r="N115" s="61" t="s">
        <v>2511</v>
      </c>
      <c r="O115" s="61" t="s">
        <v>2511</v>
      </c>
      <c r="P115" s="62" t="s">
        <v>2511</v>
      </c>
      <c r="Q115" s="57" t="s">
        <v>2425</v>
      </c>
      <c r="R115" s="63" t="s">
        <v>126</v>
      </c>
      <c r="S115" s="63" t="s">
        <v>112</v>
      </c>
      <c r="T115" s="63" t="s">
        <v>113</v>
      </c>
      <c r="U115" s="64" t="s">
        <v>126</v>
      </c>
      <c r="V115" s="63" t="s">
        <v>2854</v>
      </c>
      <c r="W115" s="57" t="s">
        <v>2846</v>
      </c>
      <c r="X115" s="126" t="s">
        <v>2511</v>
      </c>
      <c r="Y115" s="126" t="s">
        <v>2511</v>
      </c>
      <c r="Z115" s="57" t="s">
        <v>2514</v>
      </c>
      <c r="AA115" s="57" t="s">
        <v>2515</v>
      </c>
      <c r="AB115" s="57" t="s">
        <v>2393</v>
      </c>
      <c r="AC115" s="57" t="s">
        <v>2631</v>
      </c>
      <c r="AD115" s="65" t="str">
        <f t="shared" si="24"/>
        <v>RSVD1</v>
      </c>
      <c r="AE115" s="70"/>
      <c r="AF115" s="67" t="str">
        <f t="shared" si="25"/>
        <v>PULL_DOWN</v>
      </c>
      <c r="AG115" s="67" t="str">
        <f t="shared" si="26"/>
        <v>TRISTATE</v>
      </c>
      <c r="AH115" s="67" t="str">
        <f t="shared" si="27"/>
        <v>DISABLE</v>
      </c>
      <c r="AI115" s="71" t="str">
        <f t="shared" si="28"/>
        <v>N/A</v>
      </c>
      <c r="AJ115" s="189" t="b">
        <v>1</v>
      </c>
      <c r="AK115" s="189" t="b">
        <v>1</v>
      </c>
      <c r="AL115" s="189" t="b">
        <v>1</v>
      </c>
      <c r="AM115" s="189" t="b">
        <v>1</v>
      </c>
      <c r="AN115" s="189" t="b">
        <v>1</v>
      </c>
      <c r="AO115" s="189" t="b">
        <v>1</v>
      </c>
      <c r="AP115" s="69" t="str">
        <f t="shared" si="29"/>
        <v>VALID</v>
      </c>
      <c r="AQ115" s="166" t="s">
        <v>1817</v>
      </c>
      <c r="AR115" s="194" t="s">
        <v>79</v>
      </c>
      <c r="AS115" s="193"/>
      <c r="AT115" s="72"/>
      <c r="AU115" s="140"/>
      <c r="AV115" s="140"/>
      <c r="AW115" s="72"/>
      <c r="AX115" s="188" t="s">
        <v>136</v>
      </c>
      <c r="AY115" s="72"/>
      <c r="AZ115" s="193"/>
      <c r="BA115" s="193"/>
      <c r="BB115" s="8"/>
      <c r="BC115" s="140"/>
      <c r="BD115" s="147" t="s">
        <v>83</v>
      </c>
      <c r="BE115" s="147" t="s">
        <v>83</v>
      </c>
    </row>
    <row r="116" spans="1:57" ht="12.95" customHeight="1">
      <c r="A116" s="247" t="s">
        <v>5496</v>
      </c>
      <c r="B116" s="251">
        <v>99</v>
      </c>
      <c r="C116" s="239" t="s">
        <v>278</v>
      </c>
      <c r="D116" s="239" t="s">
        <v>2855</v>
      </c>
      <c r="E116" s="58"/>
      <c r="F116" s="59" t="s">
        <v>492</v>
      </c>
      <c r="G116" s="191" t="s">
        <v>2856</v>
      </c>
      <c r="H116" s="192" t="s">
        <v>926</v>
      </c>
      <c r="I116" s="61" t="s">
        <v>2511</v>
      </c>
      <c r="J116" s="61" t="s">
        <v>2511</v>
      </c>
      <c r="K116" s="62" t="s">
        <v>2511</v>
      </c>
      <c r="L116" s="60" t="s">
        <v>2389</v>
      </c>
      <c r="M116" s="61" t="s">
        <v>2388</v>
      </c>
      <c r="N116" s="61" t="s">
        <v>2511</v>
      </c>
      <c r="O116" s="61" t="s">
        <v>2511</v>
      </c>
      <c r="P116" s="62" t="s">
        <v>2511</v>
      </c>
      <c r="Q116" s="57" t="s">
        <v>183</v>
      </c>
      <c r="R116" s="63" t="s">
        <v>126</v>
      </c>
      <c r="S116" s="63" t="s">
        <v>112</v>
      </c>
      <c r="T116" s="63" t="s">
        <v>113</v>
      </c>
      <c r="U116" s="64" t="s">
        <v>126</v>
      </c>
      <c r="V116" s="63" t="s">
        <v>2857</v>
      </c>
      <c r="W116" s="57" t="s">
        <v>2846</v>
      </c>
      <c r="X116" s="126" t="s">
        <v>2511</v>
      </c>
      <c r="Y116" s="126" t="s">
        <v>2858</v>
      </c>
      <c r="Z116" s="57" t="s">
        <v>2817</v>
      </c>
      <c r="AA116" s="57" t="s">
        <v>2859</v>
      </c>
      <c r="AB116" s="57" t="s">
        <v>2393</v>
      </c>
      <c r="AC116" s="57" t="s">
        <v>2516</v>
      </c>
      <c r="AD116" s="65" t="str">
        <f t="shared" si="24"/>
        <v>UARTB</v>
      </c>
      <c r="AE116" s="70"/>
      <c r="AF116" s="67" t="str">
        <f t="shared" si="25"/>
        <v>NORMAL</v>
      </c>
      <c r="AG116" s="67" t="str">
        <f t="shared" si="26"/>
        <v>NORMAL</v>
      </c>
      <c r="AH116" s="67" t="str">
        <f t="shared" si="27"/>
        <v>DISABLE</v>
      </c>
      <c r="AI116" s="71" t="str">
        <f t="shared" si="28"/>
        <v>N/A</v>
      </c>
      <c r="AJ116" s="189" t="b">
        <v>1</v>
      </c>
      <c r="AK116" s="189" t="b">
        <v>1</v>
      </c>
      <c r="AL116" s="189" t="b">
        <v>1</v>
      </c>
      <c r="AM116" s="189" t="b">
        <v>1</v>
      </c>
      <c r="AN116" s="189" t="b">
        <v>1</v>
      </c>
      <c r="AO116" s="189" t="b">
        <v>1</v>
      </c>
      <c r="AP116" s="69" t="str">
        <f t="shared" si="29"/>
        <v>VALID</v>
      </c>
      <c r="AQ116" s="166" t="s">
        <v>926</v>
      </c>
      <c r="AR116" s="194" t="s">
        <v>861</v>
      </c>
      <c r="AS116" s="193"/>
      <c r="AT116" s="72"/>
      <c r="AU116" s="140"/>
      <c r="AV116" s="140"/>
      <c r="AW116" s="188" t="s">
        <v>136</v>
      </c>
      <c r="AX116" s="188" t="s">
        <v>136</v>
      </c>
      <c r="AY116" s="72"/>
      <c r="AZ116" s="193"/>
      <c r="BA116" s="193"/>
      <c r="BB116" s="8"/>
      <c r="BC116" s="140"/>
      <c r="BD116" s="11" t="s">
        <v>5568</v>
      </c>
      <c r="BE116" s="336" t="s">
        <v>5547</v>
      </c>
    </row>
    <row r="117" spans="1:57" ht="12.95" customHeight="1">
      <c r="A117" s="247" t="s">
        <v>5497</v>
      </c>
      <c r="B117" s="251">
        <v>101</v>
      </c>
      <c r="C117" s="239" t="s">
        <v>279</v>
      </c>
      <c r="D117" s="239" t="s">
        <v>2860</v>
      </c>
      <c r="E117" s="58"/>
      <c r="F117" s="59" t="s">
        <v>560</v>
      </c>
      <c r="G117" s="191" t="s">
        <v>2861</v>
      </c>
      <c r="H117" s="192" t="s">
        <v>927</v>
      </c>
      <c r="I117" s="61" t="s">
        <v>2511</v>
      </c>
      <c r="J117" s="61" t="s">
        <v>2511</v>
      </c>
      <c r="K117" s="62" t="s">
        <v>2511</v>
      </c>
      <c r="L117" s="60" t="s">
        <v>2389</v>
      </c>
      <c r="M117" s="61" t="s">
        <v>2523</v>
      </c>
      <c r="N117" s="61" t="s">
        <v>2511</v>
      </c>
      <c r="O117" s="61" t="s">
        <v>2511</v>
      </c>
      <c r="P117" s="62" t="s">
        <v>2511</v>
      </c>
      <c r="Q117" s="57" t="s">
        <v>183</v>
      </c>
      <c r="R117" s="63" t="s">
        <v>126</v>
      </c>
      <c r="S117" s="63" t="s">
        <v>112</v>
      </c>
      <c r="T117" s="63" t="s">
        <v>113</v>
      </c>
      <c r="U117" s="64" t="s">
        <v>126</v>
      </c>
      <c r="V117" s="63" t="s">
        <v>2862</v>
      </c>
      <c r="W117" s="57" t="s">
        <v>2846</v>
      </c>
      <c r="X117" s="126" t="s">
        <v>2511</v>
      </c>
      <c r="Y117" s="126" t="s">
        <v>2511</v>
      </c>
      <c r="Z117" s="57" t="s">
        <v>2817</v>
      </c>
      <c r="AA117" s="57" t="s">
        <v>2859</v>
      </c>
      <c r="AB117" s="57" t="s">
        <v>2393</v>
      </c>
      <c r="AC117" s="57" t="s">
        <v>2516</v>
      </c>
      <c r="AD117" s="65" t="str">
        <f t="shared" si="24"/>
        <v>UARTB</v>
      </c>
      <c r="AE117" s="70"/>
      <c r="AF117" s="67" t="str">
        <f t="shared" si="25"/>
        <v>NORMAL</v>
      </c>
      <c r="AG117" s="67" t="str">
        <f t="shared" si="26"/>
        <v>TRISTATE</v>
      </c>
      <c r="AH117" s="67" t="str">
        <f t="shared" si="27"/>
        <v>ENABLE</v>
      </c>
      <c r="AI117" s="71" t="str">
        <f t="shared" si="28"/>
        <v>N/A</v>
      </c>
      <c r="AJ117" s="189" t="b">
        <v>1</v>
      </c>
      <c r="AK117" s="189" t="b">
        <v>1</v>
      </c>
      <c r="AL117" s="189" t="b">
        <v>1</v>
      </c>
      <c r="AM117" s="189" t="b">
        <v>1</v>
      </c>
      <c r="AN117" s="189" t="b">
        <v>1</v>
      </c>
      <c r="AO117" s="189" t="b">
        <v>1</v>
      </c>
      <c r="AP117" s="69" t="str">
        <f t="shared" si="29"/>
        <v>VALID</v>
      </c>
      <c r="AQ117" s="166" t="s">
        <v>927</v>
      </c>
      <c r="AR117" s="194" t="s">
        <v>862</v>
      </c>
      <c r="AS117" s="193"/>
      <c r="AT117" s="72"/>
      <c r="AU117" s="140"/>
      <c r="AV117" s="140"/>
      <c r="AW117" s="188" t="s">
        <v>136</v>
      </c>
      <c r="AX117" s="188" t="s">
        <v>136</v>
      </c>
      <c r="AY117" s="72"/>
      <c r="AZ117" s="193"/>
      <c r="BA117" s="193"/>
      <c r="BB117" s="8"/>
      <c r="BC117" s="140"/>
      <c r="BD117" s="11" t="s">
        <v>5569</v>
      </c>
      <c r="BE117" s="337"/>
    </row>
    <row r="118" spans="1:57" ht="12.95" customHeight="1">
      <c r="A118" s="247" t="s">
        <v>5498</v>
      </c>
      <c r="B118" s="251">
        <v>103</v>
      </c>
      <c r="C118" s="239" t="s">
        <v>263</v>
      </c>
      <c r="D118" s="239" t="s">
        <v>2863</v>
      </c>
      <c r="E118" s="58"/>
      <c r="F118" s="59" t="s">
        <v>493</v>
      </c>
      <c r="G118" s="191" t="s">
        <v>2864</v>
      </c>
      <c r="H118" s="192" t="s">
        <v>2168</v>
      </c>
      <c r="I118" s="61" t="s">
        <v>2511</v>
      </c>
      <c r="J118" s="61" t="s">
        <v>2511</v>
      </c>
      <c r="K118" s="62" t="s">
        <v>2511</v>
      </c>
      <c r="L118" s="60" t="s">
        <v>2389</v>
      </c>
      <c r="M118" s="61" t="s">
        <v>2388</v>
      </c>
      <c r="N118" s="61" t="s">
        <v>2511</v>
      </c>
      <c r="O118" s="61" t="s">
        <v>2511</v>
      </c>
      <c r="P118" s="62" t="s">
        <v>2511</v>
      </c>
      <c r="Q118" s="57" t="s">
        <v>183</v>
      </c>
      <c r="R118" s="63" t="s">
        <v>126</v>
      </c>
      <c r="S118" s="63" t="s">
        <v>112</v>
      </c>
      <c r="T118" s="63" t="s">
        <v>113</v>
      </c>
      <c r="U118" s="64" t="s">
        <v>126</v>
      </c>
      <c r="V118" s="63" t="s">
        <v>2865</v>
      </c>
      <c r="W118" s="57" t="s">
        <v>2846</v>
      </c>
      <c r="X118" s="126" t="s">
        <v>2511</v>
      </c>
      <c r="Y118" s="126" t="s">
        <v>2866</v>
      </c>
      <c r="Z118" s="57" t="s">
        <v>2514</v>
      </c>
      <c r="AA118" s="57" t="s">
        <v>2515</v>
      </c>
      <c r="AB118" s="57" t="s">
        <v>2393</v>
      </c>
      <c r="AC118" s="57" t="s">
        <v>2516</v>
      </c>
      <c r="AD118" s="65" t="str">
        <f t="shared" si="24"/>
        <v>UARTB</v>
      </c>
      <c r="AE118" s="70"/>
      <c r="AF118" s="67" t="str">
        <f t="shared" si="25"/>
        <v>PULL_UP</v>
      </c>
      <c r="AG118" s="67" t="str">
        <f t="shared" si="26"/>
        <v>NORMAL</v>
      </c>
      <c r="AH118" s="67" t="str">
        <f t="shared" si="27"/>
        <v>DISABLE</v>
      </c>
      <c r="AI118" s="71" t="str">
        <f t="shared" si="28"/>
        <v>N/A</v>
      </c>
      <c r="AJ118" s="189" t="b">
        <v>1</v>
      </c>
      <c r="AK118" s="189" t="b">
        <v>1</v>
      </c>
      <c r="AL118" s="189" t="b">
        <v>1</v>
      </c>
      <c r="AM118" s="189" t="b">
        <v>1</v>
      </c>
      <c r="AN118" s="189" t="b">
        <v>1</v>
      </c>
      <c r="AO118" s="189" t="b">
        <v>1</v>
      </c>
      <c r="AP118" s="69" t="str">
        <f t="shared" si="29"/>
        <v>VALID</v>
      </c>
      <c r="AQ118" s="166" t="s">
        <v>2168</v>
      </c>
      <c r="AR118" s="194" t="s">
        <v>861</v>
      </c>
      <c r="AS118" s="193" t="s">
        <v>873</v>
      </c>
      <c r="AT118" s="72"/>
      <c r="AU118" s="140"/>
      <c r="AV118" s="140"/>
      <c r="AW118" s="72"/>
      <c r="AX118" s="188" t="s">
        <v>136</v>
      </c>
      <c r="AY118" s="72"/>
      <c r="AZ118" s="193"/>
      <c r="BA118" s="193"/>
      <c r="BB118" s="8"/>
      <c r="BC118" s="140"/>
      <c r="BD118" s="11" t="s">
        <v>5498</v>
      </c>
      <c r="BE118" s="337"/>
    </row>
    <row r="119" spans="1:57" ht="12.95" customHeight="1">
      <c r="A119" s="247" t="s">
        <v>5499</v>
      </c>
      <c r="B119" s="251">
        <v>105</v>
      </c>
      <c r="C119" s="239" t="s">
        <v>262</v>
      </c>
      <c r="D119" s="239" t="s">
        <v>2867</v>
      </c>
      <c r="E119" s="58"/>
      <c r="F119" s="59" t="s">
        <v>494</v>
      </c>
      <c r="G119" s="191" t="s">
        <v>2868</v>
      </c>
      <c r="H119" s="192" t="s">
        <v>2169</v>
      </c>
      <c r="I119" s="61" t="s">
        <v>2511</v>
      </c>
      <c r="J119" s="61" t="s">
        <v>2511</v>
      </c>
      <c r="K119" s="62" t="s">
        <v>2511</v>
      </c>
      <c r="L119" s="60" t="s">
        <v>2389</v>
      </c>
      <c r="M119" s="61" t="s">
        <v>2523</v>
      </c>
      <c r="N119" s="61" t="s">
        <v>2511</v>
      </c>
      <c r="O119" s="61" t="s">
        <v>2511</v>
      </c>
      <c r="P119" s="62" t="s">
        <v>2511</v>
      </c>
      <c r="Q119" s="57" t="s">
        <v>183</v>
      </c>
      <c r="R119" s="63" t="s">
        <v>126</v>
      </c>
      <c r="S119" s="63" t="s">
        <v>112</v>
      </c>
      <c r="T119" s="63" t="s">
        <v>113</v>
      </c>
      <c r="U119" s="64" t="s">
        <v>126</v>
      </c>
      <c r="V119" s="63" t="s">
        <v>2869</v>
      </c>
      <c r="W119" s="57" t="s">
        <v>2846</v>
      </c>
      <c r="X119" s="126" t="s">
        <v>2870</v>
      </c>
      <c r="Y119" s="126" t="s">
        <v>2511</v>
      </c>
      <c r="Z119" s="57" t="s">
        <v>2514</v>
      </c>
      <c r="AA119" s="57" t="s">
        <v>2753</v>
      </c>
      <c r="AB119" s="57" t="s">
        <v>2393</v>
      </c>
      <c r="AC119" s="57" t="s">
        <v>2548</v>
      </c>
      <c r="AD119" s="65" t="str">
        <f t="shared" si="24"/>
        <v>UARTB</v>
      </c>
      <c r="AE119" s="70"/>
      <c r="AF119" s="67" t="str">
        <f t="shared" si="25"/>
        <v>PULL_UP</v>
      </c>
      <c r="AG119" s="67" t="str">
        <f t="shared" si="26"/>
        <v>TRISTATE</v>
      </c>
      <c r="AH119" s="67" t="str">
        <f t="shared" si="27"/>
        <v>ENABLE</v>
      </c>
      <c r="AI119" s="71" t="str">
        <f t="shared" si="28"/>
        <v>N/A</v>
      </c>
      <c r="AJ119" s="189" t="b">
        <v>1</v>
      </c>
      <c r="AK119" s="189" t="b">
        <v>1</v>
      </c>
      <c r="AL119" s="189" t="b">
        <v>1</v>
      </c>
      <c r="AM119" s="189" t="b">
        <v>1</v>
      </c>
      <c r="AN119" s="189" t="b">
        <v>1</v>
      </c>
      <c r="AO119" s="189" t="b">
        <v>1</v>
      </c>
      <c r="AP119" s="69" t="str">
        <f t="shared" si="29"/>
        <v>VALID</v>
      </c>
      <c r="AQ119" s="166" t="s">
        <v>2169</v>
      </c>
      <c r="AR119" s="194" t="s">
        <v>862</v>
      </c>
      <c r="AS119" s="193" t="s">
        <v>873</v>
      </c>
      <c r="AT119" s="193" t="s">
        <v>117</v>
      </c>
      <c r="AU119" s="140"/>
      <c r="AV119" s="140"/>
      <c r="AW119" s="72"/>
      <c r="AX119" s="188" t="s">
        <v>136</v>
      </c>
      <c r="AY119" s="72"/>
      <c r="AZ119" s="193"/>
      <c r="BA119" s="193"/>
      <c r="BB119" s="8"/>
      <c r="BC119" s="140"/>
      <c r="BD119" s="11" t="s">
        <v>5499</v>
      </c>
      <c r="BE119" s="338"/>
    </row>
    <row r="120" spans="1:57" ht="12.95" customHeight="1">
      <c r="A120" s="320" t="s">
        <v>934</v>
      </c>
      <c r="B120" s="251">
        <v>106</v>
      </c>
      <c r="C120" s="239" t="s">
        <v>928</v>
      </c>
      <c r="D120" s="239" t="s">
        <v>2871</v>
      </c>
      <c r="E120" s="58"/>
      <c r="F120" s="59" t="s">
        <v>1818</v>
      </c>
      <c r="G120" s="191" t="s">
        <v>2503</v>
      </c>
      <c r="H120" s="192" t="s">
        <v>928</v>
      </c>
      <c r="I120" s="61" t="s">
        <v>2511</v>
      </c>
      <c r="J120" s="61" t="s">
        <v>2511</v>
      </c>
      <c r="K120" s="62" t="s">
        <v>2511</v>
      </c>
      <c r="L120" s="60" t="s">
        <v>2389</v>
      </c>
      <c r="M120" s="61" t="s">
        <v>2389</v>
      </c>
      <c r="N120" s="61" t="s">
        <v>2511</v>
      </c>
      <c r="O120" s="61" t="s">
        <v>2511</v>
      </c>
      <c r="P120" s="62" t="s">
        <v>2511</v>
      </c>
      <c r="Q120" s="57" t="s">
        <v>131</v>
      </c>
      <c r="R120" s="63" t="s">
        <v>126</v>
      </c>
      <c r="S120" s="63" t="s">
        <v>112</v>
      </c>
      <c r="T120" s="63" t="s">
        <v>113</v>
      </c>
      <c r="U120" s="64" t="s">
        <v>126</v>
      </c>
      <c r="V120" s="63" t="s">
        <v>2872</v>
      </c>
      <c r="W120" s="57" t="s">
        <v>2846</v>
      </c>
      <c r="X120" s="126" t="s">
        <v>2873</v>
      </c>
      <c r="Y120" s="126" t="s">
        <v>2511</v>
      </c>
      <c r="Z120" s="57" t="s">
        <v>2817</v>
      </c>
      <c r="AA120" s="57" t="s">
        <v>2818</v>
      </c>
      <c r="AB120" s="57" t="s">
        <v>2393</v>
      </c>
      <c r="AC120" s="57" t="s">
        <v>2516</v>
      </c>
      <c r="AD120" s="65" t="str">
        <f t="shared" si="24"/>
        <v>SPI3</v>
      </c>
      <c r="AE120" s="70"/>
      <c r="AF120" s="67" t="str">
        <f t="shared" si="25"/>
        <v>PULL_DOWN</v>
      </c>
      <c r="AG120" s="67" t="str">
        <f t="shared" si="26"/>
        <v>NORMAL</v>
      </c>
      <c r="AH120" s="67" t="str">
        <f t="shared" si="27"/>
        <v>DISABLE</v>
      </c>
      <c r="AI120" s="71" t="str">
        <f t="shared" si="28"/>
        <v>N/A</v>
      </c>
      <c r="AJ120" s="189" t="b">
        <v>1</v>
      </c>
      <c r="AK120" s="189" t="b">
        <v>1</v>
      </c>
      <c r="AL120" s="189" t="b">
        <v>1</v>
      </c>
      <c r="AM120" s="189" t="b">
        <v>1</v>
      </c>
      <c r="AN120" s="189" t="b">
        <v>1</v>
      </c>
      <c r="AO120" s="189" t="b">
        <v>1</v>
      </c>
      <c r="AP120" s="69" t="str">
        <f t="shared" si="29"/>
        <v>VALID</v>
      </c>
      <c r="AQ120" s="166" t="s">
        <v>928</v>
      </c>
      <c r="AR120" s="194" t="s">
        <v>861</v>
      </c>
      <c r="AS120" s="193" t="s">
        <v>875</v>
      </c>
      <c r="AT120" s="193" t="s">
        <v>117</v>
      </c>
      <c r="AU120" s="140"/>
      <c r="AV120" s="193" t="s">
        <v>900</v>
      </c>
      <c r="AW120" s="188" t="s">
        <v>136</v>
      </c>
      <c r="AX120" s="188" t="s">
        <v>136</v>
      </c>
      <c r="AY120" s="72"/>
      <c r="AZ120" s="193"/>
      <c r="BA120" s="193"/>
      <c r="BB120" s="8"/>
      <c r="BC120" s="140"/>
      <c r="BD120" s="11" t="s">
        <v>934</v>
      </c>
      <c r="BE120" s="336" t="s">
        <v>5548</v>
      </c>
    </row>
    <row r="121" spans="1:57" ht="12.95" customHeight="1">
      <c r="A121" s="320" t="s">
        <v>1004</v>
      </c>
      <c r="B121" s="251">
        <v>108</v>
      </c>
      <c r="C121" s="239" t="s">
        <v>1001</v>
      </c>
      <c r="D121" s="239" t="s">
        <v>2874</v>
      </c>
      <c r="E121" s="58"/>
      <c r="F121" s="59" t="s">
        <v>1819</v>
      </c>
      <c r="G121" s="191" t="s">
        <v>2473</v>
      </c>
      <c r="H121" s="192" t="s">
        <v>929</v>
      </c>
      <c r="I121" s="61" t="s">
        <v>2511</v>
      </c>
      <c r="J121" s="61" t="s">
        <v>2511</v>
      </c>
      <c r="K121" s="62" t="s">
        <v>2511</v>
      </c>
      <c r="L121" s="60" t="s">
        <v>2389</v>
      </c>
      <c r="M121" s="61" t="s">
        <v>2389</v>
      </c>
      <c r="N121" s="61" t="s">
        <v>2511</v>
      </c>
      <c r="O121" s="61" t="s">
        <v>2511</v>
      </c>
      <c r="P121" s="62" t="s">
        <v>2511</v>
      </c>
      <c r="Q121" s="57" t="s">
        <v>131</v>
      </c>
      <c r="R121" s="63" t="s">
        <v>126</v>
      </c>
      <c r="S121" s="63" t="s">
        <v>112</v>
      </c>
      <c r="T121" s="63" t="s">
        <v>113</v>
      </c>
      <c r="U121" s="64" t="s">
        <v>126</v>
      </c>
      <c r="V121" s="63" t="s">
        <v>2875</v>
      </c>
      <c r="W121" s="57" t="s">
        <v>2846</v>
      </c>
      <c r="X121" s="126" t="s">
        <v>2511</v>
      </c>
      <c r="Y121" s="126" t="s">
        <v>2511</v>
      </c>
      <c r="Z121" s="57" t="s">
        <v>2817</v>
      </c>
      <c r="AA121" s="57" t="s">
        <v>2859</v>
      </c>
      <c r="AB121" s="57" t="s">
        <v>2393</v>
      </c>
      <c r="AC121" s="57" t="s">
        <v>2516</v>
      </c>
      <c r="AD121" s="65" t="str">
        <f t="shared" si="24"/>
        <v>SPI3</v>
      </c>
      <c r="AE121" s="70"/>
      <c r="AF121" s="67" t="str">
        <f t="shared" si="25"/>
        <v>PULL_DOWN</v>
      </c>
      <c r="AG121" s="67" t="str">
        <f t="shared" si="26"/>
        <v>TRISTATE</v>
      </c>
      <c r="AH121" s="67" t="str">
        <f t="shared" si="27"/>
        <v>ENABLE</v>
      </c>
      <c r="AI121" s="71" t="str">
        <f t="shared" si="28"/>
        <v>N/A</v>
      </c>
      <c r="AJ121" s="189" t="b">
        <v>1</v>
      </c>
      <c r="AK121" s="189" t="b">
        <v>1</v>
      </c>
      <c r="AL121" s="189" t="b">
        <v>1</v>
      </c>
      <c r="AM121" s="189" t="b">
        <v>1</v>
      </c>
      <c r="AN121" s="189" t="b">
        <v>1</v>
      </c>
      <c r="AO121" s="189" t="b">
        <v>1</v>
      </c>
      <c r="AP121" s="69" t="str">
        <f t="shared" si="29"/>
        <v>VALID</v>
      </c>
      <c r="AQ121" s="166" t="s">
        <v>929</v>
      </c>
      <c r="AR121" s="194" t="s">
        <v>862</v>
      </c>
      <c r="AS121" s="193" t="s">
        <v>875</v>
      </c>
      <c r="AT121" s="72"/>
      <c r="AU121" s="140"/>
      <c r="AV121" s="193" t="s">
        <v>900</v>
      </c>
      <c r="AW121" s="188" t="s">
        <v>136</v>
      </c>
      <c r="AX121" s="188" t="s">
        <v>136</v>
      </c>
      <c r="AY121" s="72"/>
      <c r="AZ121" s="193"/>
      <c r="BA121" s="193"/>
      <c r="BB121" s="8"/>
      <c r="BC121" s="140"/>
      <c r="BD121" s="11" t="s">
        <v>1004</v>
      </c>
      <c r="BE121" s="337"/>
    </row>
    <row r="122" spans="1:57" ht="12.95" customHeight="1">
      <c r="A122" s="320" t="s">
        <v>1005</v>
      </c>
      <c r="B122" s="251">
        <v>104</v>
      </c>
      <c r="C122" s="239" t="s">
        <v>1002</v>
      </c>
      <c r="D122" s="239" t="s">
        <v>2876</v>
      </c>
      <c r="E122" s="58"/>
      <c r="F122" s="59" t="s">
        <v>1820</v>
      </c>
      <c r="G122" s="191" t="s">
        <v>2474</v>
      </c>
      <c r="H122" s="192" t="s">
        <v>931</v>
      </c>
      <c r="I122" s="61" t="s">
        <v>2511</v>
      </c>
      <c r="J122" s="61" t="s">
        <v>2511</v>
      </c>
      <c r="K122" s="62" t="s">
        <v>2511</v>
      </c>
      <c r="L122" s="60" t="s">
        <v>2389</v>
      </c>
      <c r="M122" s="61" t="s">
        <v>2389</v>
      </c>
      <c r="N122" s="61" t="s">
        <v>2511</v>
      </c>
      <c r="O122" s="61" t="s">
        <v>2511</v>
      </c>
      <c r="P122" s="62" t="s">
        <v>2511</v>
      </c>
      <c r="Q122" s="57" t="s">
        <v>131</v>
      </c>
      <c r="R122" s="63" t="s">
        <v>126</v>
      </c>
      <c r="S122" s="63" t="s">
        <v>112</v>
      </c>
      <c r="T122" s="63" t="s">
        <v>113</v>
      </c>
      <c r="U122" s="64" t="s">
        <v>126</v>
      </c>
      <c r="V122" s="63" t="s">
        <v>2877</v>
      </c>
      <c r="W122" s="57" t="s">
        <v>2846</v>
      </c>
      <c r="X122" s="126" t="s">
        <v>2511</v>
      </c>
      <c r="Y122" s="126" t="s">
        <v>2511</v>
      </c>
      <c r="Z122" s="57" t="s">
        <v>2817</v>
      </c>
      <c r="AA122" s="57" t="s">
        <v>2859</v>
      </c>
      <c r="AB122" s="57" t="s">
        <v>2393</v>
      </c>
      <c r="AC122" s="57" t="s">
        <v>2516</v>
      </c>
      <c r="AD122" s="65" t="str">
        <f t="shared" si="24"/>
        <v>SPI3</v>
      </c>
      <c r="AE122" s="70"/>
      <c r="AF122" s="67" t="str">
        <f t="shared" si="25"/>
        <v>PULL_DOWN</v>
      </c>
      <c r="AG122" s="67" t="str">
        <f t="shared" si="26"/>
        <v>NORMAL</v>
      </c>
      <c r="AH122" s="67" t="str">
        <f t="shared" si="27"/>
        <v>DISABLE</v>
      </c>
      <c r="AI122" s="71" t="str">
        <f t="shared" si="28"/>
        <v>N/A</v>
      </c>
      <c r="AJ122" s="189" t="b">
        <v>1</v>
      </c>
      <c r="AK122" s="189" t="b">
        <v>1</v>
      </c>
      <c r="AL122" s="189" t="b">
        <v>1</v>
      </c>
      <c r="AM122" s="189" t="b">
        <v>1</v>
      </c>
      <c r="AN122" s="189" t="b">
        <v>1</v>
      </c>
      <c r="AO122" s="189" t="b">
        <v>1</v>
      </c>
      <c r="AP122" s="69" t="str">
        <f t="shared" si="29"/>
        <v>VALID</v>
      </c>
      <c r="AQ122" s="169" t="s">
        <v>931</v>
      </c>
      <c r="AR122" s="170" t="s">
        <v>861</v>
      </c>
      <c r="AS122" s="9" t="s">
        <v>875</v>
      </c>
      <c r="AT122" s="72"/>
      <c r="AU122" s="140"/>
      <c r="AV122" s="193" t="s">
        <v>900</v>
      </c>
      <c r="AW122" s="188" t="s">
        <v>136</v>
      </c>
      <c r="AX122" s="188" t="s">
        <v>136</v>
      </c>
      <c r="AY122" s="72"/>
      <c r="AZ122" s="9"/>
      <c r="BA122" s="9"/>
      <c r="BB122" s="14"/>
      <c r="BC122" s="141"/>
      <c r="BD122" s="12" t="s">
        <v>1005</v>
      </c>
      <c r="BE122" s="337"/>
    </row>
    <row r="123" spans="1:57" ht="12.95" customHeight="1">
      <c r="A123" s="320" t="s">
        <v>5677</v>
      </c>
      <c r="B123" s="251">
        <v>110</v>
      </c>
      <c r="C123" s="239" t="s">
        <v>930</v>
      </c>
      <c r="D123" s="239" t="s">
        <v>2878</v>
      </c>
      <c r="E123" s="58"/>
      <c r="F123" s="59" t="s">
        <v>1821</v>
      </c>
      <c r="G123" s="191" t="s">
        <v>2504</v>
      </c>
      <c r="H123" s="192" t="s">
        <v>930</v>
      </c>
      <c r="I123" s="61" t="s">
        <v>2511</v>
      </c>
      <c r="J123" s="61" t="s">
        <v>2511</v>
      </c>
      <c r="K123" s="62" t="s">
        <v>2511</v>
      </c>
      <c r="L123" s="60" t="s">
        <v>2389</v>
      </c>
      <c r="M123" s="61" t="s">
        <v>2389</v>
      </c>
      <c r="N123" s="61" t="s">
        <v>2511</v>
      </c>
      <c r="O123" s="61" t="s">
        <v>2511</v>
      </c>
      <c r="P123" s="62" t="s">
        <v>2511</v>
      </c>
      <c r="Q123" s="57" t="s">
        <v>131</v>
      </c>
      <c r="R123" s="63" t="s">
        <v>126</v>
      </c>
      <c r="S123" s="63" t="s">
        <v>112</v>
      </c>
      <c r="T123" s="63" t="s">
        <v>113</v>
      </c>
      <c r="U123" s="64" t="s">
        <v>126</v>
      </c>
      <c r="V123" s="63" t="s">
        <v>2879</v>
      </c>
      <c r="W123" s="57" t="s">
        <v>2846</v>
      </c>
      <c r="X123" s="126" t="s">
        <v>2880</v>
      </c>
      <c r="Y123" s="126" t="s">
        <v>2511</v>
      </c>
      <c r="Z123" s="57" t="s">
        <v>2817</v>
      </c>
      <c r="AA123" s="57" t="s">
        <v>2818</v>
      </c>
      <c r="AB123" s="57" t="s">
        <v>2393</v>
      </c>
      <c r="AC123" s="57" t="s">
        <v>2631</v>
      </c>
      <c r="AD123" s="65" t="str">
        <f t="shared" si="24"/>
        <v>SPI3</v>
      </c>
      <c r="AE123" s="70"/>
      <c r="AF123" s="67" t="str">
        <f t="shared" si="25"/>
        <v>PULL_DOWN</v>
      </c>
      <c r="AG123" s="67" t="str">
        <f t="shared" si="26"/>
        <v>NORMAL</v>
      </c>
      <c r="AH123" s="67" t="str">
        <f t="shared" si="27"/>
        <v>DISABLE</v>
      </c>
      <c r="AI123" s="71" t="str">
        <f t="shared" si="28"/>
        <v>N/A</v>
      </c>
      <c r="AJ123" s="189" t="b">
        <v>1</v>
      </c>
      <c r="AK123" s="189" t="b">
        <v>1</v>
      </c>
      <c r="AL123" s="189" t="b">
        <v>1</v>
      </c>
      <c r="AM123" s="189" t="b">
        <v>1</v>
      </c>
      <c r="AN123" s="189" t="b">
        <v>1</v>
      </c>
      <c r="AO123" s="189" t="b">
        <v>1</v>
      </c>
      <c r="AP123" s="69" t="str">
        <f t="shared" si="29"/>
        <v>VALID</v>
      </c>
      <c r="AQ123" s="169" t="s">
        <v>930</v>
      </c>
      <c r="AR123" s="170" t="s">
        <v>861</v>
      </c>
      <c r="AS123" s="9" t="s">
        <v>875</v>
      </c>
      <c r="AT123" s="193" t="s">
        <v>117</v>
      </c>
      <c r="AU123" s="140"/>
      <c r="AV123" s="193" t="s">
        <v>900</v>
      </c>
      <c r="AW123" s="188" t="s">
        <v>136</v>
      </c>
      <c r="AX123" s="188" t="s">
        <v>136</v>
      </c>
      <c r="AY123" s="72"/>
      <c r="AZ123" s="9"/>
      <c r="BA123" s="9"/>
      <c r="BB123" s="14"/>
      <c r="BC123" s="141"/>
      <c r="BD123" s="12" t="s">
        <v>937</v>
      </c>
      <c r="BE123" s="337"/>
    </row>
    <row r="124" spans="1:57" ht="12.95" customHeight="1">
      <c r="A124" s="320" t="s">
        <v>5678</v>
      </c>
      <c r="B124" s="251">
        <v>112</v>
      </c>
      <c r="C124" s="239" t="s">
        <v>1003</v>
      </c>
      <c r="D124" s="239" t="s">
        <v>2881</v>
      </c>
      <c r="E124" s="58"/>
      <c r="F124" s="59" t="s">
        <v>1822</v>
      </c>
      <c r="G124" s="191" t="s">
        <v>2505</v>
      </c>
      <c r="H124" s="192" t="s">
        <v>1003</v>
      </c>
      <c r="I124" s="61" t="s">
        <v>2511</v>
      </c>
      <c r="J124" s="61" t="s">
        <v>2511</v>
      </c>
      <c r="K124" s="62" t="s">
        <v>2511</v>
      </c>
      <c r="L124" s="60" t="s">
        <v>2389</v>
      </c>
      <c r="M124" s="61" t="s">
        <v>2389</v>
      </c>
      <c r="N124" s="61" t="s">
        <v>2511</v>
      </c>
      <c r="O124" s="61" t="s">
        <v>2511</v>
      </c>
      <c r="P124" s="62" t="s">
        <v>2511</v>
      </c>
      <c r="Q124" s="57" t="s">
        <v>131</v>
      </c>
      <c r="R124" s="63" t="s">
        <v>126</v>
      </c>
      <c r="S124" s="63" t="s">
        <v>112</v>
      </c>
      <c r="T124" s="63" t="s">
        <v>113</v>
      </c>
      <c r="U124" s="64" t="s">
        <v>126</v>
      </c>
      <c r="V124" s="63" t="s">
        <v>2882</v>
      </c>
      <c r="W124" s="57" t="s">
        <v>2846</v>
      </c>
      <c r="X124" s="126" t="s">
        <v>2883</v>
      </c>
      <c r="Y124" s="126" t="s">
        <v>2511</v>
      </c>
      <c r="Z124" s="57" t="s">
        <v>2817</v>
      </c>
      <c r="AA124" s="57" t="s">
        <v>2818</v>
      </c>
      <c r="AB124" s="57" t="s">
        <v>2393</v>
      </c>
      <c r="AC124" s="57" t="s">
        <v>2631</v>
      </c>
      <c r="AD124" s="65" t="str">
        <f t="shared" si="24"/>
        <v>SPI3</v>
      </c>
      <c r="AE124" s="70"/>
      <c r="AF124" s="67" t="str">
        <f t="shared" si="25"/>
        <v>PULL_DOWN</v>
      </c>
      <c r="AG124" s="67" t="str">
        <f t="shared" si="26"/>
        <v>NORMAL</v>
      </c>
      <c r="AH124" s="67" t="str">
        <f t="shared" si="27"/>
        <v>DISABLE</v>
      </c>
      <c r="AI124" s="71" t="str">
        <f t="shared" si="28"/>
        <v>N/A</v>
      </c>
      <c r="AJ124" s="189" t="b">
        <v>1</v>
      </c>
      <c r="AK124" s="189" t="b">
        <v>1</v>
      </c>
      <c r="AL124" s="189" t="b">
        <v>1</v>
      </c>
      <c r="AM124" s="189" t="b">
        <v>1</v>
      </c>
      <c r="AN124" s="189" t="b">
        <v>1</v>
      </c>
      <c r="AO124" s="189" t="b">
        <v>1</v>
      </c>
      <c r="AP124" s="69" t="str">
        <f t="shared" si="29"/>
        <v>VALID</v>
      </c>
      <c r="AQ124" s="169" t="s">
        <v>1003</v>
      </c>
      <c r="AR124" s="170" t="s">
        <v>861</v>
      </c>
      <c r="AS124" s="9" t="s">
        <v>875</v>
      </c>
      <c r="AT124" s="9" t="s">
        <v>117</v>
      </c>
      <c r="AU124" s="141"/>
      <c r="AV124" s="193" t="s">
        <v>900</v>
      </c>
      <c r="AW124" s="188" t="s">
        <v>136</v>
      </c>
      <c r="AX124" s="188" t="s">
        <v>136</v>
      </c>
      <c r="AY124" s="10"/>
      <c r="AZ124" s="9"/>
      <c r="BA124" s="9"/>
      <c r="BB124" s="14"/>
      <c r="BC124" s="141"/>
      <c r="BD124" s="12" t="s">
        <v>932</v>
      </c>
      <c r="BE124" s="338"/>
    </row>
    <row r="125" spans="1:57" ht="12.95" hidden="1" customHeight="1">
      <c r="A125" s="248" t="e">
        <v>#N/A</v>
      </c>
      <c r="B125" s="252" t="e">
        <v>#N/A</v>
      </c>
      <c r="C125" s="263" t="s">
        <v>736</v>
      </c>
      <c r="D125" s="239" t="s">
        <v>2884</v>
      </c>
      <c r="E125" s="58"/>
      <c r="F125" s="59" t="s">
        <v>795</v>
      </c>
      <c r="G125" s="191" t="s">
        <v>2394</v>
      </c>
      <c r="H125" s="192" t="s">
        <v>2170</v>
      </c>
      <c r="I125" s="61" t="s">
        <v>2511</v>
      </c>
      <c r="J125" s="61" t="s">
        <v>2511</v>
      </c>
      <c r="K125" s="62" t="s">
        <v>2511</v>
      </c>
      <c r="L125" s="60" t="s">
        <v>2389</v>
      </c>
      <c r="M125" s="61" t="s">
        <v>2388</v>
      </c>
      <c r="N125" s="61" t="s">
        <v>2511</v>
      </c>
      <c r="O125" s="61" t="s">
        <v>2511</v>
      </c>
      <c r="P125" s="62" t="s">
        <v>2511</v>
      </c>
      <c r="Q125" s="57" t="s">
        <v>843</v>
      </c>
      <c r="R125" s="63" t="s">
        <v>126</v>
      </c>
      <c r="S125" s="63" t="s">
        <v>112</v>
      </c>
      <c r="T125" s="63" t="s">
        <v>113</v>
      </c>
      <c r="U125" s="64" t="s">
        <v>126</v>
      </c>
      <c r="V125" s="63" t="s">
        <v>2885</v>
      </c>
      <c r="W125" s="57" t="s">
        <v>2846</v>
      </c>
      <c r="X125" s="126" t="s">
        <v>2511</v>
      </c>
      <c r="Y125" s="126" t="s">
        <v>2886</v>
      </c>
      <c r="Z125" s="57" t="s">
        <v>2514</v>
      </c>
      <c r="AA125" s="57" t="s">
        <v>2515</v>
      </c>
      <c r="AB125" s="57" t="s">
        <v>2393</v>
      </c>
      <c r="AC125" s="57" t="s">
        <v>2516</v>
      </c>
      <c r="AD125" s="65" t="str">
        <f t="shared" si="24"/>
        <v>GPIO_PY5</v>
      </c>
      <c r="AE125" s="70"/>
      <c r="AF125" s="67" t="str">
        <f t="shared" si="25"/>
        <v>NORMAL</v>
      </c>
      <c r="AG125" s="67" t="str">
        <f t="shared" si="26"/>
        <v>TRISTATE</v>
      </c>
      <c r="AH125" s="67" t="str">
        <f t="shared" si="27"/>
        <v>ENABLE</v>
      </c>
      <c r="AI125" s="71" t="str">
        <f t="shared" si="28"/>
        <v/>
      </c>
      <c r="AJ125" s="189" t="b">
        <v>1</v>
      </c>
      <c r="AK125" s="189" t="b">
        <v>1</v>
      </c>
      <c r="AL125" s="189" t="b">
        <v>1</v>
      </c>
      <c r="AM125" s="189" t="b">
        <v>1</v>
      </c>
      <c r="AN125" s="189" t="b">
        <v>1</v>
      </c>
      <c r="AO125" s="189" t="b">
        <v>1</v>
      </c>
      <c r="AP125" s="65" t="str">
        <f t="shared" si="29"/>
        <v>VALID</v>
      </c>
      <c r="AQ125" s="221" t="s">
        <v>2394</v>
      </c>
      <c r="AR125" s="194" t="s">
        <v>862</v>
      </c>
      <c r="AS125" s="193"/>
      <c r="AT125" s="72"/>
      <c r="AU125" s="140"/>
      <c r="AV125" s="140"/>
      <c r="AW125" s="72"/>
      <c r="AX125" s="188" t="s">
        <v>136</v>
      </c>
      <c r="AY125" s="72"/>
      <c r="AZ125" s="193"/>
      <c r="BA125" s="193"/>
      <c r="BB125" s="193"/>
      <c r="BC125" s="140"/>
      <c r="BD125" s="8" t="s">
        <v>736</v>
      </c>
      <c r="BE125" s="312" t="s">
        <v>5549</v>
      </c>
    </row>
    <row r="126" spans="1:57" ht="12.95" hidden="1" customHeight="1">
      <c r="A126" s="248" t="e">
        <v>#N/A</v>
      </c>
      <c r="B126" s="252" t="e">
        <v>#N/A</v>
      </c>
      <c r="C126" s="263" t="s">
        <v>737</v>
      </c>
      <c r="D126" s="239" t="s">
        <v>2887</v>
      </c>
      <c r="E126" s="58"/>
      <c r="F126" s="59" t="s">
        <v>796</v>
      </c>
      <c r="G126" s="191" t="s">
        <v>2888</v>
      </c>
      <c r="H126" s="192" t="s">
        <v>2171</v>
      </c>
      <c r="I126" s="61" t="s">
        <v>2511</v>
      </c>
      <c r="J126" s="61" t="s">
        <v>2511</v>
      </c>
      <c r="K126" s="62" t="s">
        <v>2511</v>
      </c>
      <c r="L126" s="60" t="s">
        <v>2389</v>
      </c>
      <c r="M126" s="61" t="s">
        <v>2523</v>
      </c>
      <c r="N126" s="61" t="s">
        <v>2511</v>
      </c>
      <c r="O126" s="61" t="s">
        <v>2511</v>
      </c>
      <c r="P126" s="62" t="s">
        <v>2511</v>
      </c>
      <c r="Q126" s="57" t="s">
        <v>843</v>
      </c>
      <c r="R126" s="63" t="s">
        <v>126</v>
      </c>
      <c r="S126" s="63" t="s">
        <v>112</v>
      </c>
      <c r="T126" s="63" t="s">
        <v>113</v>
      </c>
      <c r="U126" s="64" t="s">
        <v>126</v>
      </c>
      <c r="V126" s="63" t="s">
        <v>2889</v>
      </c>
      <c r="W126" s="57" t="s">
        <v>2846</v>
      </c>
      <c r="X126" s="126" t="s">
        <v>2511</v>
      </c>
      <c r="Y126" s="126" t="s">
        <v>2511</v>
      </c>
      <c r="Z126" s="57" t="s">
        <v>2514</v>
      </c>
      <c r="AA126" s="57" t="s">
        <v>2515</v>
      </c>
      <c r="AB126" s="57" t="s">
        <v>2393</v>
      </c>
      <c r="AC126" s="57" t="s">
        <v>2516</v>
      </c>
      <c r="AD126" s="65" t="str">
        <f t="shared" si="24"/>
        <v>RSVD1</v>
      </c>
      <c r="AE126" s="70"/>
      <c r="AF126" s="67" t="str">
        <f t="shared" si="25"/>
        <v>PULL_DOWN</v>
      </c>
      <c r="AG126" s="67" t="str">
        <f t="shared" si="26"/>
        <v>TRISTATE</v>
      </c>
      <c r="AH126" s="67" t="str">
        <f t="shared" si="27"/>
        <v>DISABLE</v>
      </c>
      <c r="AI126" s="71" t="str">
        <f t="shared" si="28"/>
        <v>N/A</v>
      </c>
      <c r="AJ126" s="189" t="b">
        <v>1</v>
      </c>
      <c r="AK126" s="189" t="b">
        <v>1</v>
      </c>
      <c r="AL126" s="189" t="b">
        <v>1</v>
      </c>
      <c r="AM126" s="189" t="b">
        <v>1</v>
      </c>
      <c r="AN126" s="189" t="b">
        <v>1</v>
      </c>
      <c r="AO126" s="189" t="b">
        <v>1</v>
      </c>
      <c r="AP126" s="69" t="str">
        <f t="shared" si="29"/>
        <v>VALID</v>
      </c>
      <c r="AQ126" s="220" t="s">
        <v>796</v>
      </c>
      <c r="AR126" s="179" t="s">
        <v>79</v>
      </c>
      <c r="AS126" s="180"/>
      <c r="AT126" s="22"/>
      <c r="AU126" s="181"/>
      <c r="AV126" s="181"/>
      <c r="AW126" s="22"/>
      <c r="AX126" s="188" t="s">
        <v>136</v>
      </c>
      <c r="AY126" s="22"/>
      <c r="AZ126" s="180"/>
      <c r="BA126" s="180"/>
      <c r="BB126" s="182" t="s">
        <v>114</v>
      </c>
      <c r="BC126" s="183"/>
      <c r="BD126" s="147" t="s">
        <v>83</v>
      </c>
      <c r="BE126" s="147" t="s">
        <v>83</v>
      </c>
    </row>
    <row r="127" spans="1:57" ht="12.95" hidden="1" customHeight="1">
      <c r="A127" s="248" t="e">
        <v>#N/A</v>
      </c>
      <c r="B127" s="252" t="e">
        <v>#N/A</v>
      </c>
      <c r="C127" s="263" t="s">
        <v>738</v>
      </c>
      <c r="D127" s="239" t="s">
        <v>2890</v>
      </c>
      <c r="E127" s="58"/>
      <c r="F127" s="59" t="s">
        <v>797</v>
      </c>
      <c r="G127" s="191" t="s">
        <v>2395</v>
      </c>
      <c r="H127" s="192" t="s">
        <v>2172</v>
      </c>
      <c r="I127" s="61" t="s">
        <v>2511</v>
      </c>
      <c r="J127" s="61" t="s">
        <v>2511</v>
      </c>
      <c r="K127" s="62" t="s">
        <v>2511</v>
      </c>
      <c r="L127" s="60" t="s">
        <v>2389</v>
      </c>
      <c r="M127" s="61" t="s">
        <v>2388</v>
      </c>
      <c r="N127" s="61" t="s">
        <v>2511</v>
      </c>
      <c r="O127" s="61" t="s">
        <v>2511</v>
      </c>
      <c r="P127" s="62" t="s">
        <v>2511</v>
      </c>
      <c r="Q127" s="57" t="s">
        <v>843</v>
      </c>
      <c r="R127" s="63" t="s">
        <v>126</v>
      </c>
      <c r="S127" s="63" t="s">
        <v>112</v>
      </c>
      <c r="T127" s="63" t="s">
        <v>113</v>
      </c>
      <c r="U127" s="64" t="s">
        <v>126</v>
      </c>
      <c r="V127" s="63" t="s">
        <v>2891</v>
      </c>
      <c r="W127" s="57" t="s">
        <v>2846</v>
      </c>
      <c r="X127" s="126" t="s">
        <v>2511</v>
      </c>
      <c r="Y127" s="126" t="s">
        <v>2892</v>
      </c>
      <c r="Z127" s="57" t="s">
        <v>2514</v>
      </c>
      <c r="AA127" s="57" t="s">
        <v>2515</v>
      </c>
      <c r="AB127" s="57" t="s">
        <v>2393</v>
      </c>
      <c r="AC127" s="57" t="s">
        <v>2516</v>
      </c>
      <c r="AD127" s="65" t="str">
        <f t="shared" si="24"/>
        <v>GPIO_PY7</v>
      </c>
      <c r="AE127" s="70"/>
      <c r="AF127" s="67" t="str">
        <f t="shared" si="25"/>
        <v>NORMAL</v>
      </c>
      <c r="AG127" s="67" t="str">
        <f t="shared" si="26"/>
        <v>TRISTATE</v>
      </c>
      <c r="AH127" s="67" t="str">
        <f t="shared" si="27"/>
        <v>ENABLE</v>
      </c>
      <c r="AI127" s="71" t="str">
        <f t="shared" si="28"/>
        <v/>
      </c>
      <c r="AJ127" s="189" t="b">
        <v>1</v>
      </c>
      <c r="AK127" s="189" t="b">
        <v>1</v>
      </c>
      <c r="AL127" s="189" t="b">
        <v>1</v>
      </c>
      <c r="AM127" s="189" t="b">
        <v>1</v>
      </c>
      <c r="AN127" s="189" t="b">
        <v>1</v>
      </c>
      <c r="AO127" s="189" t="b">
        <v>1</v>
      </c>
      <c r="AP127" s="69" t="str">
        <f t="shared" si="29"/>
        <v>VALID</v>
      </c>
      <c r="AQ127" s="178" t="s">
        <v>2395</v>
      </c>
      <c r="AR127" s="179" t="s">
        <v>862</v>
      </c>
      <c r="AS127" s="180"/>
      <c r="AT127" s="22"/>
      <c r="AU127" s="181"/>
      <c r="AV127" s="181"/>
      <c r="AW127" s="22"/>
      <c r="AX127" s="188" t="s">
        <v>136</v>
      </c>
      <c r="AY127" s="22"/>
      <c r="AZ127" s="180"/>
      <c r="BA127" s="180"/>
      <c r="BB127" s="182" t="s">
        <v>114</v>
      </c>
      <c r="BC127" s="183"/>
      <c r="BD127" s="313" t="s">
        <v>5570</v>
      </c>
      <c r="BE127" s="312" t="s">
        <v>5550</v>
      </c>
    </row>
    <row r="128" spans="1:57" ht="12.95" hidden="1" customHeight="1">
      <c r="A128" s="248" t="e">
        <v>#N/A</v>
      </c>
      <c r="B128" s="252" t="e">
        <v>#N/A</v>
      </c>
      <c r="C128" s="263" t="s">
        <v>739</v>
      </c>
      <c r="D128" s="239" t="s">
        <v>2893</v>
      </c>
      <c r="E128" s="58"/>
      <c r="F128" s="59" t="s">
        <v>798</v>
      </c>
      <c r="G128" s="191" t="s">
        <v>2894</v>
      </c>
      <c r="H128" s="192" t="s">
        <v>2173</v>
      </c>
      <c r="I128" s="61" t="s">
        <v>2511</v>
      </c>
      <c r="J128" s="61" t="s">
        <v>2511</v>
      </c>
      <c r="K128" s="62" t="s">
        <v>2511</v>
      </c>
      <c r="L128" s="60" t="s">
        <v>2389</v>
      </c>
      <c r="M128" s="61" t="s">
        <v>2523</v>
      </c>
      <c r="N128" s="61" t="s">
        <v>2511</v>
      </c>
      <c r="O128" s="61" t="s">
        <v>2511</v>
      </c>
      <c r="P128" s="62" t="s">
        <v>2511</v>
      </c>
      <c r="Q128" s="57" t="s">
        <v>843</v>
      </c>
      <c r="R128" s="63" t="s">
        <v>126</v>
      </c>
      <c r="S128" s="63" t="s">
        <v>112</v>
      </c>
      <c r="T128" s="63" t="s">
        <v>113</v>
      </c>
      <c r="U128" s="64" t="s">
        <v>126</v>
      </c>
      <c r="V128" s="63" t="s">
        <v>2895</v>
      </c>
      <c r="W128" s="57" t="s">
        <v>2846</v>
      </c>
      <c r="X128" s="126" t="s">
        <v>2896</v>
      </c>
      <c r="Y128" s="126" t="s">
        <v>2511</v>
      </c>
      <c r="Z128" s="57" t="s">
        <v>2514</v>
      </c>
      <c r="AA128" s="57" t="s">
        <v>2753</v>
      </c>
      <c r="AB128" s="57" t="s">
        <v>2393</v>
      </c>
      <c r="AC128" s="57" t="s">
        <v>2548</v>
      </c>
      <c r="AD128" s="65" t="str">
        <f t="shared" si="24"/>
        <v>RSVD1</v>
      </c>
      <c r="AE128" s="70"/>
      <c r="AF128" s="67" t="str">
        <f t="shared" si="25"/>
        <v>PULL_DOWN</v>
      </c>
      <c r="AG128" s="67" t="str">
        <f t="shared" si="26"/>
        <v>TRISTATE</v>
      </c>
      <c r="AH128" s="67" t="str">
        <f t="shared" si="27"/>
        <v>DISABLE</v>
      </c>
      <c r="AI128" s="71" t="str">
        <f t="shared" si="28"/>
        <v>N/A</v>
      </c>
      <c r="AJ128" s="189" t="b">
        <v>1</v>
      </c>
      <c r="AK128" s="189" t="b">
        <v>1</v>
      </c>
      <c r="AL128" s="189" t="b">
        <v>1</v>
      </c>
      <c r="AM128" s="189" t="b">
        <v>1</v>
      </c>
      <c r="AN128" s="189" t="b">
        <v>1</v>
      </c>
      <c r="AO128" s="189" t="b">
        <v>1</v>
      </c>
      <c r="AP128" s="69" t="str">
        <f t="shared" si="29"/>
        <v>VALID</v>
      </c>
      <c r="AQ128" s="166" t="s">
        <v>798</v>
      </c>
      <c r="AR128" s="194" t="s">
        <v>79</v>
      </c>
      <c r="AS128" s="193"/>
      <c r="AT128" s="193" t="s">
        <v>117</v>
      </c>
      <c r="AU128" s="140"/>
      <c r="AV128" s="141"/>
      <c r="AW128" s="10"/>
      <c r="AX128" s="188" t="s">
        <v>136</v>
      </c>
      <c r="AY128" s="72"/>
      <c r="AZ128" s="193"/>
      <c r="BA128" s="193"/>
      <c r="BB128" s="8"/>
      <c r="BC128" s="140"/>
      <c r="BD128" s="147" t="s">
        <v>83</v>
      </c>
      <c r="BE128" s="147" t="s">
        <v>83</v>
      </c>
    </row>
    <row r="129" spans="1:57" ht="12.95" customHeight="1">
      <c r="A129" s="250" t="s">
        <v>5450</v>
      </c>
      <c r="B129" s="251">
        <v>87</v>
      </c>
      <c r="C129" s="239" t="s">
        <v>69</v>
      </c>
      <c r="D129" s="239" t="s">
        <v>2897</v>
      </c>
      <c r="E129" s="58"/>
      <c r="F129" s="59" t="s">
        <v>186</v>
      </c>
      <c r="G129" s="191" t="s">
        <v>2477</v>
      </c>
      <c r="H129" s="192" t="s">
        <v>69</v>
      </c>
      <c r="I129" s="61" t="s">
        <v>2511</v>
      </c>
      <c r="J129" s="61" t="s">
        <v>2511</v>
      </c>
      <c r="K129" s="62" t="s">
        <v>2511</v>
      </c>
      <c r="L129" s="60" t="s">
        <v>2389</v>
      </c>
      <c r="M129" s="61" t="s">
        <v>2389</v>
      </c>
      <c r="N129" s="61" t="s">
        <v>2511</v>
      </c>
      <c r="O129" s="61" t="s">
        <v>2511</v>
      </c>
      <c r="P129" s="62" t="s">
        <v>2511</v>
      </c>
      <c r="Q129" s="57" t="s">
        <v>129</v>
      </c>
      <c r="R129" s="63" t="s">
        <v>126</v>
      </c>
      <c r="S129" s="63" t="s">
        <v>112</v>
      </c>
      <c r="T129" s="63" t="s">
        <v>113</v>
      </c>
      <c r="U129" s="64" t="s">
        <v>126</v>
      </c>
      <c r="V129" s="63" t="s">
        <v>2898</v>
      </c>
      <c r="W129" s="57" t="s">
        <v>2846</v>
      </c>
      <c r="X129" s="126" t="s">
        <v>2899</v>
      </c>
      <c r="Y129" s="126" t="s">
        <v>2511</v>
      </c>
      <c r="Z129" s="57" t="s">
        <v>2817</v>
      </c>
      <c r="AA129" s="57" t="s">
        <v>2818</v>
      </c>
      <c r="AB129" s="57" t="s">
        <v>2393</v>
      </c>
      <c r="AC129" s="57">
        <v>0</v>
      </c>
      <c r="AD129" s="65" t="str">
        <f t="shared" si="24"/>
        <v>GPIO_PZ1</v>
      </c>
      <c r="AE129" s="70"/>
      <c r="AF129" s="67" t="str">
        <f t="shared" si="25"/>
        <v>PULL_UP</v>
      </c>
      <c r="AG129" s="67" t="str">
        <f t="shared" si="26"/>
        <v>NORMAL</v>
      </c>
      <c r="AH129" s="67" t="str">
        <f t="shared" si="27"/>
        <v>ENABLE</v>
      </c>
      <c r="AI129" s="71" t="str">
        <f t="shared" si="28"/>
        <v/>
      </c>
      <c r="AJ129" s="189" t="b">
        <v>1</v>
      </c>
      <c r="AK129" s="189" t="b">
        <v>1</v>
      </c>
      <c r="AL129" s="189" t="b">
        <v>1</v>
      </c>
      <c r="AM129" s="189" t="b">
        <v>1</v>
      </c>
      <c r="AN129" s="189" t="b">
        <v>1</v>
      </c>
      <c r="AO129" s="189" t="b">
        <v>1</v>
      </c>
      <c r="AP129" s="69" t="str">
        <f t="shared" si="29"/>
        <v>VALID</v>
      </c>
      <c r="AQ129" s="166" t="s">
        <v>2477</v>
      </c>
      <c r="AR129" s="194" t="s">
        <v>860</v>
      </c>
      <c r="AS129" s="193" t="s">
        <v>873</v>
      </c>
      <c r="AT129" s="193" t="s">
        <v>863</v>
      </c>
      <c r="AU129" s="143"/>
      <c r="AV129" s="143"/>
      <c r="AW129" s="188" t="s">
        <v>136</v>
      </c>
      <c r="AX129" s="188" t="s">
        <v>136</v>
      </c>
      <c r="AY129" s="72"/>
      <c r="AZ129" s="193"/>
      <c r="BA129" s="193"/>
      <c r="BB129" s="8"/>
      <c r="BC129" s="140"/>
      <c r="BD129" s="11" t="s">
        <v>5571</v>
      </c>
      <c r="BE129" s="311" t="s">
        <v>5551</v>
      </c>
    </row>
    <row r="130" spans="1:57" ht="12.75" hidden="1" customHeight="1">
      <c r="A130" s="248" t="e">
        <v>#N/A</v>
      </c>
      <c r="B130" s="252" t="e">
        <v>#N/A</v>
      </c>
      <c r="C130" s="263" t="s">
        <v>70</v>
      </c>
      <c r="D130" s="239" t="s">
        <v>2900</v>
      </c>
      <c r="E130" s="58"/>
      <c r="F130" s="59" t="s">
        <v>187</v>
      </c>
      <c r="G130" s="191" t="s">
        <v>2478</v>
      </c>
      <c r="H130" s="192" t="s">
        <v>70</v>
      </c>
      <c r="I130" s="61" t="s">
        <v>2511</v>
      </c>
      <c r="J130" s="61" t="s">
        <v>2511</v>
      </c>
      <c r="K130" s="62" t="s">
        <v>2511</v>
      </c>
      <c r="L130" s="60" t="s">
        <v>2389</v>
      </c>
      <c r="M130" s="61" t="s">
        <v>2389</v>
      </c>
      <c r="N130" s="61" t="s">
        <v>2511</v>
      </c>
      <c r="O130" s="61" t="s">
        <v>2511</v>
      </c>
      <c r="P130" s="62" t="s">
        <v>2511</v>
      </c>
      <c r="Q130" s="57" t="s">
        <v>129</v>
      </c>
      <c r="R130" s="63" t="s">
        <v>126</v>
      </c>
      <c r="S130" s="63" t="s">
        <v>112</v>
      </c>
      <c r="T130" s="63" t="s">
        <v>113</v>
      </c>
      <c r="U130" s="64" t="s">
        <v>126</v>
      </c>
      <c r="V130" s="63" t="s">
        <v>2901</v>
      </c>
      <c r="W130" s="57" t="s">
        <v>2846</v>
      </c>
      <c r="X130" s="126" t="s">
        <v>2902</v>
      </c>
      <c r="Y130" s="126" t="s">
        <v>2511</v>
      </c>
      <c r="Z130" s="57" t="s">
        <v>2817</v>
      </c>
      <c r="AA130" s="57" t="s">
        <v>2818</v>
      </c>
      <c r="AB130" s="57" t="s">
        <v>2393</v>
      </c>
      <c r="AC130" s="57">
        <v>0</v>
      </c>
      <c r="AD130" s="65" t="str">
        <f t="shared" si="24"/>
        <v>RSVD1</v>
      </c>
      <c r="AE130" s="70"/>
      <c r="AF130" s="67" t="str">
        <f t="shared" si="25"/>
        <v>PULL_DOWN</v>
      </c>
      <c r="AG130" s="67" t="str">
        <f t="shared" si="26"/>
        <v>TRISTATE</v>
      </c>
      <c r="AH130" s="67" t="str">
        <f t="shared" si="27"/>
        <v>DISABLE</v>
      </c>
      <c r="AI130" s="71" t="str">
        <f t="shared" si="28"/>
        <v>N/A</v>
      </c>
      <c r="AJ130" s="189" t="b">
        <v>1</v>
      </c>
      <c r="AK130" s="189" t="b">
        <v>1</v>
      </c>
      <c r="AL130" s="189" t="b">
        <v>1</v>
      </c>
      <c r="AM130" s="189" t="b">
        <v>1</v>
      </c>
      <c r="AN130" s="189" t="b">
        <v>1</v>
      </c>
      <c r="AO130" s="189" t="b">
        <v>1</v>
      </c>
      <c r="AP130" s="69" t="str">
        <f t="shared" si="29"/>
        <v>VALID</v>
      </c>
      <c r="AQ130" s="166" t="s">
        <v>187</v>
      </c>
      <c r="AR130" s="194" t="s">
        <v>79</v>
      </c>
      <c r="AS130" s="193"/>
      <c r="AT130" s="193" t="s">
        <v>117</v>
      </c>
      <c r="AU130" s="140"/>
      <c r="AV130" s="140"/>
      <c r="AW130" s="188" t="s">
        <v>136</v>
      </c>
      <c r="AX130" s="188" t="s">
        <v>136</v>
      </c>
      <c r="AY130" s="72"/>
      <c r="AZ130" s="193"/>
      <c r="BA130" s="193"/>
      <c r="BB130" s="8"/>
      <c r="BC130" s="140"/>
      <c r="BD130" s="147" t="s">
        <v>83</v>
      </c>
      <c r="BE130" s="147" t="s">
        <v>83</v>
      </c>
    </row>
    <row r="131" spans="1:57" ht="12.95" customHeight="1">
      <c r="A131" s="320" t="s">
        <v>5572</v>
      </c>
      <c r="B131" s="251">
        <v>91</v>
      </c>
      <c r="C131" s="239" t="s">
        <v>934</v>
      </c>
      <c r="D131" s="239" t="s">
        <v>2903</v>
      </c>
      <c r="E131" s="58"/>
      <c r="F131" s="59" t="s">
        <v>1823</v>
      </c>
      <c r="G131" s="191" t="s">
        <v>2500</v>
      </c>
      <c r="H131" s="192" t="s">
        <v>934</v>
      </c>
      <c r="I131" s="61" t="s">
        <v>2511</v>
      </c>
      <c r="J131" s="61" t="s">
        <v>2511</v>
      </c>
      <c r="K131" s="62" t="s">
        <v>2511</v>
      </c>
      <c r="L131" s="60" t="s">
        <v>2389</v>
      </c>
      <c r="M131" s="61" t="s">
        <v>2389</v>
      </c>
      <c r="N131" s="61" t="s">
        <v>2511</v>
      </c>
      <c r="O131" s="61" t="s">
        <v>2511</v>
      </c>
      <c r="P131" s="62" t="s">
        <v>2511</v>
      </c>
      <c r="Q131" s="57" t="s">
        <v>124</v>
      </c>
      <c r="R131" s="63" t="s">
        <v>126</v>
      </c>
      <c r="S131" s="63" t="s">
        <v>112</v>
      </c>
      <c r="T131" s="63" t="s">
        <v>113</v>
      </c>
      <c r="U131" s="64" t="s">
        <v>126</v>
      </c>
      <c r="V131" s="63" t="s">
        <v>2904</v>
      </c>
      <c r="W131" s="57" t="s">
        <v>2846</v>
      </c>
      <c r="X131" s="126" t="s">
        <v>2511</v>
      </c>
      <c r="Y131" s="126" t="s">
        <v>2511</v>
      </c>
      <c r="Z131" s="57" t="s">
        <v>2514</v>
      </c>
      <c r="AA131" s="57" t="s">
        <v>2515</v>
      </c>
      <c r="AB131" s="57" t="s">
        <v>2393</v>
      </c>
      <c r="AC131" s="57" t="s">
        <v>2516</v>
      </c>
      <c r="AD131" s="65" t="str">
        <f t="shared" si="24"/>
        <v>SPI1</v>
      </c>
      <c r="AE131" s="70"/>
      <c r="AF131" s="67" t="str">
        <f t="shared" si="25"/>
        <v>PULL_DOWN</v>
      </c>
      <c r="AG131" s="67" t="str">
        <f t="shared" si="26"/>
        <v>NORMAL</v>
      </c>
      <c r="AH131" s="67" t="str">
        <f t="shared" si="27"/>
        <v>DISABLE</v>
      </c>
      <c r="AI131" s="71" t="str">
        <f t="shared" si="28"/>
        <v>N/A</v>
      </c>
      <c r="AJ131" s="189" t="b">
        <v>1</v>
      </c>
      <c r="AK131" s="189" t="b">
        <v>1</v>
      </c>
      <c r="AL131" s="189" t="b">
        <v>1</v>
      </c>
      <c r="AM131" s="189" t="b">
        <v>1</v>
      </c>
      <c r="AN131" s="189" t="b">
        <v>1</v>
      </c>
      <c r="AO131" s="189" t="b">
        <v>1</v>
      </c>
      <c r="AP131" s="69" t="str">
        <f t="shared" si="29"/>
        <v>VALID</v>
      </c>
      <c r="AQ131" s="166" t="s">
        <v>934</v>
      </c>
      <c r="AR131" s="194" t="s">
        <v>861</v>
      </c>
      <c r="AS131" s="193" t="s">
        <v>875</v>
      </c>
      <c r="AT131" s="72"/>
      <c r="AU131" s="140"/>
      <c r="AV131" s="193" t="s">
        <v>900</v>
      </c>
      <c r="AW131" s="72"/>
      <c r="AX131" s="188" t="s">
        <v>136</v>
      </c>
      <c r="AY131" s="72"/>
      <c r="AZ131" s="193"/>
      <c r="BA131" s="193"/>
      <c r="BB131" s="8"/>
      <c r="BC131" s="140"/>
      <c r="BD131" s="11" t="s">
        <v>5572</v>
      </c>
      <c r="BE131" s="336" t="s">
        <v>5548</v>
      </c>
    </row>
    <row r="132" spans="1:57" ht="12.95" customHeight="1">
      <c r="A132" s="320" t="s">
        <v>5491</v>
      </c>
      <c r="B132" s="251">
        <v>93</v>
      </c>
      <c r="C132" s="239" t="s">
        <v>1004</v>
      </c>
      <c r="D132" s="239" t="s">
        <v>2905</v>
      </c>
      <c r="E132" s="58"/>
      <c r="F132" s="59" t="s">
        <v>1824</v>
      </c>
      <c r="G132" s="191" t="s">
        <v>2499</v>
      </c>
      <c r="H132" s="192" t="s">
        <v>935</v>
      </c>
      <c r="I132" s="61" t="s">
        <v>2511</v>
      </c>
      <c r="J132" s="61" t="s">
        <v>2511</v>
      </c>
      <c r="K132" s="62" t="s">
        <v>2511</v>
      </c>
      <c r="L132" s="60" t="s">
        <v>2389</v>
      </c>
      <c r="M132" s="61" t="s">
        <v>2389</v>
      </c>
      <c r="N132" s="61" t="s">
        <v>2511</v>
      </c>
      <c r="O132" s="61" t="s">
        <v>2511</v>
      </c>
      <c r="P132" s="62" t="s">
        <v>2511</v>
      </c>
      <c r="Q132" s="57" t="s">
        <v>124</v>
      </c>
      <c r="R132" s="63" t="s">
        <v>126</v>
      </c>
      <c r="S132" s="63" t="s">
        <v>112</v>
      </c>
      <c r="T132" s="63" t="s">
        <v>113</v>
      </c>
      <c r="U132" s="64" t="s">
        <v>126</v>
      </c>
      <c r="V132" s="63" t="s">
        <v>2906</v>
      </c>
      <c r="W132" s="57" t="s">
        <v>2846</v>
      </c>
      <c r="X132" s="126" t="s">
        <v>2511</v>
      </c>
      <c r="Y132" s="126" t="s">
        <v>2511</v>
      </c>
      <c r="Z132" s="57" t="s">
        <v>2514</v>
      </c>
      <c r="AA132" s="57" t="s">
        <v>2515</v>
      </c>
      <c r="AB132" s="57" t="s">
        <v>2393</v>
      </c>
      <c r="AC132" s="57" t="s">
        <v>2548</v>
      </c>
      <c r="AD132" s="65" t="str">
        <f t="shared" si="24"/>
        <v>SPI1</v>
      </c>
      <c r="AE132" s="70"/>
      <c r="AF132" s="67" t="str">
        <f t="shared" si="25"/>
        <v>PULL_DOWN</v>
      </c>
      <c r="AG132" s="67" t="str">
        <f t="shared" si="26"/>
        <v>TRISTATE</v>
      </c>
      <c r="AH132" s="67" t="str">
        <f t="shared" si="27"/>
        <v>ENABLE</v>
      </c>
      <c r="AI132" s="71" t="str">
        <f t="shared" si="28"/>
        <v>N/A</v>
      </c>
      <c r="AJ132" s="189" t="b">
        <v>1</v>
      </c>
      <c r="AK132" s="189" t="b">
        <v>1</v>
      </c>
      <c r="AL132" s="189" t="b">
        <v>1</v>
      </c>
      <c r="AM132" s="189" t="b">
        <v>1</v>
      </c>
      <c r="AN132" s="189" t="b">
        <v>1</v>
      </c>
      <c r="AO132" s="189" t="b">
        <v>1</v>
      </c>
      <c r="AP132" s="69" t="str">
        <f t="shared" si="29"/>
        <v>VALID</v>
      </c>
      <c r="AQ132" s="166" t="s">
        <v>935</v>
      </c>
      <c r="AR132" s="194" t="s">
        <v>862</v>
      </c>
      <c r="AS132" s="193" t="s">
        <v>875</v>
      </c>
      <c r="AT132" s="72"/>
      <c r="AU132" s="140"/>
      <c r="AV132" s="193" t="s">
        <v>900</v>
      </c>
      <c r="AW132" s="72"/>
      <c r="AX132" s="188" t="s">
        <v>136</v>
      </c>
      <c r="AY132" s="72"/>
      <c r="AZ132" s="193"/>
      <c r="BA132" s="193"/>
      <c r="BB132" s="8"/>
      <c r="BC132" s="140"/>
      <c r="BD132" s="11" t="s">
        <v>5491</v>
      </c>
      <c r="BE132" s="337"/>
    </row>
    <row r="133" spans="1:57" ht="12.95" customHeight="1">
      <c r="A133" s="320" t="s">
        <v>5492</v>
      </c>
      <c r="B133" s="251">
        <v>89</v>
      </c>
      <c r="C133" s="239" t="s">
        <v>1005</v>
      </c>
      <c r="D133" s="239" t="s">
        <v>2907</v>
      </c>
      <c r="E133" s="58"/>
      <c r="F133" s="59" t="s">
        <v>1825</v>
      </c>
      <c r="G133" s="191" t="s">
        <v>2498</v>
      </c>
      <c r="H133" s="192" t="s">
        <v>936</v>
      </c>
      <c r="I133" s="61" t="s">
        <v>2511</v>
      </c>
      <c r="J133" s="61" t="s">
        <v>2511</v>
      </c>
      <c r="K133" s="62" t="s">
        <v>2511</v>
      </c>
      <c r="L133" s="60" t="s">
        <v>2389</v>
      </c>
      <c r="M133" s="61" t="s">
        <v>2389</v>
      </c>
      <c r="N133" s="61" t="s">
        <v>2511</v>
      </c>
      <c r="O133" s="61" t="s">
        <v>2511</v>
      </c>
      <c r="P133" s="62" t="s">
        <v>2511</v>
      </c>
      <c r="Q133" s="57" t="s">
        <v>124</v>
      </c>
      <c r="R133" s="63" t="s">
        <v>126</v>
      </c>
      <c r="S133" s="63" t="s">
        <v>112</v>
      </c>
      <c r="T133" s="63" t="s">
        <v>113</v>
      </c>
      <c r="U133" s="64" t="s">
        <v>126</v>
      </c>
      <c r="V133" s="63" t="s">
        <v>2908</v>
      </c>
      <c r="W133" s="57" t="s">
        <v>2846</v>
      </c>
      <c r="X133" s="126" t="s">
        <v>2511</v>
      </c>
      <c r="Y133" s="126" t="s">
        <v>2511</v>
      </c>
      <c r="Z133" s="57" t="s">
        <v>2514</v>
      </c>
      <c r="AA133" s="57" t="s">
        <v>2515</v>
      </c>
      <c r="AB133" s="57" t="s">
        <v>2393</v>
      </c>
      <c r="AC133" s="57" t="s">
        <v>2548</v>
      </c>
      <c r="AD133" s="65" t="str">
        <f t="shared" si="24"/>
        <v>SPI1</v>
      </c>
      <c r="AE133" s="70"/>
      <c r="AF133" s="67" t="str">
        <f t="shared" si="25"/>
        <v>PULL_DOWN</v>
      </c>
      <c r="AG133" s="67" t="str">
        <f t="shared" si="26"/>
        <v>NORMAL</v>
      </c>
      <c r="AH133" s="67" t="str">
        <f t="shared" si="27"/>
        <v>DISABLE</v>
      </c>
      <c r="AI133" s="71" t="str">
        <f t="shared" si="28"/>
        <v>N/A</v>
      </c>
      <c r="AJ133" s="189" t="b">
        <v>1</v>
      </c>
      <c r="AK133" s="189" t="b">
        <v>1</v>
      </c>
      <c r="AL133" s="189" t="b">
        <v>1</v>
      </c>
      <c r="AM133" s="189" t="b">
        <v>1</v>
      </c>
      <c r="AN133" s="189" t="b">
        <v>1</v>
      </c>
      <c r="AO133" s="189" t="b">
        <v>1</v>
      </c>
      <c r="AP133" s="69" t="str">
        <f t="shared" si="29"/>
        <v>VALID</v>
      </c>
      <c r="AQ133" s="166" t="s">
        <v>936</v>
      </c>
      <c r="AR133" s="194" t="s">
        <v>861</v>
      </c>
      <c r="AS133" s="193" t="s">
        <v>875</v>
      </c>
      <c r="AT133" s="72"/>
      <c r="AU133" s="140"/>
      <c r="AV133" s="193" t="s">
        <v>900</v>
      </c>
      <c r="AW133" s="72"/>
      <c r="AX133" s="188" t="s">
        <v>136</v>
      </c>
      <c r="AY133" s="72"/>
      <c r="AZ133" s="193"/>
      <c r="BA133" s="193"/>
      <c r="BB133" s="8"/>
      <c r="BC133" s="140"/>
      <c r="BD133" s="11" t="s">
        <v>5492</v>
      </c>
      <c r="BE133" s="337"/>
    </row>
    <row r="134" spans="1:57" ht="12.95" customHeight="1">
      <c r="A134" s="320" t="s">
        <v>5679</v>
      </c>
      <c r="B134" s="251">
        <v>95</v>
      </c>
      <c r="C134" s="239" t="s">
        <v>937</v>
      </c>
      <c r="D134" s="239" t="s">
        <v>2909</v>
      </c>
      <c r="E134" s="58"/>
      <c r="F134" s="59" t="s">
        <v>1826</v>
      </c>
      <c r="G134" s="191" t="s">
        <v>2501</v>
      </c>
      <c r="H134" s="192" t="s">
        <v>937</v>
      </c>
      <c r="I134" s="61" t="s">
        <v>2511</v>
      </c>
      <c r="J134" s="61" t="s">
        <v>2511</v>
      </c>
      <c r="K134" s="62" t="s">
        <v>2511</v>
      </c>
      <c r="L134" s="60" t="s">
        <v>2389</v>
      </c>
      <c r="M134" s="61" t="s">
        <v>2389</v>
      </c>
      <c r="N134" s="61" t="s">
        <v>2511</v>
      </c>
      <c r="O134" s="61" t="s">
        <v>2511</v>
      </c>
      <c r="P134" s="62" t="s">
        <v>2511</v>
      </c>
      <c r="Q134" s="57" t="s">
        <v>124</v>
      </c>
      <c r="R134" s="63" t="s">
        <v>126</v>
      </c>
      <c r="S134" s="63" t="s">
        <v>112</v>
      </c>
      <c r="T134" s="63" t="s">
        <v>113</v>
      </c>
      <c r="U134" s="64" t="s">
        <v>126</v>
      </c>
      <c r="V134" s="63" t="s">
        <v>2910</v>
      </c>
      <c r="W134" s="57" t="s">
        <v>2846</v>
      </c>
      <c r="X134" s="126" t="s">
        <v>2911</v>
      </c>
      <c r="Y134" s="126" t="s">
        <v>2511</v>
      </c>
      <c r="Z134" s="57" t="s">
        <v>2514</v>
      </c>
      <c r="AA134" s="57" t="s">
        <v>2753</v>
      </c>
      <c r="AB134" s="57" t="s">
        <v>2393</v>
      </c>
      <c r="AC134" s="57" t="s">
        <v>2548</v>
      </c>
      <c r="AD134" s="65" t="str">
        <f t="shared" si="24"/>
        <v>SPI1</v>
      </c>
      <c r="AE134" s="70"/>
      <c r="AF134" s="67" t="str">
        <f t="shared" si="25"/>
        <v>PULL_DOWN</v>
      </c>
      <c r="AG134" s="67" t="str">
        <f t="shared" si="26"/>
        <v>NORMAL</v>
      </c>
      <c r="AH134" s="67" t="str">
        <f t="shared" si="27"/>
        <v>DISABLE</v>
      </c>
      <c r="AI134" s="71" t="str">
        <f t="shared" si="28"/>
        <v>N/A</v>
      </c>
      <c r="AJ134" s="189" t="b">
        <v>1</v>
      </c>
      <c r="AK134" s="189" t="b">
        <v>1</v>
      </c>
      <c r="AL134" s="189" t="b">
        <v>1</v>
      </c>
      <c r="AM134" s="189" t="b">
        <v>1</v>
      </c>
      <c r="AN134" s="189" t="b">
        <v>1</v>
      </c>
      <c r="AO134" s="189" t="b">
        <v>1</v>
      </c>
      <c r="AP134" s="69" t="str">
        <f t="shared" si="29"/>
        <v>VALID</v>
      </c>
      <c r="AQ134" s="166" t="s">
        <v>937</v>
      </c>
      <c r="AR134" s="194" t="s">
        <v>861</v>
      </c>
      <c r="AS134" s="193" t="s">
        <v>875</v>
      </c>
      <c r="AT134" s="193" t="s">
        <v>117</v>
      </c>
      <c r="AU134" s="140"/>
      <c r="AV134" s="193" t="s">
        <v>900</v>
      </c>
      <c r="AW134" s="72"/>
      <c r="AX134" s="188" t="s">
        <v>136</v>
      </c>
      <c r="AY134" s="72"/>
      <c r="AZ134" s="193"/>
      <c r="BA134" s="193"/>
      <c r="BB134" s="8"/>
      <c r="BC134" s="140"/>
      <c r="BD134" s="11" t="s">
        <v>5573</v>
      </c>
      <c r="BE134" s="337"/>
    </row>
    <row r="135" spans="1:57" ht="12.95" customHeight="1">
      <c r="A135" s="320" t="s">
        <v>5680</v>
      </c>
      <c r="B135" s="251">
        <v>97</v>
      </c>
      <c r="C135" s="239" t="s">
        <v>932</v>
      </c>
      <c r="D135" s="239" t="s">
        <v>2912</v>
      </c>
      <c r="E135" s="58"/>
      <c r="F135" s="59" t="s">
        <v>1827</v>
      </c>
      <c r="G135" s="191" t="s">
        <v>2451</v>
      </c>
      <c r="H135" s="192" t="s">
        <v>932</v>
      </c>
      <c r="I135" s="61" t="s">
        <v>2511</v>
      </c>
      <c r="J135" s="61" t="s">
        <v>2511</v>
      </c>
      <c r="K135" s="62" t="s">
        <v>2511</v>
      </c>
      <c r="L135" s="60" t="s">
        <v>2389</v>
      </c>
      <c r="M135" s="61" t="s">
        <v>2389</v>
      </c>
      <c r="N135" s="61" t="s">
        <v>2511</v>
      </c>
      <c r="O135" s="61" t="s">
        <v>2511</v>
      </c>
      <c r="P135" s="62" t="s">
        <v>2511</v>
      </c>
      <c r="Q135" s="57" t="s">
        <v>124</v>
      </c>
      <c r="R135" s="63" t="s">
        <v>126</v>
      </c>
      <c r="S135" s="63" t="s">
        <v>112</v>
      </c>
      <c r="T135" s="63" t="s">
        <v>113</v>
      </c>
      <c r="U135" s="64" t="s">
        <v>126</v>
      </c>
      <c r="V135" s="63" t="s">
        <v>2913</v>
      </c>
      <c r="W135" s="57" t="s">
        <v>2846</v>
      </c>
      <c r="X135" s="126" t="s">
        <v>2914</v>
      </c>
      <c r="Y135" s="126" t="s">
        <v>2511</v>
      </c>
      <c r="Z135" s="57" t="s">
        <v>2514</v>
      </c>
      <c r="AA135" s="57" t="s">
        <v>2753</v>
      </c>
      <c r="AB135" s="57" t="s">
        <v>2393</v>
      </c>
      <c r="AC135" s="57" t="s">
        <v>2548</v>
      </c>
      <c r="AD135" s="65" t="str">
        <f t="shared" si="24"/>
        <v>SPI1</v>
      </c>
      <c r="AE135" s="70"/>
      <c r="AF135" s="67" t="str">
        <f t="shared" si="25"/>
        <v>PULL_DOWN</v>
      </c>
      <c r="AG135" s="67" t="str">
        <f t="shared" si="26"/>
        <v>NORMAL</v>
      </c>
      <c r="AH135" s="67" t="str">
        <f t="shared" si="27"/>
        <v>DISABLE</v>
      </c>
      <c r="AI135" s="71" t="str">
        <f t="shared" si="28"/>
        <v>N/A</v>
      </c>
      <c r="AJ135" s="189" t="b">
        <v>1</v>
      </c>
      <c r="AK135" s="189" t="b">
        <v>1</v>
      </c>
      <c r="AL135" s="189" t="b">
        <v>1</v>
      </c>
      <c r="AM135" s="189" t="b">
        <v>1</v>
      </c>
      <c r="AN135" s="189" t="b">
        <v>1</v>
      </c>
      <c r="AO135" s="189" t="b">
        <v>1</v>
      </c>
      <c r="AP135" s="69" t="str">
        <f t="shared" si="29"/>
        <v>VALID</v>
      </c>
      <c r="AQ135" s="166" t="s">
        <v>932</v>
      </c>
      <c r="AR135" s="194" t="s">
        <v>861</v>
      </c>
      <c r="AS135" s="193" t="s">
        <v>875</v>
      </c>
      <c r="AT135" s="193" t="s">
        <v>117</v>
      </c>
      <c r="AU135" s="140"/>
      <c r="AV135" s="193" t="s">
        <v>900</v>
      </c>
      <c r="AW135" s="72"/>
      <c r="AX135" s="188" t="s">
        <v>136</v>
      </c>
      <c r="AY135" s="72"/>
      <c r="AZ135" s="193"/>
      <c r="BA135" s="193"/>
      <c r="BB135" s="8"/>
      <c r="BC135" s="140"/>
      <c r="BD135" s="11" t="s">
        <v>5574</v>
      </c>
      <c r="BE135" s="338"/>
    </row>
    <row r="136" spans="1:57" s="56" customFormat="1" ht="18" customHeight="1">
      <c r="A136" s="363"/>
      <c r="B136" s="364"/>
      <c r="C136" s="265" t="s">
        <v>64</v>
      </c>
      <c r="D136" s="266"/>
      <c r="E136" s="73"/>
      <c r="F136" s="73"/>
      <c r="G136" s="74"/>
      <c r="H136" s="74"/>
      <c r="I136" s="74"/>
      <c r="J136" s="74"/>
      <c r="K136" s="74"/>
      <c r="L136" s="73"/>
      <c r="M136" s="73"/>
      <c r="N136" s="73"/>
      <c r="O136" s="73"/>
      <c r="P136" s="73"/>
      <c r="Q136" s="73"/>
      <c r="R136" s="73"/>
      <c r="S136" s="73"/>
      <c r="T136" s="73"/>
      <c r="U136" s="73"/>
      <c r="V136" s="73"/>
      <c r="W136" s="73"/>
      <c r="X136" s="127"/>
      <c r="Y136" s="127"/>
      <c r="Z136" s="75"/>
      <c r="AA136" s="75"/>
      <c r="AB136" s="75"/>
      <c r="AC136" s="75"/>
      <c r="AD136" s="75"/>
      <c r="AE136" s="75"/>
      <c r="AF136" s="75"/>
      <c r="AG136" s="75"/>
      <c r="AH136" s="75"/>
      <c r="AI136" s="75"/>
      <c r="AJ136" s="53"/>
      <c r="AK136" s="53"/>
      <c r="AL136" s="53"/>
      <c r="AM136" s="53"/>
      <c r="AN136" s="53"/>
      <c r="AO136" s="53"/>
      <c r="AP136" s="53"/>
      <c r="AQ136" s="54"/>
      <c r="AR136" s="76"/>
      <c r="AS136" s="77"/>
      <c r="AT136" s="77"/>
      <c r="AU136" s="77"/>
      <c r="AV136" s="77"/>
      <c r="AW136" s="77"/>
      <c r="AX136" s="77"/>
      <c r="AY136" s="77"/>
      <c r="AZ136" s="77"/>
      <c r="BA136" s="77"/>
      <c r="BB136" s="77"/>
      <c r="BC136" s="175" t="s">
        <v>59</v>
      </c>
      <c r="BD136" s="77"/>
      <c r="BE136" s="230" t="s">
        <v>64</v>
      </c>
    </row>
    <row r="137" spans="1:57" ht="12.95" customHeight="1">
      <c r="A137" s="247" t="s">
        <v>5493</v>
      </c>
      <c r="B137" s="251">
        <v>239</v>
      </c>
      <c r="C137" s="239" t="s">
        <v>173</v>
      </c>
      <c r="D137" s="239" t="s">
        <v>2915</v>
      </c>
      <c r="E137" s="58"/>
      <c r="F137" s="59" t="s">
        <v>490</v>
      </c>
      <c r="G137" s="191" t="s">
        <v>2511</v>
      </c>
      <c r="H137" s="192" t="s">
        <v>923</v>
      </c>
      <c r="I137" s="61" t="s">
        <v>2511</v>
      </c>
      <c r="J137" s="61" t="s">
        <v>2511</v>
      </c>
      <c r="K137" s="62" t="s">
        <v>2511</v>
      </c>
      <c r="L137" s="60" t="s">
        <v>2511</v>
      </c>
      <c r="M137" s="61" t="s">
        <v>2523</v>
      </c>
      <c r="N137" s="61" t="s">
        <v>2511</v>
      </c>
      <c r="O137" s="61" t="s">
        <v>2511</v>
      </c>
      <c r="P137" s="62" t="s">
        <v>2511</v>
      </c>
      <c r="Q137" s="224"/>
      <c r="R137" s="224"/>
      <c r="S137" s="224"/>
      <c r="T137" s="224"/>
      <c r="U137" s="225"/>
      <c r="V137" s="137" t="s">
        <v>2916</v>
      </c>
      <c r="W137" s="57" t="s">
        <v>2917</v>
      </c>
      <c r="X137" s="126" t="s">
        <v>2511</v>
      </c>
      <c r="Y137" s="126" t="s">
        <v>2511</v>
      </c>
      <c r="Z137" s="57" t="s">
        <v>2828</v>
      </c>
      <c r="AA137" s="57" t="s">
        <v>2829</v>
      </c>
      <c r="AB137" s="57" t="s">
        <v>900</v>
      </c>
      <c r="AC137" s="57" t="s">
        <v>2631</v>
      </c>
      <c r="AD137" s="70"/>
      <c r="AE137" s="70"/>
      <c r="AF137" s="67" t="str">
        <f t="shared" ref="AF137:AF150" si="30">IF(AND(OR($AS137="Int PU",$AS137="Int PD"),OR(AND($AZ137&lt;&gt;"",$AZ137&lt;&gt;"0"),AND($BA137&lt;&gt;"",$BA137&lt;&gt;"0"))),"INVALID",IF(OR($AQ137=$F137,$AS137="Int PD"),"PULL_DOWN",IF(OR($AS137="Int PU",AND($AE137="YES",OR($AZ137="",$AZ137="0"),OR($BA137="",$BA137="0"),OR($AR137="Input",$AR137="Bidirectional"))),"PULL_UP","NORMAL")))</f>
        <v>PULL_UP</v>
      </c>
      <c r="AG137" s="67" t="str">
        <f t="shared" ref="AG137:AG150" si="31">IF($AR137="Input", "TRISTATE", IF($AS137="Z","TRISTATE",IF($AQ137=$F137,"TRISTATE","NORMAL")))</f>
        <v>TRISTATE</v>
      </c>
      <c r="AH137" s="67" t="str">
        <f>IF(OR($AQ137=$F137,$AR137="Output"),"DISABLE","ENABLE")</f>
        <v>ENABLE</v>
      </c>
      <c r="AI137" s="71" t="str">
        <f t="shared" ref="AI137:AI150" si="32">IF($AQ137&lt;&gt;$G137,"N/A",IF($AS137="Drive 1", "1", IF($AS137="Drive 0", "0", "")))</f>
        <v>N/A</v>
      </c>
      <c r="AJ137" s="189" t="b">
        <v>1</v>
      </c>
      <c r="AK137" s="189" t="b">
        <v>1</v>
      </c>
      <c r="AL137" s="189" t="b">
        <v>1</v>
      </c>
      <c r="AM137" s="189" t="b">
        <v>1</v>
      </c>
      <c r="AN137" s="189" t="b">
        <v>1</v>
      </c>
      <c r="AO137" s="189" t="b">
        <v>1</v>
      </c>
      <c r="AP137" s="69" t="str">
        <f t="shared" ref="AP137:AP150" si="33">IF(AND($AJ137:$AO137), "VALID", "INVALID")</f>
        <v>VALID</v>
      </c>
      <c r="AQ137" s="165" t="s">
        <v>923</v>
      </c>
      <c r="AR137" s="2" t="s">
        <v>862</v>
      </c>
      <c r="AS137" s="193" t="s">
        <v>873</v>
      </c>
      <c r="AT137" s="3"/>
      <c r="AU137" s="3"/>
      <c r="AV137" s="3"/>
      <c r="AW137" s="3"/>
      <c r="AX137" s="22"/>
      <c r="AY137" s="22"/>
      <c r="AZ137" s="4"/>
      <c r="BA137" s="4"/>
      <c r="BB137" s="13" t="s">
        <v>114</v>
      </c>
      <c r="BC137" s="139"/>
      <c r="BD137" s="17" t="s">
        <v>5575</v>
      </c>
      <c r="BE137" s="312" t="s">
        <v>5576</v>
      </c>
    </row>
    <row r="138" spans="1:57" ht="12.95" hidden="1" customHeight="1">
      <c r="A138" s="248" t="e">
        <v>#N/A</v>
      </c>
      <c r="B138" s="252" t="e">
        <v>#N/A</v>
      </c>
      <c r="C138" s="263" t="s">
        <v>1006</v>
      </c>
      <c r="D138" s="239" t="s">
        <v>2918</v>
      </c>
      <c r="E138" s="58"/>
      <c r="F138" s="59" t="s">
        <v>1828</v>
      </c>
      <c r="G138" s="191" t="s">
        <v>2511</v>
      </c>
      <c r="H138" s="192" t="s">
        <v>2396</v>
      </c>
      <c r="I138" s="61" t="s">
        <v>2511</v>
      </c>
      <c r="J138" s="61" t="s">
        <v>2511</v>
      </c>
      <c r="K138" s="62"/>
      <c r="L138" s="60" t="s">
        <v>2511</v>
      </c>
      <c r="M138" s="61" t="s">
        <v>2519</v>
      </c>
      <c r="N138" s="61" t="s">
        <v>2511</v>
      </c>
      <c r="O138" s="61" t="s">
        <v>2511</v>
      </c>
      <c r="P138" s="62"/>
      <c r="Q138" s="224" t="s">
        <v>5415</v>
      </c>
      <c r="R138" s="224" t="s">
        <v>126</v>
      </c>
      <c r="S138" s="224" t="s">
        <v>112</v>
      </c>
      <c r="T138" s="224" t="s">
        <v>113</v>
      </c>
      <c r="U138" s="224" t="s">
        <v>126</v>
      </c>
      <c r="V138" s="138" t="s">
        <v>2919</v>
      </c>
      <c r="W138" s="57" t="s">
        <v>2917</v>
      </c>
      <c r="X138" s="126" t="s">
        <v>2511</v>
      </c>
      <c r="Y138" s="126" t="s">
        <v>2511</v>
      </c>
      <c r="Z138" s="57" t="s">
        <v>2817</v>
      </c>
      <c r="AA138" s="57" t="s">
        <v>2920</v>
      </c>
      <c r="AB138" s="57" t="s">
        <v>2393</v>
      </c>
      <c r="AC138" s="57" t="s">
        <v>2631</v>
      </c>
      <c r="AD138" s="65" t="str">
        <f t="shared" ref="AD138:AD148" si="34">IF(OR($AQ138="",$AQ138=$F138),$U138,IF($AQ138=$G138,SUBSTITUTE(SUBSTITUTE($AQ138,"GPIO3_","GPIO_"),".0",""),IF($AQ138=$H138,$Q138,IF($AQ138=$I138,$R138,IF($AQ138=$J138,$S138,IF($AQ138=$K138,$T138,"INVALID"))))))</f>
        <v>SHUTDOWN</v>
      </c>
      <c r="AE138" s="70"/>
      <c r="AF138" s="67" t="str">
        <f t="shared" si="30"/>
        <v>NORMAL</v>
      </c>
      <c r="AG138" s="67" t="str">
        <f t="shared" si="31"/>
        <v>NORMAL</v>
      </c>
      <c r="AH138" s="67" t="str">
        <f>IF(OR($AQ138=$F138,$AR138="Output"),"DISABLE","ENABLE")</f>
        <v>DISABLE</v>
      </c>
      <c r="AI138" s="71" t="str">
        <f t="shared" si="32"/>
        <v>N/A</v>
      </c>
      <c r="AJ138" s="189" t="b">
        <v>1</v>
      </c>
      <c r="AK138" s="189" t="b">
        <v>1</v>
      </c>
      <c r="AL138" s="189" t="b">
        <v>1</v>
      </c>
      <c r="AM138" s="189" t="b">
        <v>1</v>
      </c>
      <c r="AN138" s="189" t="b">
        <v>1</v>
      </c>
      <c r="AO138" s="189" t="b">
        <v>1</v>
      </c>
      <c r="AP138" s="69" t="str">
        <f t="shared" si="33"/>
        <v>VALID</v>
      </c>
      <c r="AQ138" s="166" t="s">
        <v>2396</v>
      </c>
      <c r="AR138" s="194" t="s">
        <v>861</v>
      </c>
      <c r="AS138" s="193"/>
      <c r="AT138" s="72"/>
      <c r="AU138" s="72"/>
      <c r="AV138" s="72"/>
      <c r="AW138" s="188" t="s">
        <v>136</v>
      </c>
      <c r="AX138" s="188" t="s">
        <v>136</v>
      </c>
      <c r="AY138" s="72"/>
      <c r="AZ138" s="193"/>
      <c r="BA138" s="193"/>
      <c r="BB138" s="8"/>
      <c r="BC138" s="140"/>
      <c r="BD138" s="11" t="s">
        <v>5577</v>
      </c>
      <c r="BE138" s="312" t="s">
        <v>5578</v>
      </c>
    </row>
    <row r="139" spans="1:57" ht="12.95" hidden="1" customHeight="1">
      <c r="A139" s="248" t="e">
        <v>#N/A</v>
      </c>
      <c r="B139" s="252" t="e">
        <v>#N/A</v>
      </c>
      <c r="C139" s="263" t="s">
        <v>725</v>
      </c>
      <c r="D139" s="239" t="s">
        <v>2921</v>
      </c>
      <c r="E139" s="58"/>
      <c r="F139" s="59" t="s">
        <v>790</v>
      </c>
      <c r="G139" s="191" t="s">
        <v>2174</v>
      </c>
      <c r="H139" s="192"/>
      <c r="I139" s="61" t="s">
        <v>2511</v>
      </c>
      <c r="J139" s="61" t="s">
        <v>2511</v>
      </c>
      <c r="K139" s="62" t="s">
        <v>2511</v>
      </c>
      <c r="L139" s="60" t="s">
        <v>2389</v>
      </c>
      <c r="M139" s="61" t="s">
        <v>2389</v>
      </c>
      <c r="N139" s="61" t="s">
        <v>2511</v>
      </c>
      <c r="O139" s="61" t="s">
        <v>2511</v>
      </c>
      <c r="P139" s="62" t="s">
        <v>2511</v>
      </c>
      <c r="Q139" s="58" t="s">
        <v>841</v>
      </c>
      <c r="R139" s="58" t="s">
        <v>126</v>
      </c>
      <c r="S139" s="58" t="s">
        <v>112</v>
      </c>
      <c r="T139" s="58" t="s">
        <v>113</v>
      </c>
      <c r="U139" s="63" t="s">
        <v>126</v>
      </c>
      <c r="V139" s="138" t="s">
        <v>2922</v>
      </c>
      <c r="W139" s="57" t="s">
        <v>2917</v>
      </c>
      <c r="X139" s="126" t="s">
        <v>2923</v>
      </c>
      <c r="Y139" s="126" t="s">
        <v>2511</v>
      </c>
      <c r="Z139" s="57" t="s">
        <v>2817</v>
      </c>
      <c r="AA139" s="57" t="s">
        <v>2920</v>
      </c>
      <c r="AB139" s="57" t="s">
        <v>2393</v>
      </c>
      <c r="AC139" s="57" t="s">
        <v>2631</v>
      </c>
      <c r="AD139" s="65" t="str">
        <f t="shared" si="34"/>
        <v>GPIO_PEE0</v>
      </c>
      <c r="AE139" s="70"/>
      <c r="AF139" s="67" t="str">
        <f t="shared" si="30"/>
        <v>NORMAL</v>
      </c>
      <c r="AG139" s="67" t="str">
        <f t="shared" si="31"/>
        <v>TRISTATE</v>
      </c>
      <c r="AH139" s="67" t="str">
        <f t="shared" ref="AH139:AH150" si="35">IF(OR($AQ139=$F139,$AR139="Output"),"DISABLE","ENABLE")</f>
        <v>ENABLE</v>
      </c>
      <c r="AI139" s="71" t="str">
        <f t="shared" si="32"/>
        <v/>
      </c>
      <c r="AJ139" s="189" t="b">
        <v>1</v>
      </c>
      <c r="AK139" s="189" t="b">
        <v>1</v>
      </c>
      <c r="AL139" s="189" t="b">
        <v>1</v>
      </c>
      <c r="AM139" s="189" t="b">
        <v>1</v>
      </c>
      <c r="AN139" s="189" t="b">
        <v>1</v>
      </c>
      <c r="AO139" s="189" t="b">
        <v>1</v>
      </c>
      <c r="AP139" s="69" t="str">
        <f t="shared" si="33"/>
        <v>VALID</v>
      </c>
      <c r="AQ139" s="166" t="s">
        <v>2174</v>
      </c>
      <c r="AR139" s="194" t="s">
        <v>862</v>
      </c>
      <c r="AS139" s="193"/>
      <c r="AT139" s="193" t="s">
        <v>863</v>
      </c>
      <c r="AU139" s="72"/>
      <c r="AV139" s="72"/>
      <c r="AW139" s="188" t="s">
        <v>136</v>
      </c>
      <c r="AX139" s="188" t="s">
        <v>136</v>
      </c>
      <c r="AY139" s="72"/>
      <c r="AZ139" s="193" t="s">
        <v>2489</v>
      </c>
      <c r="BA139" s="193"/>
      <c r="BB139" s="8"/>
      <c r="BC139" s="140"/>
      <c r="BD139" s="11" t="s">
        <v>5579</v>
      </c>
      <c r="BE139" s="145" t="s">
        <v>81</v>
      </c>
    </row>
    <row r="140" spans="1:57" ht="12.95" hidden="1" customHeight="1">
      <c r="A140" s="248" t="e">
        <v>#N/A</v>
      </c>
      <c r="B140" s="252" t="e">
        <v>#N/A</v>
      </c>
      <c r="C140" s="263" t="s">
        <v>726</v>
      </c>
      <c r="D140" s="239" t="s">
        <v>2924</v>
      </c>
      <c r="E140" s="58"/>
      <c r="F140" s="59" t="s">
        <v>791</v>
      </c>
      <c r="G140" s="191" t="s">
        <v>2175</v>
      </c>
      <c r="H140" s="192" t="s">
        <v>2925</v>
      </c>
      <c r="I140" s="61" t="s">
        <v>2511</v>
      </c>
      <c r="J140" s="61" t="s">
        <v>2511</v>
      </c>
      <c r="K140" s="62" t="s">
        <v>2511</v>
      </c>
      <c r="L140" s="60" t="s">
        <v>2389</v>
      </c>
      <c r="M140" s="61" t="s">
        <v>2523</v>
      </c>
      <c r="N140" s="61" t="s">
        <v>2511</v>
      </c>
      <c r="O140" s="61" t="s">
        <v>2511</v>
      </c>
      <c r="P140" s="62" t="s">
        <v>2511</v>
      </c>
      <c r="Q140" s="58" t="s">
        <v>143</v>
      </c>
      <c r="R140" s="58" t="s">
        <v>126</v>
      </c>
      <c r="S140" s="58" t="s">
        <v>112</v>
      </c>
      <c r="T140" s="58" t="s">
        <v>113</v>
      </c>
      <c r="U140" s="63" t="s">
        <v>126</v>
      </c>
      <c r="V140" s="138" t="s">
        <v>2926</v>
      </c>
      <c r="W140" s="57" t="s">
        <v>2917</v>
      </c>
      <c r="X140" s="126" t="s">
        <v>2927</v>
      </c>
      <c r="Y140" s="126" t="s">
        <v>2511</v>
      </c>
      <c r="Z140" s="57" t="s">
        <v>2514</v>
      </c>
      <c r="AA140" s="57" t="s">
        <v>2834</v>
      </c>
      <c r="AB140" s="57" t="s">
        <v>2393</v>
      </c>
      <c r="AC140" s="57" t="s">
        <v>2516</v>
      </c>
      <c r="AD140" s="65" t="str">
        <f t="shared" si="34"/>
        <v>SOC</v>
      </c>
      <c r="AE140" s="70"/>
      <c r="AF140" s="67" t="str">
        <f t="shared" si="30"/>
        <v>PULL_UP</v>
      </c>
      <c r="AG140" s="67" t="str">
        <f t="shared" si="31"/>
        <v>TRISTATE</v>
      </c>
      <c r="AH140" s="67" t="str">
        <f t="shared" si="35"/>
        <v>ENABLE</v>
      </c>
      <c r="AI140" s="71" t="str">
        <f t="shared" si="32"/>
        <v>N/A</v>
      </c>
      <c r="AJ140" s="189" t="b">
        <v>1</v>
      </c>
      <c r="AK140" s="189" t="b">
        <v>1</v>
      </c>
      <c r="AL140" s="189" t="b">
        <v>1</v>
      </c>
      <c r="AM140" s="189" t="b">
        <v>1</v>
      </c>
      <c r="AN140" s="189" t="b">
        <v>1</v>
      </c>
      <c r="AO140" s="189" t="b">
        <v>1</v>
      </c>
      <c r="AP140" s="69" t="str">
        <f t="shared" si="33"/>
        <v>VALID</v>
      </c>
      <c r="AQ140" s="166" t="s">
        <v>2925</v>
      </c>
      <c r="AR140" s="194" t="s">
        <v>862</v>
      </c>
      <c r="AS140" s="193" t="s">
        <v>873</v>
      </c>
      <c r="AT140" s="193" t="s">
        <v>117</v>
      </c>
      <c r="AU140" s="72"/>
      <c r="AV140" s="72"/>
      <c r="AW140" s="72"/>
      <c r="AX140" s="188" t="s">
        <v>136</v>
      </c>
      <c r="AY140" s="72"/>
      <c r="AZ140" s="193"/>
      <c r="BA140" s="193"/>
      <c r="BB140" s="8"/>
      <c r="BC140" s="140"/>
      <c r="BD140" s="11" t="s">
        <v>5580</v>
      </c>
      <c r="BE140" s="312" t="s">
        <v>5581</v>
      </c>
    </row>
    <row r="141" spans="1:57" ht="12.95" hidden="1" customHeight="1">
      <c r="A141" s="248" t="e">
        <v>#N/A</v>
      </c>
      <c r="B141" s="252" t="e">
        <v>#N/A</v>
      </c>
      <c r="C141" s="263" t="s">
        <v>44</v>
      </c>
      <c r="D141" s="239" t="s">
        <v>2928</v>
      </c>
      <c r="E141" s="58"/>
      <c r="F141" s="59" t="s">
        <v>166</v>
      </c>
      <c r="G141" s="191" t="s">
        <v>2929</v>
      </c>
      <c r="H141" s="192" t="s">
        <v>924</v>
      </c>
      <c r="I141" s="61" t="s">
        <v>2511</v>
      </c>
      <c r="J141" s="61" t="s">
        <v>2511</v>
      </c>
      <c r="K141" s="62" t="s">
        <v>2511</v>
      </c>
      <c r="L141" s="60" t="s">
        <v>2389</v>
      </c>
      <c r="M141" s="61" t="s">
        <v>2389</v>
      </c>
      <c r="N141" s="61" t="s">
        <v>2511</v>
      </c>
      <c r="O141" s="61" t="s">
        <v>2511</v>
      </c>
      <c r="P141" s="62" t="s">
        <v>2511</v>
      </c>
      <c r="Q141" s="58" t="s">
        <v>842</v>
      </c>
      <c r="R141" s="58" t="s">
        <v>126</v>
      </c>
      <c r="S141" s="58" t="s">
        <v>112</v>
      </c>
      <c r="T141" s="58" t="s">
        <v>113</v>
      </c>
      <c r="U141" s="63" t="s">
        <v>126</v>
      </c>
      <c r="V141" s="138" t="s">
        <v>2930</v>
      </c>
      <c r="W141" s="57" t="s">
        <v>2917</v>
      </c>
      <c r="X141" s="126" t="s">
        <v>2511</v>
      </c>
      <c r="Y141" s="126" t="s">
        <v>2511</v>
      </c>
      <c r="Z141" s="57" t="s">
        <v>2817</v>
      </c>
      <c r="AA141" s="57" t="s">
        <v>2920</v>
      </c>
      <c r="AB141" s="57" t="s">
        <v>2393</v>
      </c>
      <c r="AC141" s="57" t="s">
        <v>2631</v>
      </c>
      <c r="AD141" s="65" t="str">
        <f t="shared" si="34"/>
        <v>I2C5</v>
      </c>
      <c r="AE141" s="70"/>
      <c r="AF141" s="67" t="str">
        <f t="shared" si="30"/>
        <v>NORMAL</v>
      </c>
      <c r="AG141" s="67" t="str">
        <f t="shared" si="31"/>
        <v>NORMAL</v>
      </c>
      <c r="AH141" s="67" t="str">
        <f t="shared" si="35"/>
        <v>ENABLE</v>
      </c>
      <c r="AI141" s="71" t="str">
        <f t="shared" si="32"/>
        <v>N/A</v>
      </c>
      <c r="AJ141" s="189" t="b">
        <v>1</v>
      </c>
      <c r="AK141" s="189" t="b">
        <v>1</v>
      </c>
      <c r="AL141" s="189" t="b">
        <v>1</v>
      </c>
      <c r="AM141" s="189" t="b">
        <v>1</v>
      </c>
      <c r="AN141" s="189" t="b">
        <v>1</v>
      </c>
      <c r="AO141" s="189" t="b">
        <v>1</v>
      </c>
      <c r="AP141" s="69" t="str">
        <f t="shared" si="33"/>
        <v>VALID</v>
      </c>
      <c r="AQ141" s="169" t="s">
        <v>924</v>
      </c>
      <c r="AR141" s="170" t="s">
        <v>860</v>
      </c>
      <c r="AS141" s="9"/>
      <c r="AT141" s="10"/>
      <c r="AU141" s="10"/>
      <c r="AV141" s="10"/>
      <c r="AW141" s="188" t="s">
        <v>136</v>
      </c>
      <c r="AX141" s="188" t="s">
        <v>136</v>
      </c>
      <c r="AY141" s="10"/>
      <c r="AZ141" s="9" t="s">
        <v>5544</v>
      </c>
      <c r="BA141" s="9"/>
      <c r="BB141" s="14"/>
      <c r="BC141" s="141"/>
      <c r="BD141" s="12" t="s">
        <v>44</v>
      </c>
      <c r="BE141" s="336" t="s">
        <v>5582</v>
      </c>
    </row>
    <row r="142" spans="1:57" ht="12.95" hidden="1" customHeight="1">
      <c r="A142" s="248" t="e">
        <v>#N/A</v>
      </c>
      <c r="B142" s="252" t="e">
        <v>#N/A</v>
      </c>
      <c r="C142" s="263" t="s">
        <v>45</v>
      </c>
      <c r="D142" s="239" t="s">
        <v>2931</v>
      </c>
      <c r="E142" s="58"/>
      <c r="F142" s="59" t="s">
        <v>167</v>
      </c>
      <c r="G142" s="191" t="s">
        <v>2932</v>
      </c>
      <c r="H142" s="192" t="s">
        <v>925</v>
      </c>
      <c r="I142" s="61" t="s">
        <v>2511</v>
      </c>
      <c r="J142" s="61" t="s">
        <v>2511</v>
      </c>
      <c r="K142" s="62" t="s">
        <v>2511</v>
      </c>
      <c r="L142" s="60" t="s">
        <v>2389</v>
      </c>
      <c r="M142" s="61" t="s">
        <v>2389</v>
      </c>
      <c r="N142" s="61" t="s">
        <v>2511</v>
      </c>
      <c r="O142" s="61" t="s">
        <v>2511</v>
      </c>
      <c r="P142" s="62" t="s">
        <v>2511</v>
      </c>
      <c r="Q142" s="58" t="s">
        <v>842</v>
      </c>
      <c r="R142" s="58" t="s">
        <v>126</v>
      </c>
      <c r="S142" s="58" t="s">
        <v>112</v>
      </c>
      <c r="T142" s="58" t="s">
        <v>113</v>
      </c>
      <c r="U142" s="63" t="s">
        <v>126</v>
      </c>
      <c r="V142" s="138" t="s">
        <v>2933</v>
      </c>
      <c r="W142" s="57" t="s">
        <v>2917</v>
      </c>
      <c r="X142" s="126" t="s">
        <v>2934</v>
      </c>
      <c r="Y142" s="126" t="s">
        <v>2511</v>
      </c>
      <c r="Z142" s="57" t="s">
        <v>2817</v>
      </c>
      <c r="AA142" s="57" t="s">
        <v>2920</v>
      </c>
      <c r="AB142" s="57" t="s">
        <v>2393</v>
      </c>
      <c r="AC142" s="57" t="s">
        <v>2631</v>
      </c>
      <c r="AD142" s="65" t="str">
        <f t="shared" si="34"/>
        <v>I2C5</v>
      </c>
      <c r="AE142" s="70"/>
      <c r="AF142" s="67" t="str">
        <f t="shared" si="30"/>
        <v>NORMAL</v>
      </c>
      <c r="AG142" s="67" t="str">
        <f t="shared" si="31"/>
        <v>NORMAL</v>
      </c>
      <c r="AH142" s="67" t="str">
        <f t="shared" si="35"/>
        <v>ENABLE</v>
      </c>
      <c r="AI142" s="71" t="str">
        <f t="shared" si="32"/>
        <v>N/A</v>
      </c>
      <c r="AJ142" s="189" t="b">
        <v>1</v>
      </c>
      <c r="AK142" s="189" t="b">
        <v>1</v>
      </c>
      <c r="AL142" s="189" t="b">
        <v>1</v>
      </c>
      <c r="AM142" s="189" t="b">
        <v>1</v>
      </c>
      <c r="AN142" s="189" t="b">
        <v>1</v>
      </c>
      <c r="AO142" s="189" t="b">
        <v>1</v>
      </c>
      <c r="AP142" s="65" t="str">
        <f t="shared" si="33"/>
        <v>VALID</v>
      </c>
      <c r="AQ142" s="221" t="s">
        <v>925</v>
      </c>
      <c r="AR142" s="194" t="s">
        <v>860</v>
      </c>
      <c r="AS142" s="193"/>
      <c r="AT142" s="193" t="s">
        <v>117</v>
      </c>
      <c r="AU142" s="72"/>
      <c r="AV142" s="72"/>
      <c r="AW142" s="188" t="s">
        <v>136</v>
      </c>
      <c r="AX142" s="188" t="s">
        <v>136</v>
      </c>
      <c r="AY142" s="72"/>
      <c r="AZ142" s="193" t="s">
        <v>5544</v>
      </c>
      <c r="BA142" s="193"/>
      <c r="BB142" s="193"/>
      <c r="BC142" s="140"/>
      <c r="BD142" s="8" t="s">
        <v>44</v>
      </c>
      <c r="BE142" s="338"/>
    </row>
    <row r="143" spans="1:57" ht="12.95" hidden="1" customHeight="1">
      <c r="A143" s="248" t="e">
        <v>#N/A</v>
      </c>
      <c r="B143" s="252" t="e">
        <v>#N/A</v>
      </c>
      <c r="C143" s="263" t="s">
        <v>724</v>
      </c>
      <c r="D143" s="239" t="s">
        <v>2935</v>
      </c>
      <c r="E143" s="58"/>
      <c r="F143" s="59" t="s">
        <v>794</v>
      </c>
      <c r="G143" s="191" t="s">
        <v>2511</v>
      </c>
      <c r="H143" s="192" t="s">
        <v>877</v>
      </c>
      <c r="I143" s="61" t="s">
        <v>2511</v>
      </c>
      <c r="J143" s="61" t="s">
        <v>2511</v>
      </c>
      <c r="K143" s="62" t="s">
        <v>2511</v>
      </c>
      <c r="L143" s="60" t="s">
        <v>2511</v>
      </c>
      <c r="M143" s="61" t="s">
        <v>2523</v>
      </c>
      <c r="N143" s="61" t="s">
        <v>2511</v>
      </c>
      <c r="O143" s="61" t="s">
        <v>2511</v>
      </c>
      <c r="P143" s="62" t="s">
        <v>2511</v>
      </c>
      <c r="Q143" s="224"/>
      <c r="R143" s="224"/>
      <c r="S143" s="224"/>
      <c r="T143" s="224"/>
      <c r="U143" s="225"/>
      <c r="V143" s="137" t="s">
        <v>2936</v>
      </c>
      <c r="W143" s="57" t="s">
        <v>2917</v>
      </c>
      <c r="X143" s="126" t="s">
        <v>2937</v>
      </c>
      <c r="Y143" s="126" t="s">
        <v>2511</v>
      </c>
      <c r="Z143" s="57" t="s">
        <v>2514</v>
      </c>
      <c r="AA143" s="57" t="s">
        <v>2834</v>
      </c>
      <c r="AB143" s="57" t="s">
        <v>2393</v>
      </c>
      <c r="AC143" s="57" t="s">
        <v>2631</v>
      </c>
      <c r="AD143" s="70"/>
      <c r="AE143" s="70"/>
      <c r="AF143" s="67" t="str">
        <f t="shared" si="30"/>
        <v>PULL_UP</v>
      </c>
      <c r="AG143" s="67" t="str">
        <f t="shared" si="31"/>
        <v>TRISTATE</v>
      </c>
      <c r="AH143" s="67" t="str">
        <f t="shared" si="35"/>
        <v>ENABLE</v>
      </c>
      <c r="AI143" s="71" t="str">
        <f t="shared" si="32"/>
        <v>N/A</v>
      </c>
      <c r="AJ143" s="189" t="b">
        <v>1</v>
      </c>
      <c r="AK143" s="189" t="b">
        <v>1</v>
      </c>
      <c r="AL143" s="189" t="b">
        <v>1</v>
      </c>
      <c r="AM143" s="189" t="b">
        <v>1</v>
      </c>
      <c r="AN143" s="189" t="b">
        <v>1</v>
      </c>
      <c r="AO143" s="189" t="b">
        <v>1</v>
      </c>
      <c r="AP143" s="69" t="str">
        <f t="shared" si="33"/>
        <v>VALID</v>
      </c>
      <c r="AQ143" s="178" t="s">
        <v>877</v>
      </c>
      <c r="AR143" s="179" t="s">
        <v>862</v>
      </c>
      <c r="AS143" s="180" t="s">
        <v>873</v>
      </c>
      <c r="AT143" s="193" t="s">
        <v>863</v>
      </c>
      <c r="AU143" s="22"/>
      <c r="AV143" s="22"/>
      <c r="AW143" s="22"/>
      <c r="AX143" s="188" t="s">
        <v>136</v>
      </c>
      <c r="AY143" s="22"/>
      <c r="AZ143" s="180"/>
      <c r="BA143" s="180"/>
      <c r="BB143" s="182" t="s">
        <v>114</v>
      </c>
      <c r="BC143" s="183"/>
      <c r="BD143" s="313" t="s">
        <v>5583</v>
      </c>
      <c r="BE143" s="312" t="s">
        <v>5584</v>
      </c>
    </row>
    <row r="144" spans="1:57" ht="12.95" customHeight="1">
      <c r="A144" s="250" t="s">
        <v>5681</v>
      </c>
      <c r="B144" s="253">
        <v>178</v>
      </c>
      <c r="C144" s="285" t="s">
        <v>266</v>
      </c>
      <c r="D144" s="239" t="s">
        <v>2938</v>
      </c>
      <c r="E144" s="58"/>
      <c r="F144" s="59" t="s">
        <v>793</v>
      </c>
      <c r="G144" s="191" t="s">
        <v>2511</v>
      </c>
      <c r="H144" s="192" t="s">
        <v>266</v>
      </c>
      <c r="I144" s="61" t="s">
        <v>2511</v>
      </c>
      <c r="J144" s="61" t="s">
        <v>2511</v>
      </c>
      <c r="K144" s="62" t="s">
        <v>2511</v>
      </c>
      <c r="L144" s="60" t="s">
        <v>2511</v>
      </c>
      <c r="M144" s="61" t="s">
        <v>2388</v>
      </c>
      <c r="N144" s="61" t="s">
        <v>2511</v>
      </c>
      <c r="O144" s="61" t="s">
        <v>2511</v>
      </c>
      <c r="P144" s="62" t="s">
        <v>2511</v>
      </c>
      <c r="Q144" s="224"/>
      <c r="R144" s="224"/>
      <c r="S144" s="224"/>
      <c r="T144" s="224"/>
      <c r="U144" s="226"/>
      <c r="V144" s="138" t="s">
        <v>2939</v>
      </c>
      <c r="W144" s="57" t="s">
        <v>2917</v>
      </c>
      <c r="X144" s="126" t="s">
        <v>2511</v>
      </c>
      <c r="Y144" s="126" t="s">
        <v>2511</v>
      </c>
      <c r="Z144" s="57" t="s">
        <v>2514</v>
      </c>
      <c r="AA144" s="57" t="s">
        <v>2834</v>
      </c>
      <c r="AB144" s="57" t="s">
        <v>2393</v>
      </c>
      <c r="AC144" s="57">
        <v>1</v>
      </c>
      <c r="AD144" s="70"/>
      <c r="AE144" s="70"/>
      <c r="AF144" s="67" t="str">
        <f t="shared" si="30"/>
        <v>NORMAL</v>
      </c>
      <c r="AG144" s="67" t="str">
        <f t="shared" si="31"/>
        <v>NORMAL</v>
      </c>
      <c r="AH144" s="67" t="str">
        <f t="shared" si="35"/>
        <v>DISABLE</v>
      </c>
      <c r="AI144" s="71" t="str">
        <f t="shared" si="32"/>
        <v>N/A</v>
      </c>
      <c r="AJ144" s="189" t="b">
        <v>1</v>
      </c>
      <c r="AK144" s="189" t="b">
        <v>1</v>
      </c>
      <c r="AL144" s="189" t="b">
        <v>1</v>
      </c>
      <c r="AM144" s="189" t="b">
        <v>1</v>
      </c>
      <c r="AN144" s="189" t="b">
        <v>1</v>
      </c>
      <c r="AO144" s="189" t="b">
        <v>1</v>
      </c>
      <c r="AP144" s="69" t="str">
        <f t="shared" si="33"/>
        <v>VALID</v>
      </c>
      <c r="AQ144" s="166" t="s">
        <v>266</v>
      </c>
      <c r="AR144" s="194" t="s">
        <v>861</v>
      </c>
      <c r="AS144" s="193" t="s">
        <v>878</v>
      </c>
      <c r="AT144" s="72"/>
      <c r="AU144" s="72"/>
      <c r="AV144" s="72"/>
      <c r="AW144" s="72"/>
      <c r="AX144" s="188" t="s">
        <v>136</v>
      </c>
      <c r="AY144" s="72"/>
      <c r="AZ144" s="193"/>
      <c r="BA144" s="193"/>
      <c r="BB144" s="8"/>
      <c r="BC144" s="140"/>
      <c r="BD144" s="11" t="s">
        <v>266</v>
      </c>
      <c r="BE144" s="312" t="s">
        <v>5585</v>
      </c>
    </row>
    <row r="145" spans="1:57" ht="12.95" hidden="1" customHeight="1">
      <c r="A145" s="248" t="e">
        <v>#N/A</v>
      </c>
      <c r="B145" s="252" t="e">
        <v>#N/A</v>
      </c>
      <c r="C145" s="263" t="s">
        <v>1007</v>
      </c>
      <c r="D145" s="239" t="s">
        <v>2940</v>
      </c>
      <c r="E145" s="58"/>
      <c r="F145" s="59" t="s">
        <v>1829</v>
      </c>
      <c r="G145" s="191" t="s">
        <v>948</v>
      </c>
      <c r="H145" s="192" t="s">
        <v>2941</v>
      </c>
      <c r="I145" s="61" t="s">
        <v>2511</v>
      </c>
      <c r="J145" s="61" t="s">
        <v>2511</v>
      </c>
      <c r="K145" s="62" t="s">
        <v>2511</v>
      </c>
      <c r="L145" s="60" t="s">
        <v>2389</v>
      </c>
      <c r="M145" s="61" t="s">
        <v>2389</v>
      </c>
      <c r="N145" s="61" t="s">
        <v>2511</v>
      </c>
      <c r="O145" s="61" t="s">
        <v>2511</v>
      </c>
      <c r="P145" s="62" t="s">
        <v>2511</v>
      </c>
      <c r="Q145" s="58" t="s">
        <v>81</v>
      </c>
      <c r="R145" s="58" t="s">
        <v>126</v>
      </c>
      <c r="S145" s="58" t="s">
        <v>112</v>
      </c>
      <c r="T145" s="58" t="s">
        <v>113</v>
      </c>
      <c r="U145" s="63" t="s">
        <v>126</v>
      </c>
      <c r="V145" s="138" t="s">
        <v>2942</v>
      </c>
      <c r="W145" s="57" t="s">
        <v>2917</v>
      </c>
      <c r="X145" s="126" t="s">
        <v>2943</v>
      </c>
      <c r="Y145" s="126" t="s">
        <v>2511</v>
      </c>
      <c r="Z145" s="57" t="s">
        <v>2817</v>
      </c>
      <c r="AA145" s="57" t="s">
        <v>2920</v>
      </c>
      <c r="AB145" s="57" t="s">
        <v>2393</v>
      </c>
      <c r="AC145" s="57" t="s">
        <v>2631</v>
      </c>
      <c r="AD145" s="65" t="str">
        <f t="shared" si="34"/>
        <v>RSVD1</v>
      </c>
      <c r="AE145" s="70"/>
      <c r="AF145" s="67" t="str">
        <f t="shared" si="30"/>
        <v>PULL_DOWN</v>
      </c>
      <c r="AG145" s="67" t="str">
        <f t="shared" si="31"/>
        <v>TRISTATE</v>
      </c>
      <c r="AH145" s="67" t="str">
        <f t="shared" si="35"/>
        <v>DISABLE</v>
      </c>
      <c r="AI145" s="71" t="str">
        <f t="shared" si="32"/>
        <v>N/A</v>
      </c>
      <c r="AJ145" s="189" t="b">
        <v>1</v>
      </c>
      <c r="AK145" s="189" t="b">
        <v>1</v>
      </c>
      <c r="AL145" s="189" t="b">
        <v>1</v>
      </c>
      <c r="AM145" s="189" t="b">
        <v>1</v>
      </c>
      <c r="AN145" s="189" t="b">
        <v>1</v>
      </c>
      <c r="AO145" s="189" t="b">
        <v>1</v>
      </c>
      <c r="AP145" s="69" t="str">
        <f t="shared" si="33"/>
        <v>VALID</v>
      </c>
      <c r="AQ145" s="166" t="s">
        <v>1829</v>
      </c>
      <c r="AR145" s="194" t="s">
        <v>79</v>
      </c>
      <c r="AS145" s="193"/>
      <c r="AT145" s="193" t="s">
        <v>117</v>
      </c>
      <c r="AU145" s="72"/>
      <c r="AV145" s="72"/>
      <c r="AW145" s="188" t="s">
        <v>136</v>
      </c>
      <c r="AX145" s="188" t="s">
        <v>136</v>
      </c>
      <c r="AY145" s="72"/>
      <c r="AZ145" s="193"/>
      <c r="BA145" s="193"/>
      <c r="BB145" s="8"/>
      <c r="BC145" s="140"/>
      <c r="BD145" s="147" t="s">
        <v>83</v>
      </c>
      <c r="BE145" s="147" t="s">
        <v>83</v>
      </c>
    </row>
    <row r="146" spans="1:57" s="301" customFormat="1" ht="12.95" hidden="1" customHeight="1">
      <c r="A146" s="248" t="e">
        <v>#N/A</v>
      </c>
      <c r="B146" s="252" t="e">
        <v>#N/A</v>
      </c>
      <c r="C146" s="263" t="s">
        <v>727</v>
      </c>
      <c r="D146" s="285" t="s">
        <v>2944</v>
      </c>
      <c r="E146" s="7"/>
      <c r="F146" s="190" t="s">
        <v>792</v>
      </c>
      <c r="G146" s="286" t="s">
        <v>2176</v>
      </c>
      <c r="H146" s="287" t="s">
        <v>2507</v>
      </c>
      <c r="I146" s="288" t="s">
        <v>2511</v>
      </c>
      <c r="J146" s="288" t="s">
        <v>2511</v>
      </c>
      <c r="K146" s="289" t="s">
        <v>2511</v>
      </c>
      <c r="L146" s="290" t="s">
        <v>2389</v>
      </c>
      <c r="M146" s="288" t="s">
        <v>2523</v>
      </c>
      <c r="N146" s="288" t="s">
        <v>2511</v>
      </c>
      <c r="O146" s="288" t="s">
        <v>2511</v>
      </c>
      <c r="P146" s="289" t="s">
        <v>2511</v>
      </c>
      <c r="Q146" s="7" t="s">
        <v>143</v>
      </c>
      <c r="R146" s="7" t="s">
        <v>126</v>
      </c>
      <c r="S146" s="7" t="s">
        <v>112</v>
      </c>
      <c r="T146" s="7" t="s">
        <v>113</v>
      </c>
      <c r="U146" s="291" t="s">
        <v>126</v>
      </c>
      <c r="V146" s="292" t="s">
        <v>2945</v>
      </c>
      <c r="W146" s="293" t="s">
        <v>2917</v>
      </c>
      <c r="X146" s="294" t="s">
        <v>2946</v>
      </c>
      <c r="Y146" s="294" t="s">
        <v>2511</v>
      </c>
      <c r="Z146" s="293" t="s">
        <v>2514</v>
      </c>
      <c r="AA146" s="293" t="s">
        <v>2834</v>
      </c>
      <c r="AB146" s="293" t="s">
        <v>2393</v>
      </c>
      <c r="AC146" s="293" t="s">
        <v>2516</v>
      </c>
      <c r="AD146" s="295" t="str">
        <f t="shared" si="34"/>
        <v>SOC</v>
      </c>
      <c r="AE146" s="202"/>
      <c r="AF146" s="202" t="str">
        <f t="shared" si="30"/>
        <v>PULL_UP</v>
      </c>
      <c r="AG146" s="202" t="str">
        <f t="shared" si="31"/>
        <v>TRISTATE</v>
      </c>
      <c r="AH146" s="202" t="str">
        <f t="shared" si="35"/>
        <v>ENABLE</v>
      </c>
      <c r="AI146" s="296" t="str">
        <f t="shared" si="32"/>
        <v>N/A</v>
      </c>
      <c r="AJ146" s="297" t="b">
        <v>1</v>
      </c>
      <c r="AK146" s="297" t="b">
        <v>1</v>
      </c>
      <c r="AL146" s="297" t="b">
        <v>1</v>
      </c>
      <c r="AM146" s="297" t="b">
        <v>1</v>
      </c>
      <c r="AN146" s="297" t="b">
        <v>1</v>
      </c>
      <c r="AO146" s="297" t="b">
        <v>1</v>
      </c>
      <c r="AP146" s="298" t="str">
        <f t="shared" si="33"/>
        <v>VALID</v>
      </c>
      <c r="AQ146" s="166" t="s">
        <v>2507</v>
      </c>
      <c r="AR146" s="194" t="s">
        <v>862</v>
      </c>
      <c r="AS146" s="193" t="s">
        <v>873</v>
      </c>
      <c r="AT146" s="193" t="s">
        <v>117</v>
      </c>
      <c r="AU146" s="299"/>
      <c r="AV146" s="72"/>
      <c r="AW146" s="72"/>
      <c r="AX146" s="188" t="s">
        <v>136</v>
      </c>
      <c r="AY146" s="72"/>
      <c r="AZ146" s="193"/>
      <c r="BA146" s="193"/>
      <c r="BB146" s="300"/>
      <c r="BC146" s="140"/>
      <c r="BD146" s="313" t="s">
        <v>5586</v>
      </c>
      <c r="BE146" s="312" t="s">
        <v>5587</v>
      </c>
    </row>
    <row r="147" spans="1:57" ht="12.95" hidden="1" customHeight="1">
      <c r="A147" s="248" t="e">
        <v>#N/A</v>
      </c>
      <c r="B147" s="252" t="e">
        <v>#N/A</v>
      </c>
      <c r="C147" s="263" t="s">
        <v>174</v>
      </c>
      <c r="D147" s="239" t="s">
        <v>2947</v>
      </c>
      <c r="E147" s="58"/>
      <c r="F147" s="59" t="s">
        <v>491</v>
      </c>
      <c r="G147" s="191" t="s">
        <v>2511</v>
      </c>
      <c r="H147" s="192" t="s">
        <v>174</v>
      </c>
      <c r="I147" s="61" t="s">
        <v>2511</v>
      </c>
      <c r="J147" s="61" t="s">
        <v>2511</v>
      </c>
      <c r="K147" s="62" t="s">
        <v>2511</v>
      </c>
      <c r="L147" s="60" t="s">
        <v>2511</v>
      </c>
      <c r="M147" s="61" t="s">
        <v>2523</v>
      </c>
      <c r="N147" s="61" t="s">
        <v>2511</v>
      </c>
      <c r="O147" s="61" t="s">
        <v>2511</v>
      </c>
      <c r="P147" s="62" t="s">
        <v>2511</v>
      </c>
      <c r="Q147" s="224"/>
      <c r="R147" s="224"/>
      <c r="S147" s="224"/>
      <c r="T147" s="224"/>
      <c r="U147" s="226"/>
      <c r="V147" s="138" t="s">
        <v>2948</v>
      </c>
      <c r="W147" s="57" t="s">
        <v>2917</v>
      </c>
      <c r="X147" s="126" t="s">
        <v>2511</v>
      </c>
      <c r="Y147" s="126" t="s">
        <v>2511</v>
      </c>
      <c r="Z147" s="57" t="s">
        <v>2514</v>
      </c>
      <c r="AA147" s="57" t="s">
        <v>2834</v>
      </c>
      <c r="AB147" s="57" t="s">
        <v>2393</v>
      </c>
      <c r="AC147" s="57" t="s">
        <v>2631</v>
      </c>
      <c r="AD147" s="70"/>
      <c r="AE147" s="70"/>
      <c r="AF147" s="67" t="str">
        <f t="shared" si="30"/>
        <v>NORMAL</v>
      </c>
      <c r="AG147" s="67" t="str">
        <f t="shared" si="31"/>
        <v>TRISTATE</v>
      </c>
      <c r="AH147" s="67" t="str">
        <f t="shared" si="35"/>
        <v>ENABLE</v>
      </c>
      <c r="AI147" s="71" t="str">
        <f t="shared" si="32"/>
        <v>N/A</v>
      </c>
      <c r="AJ147" s="189" t="b">
        <v>1</v>
      </c>
      <c r="AK147" s="189" t="b">
        <v>1</v>
      </c>
      <c r="AL147" s="189" t="b">
        <v>1</v>
      </c>
      <c r="AM147" s="189" t="b">
        <v>1</v>
      </c>
      <c r="AN147" s="189" t="b">
        <v>1</v>
      </c>
      <c r="AO147" s="189" t="b">
        <v>1</v>
      </c>
      <c r="AP147" s="69" t="str">
        <f t="shared" si="33"/>
        <v>VALID</v>
      </c>
      <c r="AQ147" s="166" t="s">
        <v>174</v>
      </c>
      <c r="AR147" s="194" t="s">
        <v>862</v>
      </c>
      <c r="AS147" s="193"/>
      <c r="AT147" s="72"/>
      <c r="AU147" s="72"/>
      <c r="AV147" s="72"/>
      <c r="AW147" s="72"/>
      <c r="AX147" s="188" t="s">
        <v>136</v>
      </c>
      <c r="AY147" s="72"/>
      <c r="AZ147" s="193"/>
      <c r="BA147" s="193"/>
      <c r="BB147" s="8"/>
      <c r="BC147" s="140"/>
      <c r="BD147" s="11" t="s">
        <v>5588</v>
      </c>
      <c r="BE147" s="312" t="s">
        <v>5589</v>
      </c>
    </row>
    <row r="148" spans="1:57" ht="12.95" customHeight="1">
      <c r="A148" s="247" t="s">
        <v>5495</v>
      </c>
      <c r="B148" s="251">
        <v>240</v>
      </c>
      <c r="C148" s="239" t="s">
        <v>287</v>
      </c>
      <c r="D148" s="239" t="s">
        <v>2949</v>
      </c>
      <c r="E148" s="58"/>
      <c r="F148" s="59" t="s">
        <v>789</v>
      </c>
      <c r="G148" s="191" t="s">
        <v>2177</v>
      </c>
      <c r="H148" s="192" t="s">
        <v>2511</v>
      </c>
      <c r="I148" s="61" t="s">
        <v>2511</v>
      </c>
      <c r="J148" s="61" t="s">
        <v>2511</v>
      </c>
      <c r="K148" s="62" t="s">
        <v>2511</v>
      </c>
      <c r="L148" s="60" t="s">
        <v>2389</v>
      </c>
      <c r="M148" s="61" t="s">
        <v>2511</v>
      </c>
      <c r="N148" s="61" t="s">
        <v>2511</v>
      </c>
      <c r="O148" s="61" t="s">
        <v>2511</v>
      </c>
      <c r="P148" s="62" t="s">
        <v>2511</v>
      </c>
      <c r="Q148" s="58" t="s">
        <v>552</v>
      </c>
      <c r="R148" s="58" t="s">
        <v>126</v>
      </c>
      <c r="S148" s="58" t="s">
        <v>112</v>
      </c>
      <c r="T148" s="58" t="s">
        <v>113</v>
      </c>
      <c r="U148" s="63" t="s">
        <v>552</v>
      </c>
      <c r="V148" s="138" t="s">
        <v>2950</v>
      </c>
      <c r="W148" s="57" t="s">
        <v>2917</v>
      </c>
      <c r="X148" s="126" t="s">
        <v>2951</v>
      </c>
      <c r="Y148" s="126" t="s">
        <v>2511</v>
      </c>
      <c r="Z148" s="57" t="s">
        <v>2514</v>
      </c>
      <c r="AA148" s="57" t="s">
        <v>2834</v>
      </c>
      <c r="AB148" s="57" t="s">
        <v>2393</v>
      </c>
      <c r="AC148" s="57" t="s">
        <v>2516</v>
      </c>
      <c r="AD148" s="65" t="str">
        <f t="shared" si="34"/>
        <v>GPIO_PEE4</v>
      </c>
      <c r="AE148" s="70"/>
      <c r="AF148" s="67" t="str">
        <f t="shared" si="30"/>
        <v>PULL_UP</v>
      </c>
      <c r="AG148" s="67" t="str">
        <f t="shared" si="31"/>
        <v>TRISTATE</v>
      </c>
      <c r="AH148" s="67" t="str">
        <f t="shared" si="35"/>
        <v>ENABLE</v>
      </c>
      <c r="AI148" s="71" t="str">
        <f t="shared" si="32"/>
        <v/>
      </c>
      <c r="AJ148" s="189" t="b">
        <v>1</v>
      </c>
      <c r="AK148" s="189" t="b">
        <v>1</v>
      </c>
      <c r="AL148" s="189" t="b">
        <v>1</v>
      </c>
      <c r="AM148" s="189" t="b">
        <v>1</v>
      </c>
      <c r="AN148" s="189" t="b">
        <v>1</v>
      </c>
      <c r="AO148" s="189" t="b">
        <v>1</v>
      </c>
      <c r="AP148" s="69" t="str">
        <f t="shared" si="33"/>
        <v>VALID</v>
      </c>
      <c r="AQ148" s="166" t="s">
        <v>2177</v>
      </c>
      <c r="AR148" s="194" t="s">
        <v>862</v>
      </c>
      <c r="AS148" s="193" t="s">
        <v>873</v>
      </c>
      <c r="AT148" s="193" t="s">
        <v>863</v>
      </c>
      <c r="AU148" s="72"/>
      <c r="AV148" s="72"/>
      <c r="AW148" s="72"/>
      <c r="AX148" s="188" t="s">
        <v>136</v>
      </c>
      <c r="AY148" s="72"/>
      <c r="AZ148" s="193"/>
      <c r="BA148" s="193"/>
      <c r="BB148" s="8"/>
      <c r="BC148" s="140"/>
      <c r="BD148" s="11" t="s">
        <v>5590</v>
      </c>
      <c r="BE148" s="311" t="s">
        <v>5591</v>
      </c>
    </row>
    <row r="149" spans="1:57" ht="12.95" hidden="1" customHeight="1">
      <c r="A149" s="248" t="e">
        <v>#N/A</v>
      </c>
      <c r="B149" s="252" t="e">
        <v>#N/A</v>
      </c>
      <c r="C149" s="263" t="s">
        <v>216</v>
      </c>
      <c r="D149" s="239" t="s">
        <v>2952</v>
      </c>
      <c r="E149" s="58"/>
      <c r="F149" s="59" t="s">
        <v>217</v>
      </c>
      <c r="G149" s="191" t="s">
        <v>2511</v>
      </c>
      <c r="H149" s="57" t="s">
        <v>216</v>
      </c>
      <c r="I149" s="61" t="s">
        <v>2511</v>
      </c>
      <c r="J149" s="61" t="s">
        <v>2511</v>
      </c>
      <c r="K149" s="62" t="s">
        <v>2511</v>
      </c>
      <c r="L149" s="60" t="s">
        <v>2511</v>
      </c>
      <c r="M149" s="61" t="s">
        <v>2953</v>
      </c>
      <c r="N149" s="61" t="s">
        <v>2511</v>
      </c>
      <c r="O149" s="61" t="s">
        <v>2511</v>
      </c>
      <c r="P149" s="62" t="s">
        <v>2511</v>
      </c>
      <c r="Q149" s="224"/>
      <c r="R149" s="224"/>
      <c r="S149" s="224"/>
      <c r="T149" s="224"/>
      <c r="U149" s="226"/>
      <c r="V149" s="138" t="s">
        <v>2954</v>
      </c>
      <c r="W149" s="57" t="s">
        <v>2917</v>
      </c>
      <c r="X149" s="126" t="s">
        <v>2511</v>
      </c>
      <c r="Y149" s="126" t="s">
        <v>2511</v>
      </c>
      <c r="Z149" s="57" t="s">
        <v>2511</v>
      </c>
      <c r="AA149" s="57" t="s">
        <v>2955</v>
      </c>
      <c r="AB149" s="57" t="s">
        <v>2511</v>
      </c>
      <c r="AC149" s="57" t="s">
        <v>2511</v>
      </c>
      <c r="AD149" s="70"/>
      <c r="AE149" s="70"/>
      <c r="AF149" s="67" t="str">
        <f t="shared" si="30"/>
        <v>PULL_DOWN</v>
      </c>
      <c r="AG149" s="67" t="str">
        <f t="shared" si="31"/>
        <v>TRISTATE</v>
      </c>
      <c r="AH149" s="67" t="str">
        <f t="shared" si="35"/>
        <v>DISABLE</v>
      </c>
      <c r="AI149" s="71" t="str">
        <f t="shared" si="32"/>
        <v>N/A</v>
      </c>
      <c r="AJ149" s="189" t="b">
        <v>1</v>
      </c>
      <c r="AK149" s="189" t="b">
        <v>1</v>
      </c>
      <c r="AL149" s="189" t="b">
        <v>1</v>
      </c>
      <c r="AM149" s="189" t="b">
        <v>1</v>
      </c>
      <c r="AN149" s="189" t="b">
        <v>1</v>
      </c>
      <c r="AO149" s="189" t="b">
        <v>1</v>
      </c>
      <c r="AP149" s="69" t="str">
        <f t="shared" si="33"/>
        <v>VALID</v>
      </c>
      <c r="AQ149" s="166" t="s">
        <v>217</v>
      </c>
      <c r="AR149" s="194" t="s">
        <v>79</v>
      </c>
      <c r="AS149" s="193"/>
      <c r="AT149" s="72"/>
      <c r="AU149" s="72"/>
      <c r="AV149" s="72"/>
      <c r="AW149" s="72"/>
      <c r="AX149" s="72"/>
      <c r="AY149" s="72"/>
      <c r="AZ149" s="193"/>
      <c r="BA149" s="193"/>
      <c r="BB149" s="8"/>
      <c r="BC149" s="140"/>
      <c r="BD149" s="147" t="s">
        <v>83</v>
      </c>
      <c r="BE149" s="147" t="s">
        <v>83</v>
      </c>
    </row>
    <row r="150" spans="1:57" ht="12.95" hidden="1" customHeight="1">
      <c r="A150" s="248" t="e">
        <v>#N/A</v>
      </c>
      <c r="B150" s="252" t="e">
        <v>#N/A</v>
      </c>
      <c r="C150" s="263" t="s">
        <v>218</v>
      </c>
      <c r="D150" s="239" t="s">
        <v>2956</v>
      </c>
      <c r="E150" s="58"/>
      <c r="F150" s="59" t="s">
        <v>219</v>
      </c>
      <c r="G150" s="191" t="s">
        <v>2511</v>
      </c>
      <c r="H150" s="57" t="s">
        <v>218</v>
      </c>
      <c r="I150" s="61" t="s">
        <v>2511</v>
      </c>
      <c r="J150" s="61" t="s">
        <v>2511</v>
      </c>
      <c r="K150" s="62" t="s">
        <v>2511</v>
      </c>
      <c r="L150" s="60" t="s">
        <v>2511</v>
      </c>
      <c r="M150" s="61" t="s">
        <v>2957</v>
      </c>
      <c r="N150" s="61" t="s">
        <v>2511</v>
      </c>
      <c r="O150" s="61" t="s">
        <v>2511</v>
      </c>
      <c r="P150" s="62" t="s">
        <v>2511</v>
      </c>
      <c r="Q150" s="224"/>
      <c r="R150" s="224"/>
      <c r="S150" s="224"/>
      <c r="T150" s="224"/>
      <c r="U150" s="226"/>
      <c r="V150" s="138" t="s">
        <v>2958</v>
      </c>
      <c r="W150" s="57" t="s">
        <v>2917</v>
      </c>
      <c r="X150" s="126" t="s">
        <v>2511</v>
      </c>
      <c r="Y150" s="126" t="s">
        <v>2511</v>
      </c>
      <c r="Z150" s="57" t="s">
        <v>2511</v>
      </c>
      <c r="AA150" s="57" t="s">
        <v>2955</v>
      </c>
      <c r="AB150" s="57" t="s">
        <v>2511</v>
      </c>
      <c r="AC150" s="57" t="s">
        <v>2511</v>
      </c>
      <c r="AD150" s="70"/>
      <c r="AE150" s="70"/>
      <c r="AF150" s="67" t="str">
        <f t="shared" si="30"/>
        <v>PULL_DOWN</v>
      </c>
      <c r="AG150" s="67" t="str">
        <f t="shared" si="31"/>
        <v>TRISTATE</v>
      </c>
      <c r="AH150" s="67" t="str">
        <f t="shared" si="35"/>
        <v>DISABLE</v>
      </c>
      <c r="AI150" s="71" t="str">
        <f t="shared" si="32"/>
        <v>N/A</v>
      </c>
      <c r="AJ150" s="189" t="b">
        <v>1</v>
      </c>
      <c r="AK150" s="189" t="b">
        <v>1</v>
      </c>
      <c r="AL150" s="189" t="b">
        <v>1</v>
      </c>
      <c r="AM150" s="189" t="b">
        <v>1</v>
      </c>
      <c r="AN150" s="189" t="b">
        <v>1</v>
      </c>
      <c r="AO150" s="189" t="b">
        <v>1</v>
      </c>
      <c r="AP150" s="69" t="str">
        <f t="shared" si="33"/>
        <v>VALID</v>
      </c>
      <c r="AQ150" s="166" t="s">
        <v>219</v>
      </c>
      <c r="AR150" s="194" t="s">
        <v>79</v>
      </c>
      <c r="AS150" s="193"/>
      <c r="AT150" s="72"/>
      <c r="AU150" s="72"/>
      <c r="AV150" s="72"/>
      <c r="AW150" s="72"/>
      <c r="AX150" s="72"/>
      <c r="AY150" s="72"/>
      <c r="AZ150" s="193"/>
      <c r="BA150" s="193"/>
      <c r="BB150" s="8"/>
      <c r="BC150" s="140"/>
      <c r="BD150" s="147" t="s">
        <v>83</v>
      </c>
      <c r="BE150" s="147" t="s">
        <v>83</v>
      </c>
    </row>
    <row r="151" spans="1:57" s="56" customFormat="1" ht="18" customHeight="1">
      <c r="A151" s="363"/>
      <c r="B151" s="364"/>
      <c r="C151" s="265" t="s">
        <v>830</v>
      </c>
      <c r="D151" s="266"/>
      <c r="E151" s="73"/>
      <c r="F151" s="73"/>
      <c r="G151" s="74"/>
      <c r="H151" s="74"/>
      <c r="I151" s="74"/>
      <c r="J151" s="74"/>
      <c r="K151" s="74"/>
      <c r="L151" s="73"/>
      <c r="M151" s="73"/>
      <c r="N151" s="73"/>
      <c r="O151" s="73"/>
      <c r="P151" s="73"/>
      <c r="Q151" s="73"/>
      <c r="R151" s="73"/>
      <c r="S151" s="73"/>
      <c r="T151" s="73"/>
      <c r="U151" s="73"/>
      <c r="V151" s="73"/>
      <c r="W151" s="73"/>
      <c r="X151" s="127"/>
      <c r="Y151" s="127"/>
      <c r="Z151" s="75"/>
      <c r="AA151" s="75"/>
      <c r="AB151" s="75"/>
      <c r="AC151" s="75"/>
      <c r="AD151" s="75"/>
      <c r="AE151" s="75"/>
      <c r="AF151" s="75"/>
      <c r="AG151" s="75"/>
      <c r="AH151" s="75"/>
      <c r="AI151" s="75"/>
      <c r="AJ151" s="53"/>
      <c r="AK151" s="53"/>
      <c r="AL151" s="53"/>
      <c r="AM151" s="53"/>
      <c r="AN151" s="53"/>
      <c r="AO151" s="53"/>
      <c r="AP151" s="53"/>
      <c r="AQ151" s="54"/>
      <c r="AR151" s="76"/>
      <c r="AS151" s="77"/>
      <c r="AT151" s="77"/>
      <c r="AU151" s="77"/>
      <c r="AV151" s="77"/>
      <c r="AW151" s="77"/>
      <c r="AX151" s="77"/>
      <c r="AY151" s="77"/>
      <c r="AZ151" s="77"/>
      <c r="BA151" s="77"/>
      <c r="BB151" s="77"/>
      <c r="BC151" s="175" t="s">
        <v>60</v>
      </c>
      <c r="BD151" s="77"/>
      <c r="BE151" s="227" t="s">
        <v>830</v>
      </c>
    </row>
    <row r="152" spans="1:57" ht="12.95" hidden="1" customHeight="1">
      <c r="A152" s="248" t="e">
        <v>#N/A</v>
      </c>
      <c r="B152" s="252" t="e">
        <v>#N/A</v>
      </c>
      <c r="C152" s="263" t="s">
        <v>732</v>
      </c>
      <c r="D152" s="239" t="s">
        <v>2959</v>
      </c>
      <c r="E152" s="58"/>
      <c r="F152" s="59" t="s">
        <v>803</v>
      </c>
      <c r="G152" s="191" t="s">
        <v>2452</v>
      </c>
      <c r="H152" s="192" t="s">
        <v>732</v>
      </c>
      <c r="I152" s="61" t="s">
        <v>2511</v>
      </c>
      <c r="J152" s="61" t="s">
        <v>2511</v>
      </c>
      <c r="K152" s="62" t="s">
        <v>2511</v>
      </c>
      <c r="L152" s="60" t="s">
        <v>2389</v>
      </c>
      <c r="M152" s="61" t="s">
        <v>2388</v>
      </c>
      <c r="N152" s="61" t="s">
        <v>2511</v>
      </c>
      <c r="O152" s="61" t="s">
        <v>2511</v>
      </c>
      <c r="P152" s="62" t="s">
        <v>2511</v>
      </c>
      <c r="Q152" s="58" t="s">
        <v>849</v>
      </c>
      <c r="R152" s="58" t="s">
        <v>126</v>
      </c>
      <c r="S152" s="58" t="s">
        <v>112</v>
      </c>
      <c r="T152" s="58" t="s">
        <v>113</v>
      </c>
      <c r="U152" s="63" t="s">
        <v>126</v>
      </c>
      <c r="V152" s="137" t="s">
        <v>2960</v>
      </c>
      <c r="W152" s="57" t="s">
        <v>2961</v>
      </c>
      <c r="X152" s="126" t="s">
        <v>2511</v>
      </c>
      <c r="Y152" s="126" t="s">
        <v>2511</v>
      </c>
      <c r="Z152" s="57" t="s">
        <v>2582</v>
      </c>
      <c r="AA152" s="57" t="s">
        <v>2962</v>
      </c>
      <c r="AB152" s="57" t="s">
        <v>2584</v>
      </c>
      <c r="AC152" s="57" t="s">
        <v>2548</v>
      </c>
      <c r="AD152" s="65" t="str">
        <f t="shared" ref="AD152:AD175" si="36">IF(OR($AQ152="",$AQ152=$F152),$U152,IF($AQ152=$G152,SUBSTITUTE(SUBSTITUTE($AQ152,"GPIO3_","GPIO_"),".0",""),IF($AQ152=$H152,$Q152,IF($AQ152=$I152,$R152,IF($AQ152=$J152,$S152,IF($AQ152=$K152,$T152,"INVALID"))))))</f>
        <v>RSVD1</v>
      </c>
      <c r="AE152" s="70"/>
      <c r="AF152" s="67" t="str">
        <f t="shared" ref="AF152:AF175" si="37">IF(AND(OR($AS152="Int PU",$AS152="Int PD"),OR(AND($AZ152&lt;&gt;"",$AZ152&lt;&gt;"0"),AND($BA152&lt;&gt;"",$BA152&lt;&gt;"0"))),"INVALID",IF(OR($AQ152=$F152,$AS152="Int PD"),"PULL_DOWN",IF(OR($AS152="Int PU",AND($AE152="YES",OR($AZ152="",$AZ152="0"),OR($BA152="",$BA152="0"),OR($AR152="Input",$AR152="Bidirectional"))),"PULL_UP","NORMAL")))</f>
        <v>PULL_DOWN</v>
      </c>
      <c r="AG152" s="67" t="str">
        <f t="shared" ref="AG152:AG175" si="38">IF($AR152="Input", "TRISTATE", IF($AS152="Z","TRISTATE",IF($AQ152=$F152,"TRISTATE","NORMAL")))</f>
        <v>TRISTATE</v>
      </c>
      <c r="AH152" s="67" t="str">
        <f t="shared" ref="AH152:AH163" si="39">IF(OR($AQ152=$F152,$AR152="Output"),"DISABLE","ENABLE")</f>
        <v>DISABLE</v>
      </c>
      <c r="AI152" s="71" t="str">
        <f t="shared" ref="AI152:AI175" si="40">IF($AQ152&lt;&gt;$G152,"N/A",IF($AS152="Drive 1", "1", IF($AS152="Drive 0", "0", "")))</f>
        <v>N/A</v>
      </c>
      <c r="AJ152" s="189" t="b">
        <v>1</v>
      </c>
      <c r="AK152" s="189" t="b">
        <v>1</v>
      </c>
      <c r="AL152" s="189" t="b">
        <v>1</v>
      </c>
      <c r="AM152" s="189" t="b">
        <v>1</v>
      </c>
      <c r="AN152" s="189" t="b">
        <v>1</v>
      </c>
      <c r="AO152" s="189" t="b">
        <v>1</v>
      </c>
      <c r="AP152" s="69" t="str">
        <f t="shared" ref="AP152:AP175" si="41">IF(AND($AJ152:$AO152), "VALID", "INVALID")</f>
        <v>VALID</v>
      </c>
      <c r="AQ152" s="168" t="s">
        <v>803</v>
      </c>
      <c r="AR152" s="2" t="s">
        <v>79</v>
      </c>
      <c r="AS152" s="4"/>
      <c r="AT152" s="3"/>
      <c r="AU152" s="140"/>
      <c r="AV152" s="181"/>
      <c r="AW152" s="3"/>
      <c r="AX152" s="22"/>
      <c r="AY152" s="22"/>
      <c r="AZ152" s="4"/>
      <c r="BA152" s="4"/>
      <c r="BB152" s="13" t="s">
        <v>114</v>
      </c>
      <c r="BC152" s="139"/>
      <c r="BD152" s="147" t="s">
        <v>83</v>
      </c>
      <c r="BE152" s="147" t="s">
        <v>83</v>
      </c>
    </row>
    <row r="153" spans="1:57" ht="12.95" hidden="1" customHeight="1">
      <c r="A153" s="248" t="e">
        <v>#N/A</v>
      </c>
      <c r="B153" s="252" t="e">
        <v>#N/A</v>
      </c>
      <c r="C153" s="263" t="s">
        <v>733</v>
      </c>
      <c r="D153" s="239" t="s">
        <v>2963</v>
      </c>
      <c r="E153" s="58"/>
      <c r="F153" s="59" t="s">
        <v>804</v>
      </c>
      <c r="G153" s="191" t="s">
        <v>2453</v>
      </c>
      <c r="H153" s="192" t="s">
        <v>733</v>
      </c>
      <c r="I153" s="61" t="s">
        <v>2511</v>
      </c>
      <c r="J153" s="61" t="s">
        <v>2511</v>
      </c>
      <c r="K153" s="62" t="s">
        <v>2511</v>
      </c>
      <c r="L153" s="60" t="s">
        <v>2389</v>
      </c>
      <c r="M153" s="61" t="s">
        <v>2523</v>
      </c>
      <c r="N153" s="61" t="s">
        <v>2511</v>
      </c>
      <c r="O153" s="61" t="s">
        <v>2511</v>
      </c>
      <c r="P153" s="62" t="s">
        <v>2511</v>
      </c>
      <c r="Q153" s="58" t="s">
        <v>849</v>
      </c>
      <c r="R153" s="58" t="s">
        <v>126</v>
      </c>
      <c r="S153" s="58" t="s">
        <v>112</v>
      </c>
      <c r="T153" s="58" t="s">
        <v>113</v>
      </c>
      <c r="U153" s="63" t="s">
        <v>126</v>
      </c>
      <c r="V153" s="138" t="s">
        <v>2964</v>
      </c>
      <c r="W153" s="57" t="s">
        <v>2961</v>
      </c>
      <c r="X153" s="126" t="s">
        <v>2965</v>
      </c>
      <c r="Y153" s="126" t="s">
        <v>2511</v>
      </c>
      <c r="Z153" s="57" t="s">
        <v>2582</v>
      </c>
      <c r="AA153" s="57" t="s">
        <v>2962</v>
      </c>
      <c r="AB153" s="57" t="s">
        <v>2584</v>
      </c>
      <c r="AC153" s="57" t="s">
        <v>2548</v>
      </c>
      <c r="AD153" s="65" t="str">
        <f t="shared" si="36"/>
        <v>RSVD1</v>
      </c>
      <c r="AE153" s="70"/>
      <c r="AF153" s="67" t="str">
        <f t="shared" si="37"/>
        <v>PULL_DOWN</v>
      </c>
      <c r="AG153" s="67" t="str">
        <f t="shared" si="38"/>
        <v>TRISTATE</v>
      </c>
      <c r="AH153" s="67" t="str">
        <f t="shared" si="39"/>
        <v>DISABLE</v>
      </c>
      <c r="AI153" s="71" t="str">
        <f t="shared" si="40"/>
        <v>N/A</v>
      </c>
      <c r="AJ153" s="189" t="b">
        <v>1</v>
      </c>
      <c r="AK153" s="189" t="b">
        <v>1</v>
      </c>
      <c r="AL153" s="189" t="b">
        <v>1</v>
      </c>
      <c r="AM153" s="189" t="b">
        <v>1</v>
      </c>
      <c r="AN153" s="189" t="b">
        <v>1</v>
      </c>
      <c r="AO153" s="189" t="b">
        <v>1</v>
      </c>
      <c r="AP153" s="69" t="str">
        <f t="shared" si="41"/>
        <v>VALID</v>
      </c>
      <c r="AQ153" s="166" t="s">
        <v>804</v>
      </c>
      <c r="AR153" s="194" t="s">
        <v>79</v>
      </c>
      <c r="AS153" s="193"/>
      <c r="AT153" s="193" t="s">
        <v>117</v>
      </c>
      <c r="AU153" s="140"/>
      <c r="AV153" s="140"/>
      <c r="AW153" s="72"/>
      <c r="AX153" s="72"/>
      <c r="AY153" s="72"/>
      <c r="AZ153" s="193"/>
      <c r="BA153" s="193"/>
      <c r="BB153" s="8"/>
      <c r="BC153" s="140"/>
      <c r="BD153" s="147" t="s">
        <v>83</v>
      </c>
      <c r="BE153" s="147" t="s">
        <v>83</v>
      </c>
    </row>
    <row r="154" spans="1:57" ht="12.95" customHeight="1">
      <c r="A154" s="247" t="s">
        <v>5424</v>
      </c>
      <c r="B154" s="251">
        <v>145</v>
      </c>
      <c r="C154" s="239" t="s">
        <v>734</v>
      </c>
      <c r="D154" s="239" t="s">
        <v>2966</v>
      </c>
      <c r="E154" s="58"/>
      <c r="F154" s="59" t="s">
        <v>805</v>
      </c>
      <c r="G154" s="191" t="s">
        <v>2454</v>
      </c>
      <c r="H154" s="192" t="s">
        <v>734</v>
      </c>
      <c r="I154" s="61" t="s">
        <v>2511</v>
      </c>
      <c r="J154" s="61" t="s">
        <v>2511</v>
      </c>
      <c r="K154" s="62" t="s">
        <v>2511</v>
      </c>
      <c r="L154" s="60" t="s">
        <v>2389</v>
      </c>
      <c r="M154" s="61" t="s">
        <v>2388</v>
      </c>
      <c r="N154" s="61" t="s">
        <v>2511</v>
      </c>
      <c r="O154" s="61" t="s">
        <v>2511</v>
      </c>
      <c r="P154" s="62" t="s">
        <v>2511</v>
      </c>
      <c r="Q154" s="58" t="s">
        <v>850</v>
      </c>
      <c r="R154" s="58" t="s">
        <v>126</v>
      </c>
      <c r="S154" s="58" t="s">
        <v>112</v>
      </c>
      <c r="T154" s="58" t="s">
        <v>113</v>
      </c>
      <c r="U154" s="63" t="s">
        <v>126</v>
      </c>
      <c r="V154" s="138" t="s">
        <v>2967</v>
      </c>
      <c r="W154" s="57" t="s">
        <v>2961</v>
      </c>
      <c r="X154" s="126" t="s">
        <v>2511</v>
      </c>
      <c r="Y154" s="126" t="s">
        <v>2511</v>
      </c>
      <c r="Z154" s="57" t="s">
        <v>2582</v>
      </c>
      <c r="AA154" s="57" t="s">
        <v>2962</v>
      </c>
      <c r="AB154" s="57" t="s">
        <v>2584</v>
      </c>
      <c r="AC154" s="57" t="s">
        <v>2548</v>
      </c>
      <c r="AD154" s="65" t="str">
        <f t="shared" si="36"/>
        <v>CAN0</v>
      </c>
      <c r="AE154" s="70"/>
      <c r="AF154" s="67" t="str">
        <f t="shared" si="37"/>
        <v>NORMAL</v>
      </c>
      <c r="AG154" s="67" t="str">
        <f t="shared" si="38"/>
        <v>NORMAL</v>
      </c>
      <c r="AH154" s="67" t="str">
        <f t="shared" si="39"/>
        <v>DISABLE</v>
      </c>
      <c r="AI154" s="71" t="str">
        <f t="shared" si="40"/>
        <v>N/A</v>
      </c>
      <c r="AJ154" s="189" t="b">
        <v>1</v>
      </c>
      <c r="AK154" s="189" t="b">
        <v>1</v>
      </c>
      <c r="AL154" s="189" t="b">
        <v>1</v>
      </c>
      <c r="AM154" s="189" t="b">
        <v>1</v>
      </c>
      <c r="AN154" s="189" t="b">
        <v>1</v>
      </c>
      <c r="AO154" s="189" t="b">
        <v>1</v>
      </c>
      <c r="AP154" s="69" t="str">
        <f t="shared" si="41"/>
        <v>VALID</v>
      </c>
      <c r="AQ154" s="166" t="s">
        <v>734</v>
      </c>
      <c r="AR154" s="194" t="s">
        <v>861</v>
      </c>
      <c r="AS154" s="193"/>
      <c r="AT154" s="72"/>
      <c r="AU154" s="140"/>
      <c r="AV154" s="140"/>
      <c r="AW154" s="72"/>
      <c r="AX154" s="72"/>
      <c r="AY154" s="72"/>
      <c r="AZ154" s="193"/>
      <c r="BA154" s="193"/>
      <c r="BB154" s="8"/>
      <c r="BC154" s="140"/>
      <c r="BD154" s="11" t="s">
        <v>734</v>
      </c>
      <c r="BE154" s="312" t="s">
        <v>5592</v>
      </c>
    </row>
    <row r="155" spans="1:57" ht="12.95" customHeight="1">
      <c r="A155" s="247" t="s">
        <v>5425</v>
      </c>
      <c r="B155" s="251">
        <v>143</v>
      </c>
      <c r="C155" s="239" t="s">
        <v>735</v>
      </c>
      <c r="D155" s="239" t="s">
        <v>2968</v>
      </c>
      <c r="E155" s="58"/>
      <c r="F155" s="59" t="s">
        <v>806</v>
      </c>
      <c r="G155" s="191" t="s">
        <v>2455</v>
      </c>
      <c r="H155" s="192" t="s">
        <v>735</v>
      </c>
      <c r="I155" s="61" t="s">
        <v>2511</v>
      </c>
      <c r="J155" s="61" t="s">
        <v>2511</v>
      </c>
      <c r="K155" s="62" t="s">
        <v>2511</v>
      </c>
      <c r="L155" s="60" t="s">
        <v>2389</v>
      </c>
      <c r="M155" s="61" t="s">
        <v>2523</v>
      </c>
      <c r="N155" s="61" t="s">
        <v>2511</v>
      </c>
      <c r="O155" s="61" t="s">
        <v>2511</v>
      </c>
      <c r="P155" s="62" t="s">
        <v>2511</v>
      </c>
      <c r="Q155" s="58" t="s">
        <v>850</v>
      </c>
      <c r="R155" s="58" t="s">
        <v>126</v>
      </c>
      <c r="S155" s="58" t="s">
        <v>112</v>
      </c>
      <c r="T155" s="58" t="s">
        <v>113</v>
      </c>
      <c r="U155" s="63" t="s">
        <v>126</v>
      </c>
      <c r="V155" s="138" t="s">
        <v>2969</v>
      </c>
      <c r="W155" s="57" t="s">
        <v>2961</v>
      </c>
      <c r="X155" s="126" t="s">
        <v>2970</v>
      </c>
      <c r="Y155" s="126" t="s">
        <v>2511</v>
      </c>
      <c r="Z155" s="57" t="s">
        <v>2582</v>
      </c>
      <c r="AA155" s="57" t="s">
        <v>2962</v>
      </c>
      <c r="AB155" s="57" t="s">
        <v>2584</v>
      </c>
      <c r="AC155" s="57" t="s">
        <v>2548</v>
      </c>
      <c r="AD155" s="65" t="str">
        <f t="shared" si="36"/>
        <v>CAN0</v>
      </c>
      <c r="AE155" s="70"/>
      <c r="AF155" s="67" t="str">
        <f t="shared" si="37"/>
        <v>NORMAL</v>
      </c>
      <c r="AG155" s="67" t="str">
        <f t="shared" si="38"/>
        <v>TRISTATE</v>
      </c>
      <c r="AH155" s="67" t="str">
        <f t="shared" si="39"/>
        <v>ENABLE</v>
      </c>
      <c r="AI155" s="71" t="str">
        <f t="shared" si="40"/>
        <v>N/A</v>
      </c>
      <c r="AJ155" s="189" t="b">
        <v>1</v>
      </c>
      <c r="AK155" s="189" t="b">
        <v>1</v>
      </c>
      <c r="AL155" s="189" t="b">
        <v>1</v>
      </c>
      <c r="AM155" s="189" t="b">
        <v>1</v>
      </c>
      <c r="AN155" s="189" t="b">
        <v>1</v>
      </c>
      <c r="AO155" s="189" t="b">
        <v>1</v>
      </c>
      <c r="AP155" s="69" t="str">
        <f t="shared" si="41"/>
        <v>VALID</v>
      </c>
      <c r="AQ155" s="166" t="s">
        <v>735</v>
      </c>
      <c r="AR155" s="194" t="s">
        <v>862</v>
      </c>
      <c r="AS155" s="193"/>
      <c r="AT155" s="193" t="s">
        <v>117</v>
      </c>
      <c r="AU155" s="140"/>
      <c r="AV155" s="140"/>
      <c r="AW155" s="72"/>
      <c r="AX155" s="72"/>
      <c r="AY155" s="72"/>
      <c r="AZ155" s="193"/>
      <c r="BA155" s="193"/>
      <c r="BB155" s="8"/>
      <c r="BC155" s="140"/>
      <c r="BD155" s="11" t="s">
        <v>735</v>
      </c>
      <c r="BE155" s="312" t="s">
        <v>5593</v>
      </c>
    </row>
    <row r="156" spans="1:57" ht="12.95" hidden="1" customHeight="1">
      <c r="A156" s="248" t="e">
        <v>#N/A</v>
      </c>
      <c r="B156" s="252" t="e">
        <v>#N/A</v>
      </c>
      <c r="C156" s="263" t="s">
        <v>1008</v>
      </c>
      <c r="D156" s="239" t="s">
        <v>2971</v>
      </c>
      <c r="E156" s="58"/>
      <c r="F156" s="59" t="s">
        <v>1830</v>
      </c>
      <c r="G156" s="191" t="s">
        <v>949</v>
      </c>
      <c r="H156" s="192" t="s">
        <v>2511</v>
      </c>
      <c r="I156" s="61" t="s">
        <v>2972</v>
      </c>
      <c r="J156" s="61" t="s">
        <v>2511</v>
      </c>
      <c r="K156" s="62" t="s">
        <v>2511</v>
      </c>
      <c r="L156" s="60" t="s">
        <v>2389</v>
      </c>
      <c r="M156" s="61" t="s">
        <v>2511</v>
      </c>
      <c r="N156" s="61" t="s">
        <v>2388</v>
      </c>
      <c r="O156" s="61" t="s">
        <v>2511</v>
      </c>
      <c r="P156" s="62" t="s">
        <v>2511</v>
      </c>
      <c r="Q156" s="58" t="s">
        <v>552</v>
      </c>
      <c r="R156" s="58" t="s">
        <v>848</v>
      </c>
      <c r="S156" s="58" t="s">
        <v>112</v>
      </c>
      <c r="T156" s="58" t="s">
        <v>113</v>
      </c>
      <c r="U156" s="63" t="s">
        <v>552</v>
      </c>
      <c r="V156" s="138" t="s">
        <v>2973</v>
      </c>
      <c r="W156" s="57" t="s">
        <v>2961</v>
      </c>
      <c r="X156" s="126" t="s">
        <v>2511</v>
      </c>
      <c r="Y156" s="126" t="s">
        <v>2511</v>
      </c>
      <c r="Z156" s="57" t="s">
        <v>2582</v>
      </c>
      <c r="AA156" s="57" t="s">
        <v>2962</v>
      </c>
      <c r="AB156" s="57" t="s">
        <v>2584</v>
      </c>
      <c r="AC156" s="57">
        <v>1</v>
      </c>
      <c r="AD156" s="65" t="str">
        <f t="shared" si="36"/>
        <v>RSVD0</v>
      </c>
      <c r="AE156" s="70"/>
      <c r="AF156" s="67" t="str">
        <f t="shared" si="37"/>
        <v>PULL_DOWN</v>
      </c>
      <c r="AG156" s="67" t="str">
        <f t="shared" si="38"/>
        <v>TRISTATE</v>
      </c>
      <c r="AH156" s="67" t="str">
        <f t="shared" si="39"/>
        <v>DISABLE</v>
      </c>
      <c r="AI156" s="71" t="str">
        <f t="shared" si="40"/>
        <v>N/A</v>
      </c>
      <c r="AJ156" s="189" t="b">
        <v>1</v>
      </c>
      <c r="AK156" s="189" t="b">
        <v>1</v>
      </c>
      <c r="AL156" s="189" t="b">
        <v>1</v>
      </c>
      <c r="AM156" s="189" t="b">
        <v>1</v>
      </c>
      <c r="AN156" s="189" t="b">
        <v>1</v>
      </c>
      <c r="AO156" s="189" t="b">
        <v>1</v>
      </c>
      <c r="AP156" s="69" t="str">
        <f t="shared" si="41"/>
        <v>VALID</v>
      </c>
      <c r="AQ156" s="166" t="s">
        <v>1830</v>
      </c>
      <c r="AR156" s="194" t="s">
        <v>79</v>
      </c>
      <c r="AS156" s="193"/>
      <c r="AT156" s="72"/>
      <c r="AU156" s="140"/>
      <c r="AV156" s="140"/>
      <c r="AW156" s="72"/>
      <c r="AX156" s="72"/>
      <c r="AY156" s="72"/>
      <c r="AZ156" s="193"/>
      <c r="BA156" s="193"/>
      <c r="BB156" s="8"/>
      <c r="BC156" s="140"/>
      <c r="BD156" s="147" t="s">
        <v>83</v>
      </c>
      <c r="BE156" s="147" t="s">
        <v>83</v>
      </c>
    </row>
    <row r="157" spans="1:57" ht="12.95" hidden="1" customHeight="1">
      <c r="A157" s="248" t="e">
        <v>#N/A</v>
      </c>
      <c r="B157" s="252" t="e">
        <v>#N/A</v>
      </c>
      <c r="C157" s="263" t="s">
        <v>1009</v>
      </c>
      <c r="D157" s="239" t="s">
        <v>2975</v>
      </c>
      <c r="E157" s="58"/>
      <c r="F157" s="59" t="s">
        <v>1831</v>
      </c>
      <c r="G157" s="191" t="s">
        <v>950</v>
      </c>
      <c r="H157" s="192" t="s">
        <v>2511</v>
      </c>
      <c r="I157" s="61" t="s">
        <v>2511</v>
      </c>
      <c r="J157" s="61" t="s">
        <v>2511</v>
      </c>
      <c r="K157" s="62" t="s">
        <v>2511</v>
      </c>
      <c r="L157" s="60" t="s">
        <v>2389</v>
      </c>
      <c r="M157" s="61" t="s">
        <v>2511</v>
      </c>
      <c r="N157" s="61" t="s">
        <v>2511</v>
      </c>
      <c r="O157" s="61" t="s">
        <v>2511</v>
      </c>
      <c r="P157" s="62" t="s">
        <v>2511</v>
      </c>
      <c r="Q157" s="58" t="s">
        <v>552</v>
      </c>
      <c r="R157" s="58" t="s">
        <v>126</v>
      </c>
      <c r="S157" s="58" t="s">
        <v>112</v>
      </c>
      <c r="T157" s="58" t="s">
        <v>113</v>
      </c>
      <c r="U157" s="63" t="s">
        <v>552</v>
      </c>
      <c r="V157" s="138" t="s">
        <v>2976</v>
      </c>
      <c r="W157" s="57" t="s">
        <v>2961</v>
      </c>
      <c r="X157" s="126" t="s">
        <v>2511</v>
      </c>
      <c r="Y157" s="126" t="s">
        <v>2511</v>
      </c>
      <c r="Z157" s="57" t="s">
        <v>2582</v>
      </c>
      <c r="AA157" s="57" t="s">
        <v>2962</v>
      </c>
      <c r="AB157" s="57" t="s">
        <v>2584</v>
      </c>
      <c r="AC157" s="57" t="s">
        <v>2631</v>
      </c>
      <c r="AD157" s="65" t="str">
        <f t="shared" si="36"/>
        <v>GPIO_PAA5</v>
      </c>
      <c r="AE157" s="70"/>
      <c r="AF157" s="67" t="str">
        <f t="shared" si="37"/>
        <v>NORMAL</v>
      </c>
      <c r="AG157" s="67" t="str">
        <f t="shared" si="38"/>
        <v>NORMAL</v>
      </c>
      <c r="AH157" s="67" t="str">
        <f t="shared" si="39"/>
        <v>DISABLE</v>
      </c>
      <c r="AI157" s="71" t="str">
        <f t="shared" si="40"/>
        <v>0</v>
      </c>
      <c r="AJ157" s="189" t="b">
        <v>1</v>
      </c>
      <c r="AK157" s="189" t="b">
        <v>1</v>
      </c>
      <c r="AL157" s="189" t="b">
        <v>1</v>
      </c>
      <c r="AM157" s="189" t="b">
        <v>1</v>
      </c>
      <c r="AN157" s="189" t="b">
        <v>1</v>
      </c>
      <c r="AO157" s="189" t="b">
        <v>1</v>
      </c>
      <c r="AP157" s="69" t="str">
        <f t="shared" si="41"/>
        <v>VALID</v>
      </c>
      <c r="AQ157" s="166" t="s">
        <v>950</v>
      </c>
      <c r="AR157" s="194" t="s">
        <v>861</v>
      </c>
      <c r="AS157" s="193" t="s">
        <v>874</v>
      </c>
      <c r="AT157" s="72"/>
      <c r="AU157" s="140"/>
      <c r="AV157" s="140"/>
      <c r="AW157" s="72"/>
      <c r="AX157" s="72"/>
      <c r="AY157" s="72"/>
      <c r="AZ157" s="193"/>
      <c r="BA157" s="193" t="s">
        <v>2489</v>
      </c>
      <c r="BB157" s="8"/>
      <c r="BC157" s="140"/>
      <c r="BD157" s="11" t="s">
        <v>5594</v>
      </c>
      <c r="BE157" s="311" t="s">
        <v>5595</v>
      </c>
    </row>
    <row r="158" spans="1:57" ht="12.95" hidden="1" customHeight="1">
      <c r="A158" s="248" t="e">
        <v>#N/A</v>
      </c>
      <c r="B158" s="252" t="e">
        <v>#N/A</v>
      </c>
      <c r="C158" s="263" t="s">
        <v>1010</v>
      </c>
      <c r="D158" s="239" t="s">
        <v>2978</v>
      </c>
      <c r="E158" s="58"/>
      <c r="F158" s="59" t="s">
        <v>1832</v>
      </c>
      <c r="G158" s="191" t="s">
        <v>951</v>
      </c>
      <c r="H158" s="192" t="s">
        <v>2511</v>
      </c>
      <c r="I158" s="61" t="s">
        <v>2511</v>
      </c>
      <c r="J158" s="61" t="s">
        <v>2511</v>
      </c>
      <c r="K158" s="62" t="s">
        <v>2511</v>
      </c>
      <c r="L158" s="60" t="s">
        <v>2389</v>
      </c>
      <c r="M158" s="61" t="s">
        <v>2511</v>
      </c>
      <c r="N158" s="61" t="s">
        <v>2511</v>
      </c>
      <c r="O158" s="61" t="s">
        <v>2511</v>
      </c>
      <c r="P158" s="62" t="s">
        <v>2511</v>
      </c>
      <c r="Q158" s="58" t="s">
        <v>552</v>
      </c>
      <c r="R158" s="58" t="s">
        <v>126</v>
      </c>
      <c r="S158" s="58" t="s">
        <v>112</v>
      </c>
      <c r="T158" s="58" t="s">
        <v>113</v>
      </c>
      <c r="U158" s="63" t="s">
        <v>552</v>
      </c>
      <c r="V158" s="138" t="s">
        <v>2979</v>
      </c>
      <c r="W158" s="57" t="s">
        <v>2961</v>
      </c>
      <c r="X158" s="126" t="s">
        <v>2980</v>
      </c>
      <c r="Y158" s="126" t="s">
        <v>2511</v>
      </c>
      <c r="Z158" s="57" t="s">
        <v>2582</v>
      </c>
      <c r="AA158" s="57" t="s">
        <v>2962</v>
      </c>
      <c r="AB158" s="57" t="s">
        <v>2584</v>
      </c>
      <c r="AC158" s="57" t="s">
        <v>2631</v>
      </c>
      <c r="AD158" s="65" t="str">
        <f t="shared" si="36"/>
        <v>RSVD0</v>
      </c>
      <c r="AE158" s="70"/>
      <c r="AF158" s="67" t="str">
        <f t="shared" si="37"/>
        <v>PULL_DOWN</v>
      </c>
      <c r="AG158" s="67" t="str">
        <f t="shared" si="38"/>
        <v>TRISTATE</v>
      </c>
      <c r="AH158" s="67" t="str">
        <f t="shared" si="39"/>
        <v>DISABLE</v>
      </c>
      <c r="AI158" s="71" t="str">
        <f t="shared" si="40"/>
        <v>N/A</v>
      </c>
      <c r="AJ158" s="189" t="b">
        <v>1</v>
      </c>
      <c r="AK158" s="189" t="b">
        <v>1</v>
      </c>
      <c r="AL158" s="189" t="b">
        <v>1</v>
      </c>
      <c r="AM158" s="189" t="b">
        <v>1</v>
      </c>
      <c r="AN158" s="189" t="b">
        <v>1</v>
      </c>
      <c r="AO158" s="189" t="b">
        <v>1</v>
      </c>
      <c r="AP158" s="69" t="str">
        <f t="shared" si="41"/>
        <v>VALID</v>
      </c>
      <c r="AQ158" s="166" t="s">
        <v>1832</v>
      </c>
      <c r="AR158" s="194" t="s">
        <v>79</v>
      </c>
      <c r="AS158" s="193"/>
      <c r="AT158" s="193" t="s">
        <v>117</v>
      </c>
      <c r="AU158" s="140"/>
      <c r="AV158" s="140"/>
      <c r="AW158" s="72"/>
      <c r="AX158" s="72"/>
      <c r="AY158" s="72"/>
      <c r="AZ158" s="193"/>
      <c r="BA158" s="193"/>
      <c r="BB158" s="8"/>
      <c r="BC158" s="140"/>
      <c r="BD158" s="147" t="s">
        <v>83</v>
      </c>
      <c r="BE158" s="147" t="s">
        <v>83</v>
      </c>
    </row>
    <row r="159" spans="1:57" ht="12.95" hidden="1" customHeight="1">
      <c r="A159" s="248" t="e">
        <v>#N/A</v>
      </c>
      <c r="B159" s="252" t="e">
        <v>#N/A</v>
      </c>
      <c r="C159" s="263" t="s">
        <v>1011</v>
      </c>
      <c r="D159" s="239" t="s">
        <v>2981</v>
      </c>
      <c r="E159" s="58"/>
      <c r="F159" s="59" t="s">
        <v>1833</v>
      </c>
      <c r="G159" s="191" t="s">
        <v>952</v>
      </c>
      <c r="H159" s="192" t="s">
        <v>2511</v>
      </c>
      <c r="I159" s="61" t="s">
        <v>2511</v>
      </c>
      <c r="J159" s="61" t="s">
        <v>2511</v>
      </c>
      <c r="K159" s="62" t="s">
        <v>2511</v>
      </c>
      <c r="L159" s="60" t="s">
        <v>2389</v>
      </c>
      <c r="M159" s="61" t="s">
        <v>2511</v>
      </c>
      <c r="N159" s="61" t="s">
        <v>2511</v>
      </c>
      <c r="O159" s="61" t="s">
        <v>2511</v>
      </c>
      <c r="P159" s="62" t="s">
        <v>2511</v>
      </c>
      <c r="Q159" s="58" t="s">
        <v>552</v>
      </c>
      <c r="R159" s="58" t="s">
        <v>126</v>
      </c>
      <c r="S159" s="58" t="s">
        <v>112</v>
      </c>
      <c r="T159" s="58" t="s">
        <v>113</v>
      </c>
      <c r="U159" s="63" t="s">
        <v>552</v>
      </c>
      <c r="V159" s="138" t="s">
        <v>2982</v>
      </c>
      <c r="W159" s="57" t="s">
        <v>2961</v>
      </c>
      <c r="X159" s="126" t="s">
        <v>2983</v>
      </c>
      <c r="Y159" s="126" t="s">
        <v>2511</v>
      </c>
      <c r="Z159" s="57" t="s">
        <v>2582</v>
      </c>
      <c r="AA159" s="57" t="s">
        <v>2962</v>
      </c>
      <c r="AB159" s="57" t="s">
        <v>2584</v>
      </c>
      <c r="AC159" s="57" t="s">
        <v>2516</v>
      </c>
      <c r="AD159" s="65" t="str">
        <f t="shared" si="36"/>
        <v>RSVD0</v>
      </c>
      <c r="AE159" s="70"/>
      <c r="AF159" s="67" t="str">
        <f t="shared" si="37"/>
        <v>PULL_DOWN</v>
      </c>
      <c r="AG159" s="67" t="str">
        <f t="shared" si="38"/>
        <v>TRISTATE</v>
      </c>
      <c r="AH159" s="67" t="str">
        <f t="shared" si="39"/>
        <v>DISABLE</v>
      </c>
      <c r="AI159" s="71" t="str">
        <f t="shared" si="40"/>
        <v>N/A</v>
      </c>
      <c r="AJ159" s="189" t="b">
        <v>1</v>
      </c>
      <c r="AK159" s="189" t="b">
        <v>1</v>
      </c>
      <c r="AL159" s="189" t="b">
        <v>1</v>
      </c>
      <c r="AM159" s="189" t="b">
        <v>1</v>
      </c>
      <c r="AN159" s="189" t="b">
        <v>1</v>
      </c>
      <c r="AO159" s="189" t="b">
        <v>1</v>
      </c>
      <c r="AP159" s="69" t="str">
        <f t="shared" si="41"/>
        <v>VALID</v>
      </c>
      <c r="AQ159" s="166" t="s">
        <v>1833</v>
      </c>
      <c r="AR159" s="194" t="s">
        <v>79</v>
      </c>
      <c r="AS159" s="193"/>
      <c r="AT159" s="193" t="s">
        <v>117</v>
      </c>
      <c r="AU159" s="140"/>
      <c r="AV159" s="140"/>
      <c r="AW159" s="72"/>
      <c r="AX159" s="72"/>
      <c r="AY159" s="72"/>
      <c r="AZ159" s="193"/>
      <c r="BA159" s="193"/>
      <c r="BB159" s="8"/>
      <c r="BC159" s="140"/>
      <c r="BD159" s="147" t="s">
        <v>83</v>
      </c>
      <c r="BE159" s="147" t="s">
        <v>83</v>
      </c>
    </row>
    <row r="160" spans="1:57" ht="12.95" hidden="1" customHeight="1">
      <c r="A160" s="248" t="e">
        <v>#N/A</v>
      </c>
      <c r="B160" s="252" t="e">
        <v>#N/A</v>
      </c>
      <c r="C160" s="263" t="s">
        <v>1012</v>
      </c>
      <c r="D160" s="239" t="s">
        <v>2985</v>
      </c>
      <c r="E160" s="58"/>
      <c r="F160" s="59" t="s">
        <v>1834</v>
      </c>
      <c r="G160" s="191" t="s">
        <v>2178</v>
      </c>
      <c r="H160" s="192" t="s">
        <v>2511</v>
      </c>
      <c r="I160" s="61" t="s">
        <v>2423</v>
      </c>
      <c r="J160" s="61" t="s">
        <v>2456</v>
      </c>
      <c r="K160" s="62" t="s">
        <v>2511</v>
      </c>
      <c r="L160" s="60" t="s">
        <v>2389</v>
      </c>
      <c r="M160" s="61" t="s">
        <v>2511</v>
      </c>
      <c r="N160" s="61" t="s">
        <v>2523</v>
      </c>
      <c r="O160" s="61" t="s">
        <v>2523</v>
      </c>
      <c r="P160" s="62" t="s">
        <v>2511</v>
      </c>
      <c r="Q160" s="58" t="s">
        <v>552</v>
      </c>
      <c r="R160" s="58" t="s">
        <v>544</v>
      </c>
      <c r="S160" s="58" t="s">
        <v>851</v>
      </c>
      <c r="T160" s="58" t="s">
        <v>113</v>
      </c>
      <c r="U160" s="63" t="s">
        <v>552</v>
      </c>
      <c r="V160" s="138" t="s">
        <v>2986</v>
      </c>
      <c r="W160" s="57" t="s">
        <v>2961</v>
      </c>
      <c r="X160" s="126" t="s">
        <v>2511</v>
      </c>
      <c r="Y160" s="126" t="s">
        <v>2511</v>
      </c>
      <c r="Z160" s="57" t="s">
        <v>2582</v>
      </c>
      <c r="AA160" s="57" t="s">
        <v>2962</v>
      </c>
      <c r="AB160" s="57" t="s">
        <v>2584</v>
      </c>
      <c r="AC160" s="57" t="s">
        <v>2516</v>
      </c>
      <c r="AD160" s="65" t="str">
        <f t="shared" si="36"/>
        <v>RSVD0</v>
      </c>
      <c r="AE160" s="70"/>
      <c r="AF160" s="67" t="str">
        <f t="shared" si="37"/>
        <v>PULL_DOWN</v>
      </c>
      <c r="AG160" s="67" t="str">
        <f t="shared" si="38"/>
        <v>TRISTATE</v>
      </c>
      <c r="AH160" s="67" t="str">
        <f t="shared" si="39"/>
        <v>DISABLE</v>
      </c>
      <c r="AI160" s="71" t="str">
        <f t="shared" si="40"/>
        <v>N/A</v>
      </c>
      <c r="AJ160" s="189" t="b">
        <v>1</v>
      </c>
      <c r="AK160" s="189" t="b">
        <v>1</v>
      </c>
      <c r="AL160" s="189" t="b">
        <v>1</v>
      </c>
      <c r="AM160" s="189" t="b">
        <v>1</v>
      </c>
      <c r="AN160" s="189" t="b">
        <v>1</v>
      </c>
      <c r="AO160" s="189" t="b">
        <v>1</v>
      </c>
      <c r="AP160" s="69" t="str">
        <f t="shared" si="41"/>
        <v>VALID</v>
      </c>
      <c r="AQ160" s="166" t="s">
        <v>1834</v>
      </c>
      <c r="AR160" s="194" t="s">
        <v>79</v>
      </c>
      <c r="AS160" s="193"/>
      <c r="AT160" s="72"/>
      <c r="AU160" s="140"/>
      <c r="AV160" s="140"/>
      <c r="AW160" s="72"/>
      <c r="AX160" s="72"/>
      <c r="AY160" s="72"/>
      <c r="AZ160" s="193"/>
      <c r="BA160" s="193"/>
      <c r="BB160" s="8"/>
      <c r="BC160" s="140"/>
      <c r="BD160" s="147" t="s">
        <v>83</v>
      </c>
      <c r="BE160" s="147" t="s">
        <v>83</v>
      </c>
    </row>
    <row r="161" spans="1:57" ht="12.95" hidden="1" customHeight="1">
      <c r="A161" s="248" t="e">
        <v>#N/A</v>
      </c>
      <c r="B161" s="252" t="e">
        <v>#N/A</v>
      </c>
      <c r="C161" s="263" t="s">
        <v>1013</v>
      </c>
      <c r="D161" s="239" t="s">
        <v>2988</v>
      </c>
      <c r="E161" s="58"/>
      <c r="F161" s="59" t="s">
        <v>1835</v>
      </c>
      <c r="G161" s="191" t="s">
        <v>2495</v>
      </c>
      <c r="H161" s="192" t="s">
        <v>2511</v>
      </c>
      <c r="I161" s="61" t="s">
        <v>2424</v>
      </c>
      <c r="J161" s="61" t="s">
        <v>2457</v>
      </c>
      <c r="K161" s="62" t="s">
        <v>2511</v>
      </c>
      <c r="L161" s="60" t="s">
        <v>2389</v>
      </c>
      <c r="M161" s="61" t="s">
        <v>2511</v>
      </c>
      <c r="N161" s="61" t="s">
        <v>2388</v>
      </c>
      <c r="O161" s="61" t="s">
        <v>2388</v>
      </c>
      <c r="P161" s="62" t="s">
        <v>2511</v>
      </c>
      <c r="Q161" s="58" t="s">
        <v>552</v>
      </c>
      <c r="R161" s="58" t="s">
        <v>544</v>
      </c>
      <c r="S161" s="58" t="s">
        <v>851</v>
      </c>
      <c r="T161" s="58" t="s">
        <v>113</v>
      </c>
      <c r="U161" s="63" t="s">
        <v>552</v>
      </c>
      <c r="V161" s="138" t="s">
        <v>2989</v>
      </c>
      <c r="W161" s="57" t="s">
        <v>2961</v>
      </c>
      <c r="X161" s="126" t="s">
        <v>2511</v>
      </c>
      <c r="Y161" s="126" t="s">
        <v>2511</v>
      </c>
      <c r="Z161" s="57" t="s">
        <v>2582</v>
      </c>
      <c r="AA161" s="57" t="s">
        <v>2962</v>
      </c>
      <c r="AB161" s="57" t="s">
        <v>2584</v>
      </c>
      <c r="AC161" s="57" t="s">
        <v>2631</v>
      </c>
      <c r="AD161" s="65" t="str">
        <f t="shared" si="36"/>
        <v>RSVD0</v>
      </c>
      <c r="AE161" s="70"/>
      <c r="AF161" s="67" t="str">
        <f t="shared" si="37"/>
        <v>PULL_DOWN</v>
      </c>
      <c r="AG161" s="67" t="str">
        <f t="shared" si="38"/>
        <v>TRISTATE</v>
      </c>
      <c r="AH161" s="67" t="str">
        <f t="shared" si="39"/>
        <v>DISABLE</v>
      </c>
      <c r="AI161" s="71" t="str">
        <f t="shared" si="40"/>
        <v>N/A</v>
      </c>
      <c r="AJ161" s="189" t="b">
        <v>1</v>
      </c>
      <c r="AK161" s="189" t="b">
        <v>1</v>
      </c>
      <c r="AL161" s="189" t="b">
        <v>1</v>
      </c>
      <c r="AM161" s="189" t="b">
        <v>1</v>
      </c>
      <c r="AN161" s="189" t="b">
        <v>1</v>
      </c>
      <c r="AO161" s="189" t="b">
        <v>1</v>
      </c>
      <c r="AP161" s="69" t="str">
        <f t="shared" si="41"/>
        <v>VALID</v>
      </c>
      <c r="AQ161" s="169" t="s">
        <v>1835</v>
      </c>
      <c r="AR161" s="170" t="s">
        <v>79</v>
      </c>
      <c r="AS161" s="9"/>
      <c r="AT161" s="10"/>
      <c r="AU161" s="140"/>
      <c r="AV161" s="140"/>
      <c r="AW161" s="72"/>
      <c r="AX161" s="72"/>
      <c r="AY161" s="72"/>
      <c r="AZ161" s="9"/>
      <c r="BA161" s="9"/>
      <c r="BB161" s="14"/>
      <c r="BC161" s="141"/>
      <c r="BD161" s="147" t="s">
        <v>83</v>
      </c>
      <c r="BE161" s="147" t="s">
        <v>83</v>
      </c>
    </row>
    <row r="162" spans="1:57" ht="12.95" hidden="1" customHeight="1">
      <c r="A162" s="248" t="e">
        <v>#N/A</v>
      </c>
      <c r="B162" s="252" t="e">
        <v>#N/A</v>
      </c>
      <c r="C162" s="263" t="s">
        <v>1014</v>
      </c>
      <c r="D162" s="239" t="s">
        <v>2991</v>
      </c>
      <c r="E162" s="58"/>
      <c r="F162" s="59" t="s">
        <v>1836</v>
      </c>
      <c r="G162" s="191" t="s">
        <v>2179</v>
      </c>
      <c r="H162" s="192" t="s">
        <v>2511</v>
      </c>
      <c r="I162" s="61" t="s">
        <v>2511</v>
      </c>
      <c r="J162" s="61" t="s">
        <v>2511</v>
      </c>
      <c r="K162" s="62" t="s">
        <v>2511</v>
      </c>
      <c r="L162" s="60" t="s">
        <v>2389</v>
      </c>
      <c r="M162" s="61" t="s">
        <v>2511</v>
      </c>
      <c r="N162" s="61" t="s">
        <v>2511</v>
      </c>
      <c r="O162" s="61" t="s">
        <v>2511</v>
      </c>
      <c r="P162" s="62" t="s">
        <v>2511</v>
      </c>
      <c r="Q162" s="58" t="s">
        <v>552</v>
      </c>
      <c r="R162" s="58" t="s">
        <v>126</v>
      </c>
      <c r="S162" s="58" t="s">
        <v>112</v>
      </c>
      <c r="T162" s="58" t="s">
        <v>113</v>
      </c>
      <c r="U162" s="63" t="s">
        <v>552</v>
      </c>
      <c r="V162" s="138" t="s">
        <v>2992</v>
      </c>
      <c r="W162" s="57" t="s">
        <v>2961</v>
      </c>
      <c r="X162" s="126" t="s">
        <v>2993</v>
      </c>
      <c r="Y162" s="126" t="s">
        <v>2511</v>
      </c>
      <c r="Z162" s="57" t="s">
        <v>2582</v>
      </c>
      <c r="AA162" s="57" t="s">
        <v>2962</v>
      </c>
      <c r="AB162" s="57" t="s">
        <v>2584</v>
      </c>
      <c r="AC162" s="57" t="s">
        <v>2631</v>
      </c>
      <c r="AD162" s="65" t="str">
        <f t="shared" si="36"/>
        <v>RSVD0</v>
      </c>
      <c r="AE162" s="70"/>
      <c r="AF162" s="67" t="str">
        <f t="shared" si="37"/>
        <v>PULL_DOWN</v>
      </c>
      <c r="AG162" s="67" t="str">
        <f t="shared" si="38"/>
        <v>TRISTATE</v>
      </c>
      <c r="AH162" s="67" t="str">
        <f t="shared" si="39"/>
        <v>DISABLE</v>
      </c>
      <c r="AI162" s="71" t="str">
        <f t="shared" si="40"/>
        <v>N/A</v>
      </c>
      <c r="AJ162" s="189" t="b">
        <v>1</v>
      </c>
      <c r="AK162" s="189" t="b">
        <v>1</v>
      </c>
      <c r="AL162" s="189" t="b">
        <v>1</v>
      </c>
      <c r="AM162" s="189" t="b">
        <v>1</v>
      </c>
      <c r="AN162" s="189" t="b">
        <v>1</v>
      </c>
      <c r="AO162" s="189" t="b">
        <v>1</v>
      </c>
      <c r="AP162" s="69" t="str">
        <f t="shared" si="41"/>
        <v>VALID</v>
      </c>
      <c r="AQ162" s="171" t="s">
        <v>1836</v>
      </c>
      <c r="AR162" s="170" t="s">
        <v>79</v>
      </c>
      <c r="AS162" s="9"/>
      <c r="AT162" s="193" t="s">
        <v>117</v>
      </c>
      <c r="AU162" s="140"/>
      <c r="AV162" s="140"/>
      <c r="AW162" s="140"/>
      <c r="AX162" s="140"/>
      <c r="AY162" s="140"/>
      <c r="AZ162" s="193"/>
      <c r="BA162" s="193"/>
      <c r="BB162" s="14"/>
      <c r="BC162" s="140"/>
      <c r="BD162" s="147" t="s">
        <v>83</v>
      </c>
      <c r="BE162" s="147" t="s">
        <v>83</v>
      </c>
    </row>
    <row r="163" spans="1:57" ht="12.95" hidden="1" customHeight="1">
      <c r="A163" s="248" t="e">
        <v>#N/A</v>
      </c>
      <c r="B163" s="252" t="e">
        <v>#N/A</v>
      </c>
      <c r="C163" s="263" t="s">
        <v>1015</v>
      </c>
      <c r="D163" s="239" t="s">
        <v>2994</v>
      </c>
      <c r="E163" s="58"/>
      <c r="F163" s="59" t="s">
        <v>1837</v>
      </c>
      <c r="G163" s="191" t="s">
        <v>2180</v>
      </c>
      <c r="H163" s="192" t="s">
        <v>2511</v>
      </c>
      <c r="I163" s="61" t="s">
        <v>2511</v>
      </c>
      <c r="J163" s="61" t="s">
        <v>2511</v>
      </c>
      <c r="K163" s="62" t="s">
        <v>2511</v>
      </c>
      <c r="L163" s="60" t="s">
        <v>2389</v>
      </c>
      <c r="M163" s="61" t="s">
        <v>2511</v>
      </c>
      <c r="N163" s="61" t="s">
        <v>2511</v>
      </c>
      <c r="O163" s="61" t="s">
        <v>2511</v>
      </c>
      <c r="P163" s="62" t="s">
        <v>2511</v>
      </c>
      <c r="Q163" s="58" t="s">
        <v>552</v>
      </c>
      <c r="R163" s="58" t="s">
        <v>126</v>
      </c>
      <c r="S163" s="58" t="s">
        <v>112</v>
      </c>
      <c r="T163" s="58" t="s">
        <v>113</v>
      </c>
      <c r="U163" s="63" t="s">
        <v>552</v>
      </c>
      <c r="V163" s="138" t="s">
        <v>2995</v>
      </c>
      <c r="W163" s="57" t="s">
        <v>2961</v>
      </c>
      <c r="X163" s="126" t="s">
        <v>2996</v>
      </c>
      <c r="Y163" s="126" t="s">
        <v>2511</v>
      </c>
      <c r="Z163" s="57" t="s">
        <v>2582</v>
      </c>
      <c r="AA163" s="57" t="s">
        <v>2962</v>
      </c>
      <c r="AB163" s="57" t="s">
        <v>2584</v>
      </c>
      <c r="AC163" s="57" t="s">
        <v>2516</v>
      </c>
      <c r="AD163" s="65" t="str">
        <f t="shared" si="36"/>
        <v>RSVD0</v>
      </c>
      <c r="AE163" s="70"/>
      <c r="AF163" s="67" t="str">
        <f t="shared" si="37"/>
        <v>PULL_DOWN</v>
      </c>
      <c r="AG163" s="67" t="str">
        <f t="shared" si="38"/>
        <v>TRISTATE</v>
      </c>
      <c r="AH163" s="67" t="str">
        <f t="shared" si="39"/>
        <v>DISABLE</v>
      </c>
      <c r="AI163" s="71" t="str">
        <f t="shared" si="40"/>
        <v>N/A</v>
      </c>
      <c r="AJ163" s="189" t="b">
        <v>1</v>
      </c>
      <c r="AK163" s="189" t="b">
        <v>1</v>
      </c>
      <c r="AL163" s="189" t="b">
        <v>1</v>
      </c>
      <c r="AM163" s="189" t="b">
        <v>1</v>
      </c>
      <c r="AN163" s="189" t="b">
        <v>1</v>
      </c>
      <c r="AO163" s="189" t="b">
        <v>1</v>
      </c>
      <c r="AP163" s="69" t="str">
        <f t="shared" si="41"/>
        <v>VALID</v>
      </c>
      <c r="AQ163" s="166" t="s">
        <v>1837</v>
      </c>
      <c r="AR163" s="194" t="s">
        <v>79</v>
      </c>
      <c r="AS163" s="193"/>
      <c r="AT163" s="193" t="s">
        <v>117</v>
      </c>
      <c r="AU163" s="140"/>
      <c r="AV163" s="140"/>
      <c r="AW163" s="72"/>
      <c r="AX163" s="72"/>
      <c r="AY163" s="72"/>
      <c r="AZ163" s="193"/>
      <c r="BA163" s="193"/>
      <c r="BB163" s="8"/>
      <c r="BC163" s="140"/>
      <c r="BD163" s="147" t="s">
        <v>83</v>
      </c>
      <c r="BE163" s="147" t="s">
        <v>83</v>
      </c>
    </row>
    <row r="164" spans="1:57" s="56" customFormat="1" ht="18" customHeight="1">
      <c r="A164" s="363"/>
      <c r="B164" s="364"/>
      <c r="C164" s="265" t="s">
        <v>728</v>
      </c>
      <c r="D164" s="266"/>
      <c r="E164" s="73"/>
      <c r="F164" s="73"/>
      <c r="G164" s="74"/>
      <c r="H164" s="74"/>
      <c r="I164" s="74"/>
      <c r="J164" s="74"/>
      <c r="K164" s="74"/>
      <c r="L164" s="73"/>
      <c r="M164" s="73"/>
      <c r="N164" s="73"/>
      <c r="O164" s="73"/>
      <c r="P164" s="73"/>
      <c r="Q164" s="73"/>
      <c r="R164" s="73"/>
      <c r="S164" s="73"/>
      <c r="T164" s="73"/>
      <c r="U164" s="73"/>
      <c r="V164" s="73"/>
      <c r="W164" s="73"/>
      <c r="X164" s="127"/>
      <c r="Y164" s="127"/>
      <c r="Z164" s="75"/>
      <c r="AA164" s="75"/>
      <c r="AB164" s="75"/>
      <c r="AC164" s="75"/>
      <c r="AD164" s="75"/>
      <c r="AE164" s="75"/>
      <c r="AF164" s="75"/>
      <c r="AG164" s="75"/>
      <c r="AH164" s="75"/>
      <c r="AI164" s="75"/>
      <c r="AJ164" s="53"/>
      <c r="AK164" s="53"/>
      <c r="AL164" s="53"/>
      <c r="AM164" s="53"/>
      <c r="AN164" s="53"/>
      <c r="AO164" s="53"/>
      <c r="AP164" s="53"/>
      <c r="AQ164" s="54"/>
      <c r="AR164" s="76"/>
      <c r="AS164" s="77"/>
      <c r="AT164" s="77"/>
      <c r="AU164" s="77"/>
      <c r="AV164" s="77"/>
      <c r="AW164" s="77"/>
      <c r="AX164" s="77"/>
      <c r="AY164" s="77"/>
      <c r="AZ164" s="77"/>
      <c r="BA164" s="77"/>
      <c r="BB164" s="77"/>
      <c r="BC164" s="175" t="s">
        <v>59</v>
      </c>
      <c r="BD164" s="77"/>
      <c r="BE164" s="230" t="s">
        <v>728</v>
      </c>
    </row>
    <row r="165" spans="1:57" ht="12.95" customHeight="1">
      <c r="A165" s="247" t="s">
        <v>3237</v>
      </c>
      <c r="B165" s="251">
        <v>126</v>
      </c>
      <c r="C165" s="239" t="s">
        <v>944</v>
      </c>
      <c r="D165" s="239" t="s">
        <v>2997</v>
      </c>
      <c r="E165" s="58"/>
      <c r="F165" s="59" t="s">
        <v>2147</v>
      </c>
      <c r="G165" s="191" t="s">
        <v>2479</v>
      </c>
      <c r="H165" s="192"/>
      <c r="I165" s="61"/>
      <c r="J165" s="61" t="s">
        <v>2511</v>
      </c>
      <c r="K165" s="62" t="s">
        <v>2511</v>
      </c>
      <c r="L165" s="60" t="s">
        <v>2389</v>
      </c>
      <c r="M165" s="61" t="s">
        <v>2389</v>
      </c>
      <c r="N165" s="61" t="s">
        <v>2388</v>
      </c>
      <c r="O165" s="61" t="s">
        <v>2511</v>
      </c>
      <c r="P165" s="62" t="s">
        <v>2511</v>
      </c>
      <c r="Q165" s="58" t="s">
        <v>125</v>
      </c>
      <c r="R165" s="58" t="s">
        <v>847</v>
      </c>
      <c r="S165" s="58" t="s">
        <v>112</v>
      </c>
      <c r="T165" s="58" t="s">
        <v>113</v>
      </c>
      <c r="U165" s="63" t="s">
        <v>112</v>
      </c>
      <c r="V165" s="137" t="s">
        <v>2998</v>
      </c>
      <c r="W165" s="57" t="s">
        <v>2999</v>
      </c>
      <c r="X165" s="126" t="s">
        <v>2511</v>
      </c>
      <c r="Y165" s="126" t="s">
        <v>2511</v>
      </c>
      <c r="Z165" s="57" t="s">
        <v>2817</v>
      </c>
      <c r="AA165" s="57" t="s">
        <v>2920</v>
      </c>
      <c r="AB165" s="57" t="s">
        <v>2393</v>
      </c>
      <c r="AC165" s="57" t="s">
        <v>2516</v>
      </c>
      <c r="AD165" s="65" t="str">
        <f t="shared" si="36"/>
        <v>GPIO_PCC0</v>
      </c>
      <c r="AE165" s="70"/>
      <c r="AF165" s="67" t="str">
        <f t="shared" si="37"/>
        <v>NORMAL</v>
      </c>
      <c r="AG165" s="67" t="str">
        <f t="shared" si="38"/>
        <v>TRISTATE</v>
      </c>
      <c r="AH165" s="67" t="str">
        <f t="shared" ref="AH165:AH175" si="42">IF(OR($AQ165=$F165,$AR165="Output"),"DISABLE","ENABLE")</f>
        <v>ENABLE</v>
      </c>
      <c r="AI165" s="71" t="str">
        <f t="shared" si="40"/>
        <v>0</v>
      </c>
      <c r="AJ165" s="189" t="b">
        <v>1</v>
      </c>
      <c r="AK165" s="189" t="b">
        <v>1</v>
      </c>
      <c r="AL165" s="189" t="b">
        <v>1</v>
      </c>
      <c r="AM165" s="189" t="b">
        <v>1</v>
      </c>
      <c r="AN165" s="189" t="b">
        <v>1</v>
      </c>
      <c r="AO165" s="189" t="b">
        <v>1</v>
      </c>
      <c r="AP165" s="69" t="str">
        <f t="shared" si="41"/>
        <v>VALID</v>
      </c>
      <c r="AQ165" s="168" t="s">
        <v>2479</v>
      </c>
      <c r="AR165" s="2" t="s">
        <v>862</v>
      </c>
      <c r="AS165" s="4" t="s">
        <v>874</v>
      </c>
      <c r="AT165" s="3"/>
      <c r="AU165" s="140"/>
      <c r="AV165" s="193" t="s">
        <v>900</v>
      </c>
      <c r="AW165" s="193" t="s">
        <v>136</v>
      </c>
      <c r="AX165" s="193" t="s">
        <v>136</v>
      </c>
      <c r="AY165" s="22"/>
      <c r="AZ165" s="4"/>
      <c r="BA165" s="4"/>
      <c r="BB165" s="13" t="s">
        <v>114</v>
      </c>
      <c r="BC165" s="139"/>
      <c r="BD165" s="11" t="s">
        <v>5596</v>
      </c>
      <c r="BE165" s="311" t="s">
        <v>5597</v>
      </c>
    </row>
    <row r="166" spans="1:57" ht="12.95" customHeight="1">
      <c r="A166" s="247" t="s">
        <v>3093</v>
      </c>
      <c r="B166" s="251">
        <v>127</v>
      </c>
      <c r="C166" s="239" t="s">
        <v>1016</v>
      </c>
      <c r="D166" s="239" t="s">
        <v>3000</v>
      </c>
      <c r="E166" s="58"/>
      <c r="F166" s="59" t="s">
        <v>2148</v>
      </c>
      <c r="G166" s="191" t="s">
        <v>2480</v>
      </c>
      <c r="H166" s="192"/>
      <c r="I166" s="61"/>
      <c r="J166" s="61" t="s">
        <v>2511</v>
      </c>
      <c r="K166" s="62" t="s">
        <v>2511</v>
      </c>
      <c r="L166" s="60" t="s">
        <v>2389</v>
      </c>
      <c r="M166" s="61" t="s">
        <v>2389</v>
      </c>
      <c r="N166" s="61" t="s">
        <v>2523</v>
      </c>
      <c r="O166" s="61" t="s">
        <v>2511</v>
      </c>
      <c r="P166" s="62" t="s">
        <v>2511</v>
      </c>
      <c r="Q166" s="58" t="s">
        <v>125</v>
      </c>
      <c r="R166" s="58" t="s">
        <v>847</v>
      </c>
      <c r="S166" s="58" t="s">
        <v>112</v>
      </c>
      <c r="T166" s="58" t="s">
        <v>113</v>
      </c>
      <c r="U166" s="63" t="s">
        <v>112</v>
      </c>
      <c r="V166" s="138" t="s">
        <v>3001</v>
      </c>
      <c r="W166" s="57" t="s">
        <v>2999</v>
      </c>
      <c r="X166" s="126" t="s">
        <v>2511</v>
      </c>
      <c r="Y166" s="126" t="s">
        <v>2511</v>
      </c>
      <c r="Z166" s="57" t="s">
        <v>2817</v>
      </c>
      <c r="AA166" s="57" t="s">
        <v>2920</v>
      </c>
      <c r="AB166" s="57" t="s">
        <v>2393</v>
      </c>
      <c r="AC166" s="57" t="s">
        <v>2516</v>
      </c>
      <c r="AD166" s="65" t="str">
        <f t="shared" si="36"/>
        <v>GPIO_PCC1</v>
      </c>
      <c r="AE166" s="70"/>
      <c r="AF166" s="67" t="str">
        <f t="shared" si="37"/>
        <v>NORMAL</v>
      </c>
      <c r="AG166" s="67" t="str">
        <f t="shared" si="38"/>
        <v>NORMAL</v>
      </c>
      <c r="AH166" s="67" t="str">
        <f t="shared" si="42"/>
        <v>DISABLE</v>
      </c>
      <c r="AI166" s="71" t="str">
        <f t="shared" si="40"/>
        <v>1</v>
      </c>
      <c r="AJ166" s="189" t="b">
        <v>1</v>
      </c>
      <c r="AK166" s="189" t="b">
        <v>1</v>
      </c>
      <c r="AL166" s="189" t="b">
        <v>1</v>
      </c>
      <c r="AM166" s="189" t="b">
        <v>1</v>
      </c>
      <c r="AN166" s="189" t="b">
        <v>1</v>
      </c>
      <c r="AO166" s="189" t="b">
        <v>1</v>
      </c>
      <c r="AP166" s="69" t="str">
        <f t="shared" si="41"/>
        <v>VALID</v>
      </c>
      <c r="AQ166" s="166" t="s">
        <v>2480</v>
      </c>
      <c r="AR166" s="194" t="s">
        <v>861</v>
      </c>
      <c r="AS166" s="193" t="s">
        <v>878</v>
      </c>
      <c r="AT166" s="193" t="s">
        <v>117</v>
      </c>
      <c r="AU166" s="140"/>
      <c r="AV166" s="193" t="s">
        <v>900</v>
      </c>
      <c r="AW166" s="193" t="s">
        <v>136</v>
      </c>
      <c r="AX166" s="193" t="s">
        <v>136</v>
      </c>
      <c r="AY166" s="72"/>
      <c r="AZ166" s="193"/>
      <c r="BA166" s="193"/>
      <c r="BB166" s="8"/>
      <c r="BC166" s="140"/>
      <c r="BD166" s="17" t="s">
        <v>5598</v>
      </c>
      <c r="BE166" s="311" t="s">
        <v>5599</v>
      </c>
    </row>
    <row r="167" spans="1:57" ht="12.95" customHeight="1">
      <c r="A167" s="247" t="s">
        <v>3090</v>
      </c>
      <c r="B167" s="251">
        <v>128</v>
      </c>
      <c r="C167" s="239" t="s">
        <v>1017</v>
      </c>
      <c r="D167" s="239" t="s">
        <v>3002</v>
      </c>
      <c r="E167" s="58"/>
      <c r="F167" s="59" t="s">
        <v>2149</v>
      </c>
      <c r="G167" s="191" t="s">
        <v>2458</v>
      </c>
      <c r="H167" s="192"/>
      <c r="I167" s="61"/>
      <c r="J167" s="61" t="s">
        <v>2511</v>
      </c>
      <c r="K167" s="62" t="s">
        <v>2511</v>
      </c>
      <c r="L167" s="60" t="s">
        <v>2389</v>
      </c>
      <c r="M167" s="61" t="s">
        <v>2389</v>
      </c>
      <c r="N167" s="61" t="s">
        <v>2388</v>
      </c>
      <c r="O167" s="61" t="s">
        <v>2511</v>
      </c>
      <c r="P167" s="62" t="s">
        <v>2511</v>
      </c>
      <c r="Q167" s="58" t="s">
        <v>125</v>
      </c>
      <c r="R167" s="58" t="s">
        <v>847</v>
      </c>
      <c r="S167" s="58" t="s">
        <v>112</v>
      </c>
      <c r="T167" s="58" t="s">
        <v>113</v>
      </c>
      <c r="U167" s="63" t="s">
        <v>112</v>
      </c>
      <c r="V167" s="138" t="s">
        <v>3003</v>
      </c>
      <c r="W167" s="57" t="s">
        <v>2999</v>
      </c>
      <c r="X167" s="126" t="s">
        <v>2511</v>
      </c>
      <c r="Y167" s="126" t="s">
        <v>2511</v>
      </c>
      <c r="Z167" s="57" t="s">
        <v>2817</v>
      </c>
      <c r="AA167" s="57" t="s">
        <v>2920</v>
      </c>
      <c r="AB167" s="57" t="s">
        <v>2393</v>
      </c>
      <c r="AC167" s="57" t="s">
        <v>2516</v>
      </c>
      <c r="AD167" s="65" t="str">
        <f t="shared" si="36"/>
        <v>GPIO_PCC2</v>
      </c>
      <c r="AE167" s="70"/>
      <c r="AF167" s="67" t="str">
        <f t="shared" si="37"/>
        <v>NORMAL</v>
      </c>
      <c r="AG167" s="67" t="str">
        <f t="shared" si="38"/>
        <v>TRISTATE</v>
      </c>
      <c r="AH167" s="67" t="str">
        <f t="shared" si="42"/>
        <v>ENABLE</v>
      </c>
      <c r="AI167" s="71" t="str">
        <f t="shared" si="40"/>
        <v>0</v>
      </c>
      <c r="AJ167" s="189" t="b">
        <v>1</v>
      </c>
      <c r="AK167" s="189" t="b">
        <v>1</v>
      </c>
      <c r="AL167" s="189" t="b">
        <v>1</v>
      </c>
      <c r="AM167" s="189" t="b">
        <v>1</v>
      </c>
      <c r="AN167" s="189" t="b">
        <v>1</v>
      </c>
      <c r="AO167" s="189" t="b">
        <v>1</v>
      </c>
      <c r="AP167" s="69" t="str">
        <f t="shared" si="41"/>
        <v>VALID</v>
      </c>
      <c r="AQ167" s="166" t="s">
        <v>2458</v>
      </c>
      <c r="AR167" s="194" t="s">
        <v>862</v>
      </c>
      <c r="AS167" s="193" t="s">
        <v>874</v>
      </c>
      <c r="AT167" s="72"/>
      <c r="AU167" s="140"/>
      <c r="AV167" s="193" t="s">
        <v>900</v>
      </c>
      <c r="AW167" s="193" t="s">
        <v>136</v>
      </c>
      <c r="AX167" s="193" t="s">
        <v>136</v>
      </c>
      <c r="AY167" s="72"/>
      <c r="AZ167" s="193"/>
      <c r="BA167" s="193"/>
      <c r="BB167" s="8"/>
      <c r="BC167" s="140"/>
      <c r="BD167" s="11" t="s">
        <v>5600</v>
      </c>
      <c r="BE167" s="311" t="s">
        <v>5601</v>
      </c>
    </row>
    <row r="168" spans="1:57" ht="12.95" customHeight="1">
      <c r="A168" s="247" t="s">
        <v>2974</v>
      </c>
      <c r="B168" s="251">
        <v>130</v>
      </c>
      <c r="C168" s="239" t="s">
        <v>945</v>
      </c>
      <c r="D168" s="239" t="s">
        <v>3004</v>
      </c>
      <c r="E168" s="58"/>
      <c r="F168" s="59" t="s">
        <v>2150</v>
      </c>
      <c r="G168" s="191" t="s">
        <v>2481</v>
      </c>
      <c r="H168" s="192"/>
      <c r="I168" s="61"/>
      <c r="J168" s="61" t="s">
        <v>2511</v>
      </c>
      <c r="K168" s="62" t="s">
        <v>2511</v>
      </c>
      <c r="L168" s="60" t="s">
        <v>2389</v>
      </c>
      <c r="M168" s="61" t="s">
        <v>2389</v>
      </c>
      <c r="N168" s="61" t="s">
        <v>2523</v>
      </c>
      <c r="O168" s="61" t="s">
        <v>2511</v>
      </c>
      <c r="P168" s="62" t="s">
        <v>2511</v>
      </c>
      <c r="Q168" s="58" t="s">
        <v>125</v>
      </c>
      <c r="R168" s="58" t="s">
        <v>847</v>
      </c>
      <c r="S168" s="58" t="s">
        <v>112</v>
      </c>
      <c r="T168" s="58" t="s">
        <v>113</v>
      </c>
      <c r="U168" s="63" t="s">
        <v>112</v>
      </c>
      <c r="V168" s="138" t="s">
        <v>3005</v>
      </c>
      <c r="W168" s="57" t="s">
        <v>2999</v>
      </c>
      <c r="X168" s="126" t="s">
        <v>3006</v>
      </c>
      <c r="Y168" s="126" t="s">
        <v>2511</v>
      </c>
      <c r="Z168" s="57" t="s">
        <v>2817</v>
      </c>
      <c r="AA168" s="57" t="s">
        <v>2920</v>
      </c>
      <c r="AB168" s="57" t="s">
        <v>2393</v>
      </c>
      <c r="AC168" s="57" t="s">
        <v>2631</v>
      </c>
      <c r="AD168" s="65" t="str">
        <f t="shared" si="36"/>
        <v>GPIO_PCC3</v>
      </c>
      <c r="AE168" s="70"/>
      <c r="AF168" s="67" t="str">
        <f t="shared" si="37"/>
        <v>NORMAL</v>
      </c>
      <c r="AG168" s="67" t="str">
        <f t="shared" si="38"/>
        <v>NORMAL</v>
      </c>
      <c r="AH168" s="67" t="str">
        <f t="shared" si="42"/>
        <v>DISABLE</v>
      </c>
      <c r="AI168" s="71" t="str">
        <f t="shared" si="40"/>
        <v>0</v>
      </c>
      <c r="AJ168" s="189" t="b">
        <v>1</v>
      </c>
      <c r="AK168" s="189" t="b">
        <v>1</v>
      </c>
      <c r="AL168" s="189" t="b">
        <v>1</v>
      </c>
      <c r="AM168" s="189" t="b">
        <v>1</v>
      </c>
      <c r="AN168" s="189" t="b">
        <v>1</v>
      </c>
      <c r="AO168" s="189" t="b">
        <v>1</v>
      </c>
      <c r="AP168" s="69" t="str">
        <f t="shared" si="41"/>
        <v>VALID</v>
      </c>
      <c r="AQ168" s="166" t="s">
        <v>2481</v>
      </c>
      <c r="AR168" s="194" t="s">
        <v>861</v>
      </c>
      <c r="AS168" s="193" t="s">
        <v>874</v>
      </c>
      <c r="AT168" s="193" t="s">
        <v>117</v>
      </c>
      <c r="AU168" s="140"/>
      <c r="AV168" s="193" t="s">
        <v>900</v>
      </c>
      <c r="AW168" s="193" t="s">
        <v>136</v>
      </c>
      <c r="AX168" s="193" t="s">
        <v>136</v>
      </c>
      <c r="AY168" s="72"/>
      <c r="AZ168" s="193"/>
      <c r="BA168" s="193"/>
      <c r="BB168" s="8"/>
      <c r="BC168" s="140"/>
      <c r="BD168" s="12" t="s">
        <v>5602</v>
      </c>
      <c r="BE168" s="311" t="s">
        <v>5603</v>
      </c>
    </row>
    <row r="169" spans="1:57" ht="12.95" customHeight="1">
      <c r="A169" s="320" t="s">
        <v>2544</v>
      </c>
      <c r="B169" s="251">
        <v>218</v>
      </c>
      <c r="C169" s="239" t="s">
        <v>261</v>
      </c>
      <c r="D169" s="239" t="s">
        <v>3007</v>
      </c>
      <c r="E169" s="58"/>
      <c r="F169" s="59" t="s">
        <v>489</v>
      </c>
      <c r="G169" s="191" t="s">
        <v>3008</v>
      </c>
      <c r="H169" s="192" t="s">
        <v>2181</v>
      </c>
      <c r="I169" s="61" t="s">
        <v>261</v>
      </c>
      <c r="J169" s="61" t="s">
        <v>2511</v>
      </c>
      <c r="K169" s="62" t="s">
        <v>2511</v>
      </c>
      <c r="L169" s="60" t="s">
        <v>2389</v>
      </c>
      <c r="M169" s="61" t="s">
        <v>2388</v>
      </c>
      <c r="N169" s="61" t="s">
        <v>2388</v>
      </c>
      <c r="O169" s="61" t="s">
        <v>2511</v>
      </c>
      <c r="P169" s="62" t="s">
        <v>2511</v>
      </c>
      <c r="Q169" s="58" t="s">
        <v>2425</v>
      </c>
      <c r="R169" s="58" t="s">
        <v>547</v>
      </c>
      <c r="S169" s="58" t="s">
        <v>112</v>
      </c>
      <c r="T169" s="58" t="s">
        <v>113</v>
      </c>
      <c r="U169" s="63" t="s">
        <v>112</v>
      </c>
      <c r="V169" s="138" t="s">
        <v>3009</v>
      </c>
      <c r="W169" s="57" t="s">
        <v>2999</v>
      </c>
      <c r="X169" s="126" t="s">
        <v>2511</v>
      </c>
      <c r="Y169" s="126" t="s">
        <v>2511</v>
      </c>
      <c r="Z169" s="57" t="s">
        <v>2514</v>
      </c>
      <c r="AA169" s="57" t="s">
        <v>2834</v>
      </c>
      <c r="AB169" s="57" t="s">
        <v>2393</v>
      </c>
      <c r="AC169" s="57" t="s">
        <v>2516</v>
      </c>
      <c r="AD169" s="65" t="str">
        <f t="shared" si="36"/>
        <v>GPIO_PCC4</v>
      </c>
      <c r="AE169" s="70"/>
      <c r="AF169" s="67" t="str">
        <f t="shared" si="37"/>
        <v>PULL_UP</v>
      </c>
      <c r="AG169" s="67" t="str">
        <f t="shared" si="38"/>
        <v>NORMAL</v>
      </c>
      <c r="AH169" s="67" t="str">
        <f t="shared" si="42"/>
        <v>DISABLE</v>
      </c>
      <c r="AI169" s="71" t="str">
        <f t="shared" si="40"/>
        <v/>
      </c>
      <c r="AJ169" s="189" t="b">
        <v>1</v>
      </c>
      <c r="AK169" s="189" t="b">
        <v>1</v>
      </c>
      <c r="AL169" s="189" t="b">
        <v>1</v>
      </c>
      <c r="AM169" s="189" t="b">
        <v>1</v>
      </c>
      <c r="AN169" s="189" t="b">
        <v>1</v>
      </c>
      <c r="AO169" s="189" t="b">
        <v>1</v>
      </c>
      <c r="AP169" s="69" t="str">
        <f t="shared" si="41"/>
        <v>VALID</v>
      </c>
      <c r="AQ169" s="166" t="s">
        <v>3008</v>
      </c>
      <c r="AR169" s="194" t="s">
        <v>861</v>
      </c>
      <c r="AS169" s="193" t="s">
        <v>873</v>
      </c>
      <c r="AT169" s="72"/>
      <c r="AU169" s="140"/>
      <c r="AV169" s="140"/>
      <c r="AW169" s="72"/>
      <c r="AX169" s="193" t="s">
        <v>136</v>
      </c>
      <c r="AY169" s="72"/>
      <c r="AZ169" s="193"/>
      <c r="BA169" s="193"/>
      <c r="BB169" s="8"/>
      <c r="BC169" s="140"/>
      <c r="BD169" s="11" t="s">
        <v>2544</v>
      </c>
      <c r="BE169" s="312" t="s">
        <v>5604</v>
      </c>
    </row>
    <row r="170" spans="1:57" ht="12.95" customHeight="1">
      <c r="A170" s="250" t="s">
        <v>5504</v>
      </c>
      <c r="B170" s="251">
        <v>236</v>
      </c>
      <c r="C170" s="239" t="s">
        <v>280</v>
      </c>
      <c r="D170" s="239" t="s">
        <v>3010</v>
      </c>
      <c r="E170" s="58"/>
      <c r="F170" s="59" t="s">
        <v>503</v>
      </c>
      <c r="G170" s="191" t="s">
        <v>3011</v>
      </c>
      <c r="H170" s="192" t="s">
        <v>940</v>
      </c>
      <c r="I170" s="61" t="s">
        <v>2511</v>
      </c>
      <c r="J170" s="61" t="s">
        <v>2511</v>
      </c>
      <c r="K170" s="62" t="s">
        <v>2511</v>
      </c>
      <c r="L170" s="60" t="s">
        <v>2389</v>
      </c>
      <c r="M170" s="61" t="s">
        <v>2388</v>
      </c>
      <c r="N170" s="61" t="s">
        <v>2511</v>
      </c>
      <c r="O170" s="61" t="s">
        <v>2511</v>
      </c>
      <c r="P170" s="62" t="s">
        <v>2511</v>
      </c>
      <c r="Q170" s="58" t="s">
        <v>184</v>
      </c>
      <c r="R170" s="58" t="s">
        <v>126</v>
      </c>
      <c r="S170" s="58" t="s">
        <v>112</v>
      </c>
      <c r="T170" s="58" t="s">
        <v>113</v>
      </c>
      <c r="U170" s="63" t="s">
        <v>126</v>
      </c>
      <c r="V170" s="138" t="s">
        <v>3012</v>
      </c>
      <c r="W170" s="57" t="s">
        <v>2999</v>
      </c>
      <c r="X170" s="126" t="s">
        <v>2511</v>
      </c>
      <c r="Y170" s="126" t="s">
        <v>2511</v>
      </c>
      <c r="Z170" s="57" t="s">
        <v>2817</v>
      </c>
      <c r="AA170" s="57" t="s">
        <v>2920</v>
      </c>
      <c r="AB170" s="57" t="s">
        <v>2393</v>
      </c>
      <c r="AC170" s="57" t="s">
        <v>2516</v>
      </c>
      <c r="AD170" s="65" t="str">
        <f t="shared" si="36"/>
        <v>UARTC</v>
      </c>
      <c r="AE170" s="70"/>
      <c r="AF170" s="67" t="str">
        <f t="shared" si="37"/>
        <v>NORMAL</v>
      </c>
      <c r="AG170" s="67" t="str">
        <f t="shared" si="38"/>
        <v>NORMAL</v>
      </c>
      <c r="AH170" s="67" t="str">
        <f t="shared" si="42"/>
        <v>DISABLE</v>
      </c>
      <c r="AI170" s="71" t="str">
        <f t="shared" si="40"/>
        <v>N/A</v>
      </c>
      <c r="AJ170" s="189" t="b">
        <v>1</v>
      </c>
      <c r="AK170" s="189" t="b">
        <v>1</v>
      </c>
      <c r="AL170" s="189" t="b">
        <v>1</v>
      </c>
      <c r="AM170" s="189" t="b">
        <v>1</v>
      </c>
      <c r="AN170" s="189" t="b">
        <v>1</v>
      </c>
      <c r="AO170" s="189" t="b">
        <v>1</v>
      </c>
      <c r="AP170" s="69" t="str">
        <f t="shared" si="41"/>
        <v>VALID</v>
      </c>
      <c r="AQ170" s="166" t="s">
        <v>940</v>
      </c>
      <c r="AR170" s="194" t="s">
        <v>861</v>
      </c>
      <c r="AS170" s="193"/>
      <c r="AT170" s="72"/>
      <c r="AU170" s="140"/>
      <c r="AV170" s="140"/>
      <c r="AW170" s="193" t="s">
        <v>136</v>
      </c>
      <c r="AX170" s="193" t="s">
        <v>136</v>
      </c>
      <c r="AY170" s="72"/>
      <c r="AZ170" s="193"/>
      <c r="BA170" s="193"/>
      <c r="BB170" s="8"/>
      <c r="BC170" s="140"/>
      <c r="BD170" s="11" t="s">
        <v>5605</v>
      </c>
      <c r="BE170" s="336" t="s">
        <v>5606</v>
      </c>
    </row>
    <row r="171" spans="1:57" ht="12.95" customHeight="1">
      <c r="A171" s="250" t="s">
        <v>5505</v>
      </c>
      <c r="B171" s="251">
        <v>238</v>
      </c>
      <c r="C171" s="239" t="s">
        <v>281</v>
      </c>
      <c r="D171" s="239" t="s">
        <v>3013</v>
      </c>
      <c r="E171" s="58"/>
      <c r="F171" s="59" t="s">
        <v>504</v>
      </c>
      <c r="G171" s="191" t="s">
        <v>3014</v>
      </c>
      <c r="H171" s="192" t="s">
        <v>941</v>
      </c>
      <c r="I171" s="61" t="s">
        <v>2511</v>
      </c>
      <c r="J171" s="61" t="s">
        <v>2511</v>
      </c>
      <c r="K171" s="62" t="s">
        <v>2511</v>
      </c>
      <c r="L171" s="60" t="s">
        <v>2389</v>
      </c>
      <c r="M171" s="61" t="s">
        <v>2523</v>
      </c>
      <c r="N171" s="61" t="s">
        <v>2511</v>
      </c>
      <c r="O171" s="61" t="s">
        <v>2511</v>
      </c>
      <c r="P171" s="62" t="s">
        <v>2511</v>
      </c>
      <c r="Q171" s="58" t="s">
        <v>184</v>
      </c>
      <c r="R171" s="58" t="s">
        <v>126</v>
      </c>
      <c r="S171" s="58" t="s">
        <v>112</v>
      </c>
      <c r="T171" s="58" t="s">
        <v>113</v>
      </c>
      <c r="U171" s="63" t="s">
        <v>126</v>
      </c>
      <c r="V171" s="138" t="s">
        <v>3015</v>
      </c>
      <c r="W171" s="57" t="s">
        <v>2999</v>
      </c>
      <c r="X171" s="126" t="s">
        <v>2511</v>
      </c>
      <c r="Y171" s="126" t="s">
        <v>2511</v>
      </c>
      <c r="Z171" s="57" t="s">
        <v>2817</v>
      </c>
      <c r="AA171" s="57" t="s">
        <v>2920</v>
      </c>
      <c r="AB171" s="57" t="s">
        <v>2393</v>
      </c>
      <c r="AC171" s="57" t="s">
        <v>2516</v>
      </c>
      <c r="AD171" s="65" t="str">
        <f t="shared" si="36"/>
        <v>UARTC</v>
      </c>
      <c r="AE171" s="70"/>
      <c r="AF171" s="67" t="str">
        <f t="shared" si="37"/>
        <v>NORMAL</v>
      </c>
      <c r="AG171" s="67" t="str">
        <f t="shared" si="38"/>
        <v>TRISTATE</v>
      </c>
      <c r="AH171" s="67" t="str">
        <f t="shared" si="42"/>
        <v>ENABLE</v>
      </c>
      <c r="AI171" s="71" t="str">
        <f t="shared" si="40"/>
        <v>N/A</v>
      </c>
      <c r="AJ171" s="189" t="b">
        <v>1</v>
      </c>
      <c r="AK171" s="189" t="b">
        <v>1</v>
      </c>
      <c r="AL171" s="189" t="b">
        <v>1</v>
      </c>
      <c r="AM171" s="189" t="b">
        <v>1</v>
      </c>
      <c r="AN171" s="189" t="b">
        <v>1</v>
      </c>
      <c r="AO171" s="189" t="b">
        <v>1</v>
      </c>
      <c r="AP171" s="69" t="str">
        <f t="shared" si="41"/>
        <v>VALID</v>
      </c>
      <c r="AQ171" s="166" t="s">
        <v>941</v>
      </c>
      <c r="AR171" s="194" t="s">
        <v>862</v>
      </c>
      <c r="AS171" s="193"/>
      <c r="AT171" s="193" t="s">
        <v>117</v>
      </c>
      <c r="AU171" s="140"/>
      <c r="AV171" s="140"/>
      <c r="AW171" s="193" t="s">
        <v>136</v>
      </c>
      <c r="AX171" s="193" t="s">
        <v>136</v>
      </c>
      <c r="AY171" s="72"/>
      <c r="AZ171" s="193"/>
      <c r="BA171" s="193"/>
      <c r="BB171" s="8"/>
      <c r="BC171" s="140"/>
      <c r="BD171" s="11" t="s">
        <v>5607</v>
      </c>
      <c r="BE171" s="337"/>
    </row>
    <row r="172" spans="1:57" ht="12.95" customHeight="1">
      <c r="A172" s="320" t="s">
        <v>5451</v>
      </c>
      <c r="B172" s="251">
        <v>185</v>
      </c>
      <c r="C172" s="239" t="s">
        <v>1018</v>
      </c>
      <c r="D172" s="239" t="s">
        <v>3016</v>
      </c>
      <c r="E172" s="58"/>
      <c r="F172" s="59" t="s">
        <v>2151</v>
      </c>
      <c r="G172" s="191" t="s">
        <v>3017</v>
      </c>
      <c r="H172" s="192" t="s">
        <v>946</v>
      </c>
      <c r="I172" s="61" t="s">
        <v>2511</v>
      </c>
      <c r="J172" s="61" t="s">
        <v>2511</v>
      </c>
      <c r="K172" s="62" t="s">
        <v>2511</v>
      </c>
      <c r="L172" s="60" t="s">
        <v>2389</v>
      </c>
      <c r="M172" s="61" t="s">
        <v>2389</v>
      </c>
      <c r="N172" s="61" t="s">
        <v>2511</v>
      </c>
      <c r="O172" s="61" t="s">
        <v>2511</v>
      </c>
      <c r="P172" s="62" t="s">
        <v>2511</v>
      </c>
      <c r="Q172" s="58" t="s">
        <v>549</v>
      </c>
      <c r="R172" s="58" t="s">
        <v>126</v>
      </c>
      <c r="S172" s="58" t="s">
        <v>112</v>
      </c>
      <c r="T172" s="58" t="s">
        <v>113</v>
      </c>
      <c r="U172" s="63" t="s">
        <v>126</v>
      </c>
      <c r="V172" s="138" t="s">
        <v>3018</v>
      </c>
      <c r="W172" s="57" t="s">
        <v>2999</v>
      </c>
      <c r="X172" s="126" t="s">
        <v>2511</v>
      </c>
      <c r="Y172" s="126" t="s">
        <v>2511</v>
      </c>
      <c r="Z172" s="57" t="s">
        <v>2817</v>
      </c>
      <c r="AA172" s="57" t="s">
        <v>2920</v>
      </c>
      <c r="AB172" s="57" t="s">
        <v>2393</v>
      </c>
      <c r="AC172" s="57" t="s">
        <v>2631</v>
      </c>
      <c r="AD172" s="65" t="str">
        <f t="shared" si="36"/>
        <v>I2C2</v>
      </c>
      <c r="AE172" s="70"/>
      <c r="AF172" s="67" t="str">
        <f t="shared" si="37"/>
        <v>NORMAL</v>
      </c>
      <c r="AG172" s="67" t="str">
        <f t="shared" si="38"/>
        <v>NORMAL</v>
      </c>
      <c r="AH172" s="67" t="str">
        <f t="shared" si="42"/>
        <v>ENABLE</v>
      </c>
      <c r="AI172" s="71" t="str">
        <f t="shared" si="40"/>
        <v>N/A</v>
      </c>
      <c r="AJ172" s="189" t="b">
        <v>1</v>
      </c>
      <c r="AK172" s="189" t="b">
        <v>1</v>
      </c>
      <c r="AL172" s="189" t="b">
        <v>1</v>
      </c>
      <c r="AM172" s="189" t="b">
        <v>1</v>
      </c>
      <c r="AN172" s="189" t="b">
        <v>1</v>
      </c>
      <c r="AO172" s="189" t="b">
        <v>1</v>
      </c>
      <c r="AP172" s="69" t="str">
        <f t="shared" si="41"/>
        <v>VALID</v>
      </c>
      <c r="AQ172" s="166" t="s">
        <v>946</v>
      </c>
      <c r="AR172" s="194" t="s">
        <v>860</v>
      </c>
      <c r="AS172" s="193"/>
      <c r="AT172" s="193" t="s">
        <v>117</v>
      </c>
      <c r="AU172" s="140"/>
      <c r="AV172" s="140"/>
      <c r="AW172" s="193" t="s">
        <v>872</v>
      </c>
      <c r="AX172" s="193" t="s">
        <v>872</v>
      </c>
      <c r="AY172" s="72"/>
      <c r="AZ172" s="193" t="s">
        <v>5544</v>
      </c>
      <c r="BA172" s="193"/>
      <c r="BB172" s="8"/>
      <c r="BC172" s="140"/>
      <c r="BD172" s="11" t="s">
        <v>5451</v>
      </c>
      <c r="BE172" s="336" t="s">
        <v>5608</v>
      </c>
    </row>
    <row r="173" spans="1:57" ht="12.95" customHeight="1">
      <c r="A173" s="320" t="s">
        <v>5452</v>
      </c>
      <c r="B173" s="251">
        <v>187</v>
      </c>
      <c r="C173" s="239" t="s">
        <v>1019</v>
      </c>
      <c r="D173" s="239" t="s">
        <v>3019</v>
      </c>
      <c r="E173" s="58"/>
      <c r="F173" s="59" t="s">
        <v>2152</v>
      </c>
      <c r="G173" s="191" t="s">
        <v>3020</v>
      </c>
      <c r="H173" s="192" t="s">
        <v>947</v>
      </c>
      <c r="I173" s="61" t="s">
        <v>2511</v>
      </c>
      <c r="J173" s="61" t="s">
        <v>2511</v>
      </c>
      <c r="K173" s="62" t="s">
        <v>2511</v>
      </c>
      <c r="L173" s="60" t="s">
        <v>2389</v>
      </c>
      <c r="M173" s="61" t="s">
        <v>2389</v>
      </c>
      <c r="N173" s="61" t="s">
        <v>2511</v>
      </c>
      <c r="O173" s="61" t="s">
        <v>2511</v>
      </c>
      <c r="P173" s="62" t="s">
        <v>2511</v>
      </c>
      <c r="Q173" s="58" t="s">
        <v>549</v>
      </c>
      <c r="R173" s="58" t="s">
        <v>126</v>
      </c>
      <c r="S173" s="58" t="s">
        <v>112</v>
      </c>
      <c r="T173" s="58" t="s">
        <v>113</v>
      </c>
      <c r="U173" s="63" t="s">
        <v>126</v>
      </c>
      <c r="V173" s="138" t="s">
        <v>3021</v>
      </c>
      <c r="W173" s="57" t="s">
        <v>2999</v>
      </c>
      <c r="X173" s="126" t="s">
        <v>3022</v>
      </c>
      <c r="Y173" s="126" t="s">
        <v>2511</v>
      </c>
      <c r="Z173" s="57" t="s">
        <v>2817</v>
      </c>
      <c r="AA173" s="57" t="s">
        <v>2920</v>
      </c>
      <c r="AB173" s="57" t="s">
        <v>2393</v>
      </c>
      <c r="AC173" s="57" t="s">
        <v>2631</v>
      </c>
      <c r="AD173" s="65" t="str">
        <f t="shared" si="36"/>
        <v>I2C2</v>
      </c>
      <c r="AE173" s="70"/>
      <c r="AF173" s="67" t="str">
        <f t="shared" si="37"/>
        <v>NORMAL</v>
      </c>
      <c r="AG173" s="67" t="str">
        <f t="shared" si="38"/>
        <v>NORMAL</v>
      </c>
      <c r="AH173" s="67" t="str">
        <f t="shared" si="42"/>
        <v>ENABLE</v>
      </c>
      <c r="AI173" s="71" t="str">
        <f t="shared" si="40"/>
        <v>N/A</v>
      </c>
      <c r="AJ173" s="189" t="b">
        <v>1</v>
      </c>
      <c r="AK173" s="189" t="b">
        <v>1</v>
      </c>
      <c r="AL173" s="189" t="b">
        <v>1</v>
      </c>
      <c r="AM173" s="189" t="b">
        <v>1</v>
      </c>
      <c r="AN173" s="189" t="b">
        <v>1</v>
      </c>
      <c r="AO173" s="189" t="b">
        <v>1</v>
      </c>
      <c r="AP173" s="69" t="str">
        <f t="shared" si="41"/>
        <v>VALID</v>
      </c>
      <c r="AQ173" s="166" t="s">
        <v>947</v>
      </c>
      <c r="AR173" s="194" t="s">
        <v>860</v>
      </c>
      <c r="AS173" s="193"/>
      <c r="AT173" s="72"/>
      <c r="AU173" s="140"/>
      <c r="AV173" s="140"/>
      <c r="AW173" s="193" t="s">
        <v>872</v>
      </c>
      <c r="AX173" s="193" t="s">
        <v>872</v>
      </c>
      <c r="AY173" s="72"/>
      <c r="AZ173" s="193" t="s">
        <v>5544</v>
      </c>
      <c r="BA173" s="193"/>
      <c r="BB173" s="8"/>
      <c r="BC173" s="140"/>
      <c r="BD173" s="11" t="s">
        <v>5452</v>
      </c>
      <c r="BE173" s="338"/>
    </row>
    <row r="174" spans="1:57" ht="12.95" hidden="1" customHeight="1">
      <c r="A174" s="248" t="e">
        <v>#N/A</v>
      </c>
      <c r="B174" s="252" t="e">
        <v>#N/A</v>
      </c>
      <c r="C174" s="263" t="s">
        <v>729</v>
      </c>
      <c r="D174" s="239" t="s">
        <v>3023</v>
      </c>
      <c r="E174" s="58"/>
      <c r="F174" s="59" t="s">
        <v>801</v>
      </c>
      <c r="G174" s="191" t="s">
        <v>3024</v>
      </c>
      <c r="H174" s="192" t="s">
        <v>942</v>
      </c>
      <c r="I174" s="61" t="s">
        <v>2511</v>
      </c>
      <c r="J174" s="61" t="s">
        <v>2511</v>
      </c>
      <c r="K174" s="62" t="s">
        <v>2511</v>
      </c>
      <c r="L174" s="60" t="s">
        <v>2389</v>
      </c>
      <c r="M174" s="61" t="s">
        <v>2389</v>
      </c>
      <c r="N174" s="61" t="s">
        <v>2511</v>
      </c>
      <c r="O174" s="61" t="s">
        <v>2511</v>
      </c>
      <c r="P174" s="62" t="s">
        <v>2511</v>
      </c>
      <c r="Q174" s="58" t="s">
        <v>846</v>
      </c>
      <c r="R174" s="58" t="s">
        <v>126</v>
      </c>
      <c r="S174" s="58" t="s">
        <v>112</v>
      </c>
      <c r="T174" s="58" t="s">
        <v>113</v>
      </c>
      <c r="U174" s="63" t="s">
        <v>126</v>
      </c>
      <c r="V174" s="138" t="s">
        <v>3025</v>
      </c>
      <c r="W174" s="57" t="s">
        <v>2999</v>
      </c>
      <c r="X174" s="126" t="s">
        <v>2511</v>
      </c>
      <c r="Y174" s="126" t="s">
        <v>2511</v>
      </c>
      <c r="Z174" s="57" t="s">
        <v>2817</v>
      </c>
      <c r="AA174" s="57" t="s">
        <v>2920</v>
      </c>
      <c r="AB174" s="57" t="s">
        <v>2393</v>
      </c>
      <c r="AC174" s="57" t="s">
        <v>2631</v>
      </c>
      <c r="AD174" s="65" t="str">
        <f t="shared" si="36"/>
        <v>I2C8</v>
      </c>
      <c r="AE174" s="70"/>
      <c r="AF174" s="67" t="str">
        <f t="shared" si="37"/>
        <v>NORMAL</v>
      </c>
      <c r="AG174" s="67" t="str">
        <f t="shared" si="38"/>
        <v>NORMAL</v>
      </c>
      <c r="AH174" s="67" t="str">
        <f t="shared" si="42"/>
        <v>ENABLE</v>
      </c>
      <c r="AI174" s="71" t="str">
        <f t="shared" si="40"/>
        <v>N/A</v>
      </c>
      <c r="AJ174" s="189" t="b">
        <v>1</v>
      </c>
      <c r="AK174" s="189" t="b">
        <v>1</v>
      </c>
      <c r="AL174" s="189" t="b">
        <v>1</v>
      </c>
      <c r="AM174" s="189" t="b">
        <v>1</v>
      </c>
      <c r="AN174" s="189" t="b">
        <v>1</v>
      </c>
      <c r="AO174" s="189" t="b">
        <v>1</v>
      </c>
      <c r="AP174" s="69" t="str">
        <f t="shared" si="41"/>
        <v>VALID</v>
      </c>
      <c r="AQ174" s="169" t="s">
        <v>942</v>
      </c>
      <c r="AR174" s="170" t="s">
        <v>860</v>
      </c>
      <c r="AS174" s="9"/>
      <c r="AT174" s="10"/>
      <c r="AU174" s="140"/>
      <c r="AV174" s="140"/>
      <c r="AW174" s="193" t="s">
        <v>872</v>
      </c>
      <c r="AX174" s="193" t="s">
        <v>872</v>
      </c>
      <c r="AY174" s="72"/>
      <c r="AZ174" s="193" t="s">
        <v>5544</v>
      </c>
      <c r="BA174" s="9"/>
      <c r="BB174" s="14"/>
      <c r="BC174" s="141"/>
      <c r="BD174" s="12" t="s">
        <v>5609</v>
      </c>
      <c r="BE174" s="336" t="s">
        <v>5610</v>
      </c>
    </row>
    <row r="175" spans="1:57" ht="12.95" hidden="1" customHeight="1">
      <c r="A175" s="248" t="e">
        <v>#N/A</v>
      </c>
      <c r="B175" s="252" t="e">
        <v>#N/A</v>
      </c>
      <c r="C175" s="263" t="s">
        <v>730</v>
      </c>
      <c r="D175" s="239" t="s">
        <v>3026</v>
      </c>
      <c r="E175" s="58"/>
      <c r="F175" s="59" t="s">
        <v>802</v>
      </c>
      <c r="G175" s="191" t="s">
        <v>3027</v>
      </c>
      <c r="H175" s="192" t="s">
        <v>943</v>
      </c>
      <c r="I175" s="61" t="s">
        <v>2511</v>
      </c>
      <c r="J175" s="61" t="s">
        <v>2511</v>
      </c>
      <c r="K175" s="62" t="s">
        <v>2511</v>
      </c>
      <c r="L175" s="60" t="s">
        <v>2389</v>
      </c>
      <c r="M175" s="61" t="s">
        <v>2389</v>
      </c>
      <c r="N175" s="61" t="s">
        <v>2511</v>
      </c>
      <c r="O175" s="61" t="s">
        <v>2511</v>
      </c>
      <c r="P175" s="62" t="s">
        <v>2511</v>
      </c>
      <c r="Q175" s="58" t="s">
        <v>846</v>
      </c>
      <c r="R175" s="58" t="s">
        <v>126</v>
      </c>
      <c r="S175" s="58" t="s">
        <v>112</v>
      </c>
      <c r="T175" s="58" t="s">
        <v>113</v>
      </c>
      <c r="U175" s="63" t="s">
        <v>126</v>
      </c>
      <c r="V175" s="138" t="s">
        <v>3028</v>
      </c>
      <c r="W175" s="57" t="s">
        <v>2999</v>
      </c>
      <c r="X175" s="126" t="s">
        <v>3029</v>
      </c>
      <c r="Y175" s="126" t="s">
        <v>2511</v>
      </c>
      <c r="Z175" s="57" t="s">
        <v>2817</v>
      </c>
      <c r="AA175" s="57" t="s">
        <v>2920</v>
      </c>
      <c r="AB175" s="57" t="s">
        <v>2393</v>
      </c>
      <c r="AC175" s="57" t="s">
        <v>2631</v>
      </c>
      <c r="AD175" s="65" t="str">
        <f t="shared" si="36"/>
        <v>I2C8</v>
      </c>
      <c r="AE175" s="70"/>
      <c r="AF175" s="67" t="str">
        <f t="shared" si="37"/>
        <v>NORMAL</v>
      </c>
      <c r="AG175" s="67" t="str">
        <f t="shared" si="38"/>
        <v>NORMAL</v>
      </c>
      <c r="AH175" s="67" t="str">
        <f t="shared" si="42"/>
        <v>ENABLE</v>
      </c>
      <c r="AI175" s="71" t="str">
        <f t="shared" si="40"/>
        <v>N/A</v>
      </c>
      <c r="AJ175" s="189" t="b">
        <v>1</v>
      </c>
      <c r="AK175" s="189" t="b">
        <v>1</v>
      </c>
      <c r="AL175" s="189" t="b">
        <v>1</v>
      </c>
      <c r="AM175" s="189" t="b">
        <v>1</v>
      </c>
      <c r="AN175" s="189" t="b">
        <v>1</v>
      </c>
      <c r="AO175" s="189" t="b">
        <v>1</v>
      </c>
      <c r="AP175" s="69" t="str">
        <f t="shared" si="41"/>
        <v>VALID</v>
      </c>
      <c r="AQ175" s="171" t="s">
        <v>943</v>
      </c>
      <c r="AR175" s="170" t="s">
        <v>860</v>
      </c>
      <c r="AS175" s="9"/>
      <c r="AT175" s="193" t="s">
        <v>117</v>
      </c>
      <c r="AU175" s="140"/>
      <c r="AV175" s="140"/>
      <c r="AW175" s="193" t="s">
        <v>872</v>
      </c>
      <c r="AX175" s="193" t="s">
        <v>872</v>
      </c>
      <c r="AY175" s="72"/>
      <c r="AZ175" s="193" t="s">
        <v>5544</v>
      </c>
      <c r="BA175" s="193"/>
      <c r="BB175" s="14"/>
      <c r="BC175" s="140"/>
      <c r="BD175" s="11" t="s">
        <v>5611</v>
      </c>
      <c r="BE175" s="338"/>
    </row>
    <row r="176" spans="1:57" s="56" customFormat="1" ht="18" customHeight="1">
      <c r="A176" s="363"/>
      <c r="B176" s="364"/>
      <c r="C176" s="266" t="s">
        <v>62</v>
      </c>
      <c r="D176" s="266"/>
      <c r="E176" s="73"/>
      <c r="F176" s="73"/>
      <c r="G176" s="74"/>
      <c r="H176" s="74"/>
      <c r="I176" s="74"/>
      <c r="J176" s="74"/>
      <c r="K176" s="74"/>
      <c r="L176" s="73"/>
      <c r="M176" s="73"/>
      <c r="N176" s="73"/>
      <c r="O176" s="73"/>
      <c r="P176" s="73"/>
      <c r="Q176" s="73"/>
      <c r="R176" s="73"/>
      <c r="S176" s="73"/>
      <c r="T176" s="73"/>
      <c r="U176" s="73"/>
      <c r="V176" s="73"/>
      <c r="W176" s="73"/>
      <c r="X176" s="127"/>
      <c r="Y176" s="127"/>
      <c r="Z176" s="75"/>
      <c r="AA176" s="75"/>
      <c r="AB176" s="75"/>
      <c r="AC176" s="75"/>
      <c r="AD176" s="75"/>
      <c r="AE176" s="75"/>
      <c r="AF176" s="75"/>
      <c r="AG176" s="75"/>
      <c r="AH176" s="75"/>
      <c r="AI176" s="75"/>
      <c r="AJ176" s="53"/>
      <c r="AK176" s="53"/>
      <c r="AL176" s="53"/>
      <c r="AM176" s="53"/>
      <c r="AN176" s="53"/>
      <c r="AO176" s="53"/>
      <c r="AP176" s="53"/>
      <c r="AQ176" s="54"/>
      <c r="AR176" s="76"/>
      <c r="AS176" s="77"/>
      <c r="AT176" s="77"/>
      <c r="AU176" s="77"/>
      <c r="AV176" s="77"/>
      <c r="AW176" s="77"/>
      <c r="AX176" s="77"/>
      <c r="AY176" s="77"/>
      <c r="AZ176" s="77"/>
      <c r="BA176" s="77"/>
      <c r="BB176" s="77"/>
      <c r="BC176" s="175" t="s">
        <v>59</v>
      </c>
      <c r="BD176" s="77"/>
      <c r="BE176" s="230" t="s">
        <v>62</v>
      </c>
    </row>
    <row r="177" spans="1:57" ht="12.95" customHeight="1">
      <c r="A177" s="247" t="s">
        <v>5423</v>
      </c>
      <c r="B177" s="251">
        <v>116</v>
      </c>
      <c r="C177" s="239" t="s">
        <v>722</v>
      </c>
      <c r="D177" s="239" t="s">
        <v>3030</v>
      </c>
      <c r="E177" s="58"/>
      <c r="F177" s="59" t="s">
        <v>773</v>
      </c>
      <c r="G177" s="191" t="s">
        <v>3031</v>
      </c>
      <c r="H177" s="192" t="s">
        <v>722</v>
      </c>
      <c r="I177" s="61" t="s">
        <v>2511</v>
      </c>
      <c r="J177" s="61" t="s">
        <v>2511</v>
      </c>
      <c r="K177" s="62" t="s">
        <v>2511</v>
      </c>
      <c r="L177" s="60" t="s">
        <v>2389</v>
      </c>
      <c r="M177" s="61" t="s">
        <v>2388</v>
      </c>
      <c r="N177" s="61" t="s">
        <v>2511</v>
      </c>
      <c r="O177" s="61" t="s">
        <v>2511</v>
      </c>
      <c r="P177" s="62" t="s">
        <v>2511</v>
      </c>
      <c r="Q177" s="7" t="s">
        <v>836</v>
      </c>
      <c r="R177" s="7" t="s">
        <v>126</v>
      </c>
      <c r="S177" s="58" t="s">
        <v>112</v>
      </c>
      <c r="T177" s="58" t="s">
        <v>113</v>
      </c>
      <c r="U177" s="106" t="s">
        <v>126</v>
      </c>
      <c r="V177" s="138" t="s">
        <v>3032</v>
      </c>
      <c r="W177" s="57" t="s">
        <v>3033</v>
      </c>
      <c r="X177" s="126" t="s">
        <v>2511</v>
      </c>
      <c r="Y177" s="126" t="s">
        <v>2511</v>
      </c>
      <c r="Z177" s="57" t="s">
        <v>2514</v>
      </c>
      <c r="AA177" s="57" t="s">
        <v>2515</v>
      </c>
      <c r="AB177" s="57" t="s">
        <v>2393</v>
      </c>
      <c r="AC177" s="57" t="s">
        <v>2516</v>
      </c>
      <c r="AD177" s="65" t="str">
        <f t="shared" ref="AD177:AD198" si="43">IF(OR($AQ177="",$AQ177=$F177),$U177,IF($AQ177=$G177,SUBSTITUTE(SUBSTITUTE($AQ177,"GPIO3_","GPIO_"),".0",""),IF($AQ177=$H177,$Q177,IF($AQ177=$I177,$R177,IF($AQ177=$J177,$S177,IF($AQ177=$K177,$T177,"INVALID"))))))</f>
        <v>EXTPERIPH1</v>
      </c>
      <c r="AE177" s="70"/>
      <c r="AF177" s="67" t="str">
        <f t="shared" ref="AF177:AF198" si="44">IF(AND(OR($AS177="Int PU",$AS177="Int PD"),OR(AND($AZ177&lt;&gt;"",$AZ177&lt;&gt;"0"),AND($BA177&lt;&gt;"",$BA177&lt;&gt;"0"))),"INVALID",IF(OR($AQ177=$F177,$AS177="Int PD"),"PULL_DOWN",IF(OR($AS177="Int PU",AND($AE177="YES",OR($AZ177="",$AZ177="0"),OR($BA177="",$BA177="0"),OR($AR177="Input",$AR177="Bidirectional"))),"PULL_UP","NORMAL")))</f>
        <v>NORMAL</v>
      </c>
      <c r="AG177" s="67" t="str">
        <f t="shared" ref="AG177:AG240" si="45">IF($AR177="Input", "TRISTATE", IF($AS177="Z","TRISTATE",IF($AQ177=$F177,"TRISTATE","NORMAL")))</f>
        <v>NORMAL</v>
      </c>
      <c r="AH177" s="67" t="str">
        <f t="shared" ref="AH177:AH198" si="46">IF(OR($AQ177=$F177,$AR177="Output"),"DISABLE","ENABLE")</f>
        <v>DISABLE</v>
      </c>
      <c r="AI177" s="71" t="str">
        <f t="shared" ref="AI177:AI243" si="47">IF($AQ177&lt;&gt;$G177,"N/A",IF($AS177="Drive 1", "1", IF($AS177="Drive 0", "0", "")))</f>
        <v>N/A</v>
      </c>
      <c r="AJ177" s="189" t="b">
        <v>1</v>
      </c>
      <c r="AK177" s="189" t="b">
        <v>1</v>
      </c>
      <c r="AL177" s="189" t="b">
        <v>1</v>
      </c>
      <c r="AM177" s="189" t="b">
        <v>1</v>
      </c>
      <c r="AN177" s="189" t="b">
        <v>1</v>
      </c>
      <c r="AO177" s="189" t="b">
        <v>1</v>
      </c>
      <c r="AP177" s="69" t="str">
        <f t="shared" ref="AP177:AP198" si="48">IF(AND($AJ177:$AO177), "VALID", "INVALID")</f>
        <v>VALID</v>
      </c>
      <c r="AQ177" s="165" t="s">
        <v>722</v>
      </c>
      <c r="AR177" s="2" t="s">
        <v>861</v>
      </c>
      <c r="AS177" s="193"/>
      <c r="AT177" s="72"/>
      <c r="AU177" s="72"/>
      <c r="AV177" s="72"/>
      <c r="AW177" s="72"/>
      <c r="AX177" s="193" t="s">
        <v>136</v>
      </c>
      <c r="AY177" s="72"/>
      <c r="AZ177" s="4"/>
      <c r="BA177" s="4"/>
      <c r="BB177" s="8"/>
      <c r="BC177" s="140"/>
      <c r="BD177" s="11" t="s">
        <v>5423</v>
      </c>
      <c r="BE177" s="314" t="s">
        <v>5612</v>
      </c>
    </row>
    <row r="178" spans="1:57" ht="12.95" customHeight="1">
      <c r="A178" s="247" t="s">
        <v>5613</v>
      </c>
      <c r="B178" s="251">
        <v>122</v>
      </c>
      <c r="C178" s="239" t="s">
        <v>723</v>
      </c>
      <c r="D178" s="239" t="s">
        <v>3034</v>
      </c>
      <c r="E178" s="58"/>
      <c r="F178" s="59" t="s">
        <v>774</v>
      </c>
      <c r="G178" s="191" t="s">
        <v>2459</v>
      </c>
      <c r="H178" s="192" t="s">
        <v>723</v>
      </c>
      <c r="I178" s="61" t="s">
        <v>2511</v>
      </c>
      <c r="J178" s="61" t="s">
        <v>2511</v>
      </c>
      <c r="K178" s="62" t="s">
        <v>2511</v>
      </c>
      <c r="L178" s="60" t="s">
        <v>2389</v>
      </c>
      <c r="M178" s="61" t="s">
        <v>2388</v>
      </c>
      <c r="N178" s="61" t="s">
        <v>2511</v>
      </c>
      <c r="O178" s="61" t="s">
        <v>2511</v>
      </c>
      <c r="P178" s="62" t="s">
        <v>2511</v>
      </c>
      <c r="Q178" s="7" t="s">
        <v>837</v>
      </c>
      <c r="R178" s="7" t="s">
        <v>126</v>
      </c>
      <c r="S178" s="58" t="s">
        <v>112</v>
      </c>
      <c r="T178" s="58" t="s">
        <v>113</v>
      </c>
      <c r="U178" s="63" t="s">
        <v>126</v>
      </c>
      <c r="V178" s="138" t="s">
        <v>3035</v>
      </c>
      <c r="W178" s="57" t="s">
        <v>3033</v>
      </c>
      <c r="X178" s="126" t="s">
        <v>2511</v>
      </c>
      <c r="Y178" s="126" t="s">
        <v>2511</v>
      </c>
      <c r="Z178" s="57" t="s">
        <v>2514</v>
      </c>
      <c r="AA178" s="57" t="s">
        <v>2515</v>
      </c>
      <c r="AB178" s="57" t="s">
        <v>2393</v>
      </c>
      <c r="AC178" s="57" t="s">
        <v>2516</v>
      </c>
      <c r="AD178" s="65" t="str">
        <f t="shared" si="43"/>
        <v>EXTPERIPH2</v>
      </c>
      <c r="AE178" s="70"/>
      <c r="AF178" s="67" t="str">
        <f t="shared" si="44"/>
        <v>NORMAL</v>
      </c>
      <c r="AG178" s="67" t="str">
        <f t="shared" si="45"/>
        <v>NORMAL</v>
      </c>
      <c r="AH178" s="67" t="str">
        <f t="shared" si="46"/>
        <v>DISABLE</v>
      </c>
      <c r="AI178" s="71" t="str">
        <f t="shared" si="47"/>
        <v>N/A</v>
      </c>
      <c r="AJ178" s="189" t="b">
        <v>1</v>
      </c>
      <c r="AK178" s="189" t="b">
        <v>1</v>
      </c>
      <c r="AL178" s="189" t="b">
        <v>1</v>
      </c>
      <c r="AM178" s="189" t="b">
        <v>1</v>
      </c>
      <c r="AN178" s="189" t="b">
        <v>1</v>
      </c>
      <c r="AO178" s="189" t="b">
        <v>1</v>
      </c>
      <c r="AP178" s="69" t="str">
        <f t="shared" si="48"/>
        <v>VALID</v>
      </c>
      <c r="AQ178" s="166" t="s">
        <v>723</v>
      </c>
      <c r="AR178" s="194" t="s">
        <v>861</v>
      </c>
      <c r="AS178" s="193"/>
      <c r="AT178" s="72"/>
      <c r="AU178" s="72"/>
      <c r="AV178" s="72"/>
      <c r="AW178" s="72"/>
      <c r="AX178" s="193" t="s">
        <v>136</v>
      </c>
      <c r="AY178" s="72"/>
      <c r="AZ178" s="193"/>
      <c r="BA178" s="193"/>
      <c r="BB178" s="8"/>
      <c r="BC178" s="140"/>
      <c r="BD178" s="11" t="s">
        <v>5613</v>
      </c>
      <c r="BE178" s="314" t="s">
        <v>5612</v>
      </c>
    </row>
    <row r="179" spans="1:57" ht="12.95" customHeight="1">
      <c r="A179" s="247" t="s">
        <v>15</v>
      </c>
      <c r="B179" s="251">
        <v>213</v>
      </c>
      <c r="C179" s="239" t="s">
        <v>15</v>
      </c>
      <c r="D179" s="239" t="s">
        <v>3036</v>
      </c>
      <c r="E179" s="58"/>
      <c r="F179" s="59" t="s">
        <v>135</v>
      </c>
      <c r="G179" s="191" t="s">
        <v>3037</v>
      </c>
      <c r="H179" s="192" t="s">
        <v>918</v>
      </c>
      <c r="I179" s="61" t="s">
        <v>2511</v>
      </c>
      <c r="J179" s="61" t="s">
        <v>2511</v>
      </c>
      <c r="K179" s="62" t="s">
        <v>2511</v>
      </c>
      <c r="L179" s="60" t="s">
        <v>2389</v>
      </c>
      <c r="M179" s="61" t="s">
        <v>2389</v>
      </c>
      <c r="N179" s="61" t="s">
        <v>2511</v>
      </c>
      <c r="O179" s="61" t="s">
        <v>2511</v>
      </c>
      <c r="P179" s="62" t="s">
        <v>2511</v>
      </c>
      <c r="Q179" s="7" t="s">
        <v>134</v>
      </c>
      <c r="R179" s="7" t="s">
        <v>126</v>
      </c>
      <c r="S179" s="58" t="s">
        <v>112</v>
      </c>
      <c r="T179" s="58" t="s">
        <v>113</v>
      </c>
      <c r="U179" s="63" t="s">
        <v>126</v>
      </c>
      <c r="V179" s="138" t="s">
        <v>3038</v>
      </c>
      <c r="W179" s="57" t="s">
        <v>3033</v>
      </c>
      <c r="X179" s="126" t="s">
        <v>2511</v>
      </c>
      <c r="Y179" s="126" t="s">
        <v>2511</v>
      </c>
      <c r="Z179" s="57" t="s">
        <v>2817</v>
      </c>
      <c r="AA179" s="57" t="s">
        <v>2818</v>
      </c>
      <c r="AB179" s="57" t="s">
        <v>2393</v>
      </c>
      <c r="AC179" s="57" t="s">
        <v>2631</v>
      </c>
      <c r="AD179" s="65" t="str">
        <f t="shared" si="43"/>
        <v>I2C3</v>
      </c>
      <c r="AE179" s="70"/>
      <c r="AF179" s="67" t="str">
        <f t="shared" si="44"/>
        <v>NORMAL</v>
      </c>
      <c r="AG179" s="67" t="str">
        <f t="shared" si="45"/>
        <v>NORMAL</v>
      </c>
      <c r="AH179" s="67" t="str">
        <f t="shared" si="46"/>
        <v>ENABLE</v>
      </c>
      <c r="AI179" s="71" t="str">
        <f t="shared" si="47"/>
        <v>N/A</v>
      </c>
      <c r="AJ179" s="189" t="b">
        <v>1</v>
      </c>
      <c r="AK179" s="189" t="b">
        <v>1</v>
      </c>
      <c r="AL179" s="189" t="b">
        <v>1</v>
      </c>
      <c r="AM179" s="189" t="b">
        <v>1</v>
      </c>
      <c r="AN179" s="189" t="b">
        <v>1</v>
      </c>
      <c r="AO179" s="189" t="b">
        <v>1</v>
      </c>
      <c r="AP179" s="69" t="str">
        <f t="shared" si="48"/>
        <v>VALID</v>
      </c>
      <c r="AQ179" s="166" t="s">
        <v>918</v>
      </c>
      <c r="AR179" s="194" t="s">
        <v>860</v>
      </c>
      <c r="AS179" s="193"/>
      <c r="AT179" s="72"/>
      <c r="AU179" s="72"/>
      <c r="AV179" s="72"/>
      <c r="AW179" s="193" t="s">
        <v>872</v>
      </c>
      <c r="AX179" s="193" t="s">
        <v>136</v>
      </c>
      <c r="AY179" s="72"/>
      <c r="AZ179" s="193" t="s">
        <v>5544</v>
      </c>
      <c r="BA179" s="193"/>
      <c r="BB179" s="8"/>
      <c r="BC179" s="140"/>
      <c r="BD179" s="11" t="s">
        <v>5614</v>
      </c>
      <c r="BE179" s="341" t="s">
        <v>5615</v>
      </c>
    </row>
    <row r="180" spans="1:57" ht="12.95" customHeight="1">
      <c r="A180" s="247" t="s">
        <v>16</v>
      </c>
      <c r="B180" s="251">
        <v>215</v>
      </c>
      <c r="C180" s="239" t="s">
        <v>16</v>
      </c>
      <c r="D180" s="239" t="s">
        <v>3039</v>
      </c>
      <c r="E180" s="58"/>
      <c r="F180" s="59" t="s">
        <v>138</v>
      </c>
      <c r="G180" s="191" t="s">
        <v>3040</v>
      </c>
      <c r="H180" s="192" t="s">
        <v>919</v>
      </c>
      <c r="I180" s="61" t="s">
        <v>2511</v>
      </c>
      <c r="J180" s="61" t="s">
        <v>2511</v>
      </c>
      <c r="K180" s="62" t="s">
        <v>2511</v>
      </c>
      <c r="L180" s="60" t="s">
        <v>2389</v>
      </c>
      <c r="M180" s="61" t="s">
        <v>2389</v>
      </c>
      <c r="N180" s="61" t="s">
        <v>2511</v>
      </c>
      <c r="O180" s="61" t="s">
        <v>2511</v>
      </c>
      <c r="P180" s="62" t="s">
        <v>2511</v>
      </c>
      <c r="Q180" s="7" t="s">
        <v>134</v>
      </c>
      <c r="R180" s="7" t="s">
        <v>126</v>
      </c>
      <c r="S180" s="58" t="s">
        <v>112</v>
      </c>
      <c r="T180" s="58" t="s">
        <v>113</v>
      </c>
      <c r="U180" s="63" t="s">
        <v>126</v>
      </c>
      <c r="V180" s="138" t="s">
        <v>3041</v>
      </c>
      <c r="W180" s="57" t="s">
        <v>3033</v>
      </c>
      <c r="X180" s="126" t="s">
        <v>3042</v>
      </c>
      <c r="Y180" s="126" t="s">
        <v>2511</v>
      </c>
      <c r="Z180" s="57" t="s">
        <v>2817</v>
      </c>
      <c r="AA180" s="57" t="s">
        <v>2818</v>
      </c>
      <c r="AB180" s="57" t="s">
        <v>2393</v>
      </c>
      <c r="AC180" s="57" t="s">
        <v>2631</v>
      </c>
      <c r="AD180" s="65" t="str">
        <f t="shared" si="43"/>
        <v>I2C3</v>
      </c>
      <c r="AE180" s="70"/>
      <c r="AF180" s="67" t="str">
        <f t="shared" si="44"/>
        <v>NORMAL</v>
      </c>
      <c r="AG180" s="67" t="str">
        <f t="shared" si="45"/>
        <v>NORMAL</v>
      </c>
      <c r="AH180" s="67" t="str">
        <f t="shared" si="46"/>
        <v>ENABLE</v>
      </c>
      <c r="AI180" s="71" t="str">
        <f t="shared" si="47"/>
        <v>N/A</v>
      </c>
      <c r="AJ180" s="189" t="b">
        <v>1</v>
      </c>
      <c r="AK180" s="189" t="b">
        <v>1</v>
      </c>
      <c r="AL180" s="189" t="b">
        <v>1</v>
      </c>
      <c r="AM180" s="189" t="b">
        <v>1</v>
      </c>
      <c r="AN180" s="189" t="b">
        <v>1</v>
      </c>
      <c r="AO180" s="189" t="b">
        <v>1</v>
      </c>
      <c r="AP180" s="69" t="str">
        <f t="shared" si="48"/>
        <v>VALID</v>
      </c>
      <c r="AQ180" s="166" t="s">
        <v>919</v>
      </c>
      <c r="AR180" s="194" t="s">
        <v>860</v>
      </c>
      <c r="AS180" s="193"/>
      <c r="AT180" s="193" t="s">
        <v>117</v>
      </c>
      <c r="AU180" s="72"/>
      <c r="AV180" s="72"/>
      <c r="AW180" s="193" t="s">
        <v>872</v>
      </c>
      <c r="AX180" s="193" t="s">
        <v>136</v>
      </c>
      <c r="AY180" s="72"/>
      <c r="AZ180" s="193" t="s">
        <v>5544</v>
      </c>
      <c r="BA180" s="193"/>
      <c r="BB180" s="8"/>
      <c r="BC180" s="140"/>
      <c r="BD180" s="11" t="s">
        <v>5616</v>
      </c>
      <c r="BE180" s="341"/>
    </row>
    <row r="181" spans="1:57" ht="15">
      <c r="A181" s="247" t="s">
        <v>2508</v>
      </c>
      <c r="B181" s="251">
        <v>114</v>
      </c>
      <c r="C181" s="239" t="s">
        <v>1020</v>
      </c>
      <c r="D181" s="239" t="s">
        <v>3043</v>
      </c>
      <c r="E181" s="58"/>
      <c r="F181" s="59" t="s">
        <v>1838</v>
      </c>
      <c r="G181" s="191" t="s">
        <v>953</v>
      </c>
      <c r="H181" s="192" t="s">
        <v>2511</v>
      </c>
      <c r="I181" s="61" t="s">
        <v>2511</v>
      </c>
      <c r="J181" s="61" t="s">
        <v>2511</v>
      </c>
      <c r="K181" s="62" t="s">
        <v>2511</v>
      </c>
      <c r="L181" s="60" t="s">
        <v>2389</v>
      </c>
      <c r="M181" s="61" t="s">
        <v>2511</v>
      </c>
      <c r="N181" s="61" t="s">
        <v>2511</v>
      </c>
      <c r="O181" s="61" t="s">
        <v>2511</v>
      </c>
      <c r="P181" s="62" t="s">
        <v>2511</v>
      </c>
      <c r="Q181" s="7" t="s">
        <v>552</v>
      </c>
      <c r="R181" s="7" t="s">
        <v>126</v>
      </c>
      <c r="S181" s="58" t="s">
        <v>112</v>
      </c>
      <c r="T181" s="58" t="s">
        <v>113</v>
      </c>
      <c r="U181" s="63" t="s">
        <v>552</v>
      </c>
      <c r="V181" s="138" t="s">
        <v>3044</v>
      </c>
      <c r="W181" s="57" t="s">
        <v>3033</v>
      </c>
      <c r="X181" s="126" t="s">
        <v>3045</v>
      </c>
      <c r="Y181" s="126" t="s">
        <v>2511</v>
      </c>
      <c r="Z181" s="57" t="s">
        <v>2514</v>
      </c>
      <c r="AA181" s="57" t="s">
        <v>2753</v>
      </c>
      <c r="AB181" s="57" t="s">
        <v>2393</v>
      </c>
      <c r="AC181" s="57" t="s">
        <v>2516</v>
      </c>
      <c r="AD181" s="65" t="str">
        <f t="shared" si="43"/>
        <v>GPIO_PP4</v>
      </c>
      <c r="AE181" s="70"/>
      <c r="AF181" s="67" t="str">
        <f t="shared" si="44"/>
        <v>NORMAL</v>
      </c>
      <c r="AG181" s="67" t="str">
        <f t="shared" si="45"/>
        <v>NORMAL</v>
      </c>
      <c r="AH181" s="67" t="str">
        <f t="shared" si="46"/>
        <v>DISABLE</v>
      </c>
      <c r="AI181" s="71" t="str">
        <f t="shared" si="47"/>
        <v>0</v>
      </c>
      <c r="AJ181" s="189" t="b">
        <v>1</v>
      </c>
      <c r="AK181" s="189" t="b">
        <v>1</v>
      </c>
      <c r="AL181" s="189" t="b">
        <v>1</v>
      </c>
      <c r="AM181" s="189" t="b">
        <v>1</v>
      </c>
      <c r="AN181" s="189" t="b">
        <v>1</v>
      </c>
      <c r="AO181" s="189" t="b">
        <v>1</v>
      </c>
      <c r="AP181" s="69" t="str">
        <f t="shared" si="48"/>
        <v>VALID</v>
      </c>
      <c r="AQ181" s="166" t="s">
        <v>953</v>
      </c>
      <c r="AR181" s="194" t="s">
        <v>861</v>
      </c>
      <c r="AS181" s="193" t="s">
        <v>874</v>
      </c>
      <c r="AT181" s="193" t="s">
        <v>117</v>
      </c>
      <c r="AU181" s="72"/>
      <c r="AV181" s="72"/>
      <c r="AW181" s="72"/>
      <c r="AX181" s="193" t="s">
        <v>136</v>
      </c>
      <c r="AY181" s="72"/>
      <c r="AZ181" s="193"/>
      <c r="BA181" s="193"/>
      <c r="BB181" s="8"/>
      <c r="BC181" s="140"/>
      <c r="BD181" s="11" t="s">
        <v>2508</v>
      </c>
      <c r="BE181" s="311" t="s">
        <v>5617</v>
      </c>
    </row>
    <row r="182" spans="1:57" ht="12.75" customHeight="1">
      <c r="A182" s="247" t="s">
        <v>5618</v>
      </c>
      <c r="B182" s="253">
        <v>120</v>
      </c>
      <c r="C182" s="285" t="s">
        <v>1021</v>
      </c>
      <c r="D182" s="239" t="s">
        <v>3046</v>
      </c>
      <c r="E182" s="58"/>
      <c r="F182" s="59" t="s">
        <v>1839</v>
      </c>
      <c r="G182" s="191" t="s">
        <v>954</v>
      </c>
      <c r="H182" s="192" t="s">
        <v>2511</v>
      </c>
      <c r="I182" s="61"/>
      <c r="J182" s="61" t="s">
        <v>2511</v>
      </c>
      <c r="K182" s="62" t="s">
        <v>2511</v>
      </c>
      <c r="L182" s="60" t="s">
        <v>2389</v>
      </c>
      <c r="M182" s="61" t="s">
        <v>2511</v>
      </c>
      <c r="N182" s="61" t="s">
        <v>2388</v>
      </c>
      <c r="O182" s="61" t="s">
        <v>2511</v>
      </c>
      <c r="P182" s="62" t="s">
        <v>2511</v>
      </c>
      <c r="Q182" s="7" t="s">
        <v>552</v>
      </c>
      <c r="R182" s="7" t="s">
        <v>1854</v>
      </c>
      <c r="S182" s="58" t="s">
        <v>112</v>
      </c>
      <c r="T182" s="58" t="s">
        <v>113</v>
      </c>
      <c r="U182" s="63" t="s">
        <v>552</v>
      </c>
      <c r="V182" s="138" t="s">
        <v>3047</v>
      </c>
      <c r="W182" s="57" t="s">
        <v>3033</v>
      </c>
      <c r="X182" s="126" t="s">
        <v>3048</v>
      </c>
      <c r="Y182" s="126" t="s">
        <v>2511</v>
      </c>
      <c r="Z182" s="57" t="s">
        <v>2514</v>
      </c>
      <c r="AA182" s="57" t="s">
        <v>2753</v>
      </c>
      <c r="AB182" s="57" t="s">
        <v>2393</v>
      </c>
      <c r="AC182" s="57" t="s">
        <v>2516</v>
      </c>
      <c r="AD182" s="65" t="str">
        <f t="shared" si="43"/>
        <v>GPIO_PP5</v>
      </c>
      <c r="AE182" s="70"/>
      <c r="AF182" s="67" t="str">
        <f t="shared" si="44"/>
        <v>NORMAL</v>
      </c>
      <c r="AG182" s="67" t="str">
        <f t="shared" si="45"/>
        <v>NORMAL</v>
      </c>
      <c r="AH182" s="67" t="str">
        <f t="shared" si="46"/>
        <v>DISABLE</v>
      </c>
      <c r="AI182" s="71" t="str">
        <f t="shared" si="47"/>
        <v>0</v>
      </c>
      <c r="AJ182" s="189" t="b">
        <v>1</v>
      </c>
      <c r="AK182" s="189" t="b">
        <v>1</v>
      </c>
      <c r="AL182" s="189" t="b">
        <v>1</v>
      </c>
      <c r="AM182" s="189" t="b">
        <v>1</v>
      </c>
      <c r="AN182" s="189" t="b">
        <v>1</v>
      </c>
      <c r="AO182" s="189" t="b">
        <v>1</v>
      </c>
      <c r="AP182" s="69" t="str">
        <f t="shared" si="48"/>
        <v>VALID</v>
      </c>
      <c r="AQ182" s="166" t="s">
        <v>954</v>
      </c>
      <c r="AR182" s="194" t="s">
        <v>861</v>
      </c>
      <c r="AS182" s="193" t="s">
        <v>874</v>
      </c>
      <c r="AT182" s="193" t="s">
        <v>117</v>
      </c>
      <c r="AU182" s="72"/>
      <c r="AV182" s="72"/>
      <c r="AW182" s="72"/>
      <c r="AX182" s="193" t="s">
        <v>136</v>
      </c>
      <c r="AY182" s="72"/>
      <c r="AZ182" s="193"/>
      <c r="BA182" s="193"/>
      <c r="BB182" s="8"/>
      <c r="BC182" s="140"/>
      <c r="BD182" s="11" t="s">
        <v>5618</v>
      </c>
      <c r="BE182" s="311" t="s">
        <v>5617</v>
      </c>
    </row>
    <row r="183" spans="1:57" ht="12.95" hidden="1" customHeight="1">
      <c r="A183" s="248" t="e">
        <v>#N/A</v>
      </c>
      <c r="B183" s="252" t="e">
        <v>#N/A</v>
      </c>
      <c r="C183" s="263" t="s">
        <v>1022</v>
      </c>
      <c r="D183" s="239" t="s">
        <v>3049</v>
      </c>
      <c r="E183" s="58"/>
      <c r="F183" s="59" t="s">
        <v>1840</v>
      </c>
      <c r="G183" s="191" t="s">
        <v>955</v>
      </c>
      <c r="H183" s="192" t="s">
        <v>2511</v>
      </c>
      <c r="I183" s="61" t="s">
        <v>2511</v>
      </c>
      <c r="J183" s="61" t="s">
        <v>2511</v>
      </c>
      <c r="K183" s="62" t="s">
        <v>2511</v>
      </c>
      <c r="L183" s="60" t="s">
        <v>2389</v>
      </c>
      <c r="M183" s="61" t="s">
        <v>2511</v>
      </c>
      <c r="N183" s="61" t="s">
        <v>2511</v>
      </c>
      <c r="O183" s="61" t="s">
        <v>2511</v>
      </c>
      <c r="P183" s="62" t="s">
        <v>2511</v>
      </c>
      <c r="Q183" s="7" t="s">
        <v>552</v>
      </c>
      <c r="R183" s="7" t="s">
        <v>126</v>
      </c>
      <c r="S183" s="58" t="s">
        <v>112</v>
      </c>
      <c r="T183" s="58" t="s">
        <v>113</v>
      </c>
      <c r="U183" s="63" t="s">
        <v>552</v>
      </c>
      <c r="V183" s="138" t="s">
        <v>3050</v>
      </c>
      <c r="W183" s="57" t="s">
        <v>3033</v>
      </c>
      <c r="X183" s="126" t="s">
        <v>3051</v>
      </c>
      <c r="Y183" s="126" t="s">
        <v>2511</v>
      </c>
      <c r="Z183" s="57" t="s">
        <v>2514</v>
      </c>
      <c r="AA183" s="57" t="s">
        <v>2753</v>
      </c>
      <c r="AB183" s="57" t="s">
        <v>2393</v>
      </c>
      <c r="AC183" s="57" t="s">
        <v>2516</v>
      </c>
      <c r="AD183" s="65" t="str">
        <f t="shared" si="43"/>
        <v>RSVD0</v>
      </c>
      <c r="AE183" s="70"/>
      <c r="AF183" s="67" t="str">
        <f t="shared" si="44"/>
        <v>PULL_DOWN</v>
      </c>
      <c r="AG183" s="67" t="str">
        <f t="shared" si="45"/>
        <v>TRISTATE</v>
      </c>
      <c r="AH183" s="67" t="str">
        <f t="shared" si="46"/>
        <v>DISABLE</v>
      </c>
      <c r="AI183" s="71" t="str">
        <f t="shared" si="47"/>
        <v>N/A</v>
      </c>
      <c r="AJ183" s="189" t="b">
        <v>1</v>
      </c>
      <c r="AK183" s="189" t="b">
        <v>1</v>
      </c>
      <c r="AL183" s="189" t="b">
        <v>1</v>
      </c>
      <c r="AM183" s="189" t="b">
        <v>1</v>
      </c>
      <c r="AN183" s="189" t="b">
        <v>1</v>
      </c>
      <c r="AO183" s="189" t="b">
        <v>1</v>
      </c>
      <c r="AP183" s="69" t="str">
        <f t="shared" si="48"/>
        <v>VALID</v>
      </c>
      <c r="AQ183" s="166" t="s">
        <v>1840</v>
      </c>
      <c r="AR183" s="194" t="s">
        <v>79</v>
      </c>
      <c r="AS183" s="193"/>
      <c r="AT183" s="193" t="s">
        <v>117</v>
      </c>
      <c r="AU183" s="72"/>
      <c r="AV183" s="72"/>
      <c r="AW183" s="72"/>
      <c r="AX183" s="193" t="s">
        <v>136</v>
      </c>
      <c r="AY183" s="72"/>
      <c r="AZ183" s="193"/>
      <c r="BA183" s="193"/>
      <c r="BB183" s="8"/>
      <c r="BC183" s="140"/>
      <c r="BD183" s="147" t="s">
        <v>83</v>
      </c>
      <c r="BE183" s="147" t="s">
        <v>83</v>
      </c>
    </row>
    <row r="184" spans="1:57" ht="12.95" hidden="1" customHeight="1">
      <c r="A184" s="248" t="e">
        <v>#N/A</v>
      </c>
      <c r="B184" s="252" t="e">
        <v>#N/A</v>
      </c>
      <c r="C184" s="263" t="s">
        <v>1023</v>
      </c>
      <c r="D184" s="239" t="s">
        <v>3052</v>
      </c>
      <c r="E184" s="58"/>
      <c r="F184" s="59" t="s">
        <v>1841</v>
      </c>
      <c r="G184" s="191" t="s">
        <v>2182</v>
      </c>
      <c r="H184" s="192" t="s">
        <v>2511</v>
      </c>
      <c r="I184" s="61"/>
      <c r="J184" s="61" t="s">
        <v>2506</v>
      </c>
      <c r="K184" s="62" t="s">
        <v>2511</v>
      </c>
      <c r="L184" s="60" t="s">
        <v>2389</v>
      </c>
      <c r="M184" s="61" t="s">
        <v>2511</v>
      </c>
      <c r="N184" s="61" t="s">
        <v>2388</v>
      </c>
      <c r="O184" s="61" t="s">
        <v>2523</v>
      </c>
      <c r="P184" s="62" t="s">
        <v>2511</v>
      </c>
      <c r="Q184" s="190" t="s">
        <v>552</v>
      </c>
      <c r="R184" s="190" t="s">
        <v>126</v>
      </c>
      <c r="S184" s="190" t="s">
        <v>143</v>
      </c>
      <c r="T184" s="190" t="s">
        <v>113</v>
      </c>
      <c r="U184" s="190" t="s">
        <v>552</v>
      </c>
      <c r="V184" s="138" t="s">
        <v>3053</v>
      </c>
      <c r="W184" s="57" t="s">
        <v>3033</v>
      </c>
      <c r="X184" s="126" t="s">
        <v>2511</v>
      </c>
      <c r="Y184" s="126" t="s">
        <v>2511</v>
      </c>
      <c r="Z184" s="57" t="s">
        <v>2817</v>
      </c>
      <c r="AA184" s="57" t="s">
        <v>2859</v>
      </c>
      <c r="AB184" s="57" t="s">
        <v>2393</v>
      </c>
      <c r="AC184" s="57" t="s">
        <v>2516</v>
      </c>
      <c r="AD184" s="65" t="str">
        <f t="shared" si="43"/>
        <v>SOC</v>
      </c>
      <c r="AE184" s="70"/>
      <c r="AF184" s="67" t="str">
        <f t="shared" si="44"/>
        <v>PULL_UP</v>
      </c>
      <c r="AG184" s="67" t="str">
        <f t="shared" si="45"/>
        <v>TRISTATE</v>
      </c>
      <c r="AH184" s="67" t="str">
        <f t="shared" si="46"/>
        <v>ENABLE</v>
      </c>
      <c r="AI184" s="71" t="str">
        <f t="shared" si="47"/>
        <v>N/A</v>
      </c>
      <c r="AJ184" s="189" t="b">
        <v>1</v>
      </c>
      <c r="AK184" s="189" t="b">
        <v>1</v>
      </c>
      <c r="AL184" s="189" t="b">
        <v>1</v>
      </c>
      <c r="AM184" s="189" t="b">
        <v>1</v>
      </c>
      <c r="AN184" s="189" t="b">
        <v>1</v>
      </c>
      <c r="AO184" s="189" t="b">
        <v>1</v>
      </c>
      <c r="AP184" s="69" t="str">
        <f t="shared" si="48"/>
        <v>VALID</v>
      </c>
      <c r="AQ184" s="166" t="s">
        <v>2506</v>
      </c>
      <c r="AR184" s="194" t="s">
        <v>862</v>
      </c>
      <c r="AS184" s="193" t="s">
        <v>873</v>
      </c>
      <c r="AT184" s="72"/>
      <c r="AU184" s="72"/>
      <c r="AV184" s="72"/>
      <c r="AW184" s="193" t="s">
        <v>136</v>
      </c>
      <c r="AX184" s="193" t="s">
        <v>136</v>
      </c>
      <c r="AY184" s="72"/>
      <c r="AZ184" s="193"/>
      <c r="BA184" s="193"/>
      <c r="BB184" s="8"/>
      <c r="BC184" s="140"/>
      <c r="BD184" s="11" t="s">
        <v>5619</v>
      </c>
      <c r="BE184" s="311" t="s">
        <v>5620</v>
      </c>
    </row>
    <row r="185" spans="1:57" ht="12.95" hidden="1" customHeight="1">
      <c r="A185" s="248" t="e">
        <v>#N/A</v>
      </c>
      <c r="B185" s="252" t="e">
        <v>#N/A</v>
      </c>
      <c r="C185" s="263" t="s">
        <v>1024</v>
      </c>
      <c r="D185" s="239" t="s">
        <v>3054</v>
      </c>
      <c r="E185" s="58"/>
      <c r="F185" s="59" t="s">
        <v>1842</v>
      </c>
      <c r="G185" s="191" t="s">
        <v>2183</v>
      </c>
      <c r="H185" s="192" t="s">
        <v>2511</v>
      </c>
      <c r="I185" s="61" t="s">
        <v>2511</v>
      </c>
      <c r="J185" s="61" t="s">
        <v>2511</v>
      </c>
      <c r="K185" s="62" t="s">
        <v>2511</v>
      </c>
      <c r="L185" s="60" t="s">
        <v>2389</v>
      </c>
      <c r="M185" s="61" t="s">
        <v>2511</v>
      </c>
      <c r="N185" s="61" t="s">
        <v>2511</v>
      </c>
      <c r="O185" s="61" t="s">
        <v>2511</v>
      </c>
      <c r="P185" s="62" t="s">
        <v>2511</v>
      </c>
      <c r="Q185" s="190" t="s">
        <v>552</v>
      </c>
      <c r="R185" s="190" t="s">
        <v>126</v>
      </c>
      <c r="S185" s="190" t="s">
        <v>112</v>
      </c>
      <c r="T185" s="190" t="s">
        <v>113</v>
      </c>
      <c r="U185" s="190" t="s">
        <v>552</v>
      </c>
      <c r="V185" s="138" t="s">
        <v>3055</v>
      </c>
      <c r="W185" s="57" t="s">
        <v>3033</v>
      </c>
      <c r="X185" s="126" t="s">
        <v>3056</v>
      </c>
      <c r="Y185" s="126" t="s">
        <v>2511</v>
      </c>
      <c r="Z185" s="57" t="s">
        <v>2514</v>
      </c>
      <c r="AA185" s="57" t="s">
        <v>2753</v>
      </c>
      <c r="AB185" s="57" t="s">
        <v>2393</v>
      </c>
      <c r="AC185" s="57" t="s">
        <v>2516</v>
      </c>
      <c r="AD185" s="65" t="str">
        <f t="shared" si="43"/>
        <v>RSVD0</v>
      </c>
      <c r="AE185" s="70"/>
      <c r="AF185" s="67" t="str">
        <f t="shared" si="44"/>
        <v>PULL_DOWN</v>
      </c>
      <c r="AG185" s="67" t="str">
        <f t="shared" si="45"/>
        <v>TRISTATE</v>
      </c>
      <c r="AH185" s="67" t="str">
        <f t="shared" si="46"/>
        <v>DISABLE</v>
      </c>
      <c r="AI185" s="71" t="str">
        <f t="shared" si="47"/>
        <v>N/A</v>
      </c>
      <c r="AJ185" s="189" t="b">
        <v>1</v>
      </c>
      <c r="AK185" s="189" t="b">
        <v>1</v>
      </c>
      <c r="AL185" s="189" t="b">
        <v>1</v>
      </c>
      <c r="AM185" s="189" t="b">
        <v>1</v>
      </c>
      <c r="AN185" s="189" t="b">
        <v>1</v>
      </c>
      <c r="AO185" s="189" t="b">
        <v>1</v>
      </c>
      <c r="AP185" s="69" t="str">
        <f t="shared" si="48"/>
        <v>VALID</v>
      </c>
      <c r="AQ185" s="166" t="s">
        <v>1842</v>
      </c>
      <c r="AR185" s="194" t="s">
        <v>79</v>
      </c>
      <c r="AS185" s="193"/>
      <c r="AT185" s="193" t="s">
        <v>117</v>
      </c>
      <c r="AU185" s="72"/>
      <c r="AV185" s="72"/>
      <c r="AW185" s="72"/>
      <c r="AX185" s="193" t="s">
        <v>136</v>
      </c>
      <c r="AY185" s="72"/>
      <c r="AZ185" s="193"/>
      <c r="BA185" s="193"/>
      <c r="BB185" s="8"/>
      <c r="BC185" s="140"/>
      <c r="BD185" s="147" t="s">
        <v>83</v>
      </c>
      <c r="BE185" s="147" t="s">
        <v>83</v>
      </c>
    </row>
    <row r="186" spans="1:57" s="301" customFormat="1" ht="12.95" customHeight="1">
      <c r="A186" s="250" t="s">
        <v>2990</v>
      </c>
      <c r="B186" s="253">
        <v>212</v>
      </c>
      <c r="C186" s="285" t="s">
        <v>1025</v>
      </c>
      <c r="D186" s="285" t="s">
        <v>3057</v>
      </c>
      <c r="E186" s="7"/>
      <c r="F186" s="190" t="s">
        <v>1843</v>
      </c>
      <c r="G186" s="286" t="s">
        <v>2184</v>
      </c>
      <c r="H186" s="287" t="s">
        <v>2511</v>
      </c>
      <c r="I186" s="288" t="s">
        <v>2511</v>
      </c>
      <c r="J186" s="288" t="s">
        <v>2511</v>
      </c>
      <c r="K186" s="289" t="s">
        <v>2511</v>
      </c>
      <c r="L186" s="290" t="s">
        <v>2389</v>
      </c>
      <c r="M186" s="288" t="s">
        <v>2511</v>
      </c>
      <c r="N186" s="288" t="s">
        <v>2511</v>
      </c>
      <c r="O186" s="288" t="s">
        <v>2511</v>
      </c>
      <c r="P186" s="289" t="s">
        <v>2511</v>
      </c>
      <c r="Q186" s="7" t="s">
        <v>552</v>
      </c>
      <c r="R186" s="7" t="s">
        <v>126</v>
      </c>
      <c r="S186" s="7" t="s">
        <v>112</v>
      </c>
      <c r="T186" s="7" t="s">
        <v>113</v>
      </c>
      <c r="U186" s="291" t="s">
        <v>552</v>
      </c>
      <c r="V186" s="292" t="s">
        <v>3058</v>
      </c>
      <c r="W186" s="293" t="s">
        <v>3033</v>
      </c>
      <c r="X186" s="294" t="s">
        <v>3059</v>
      </c>
      <c r="Y186" s="294" t="s">
        <v>2511</v>
      </c>
      <c r="Z186" s="293" t="s">
        <v>2514</v>
      </c>
      <c r="AA186" s="293" t="s">
        <v>2753</v>
      </c>
      <c r="AB186" s="293" t="s">
        <v>2393</v>
      </c>
      <c r="AC186" s="293" t="s">
        <v>2516</v>
      </c>
      <c r="AD186" s="295" t="str">
        <f t="shared" si="43"/>
        <v>GPIO_PQ1</v>
      </c>
      <c r="AE186" s="202"/>
      <c r="AF186" s="202" t="str">
        <f t="shared" si="44"/>
        <v>PULL_DOWN</v>
      </c>
      <c r="AG186" s="202" t="str">
        <f t="shared" si="45"/>
        <v>TRISTATE</v>
      </c>
      <c r="AH186" s="202" t="str">
        <f t="shared" si="46"/>
        <v>ENABLE</v>
      </c>
      <c r="AI186" s="296" t="str">
        <f t="shared" si="47"/>
        <v/>
      </c>
      <c r="AJ186" s="297" t="b">
        <v>1</v>
      </c>
      <c r="AK186" s="297" t="b">
        <v>1</v>
      </c>
      <c r="AL186" s="297" t="b">
        <v>1</v>
      </c>
      <c r="AM186" s="297" t="b">
        <v>1</v>
      </c>
      <c r="AN186" s="297" t="b">
        <v>1</v>
      </c>
      <c r="AO186" s="297" t="b">
        <v>1</v>
      </c>
      <c r="AP186" s="298" t="str">
        <f t="shared" si="48"/>
        <v>VALID</v>
      </c>
      <c r="AQ186" s="167" t="s">
        <v>2184</v>
      </c>
      <c r="AR186" s="194" t="s">
        <v>862</v>
      </c>
      <c r="AS186" s="193" t="s">
        <v>875</v>
      </c>
      <c r="AT186" s="193" t="s">
        <v>863</v>
      </c>
      <c r="AU186" s="188"/>
      <c r="AV186" s="188"/>
      <c r="AW186" s="188"/>
      <c r="AX186" s="193" t="s">
        <v>136</v>
      </c>
      <c r="AY186" s="188"/>
      <c r="AZ186" s="193"/>
      <c r="BA186" s="193"/>
      <c r="BB186" s="8"/>
      <c r="BC186" s="188"/>
      <c r="BD186" s="11" t="s">
        <v>2990</v>
      </c>
      <c r="BE186" s="322" t="s">
        <v>5621</v>
      </c>
    </row>
    <row r="187" spans="1:57" ht="12.95" customHeight="1">
      <c r="A187" s="247" t="s">
        <v>2984</v>
      </c>
      <c r="B187" s="251">
        <v>208</v>
      </c>
      <c r="C187" s="239" t="s">
        <v>1026</v>
      </c>
      <c r="D187" s="239" t="s">
        <v>3060</v>
      </c>
      <c r="E187" s="58"/>
      <c r="F187" s="59" t="s">
        <v>1844</v>
      </c>
      <c r="G187" s="191" t="s">
        <v>2460</v>
      </c>
      <c r="H187" s="192" t="s">
        <v>2511</v>
      </c>
      <c r="I187" s="61" t="s">
        <v>2185</v>
      </c>
      <c r="J187" s="61" t="s">
        <v>2511</v>
      </c>
      <c r="K187" s="62" t="s">
        <v>2511</v>
      </c>
      <c r="L187" s="60" t="s">
        <v>2389</v>
      </c>
      <c r="M187" s="61" t="s">
        <v>2511</v>
      </c>
      <c r="N187" s="61" t="s">
        <v>2523</v>
      </c>
      <c r="O187" s="61" t="s">
        <v>2511</v>
      </c>
      <c r="P187" s="62" t="s">
        <v>2511</v>
      </c>
      <c r="Q187" s="7" t="s">
        <v>552</v>
      </c>
      <c r="R187" s="7" t="s">
        <v>844</v>
      </c>
      <c r="S187" s="58" t="s">
        <v>112</v>
      </c>
      <c r="T187" s="58" t="s">
        <v>113</v>
      </c>
      <c r="U187" s="63" t="s">
        <v>552</v>
      </c>
      <c r="V187" s="138" t="s">
        <v>3061</v>
      </c>
      <c r="W187" s="57" t="s">
        <v>3033</v>
      </c>
      <c r="X187" s="126" t="s">
        <v>3062</v>
      </c>
      <c r="Y187" s="126" t="s">
        <v>2511</v>
      </c>
      <c r="Z187" s="57" t="s">
        <v>2514</v>
      </c>
      <c r="AA187" s="57" t="s">
        <v>2753</v>
      </c>
      <c r="AB187" s="57" t="s">
        <v>2393</v>
      </c>
      <c r="AC187" s="57" t="s">
        <v>2516</v>
      </c>
      <c r="AD187" s="65" t="str">
        <f t="shared" si="43"/>
        <v>NV</v>
      </c>
      <c r="AE187" s="70"/>
      <c r="AF187" s="67" t="str">
        <f t="shared" si="44"/>
        <v>PULL_UP</v>
      </c>
      <c r="AG187" s="67" t="str">
        <f t="shared" si="45"/>
        <v>TRISTATE</v>
      </c>
      <c r="AH187" s="67" t="str">
        <f t="shared" si="46"/>
        <v>ENABLE</v>
      </c>
      <c r="AI187" s="71" t="str">
        <f t="shared" si="47"/>
        <v>N/A</v>
      </c>
      <c r="AJ187" s="189" t="b">
        <v>1</v>
      </c>
      <c r="AK187" s="189" t="b">
        <v>1</v>
      </c>
      <c r="AL187" s="189" t="b">
        <v>1</v>
      </c>
      <c r="AM187" s="189" t="b">
        <v>1</v>
      </c>
      <c r="AN187" s="189" t="b">
        <v>1</v>
      </c>
      <c r="AO187" s="189" t="b">
        <v>1</v>
      </c>
      <c r="AP187" s="69" t="str">
        <f t="shared" si="48"/>
        <v>VALID</v>
      </c>
      <c r="AQ187" s="166" t="s">
        <v>2185</v>
      </c>
      <c r="AR187" s="194" t="s">
        <v>862</v>
      </c>
      <c r="AS187" s="193" t="s">
        <v>873</v>
      </c>
      <c r="AT187" s="193" t="s">
        <v>117</v>
      </c>
      <c r="AU187" s="72"/>
      <c r="AV187" s="72"/>
      <c r="AW187" s="72"/>
      <c r="AX187" s="193" t="s">
        <v>136</v>
      </c>
      <c r="AY187" s="72"/>
      <c r="AZ187" s="193"/>
      <c r="BA187" s="193"/>
      <c r="BB187" s="8"/>
      <c r="BC187" s="140"/>
      <c r="BD187" s="11" t="s">
        <v>5622</v>
      </c>
      <c r="BE187" s="144" t="s">
        <v>5623</v>
      </c>
    </row>
    <row r="188" spans="1:57" ht="12.95" customHeight="1">
      <c r="A188" s="247" t="s">
        <v>2776</v>
      </c>
      <c r="B188" s="251">
        <v>124</v>
      </c>
      <c r="C188" s="239" t="s">
        <v>1027</v>
      </c>
      <c r="D188" s="239" t="s">
        <v>3063</v>
      </c>
      <c r="E188" s="58"/>
      <c r="F188" s="59" t="s">
        <v>1845</v>
      </c>
      <c r="G188" s="191" t="s">
        <v>2397</v>
      </c>
      <c r="H188" s="192" t="s">
        <v>2511</v>
      </c>
      <c r="I188" s="61" t="s">
        <v>2186</v>
      </c>
      <c r="J188" s="61" t="s">
        <v>2511</v>
      </c>
      <c r="K188" s="62" t="s">
        <v>2511</v>
      </c>
      <c r="L188" s="60" t="s">
        <v>2389</v>
      </c>
      <c r="M188" s="61" t="s">
        <v>2511</v>
      </c>
      <c r="N188" s="61" t="s">
        <v>2388</v>
      </c>
      <c r="O188" s="61" t="s">
        <v>2511</v>
      </c>
      <c r="P188" s="62" t="s">
        <v>2511</v>
      </c>
      <c r="Q188" s="7" t="s">
        <v>552</v>
      </c>
      <c r="R188" s="7" t="s">
        <v>848</v>
      </c>
      <c r="S188" s="58" t="s">
        <v>112</v>
      </c>
      <c r="T188" s="58" t="s">
        <v>113</v>
      </c>
      <c r="U188" s="63" t="s">
        <v>552</v>
      </c>
      <c r="V188" s="138" t="s">
        <v>3064</v>
      </c>
      <c r="W188" s="57" t="s">
        <v>3033</v>
      </c>
      <c r="X188" s="126" t="s">
        <v>3065</v>
      </c>
      <c r="Y188" s="126" t="s">
        <v>2511</v>
      </c>
      <c r="Z188" s="57" t="s">
        <v>2514</v>
      </c>
      <c r="AA188" s="57" t="s">
        <v>2753</v>
      </c>
      <c r="AB188" s="57" t="s">
        <v>2393</v>
      </c>
      <c r="AC188" s="57">
        <v>1</v>
      </c>
      <c r="AD188" s="65" t="str">
        <f t="shared" si="43"/>
        <v>GPIO_PQ3</v>
      </c>
      <c r="AE188" s="70"/>
      <c r="AF188" s="67" t="str">
        <f t="shared" si="44"/>
        <v>PULL_UP</v>
      </c>
      <c r="AG188" s="67" t="str">
        <f t="shared" si="45"/>
        <v>TRISTATE</v>
      </c>
      <c r="AH188" s="67" t="str">
        <f t="shared" si="46"/>
        <v>ENABLE</v>
      </c>
      <c r="AI188" s="71" t="str">
        <f t="shared" si="47"/>
        <v/>
      </c>
      <c r="AJ188" s="189" t="b">
        <v>1</v>
      </c>
      <c r="AK188" s="189" t="b">
        <v>1</v>
      </c>
      <c r="AL188" s="189" t="b">
        <v>1</v>
      </c>
      <c r="AM188" s="189" t="b">
        <v>1</v>
      </c>
      <c r="AN188" s="189" t="b">
        <v>1</v>
      </c>
      <c r="AO188" s="189" t="b">
        <v>1</v>
      </c>
      <c r="AP188" s="69" t="str">
        <f t="shared" si="48"/>
        <v>VALID</v>
      </c>
      <c r="AQ188" s="166" t="s">
        <v>2397</v>
      </c>
      <c r="AR188" s="194" t="s">
        <v>862</v>
      </c>
      <c r="AS188" s="193" t="s">
        <v>873</v>
      </c>
      <c r="AT188" s="193" t="s">
        <v>863</v>
      </c>
      <c r="AU188" s="72"/>
      <c r="AV188" s="72"/>
      <c r="AW188" s="72"/>
      <c r="AX188" s="193" t="s">
        <v>136</v>
      </c>
      <c r="AY188" s="72"/>
      <c r="AZ188" s="193"/>
      <c r="BA188" s="193"/>
      <c r="BB188" s="8"/>
      <c r="BC188" s="140"/>
      <c r="BD188" s="11" t="s">
        <v>2776</v>
      </c>
      <c r="BE188" s="315" t="s">
        <v>5624</v>
      </c>
    </row>
    <row r="189" spans="1:57" ht="12.95" hidden="1" customHeight="1">
      <c r="A189" s="248" t="e">
        <v>#N/A</v>
      </c>
      <c r="B189" s="252" t="e">
        <v>#N/A</v>
      </c>
      <c r="C189" s="263" t="s">
        <v>1028</v>
      </c>
      <c r="D189" s="239" t="s">
        <v>3066</v>
      </c>
      <c r="E189" s="58"/>
      <c r="F189" s="59" t="s">
        <v>1846</v>
      </c>
      <c r="G189" s="191" t="s">
        <v>2187</v>
      </c>
      <c r="H189" s="192" t="s">
        <v>133</v>
      </c>
      <c r="I189" s="61"/>
      <c r="J189" s="61" t="s">
        <v>2511</v>
      </c>
      <c r="K189" s="62" t="s">
        <v>2511</v>
      </c>
      <c r="L189" s="60" t="s">
        <v>2389</v>
      </c>
      <c r="M189" s="61" t="s">
        <v>2389</v>
      </c>
      <c r="N189" s="61" t="s">
        <v>2389</v>
      </c>
      <c r="O189" s="61" t="s">
        <v>2511</v>
      </c>
      <c r="P189" s="62" t="s">
        <v>2511</v>
      </c>
      <c r="Q189" s="7" t="s">
        <v>133</v>
      </c>
      <c r="R189" s="7" t="s">
        <v>1853</v>
      </c>
      <c r="S189" s="58" t="s">
        <v>112</v>
      </c>
      <c r="T189" s="58" t="s">
        <v>113</v>
      </c>
      <c r="U189" s="63" t="s">
        <v>112</v>
      </c>
      <c r="V189" s="138" t="s">
        <v>3067</v>
      </c>
      <c r="W189" s="57" t="s">
        <v>3033</v>
      </c>
      <c r="X189" s="126" t="s">
        <v>2511</v>
      </c>
      <c r="Y189" s="126" t="s">
        <v>2511</v>
      </c>
      <c r="Z189" s="57" t="s">
        <v>2817</v>
      </c>
      <c r="AA189" s="57" t="s">
        <v>2859</v>
      </c>
      <c r="AB189" s="57" t="s">
        <v>2393</v>
      </c>
      <c r="AC189" s="57" t="s">
        <v>2516</v>
      </c>
      <c r="AD189" s="65" t="str">
        <f t="shared" si="43"/>
        <v>GPIO_PQ4</v>
      </c>
      <c r="AE189" s="70"/>
      <c r="AF189" s="67" t="str">
        <f t="shared" si="44"/>
        <v>PULL_DOWN</v>
      </c>
      <c r="AG189" s="67" t="str">
        <f t="shared" si="45"/>
        <v>NORMAL</v>
      </c>
      <c r="AH189" s="67" t="str">
        <f t="shared" si="46"/>
        <v>DISABLE</v>
      </c>
      <c r="AI189" s="71" t="str">
        <f t="shared" si="47"/>
        <v/>
      </c>
      <c r="AJ189" s="189" t="b">
        <v>1</v>
      </c>
      <c r="AK189" s="189" t="b">
        <v>1</v>
      </c>
      <c r="AL189" s="189" t="b">
        <v>1</v>
      </c>
      <c r="AM189" s="189" t="b">
        <v>1</v>
      </c>
      <c r="AN189" s="189" t="b">
        <v>1</v>
      </c>
      <c r="AO189" s="189" t="b">
        <v>1</v>
      </c>
      <c r="AP189" s="69" t="str">
        <f t="shared" si="48"/>
        <v>VALID</v>
      </c>
      <c r="AQ189" s="166" t="s">
        <v>2187</v>
      </c>
      <c r="AR189" s="194" t="s">
        <v>861</v>
      </c>
      <c r="AS189" s="193" t="s">
        <v>875</v>
      </c>
      <c r="AT189" s="72"/>
      <c r="AU189" s="72"/>
      <c r="AV189" s="72"/>
      <c r="AW189" s="193" t="s">
        <v>872</v>
      </c>
      <c r="AX189" s="193" t="s">
        <v>136</v>
      </c>
      <c r="AY189" s="72"/>
      <c r="AZ189" s="193"/>
      <c r="BA189" s="193"/>
      <c r="BB189" s="8"/>
      <c r="BC189" s="140"/>
      <c r="BD189" s="11" t="s">
        <v>2470</v>
      </c>
      <c r="BE189" s="311" t="s">
        <v>5625</v>
      </c>
    </row>
    <row r="190" spans="1:57" ht="15">
      <c r="A190" s="320" t="s">
        <v>2761</v>
      </c>
      <c r="B190" s="251">
        <v>118</v>
      </c>
      <c r="C190" s="239" t="s">
        <v>1029</v>
      </c>
      <c r="D190" s="239" t="s">
        <v>2798</v>
      </c>
      <c r="E190" s="58"/>
      <c r="F190" s="59" t="s">
        <v>1847</v>
      </c>
      <c r="G190" s="191" t="s">
        <v>2398</v>
      </c>
      <c r="H190" s="192" t="s">
        <v>137</v>
      </c>
      <c r="I190" s="61" t="s">
        <v>871</v>
      </c>
      <c r="J190" s="61" t="s">
        <v>2511</v>
      </c>
      <c r="K190" s="62" t="s">
        <v>2511</v>
      </c>
      <c r="L190" s="60" t="s">
        <v>2389</v>
      </c>
      <c r="M190" s="61" t="s">
        <v>2389</v>
      </c>
      <c r="N190" s="61" t="s">
        <v>2388</v>
      </c>
      <c r="O190" s="61" t="s">
        <v>2511</v>
      </c>
      <c r="P190" s="62" t="s">
        <v>2511</v>
      </c>
      <c r="Q190" s="7" t="s">
        <v>137</v>
      </c>
      <c r="R190" s="7" t="s">
        <v>175</v>
      </c>
      <c r="S190" s="58" t="s">
        <v>112</v>
      </c>
      <c r="T190" s="58" t="s">
        <v>113</v>
      </c>
      <c r="U190" s="63" t="s">
        <v>112</v>
      </c>
      <c r="V190" s="138" t="s">
        <v>3068</v>
      </c>
      <c r="W190" s="57" t="s">
        <v>3033</v>
      </c>
      <c r="X190" s="126" t="s">
        <v>2511</v>
      </c>
      <c r="Y190" s="126" t="s">
        <v>2511</v>
      </c>
      <c r="Z190" s="57" t="s">
        <v>2817</v>
      </c>
      <c r="AA190" s="57" t="s">
        <v>2859</v>
      </c>
      <c r="AB190" s="57" t="s">
        <v>2393</v>
      </c>
      <c r="AC190" s="57" t="s">
        <v>2516</v>
      </c>
      <c r="AD190" s="65" t="str">
        <f t="shared" si="43"/>
        <v>GPIO_PQ5</v>
      </c>
      <c r="AE190" s="70"/>
      <c r="AF190" s="67" t="str">
        <f t="shared" si="44"/>
        <v>PULL_DOWN</v>
      </c>
      <c r="AG190" s="67" t="str">
        <f t="shared" si="45"/>
        <v>NORMAL</v>
      </c>
      <c r="AH190" s="67" t="str">
        <f t="shared" si="46"/>
        <v>DISABLE</v>
      </c>
      <c r="AI190" s="71" t="str">
        <f t="shared" si="47"/>
        <v/>
      </c>
      <c r="AJ190" s="189" t="b">
        <v>1</v>
      </c>
      <c r="AK190" s="189" t="b">
        <v>1</v>
      </c>
      <c r="AL190" s="189" t="b">
        <v>1</v>
      </c>
      <c r="AM190" s="189" t="b">
        <v>1</v>
      </c>
      <c r="AN190" s="189" t="b">
        <v>1</v>
      </c>
      <c r="AO190" s="189" t="b">
        <v>1</v>
      </c>
      <c r="AP190" s="69" t="str">
        <f t="shared" si="48"/>
        <v>VALID</v>
      </c>
      <c r="AQ190" s="166" t="s">
        <v>2398</v>
      </c>
      <c r="AR190" s="194" t="s">
        <v>861</v>
      </c>
      <c r="AS190" s="193" t="s">
        <v>875</v>
      </c>
      <c r="AT190" s="72"/>
      <c r="AU190" s="72"/>
      <c r="AV190" s="72"/>
      <c r="AW190" s="193" t="s">
        <v>136</v>
      </c>
      <c r="AX190" s="193" t="s">
        <v>136</v>
      </c>
      <c r="AY190" s="72"/>
      <c r="AZ190" s="193"/>
      <c r="BA190" s="193"/>
      <c r="BB190" s="8"/>
      <c r="BC190" s="140"/>
      <c r="BD190" s="11" t="s">
        <v>5626</v>
      </c>
      <c r="BE190" s="311" t="s">
        <v>5627</v>
      </c>
    </row>
    <row r="191" spans="1:57" ht="12.75" customHeight="1">
      <c r="A191" s="320" t="s">
        <v>2534</v>
      </c>
      <c r="B191" s="251">
        <v>216</v>
      </c>
      <c r="C191" s="239" t="s">
        <v>1030</v>
      </c>
      <c r="D191" s="239" t="s">
        <v>3069</v>
      </c>
      <c r="E191" s="58"/>
      <c r="F191" s="59" t="s">
        <v>1848</v>
      </c>
      <c r="G191" s="191" t="s">
        <v>2399</v>
      </c>
      <c r="H191" s="192" t="s">
        <v>139</v>
      </c>
      <c r="I191" s="61" t="s">
        <v>2387</v>
      </c>
      <c r="J191" s="61" t="s">
        <v>2511</v>
      </c>
      <c r="K191" s="62" t="s">
        <v>2511</v>
      </c>
      <c r="L191" s="60" t="s">
        <v>2389</v>
      </c>
      <c r="M191" s="61" t="s">
        <v>2389</v>
      </c>
      <c r="N191" s="61" t="s">
        <v>2388</v>
      </c>
      <c r="O191" s="61" t="s">
        <v>2511</v>
      </c>
      <c r="P191" s="62" t="s">
        <v>2511</v>
      </c>
      <c r="Q191" s="7" t="s">
        <v>139</v>
      </c>
      <c r="R191" s="7" t="s">
        <v>838</v>
      </c>
      <c r="S191" s="58" t="s">
        <v>112</v>
      </c>
      <c r="T191" s="58" t="s">
        <v>113</v>
      </c>
      <c r="U191" s="63" t="s">
        <v>112</v>
      </c>
      <c r="V191" s="138" t="s">
        <v>3070</v>
      </c>
      <c r="W191" s="57" t="s">
        <v>3033</v>
      </c>
      <c r="X191" s="126" t="s">
        <v>2511</v>
      </c>
      <c r="Y191" s="126" t="s">
        <v>2511</v>
      </c>
      <c r="Z191" s="57" t="s">
        <v>2817</v>
      </c>
      <c r="AA191" s="57" t="s">
        <v>2859</v>
      </c>
      <c r="AB191" s="57" t="s">
        <v>2393</v>
      </c>
      <c r="AC191" s="57" t="s">
        <v>2516</v>
      </c>
      <c r="AD191" s="65" t="str">
        <f t="shared" si="43"/>
        <v>GPIO_PQ6</v>
      </c>
      <c r="AE191" s="70"/>
      <c r="AF191" s="67" t="str">
        <f t="shared" si="44"/>
        <v>PULL_UP</v>
      </c>
      <c r="AG191" s="67" t="str">
        <f t="shared" si="45"/>
        <v>TRISTATE</v>
      </c>
      <c r="AH191" s="67" t="str">
        <f t="shared" si="46"/>
        <v>ENABLE</v>
      </c>
      <c r="AI191" s="71" t="str">
        <f t="shared" si="47"/>
        <v/>
      </c>
      <c r="AJ191" s="189" t="b">
        <v>1</v>
      </c>
      <c r="AK191" s="189" t="b">
        <v>1</v>
      </c>
      <c r="AL191" s="189" t="b">
        <v>1</v>
      </c>
      <c r="AM191" s="189" t="b">
        <v>1</v>
      </c>
      <c r="AN191" s="189" t="b">
        <v>1</v>
      </c>
      <c r="AO191" s="189" t="b">
        <v>1</v>
      </c>
      <c r="AP191" s="69" t="str">
        <f t="shared" si="48"/>
        <v>VALID</v>
      </c>
      <c r="AQ191" s="166" t="s">
        <v>2399</v>
      </c>
      <c r="AR191" s="194" t="s">
        <v>862</v>
      </c>
      <c r="AS191" s="193" t="s">
        <v>873</v>
      </c>
      <c r="AT191" s="72"/>
      <c r="AU191" s="72"/>
      <c r="AV191" s="72"/>
      <c r="AW191" s="193" t="s">
        <v>136</v>
      </c>
      <c r="AX191" s="193" t="s">
        <v>136</v>
      </c>
      <c r="AY191" s="72"/>
      <c r="AZ191" s="193"/>
      <c r="BA191" s="193"/>
      <c r="BB191" s="8"/>
      <c r="BC191" s="140"/>
      <c r="BD191" s="11" t="s">
        <v>5628</v>
      </c>
      <c r="BE191" s="311" t="s">
        <v>5627</v>
      </c>
    </row>
    <row r="192" spans="1:57" ht="12.95" hidden="1" customHeight="1">
      <c r="A192" s="248" t="e">
        <v>#N/A</v>
      </c>
      <c r="B192" s="252" t="e">
        <v>#N/A</v>
      </c>
      <c r="C192" s="263" t="s">
        <v>1031</v>
      </c>
      <c r="D192" s="239" t="s">
        <v>2780</v>
      </c>
      <c r="E192" s="58"/>
      <c r="F192" s="59" t="s">
        <v>1849</v>
      </c>
      <c r="G192" s="191" t="s">
        <v>2188</v>
      </c>
      <c r="H192" s="192" t="s">
        <v>140</v>
      </c>
      <c r="I192" s="61"/>
      <c r="J192" s="61" t="s">
        <v>2511</v>
      </c>
      <c r="K192" s="62" t="s">
        <v>2511</v>
      </c>
      <c r="L192" s="60" t="s">
        <v>2389</v>
      </c>
      <c r="M192" s="61" t="s">
        <v>2389</v>
      </c>
      <c r="N192" s="61" t="s">
        <v>2389</v>
      </c>
      <c r="O192" s="61" t="s">
        <v>2511</v>
      </c>
      <c r="P192" s="62" t="s">
        <v>2511</v>
      </c>
      <c r="Q192" s="7" t="s">
        <v>140</v>
      </c>
      <c r="R192" s="7" t="s">
        <v>1853</v>
      </c>
      <c r="S192" s="58" t="s">
        <v>112</v>
      </c>
      <c r="T192" s="58" t="s">
        <v>113</v>
      </c>
      <c r="U192" s="63" t="s">
        <v>112</v>
      </c>
      <c r="V192" s="138" t="s">
        <v>3071</v>
      </c>
      <c r="W192" s="57" t="s">
        <v>3033</v>
      </c>
      <c r="X192" s="126" t="s">
        <v>2511</v>
      </c>
      <c r="Y192" s="126" t="s">
        <v>2511</v>
      </c>
      <c r="Z192" s="57" t="s">
        <v>2817</v>
      </c>
      <c r="AA192" s="57" t="s">
        <v>2859</v>
      </c>
      <c r="AB192" s="57" t="s">
        <v>2393</v>
      </c>
      <c r="AC192" s="57" t="s">
        <v>2516</v>
      </c>
      <c r="AD192" s="65" t="str">
        <f t="shared" si="43"/>
        <v>GPIO_PQ7</v>
      </c>
      <c r="AE192" s="70"/>
      <c r="AF192" s="67" t="str">
        <f t="shared" si="44"/>
        <v>PULL_DOWN</v>
      </c>
      <c r="AG192" s="67" t="str">
        <f t="shared" si="45"/>
        <v>NORMAL</v>
      </c>
      <c r="AH192" s="67" t="str">
        <f t="shared" si="46"/>
        <v>DISABLE</v>
      </c>
      <c r="AI192" s="71" t="str">
        <f t="shared" si="47"/>
        <v/>
      </c>
      <c r="AJ192" s="189" t="b">
        <v>1</v>
      </c>
      <c r="AK192" s="189" t="b">
        <v>1</v>
      </c>
      <c r="AL192" s="189" t="b">
        <v>1</v>
      </c>
      <c r="AM192" s="189" t="b">
        <v>1</v>
      </c>
      <c r="AN192" s="189" t="b">
        <v>1</v>
      </c>
      <c r="AO192" s="189" t="b">
        <v>1</v>
      </c>
      <c r="AP192" s="69" t="str">
        <f t="shared" si="48"/>
        <v>VALID</v>
      </c>
      <c r="AQ192" s="166" t="s">
        <v>2188</v>
      </c>
      <c r="AR192" s="194" t="s">
        <v>861</v>
      </c>
      <c r="AS192" s="193" t="s">
        <v>875</v>
      </c>
      <c r="AT192" s="72"/>
      <c r="AU192" s="72"/>
      <c r="AV192" s="72"/>
      <c r="AW192" s="193" t="s">
        <v>872</v>
      </c>
      <c r="AX192" s="193" t="s">
        <v>136</v>
      </c>
      <c r="AY192" s="72"/>
      <c r="AZ192" s="193"/>
      <c r="BA192" s="193"/>
      <c r="BB192" s="8"/>
      <c r="BC192" s="140"/>
      <c r="BD192" s="11" t="s">
        <v>2475</v>
      </c>
      <c r="BE192" s="311" t="s">
        <v>5629</v>
      </c>
    </row>
    <row r="193" spans="1:57" ht="12.95" customHeight="1">
      <c r="A193" s="320" t="s">
        <v>2977</v>
      </c>
      <c r="B193" s="251">
        <v>206</v>
      </c>
      <c r="C193" s="239" t="s">
        <v>1032</v>
      </c>
      <c r="D193" s="239" t="s">
        <v>2792</v>
      </c>
      <c r="E193" s="58"/>
      <c r="F193" s="59" t="s">
        <v>1850</v>
      </c>
      <c r="G193" s="191" t="s">
        <v>2488</v>
      </c>
      <c r="H193" s="192" t="s">
        <v>141</v>
      </c>
      <c r="I193" s="61" t="s">
        <v>2189</v>
      </c>
      <c r="J193" s="61" t="s">
        <v>2511</v>
      </c>
      <c r="K193" s="62" t="s">
        <v>2511</v>
      </c>
      <c r="L193" s="60" t="s">
        <v>2389</v>
      </c>
      <c r="M193" s="61" t="s">
        <v>2389</v>
      </c>
      <c r="N193" s="61" t="s">
        <v>2388</v>
      </c>
      <c r="O193" s="61" t="s">
        <v>2511</v>
      </c>
      <c r="P193" s="62" t="s">
        <v>2511</v>
      </c>
      <c r="Q193" s="7" t="s">
        <v>141</v>
      </c>
      <c r="R193" s="7" t="s">
        <v>2425</v>
      </c>
      <c r="S193" s="58" t="s">
        <v>112</v>
      </c>
      <c r="T193" s="58" t="s">
        <v>113</v>
      </c>
      <c r="U193" s="63" t="s">
        <v>112</v>
      </c>
      <c r="V193" s="138" t="s">
        <v>3072</v>
      </c>
      <c r="W193" s="57" t="s">
        <v>3033</v>
      </c>
      <c r="X193" s="126" t="s">
        <v>2511</v>
      </c>
      <c r="Y193" s="126" t="s">
        <v>2511</v>
      </c>
      <c r="Z193" s="57" t="s">
        <v>2817</v>
      </c>
      <c r="AA193" s="57" t="s">
        <v>2859</v>
      </c>
      <c r="AB193" s="57" t="s">
        <v>2393</v>
      </c>
      <c r="AC193" s="57" t="s">
        <v>2516</v>
      </c>
      <c r="AD193" s="65" t="str">
        <f t="shared" si="43"/>
        <v>GP</v>
      </c>
      <c r="AE193" s="70"/>
      <c r="AF193" s="67" t="str">
        <f t="shared" si="44"/>
        <v>PULL_UP</v>
      </c>
      <c r="AG193" s="67" t="str">
        <f t="shared" si="45"/>
        <v>NORMAL</v>
      </c>
      <c r="AH193" s="67" t="str">
        <f t="shared" si="46"/>
        <v>DISABLE</v>
      </c>
      <c r="AI193" s="71" t="str">
        <f t="shared" si="47"/>
        <v>N/A</v>
      </c>
      <c r="AJ193" s="189" t="b">
        <v>1</v>
      </c>
      <c r="AK193" s="189" t="b">
        <v>1</v>
      </c>
      <c r="AL193" s="189" t="b">
        <v>1</v>
      </c>
      <c r="AM193" s="189" t="b">
        <v>1</v>
      </c>
      <c r="AN193" s="189" t="b">
        <v>1</v>
      </c>
      <c r="AO193" s="189" t="b">
        <v>1</v>
      </c>
      <c r="AP193" s="69" t="str">
        <f t="shared" si="48"/>
        <v>VALID</v>
      </c>
      <c r="AQ193" s="166" t="s">
        <v>2189</v>
      </c>
      <c r="AR193" s="194" t="s">
        <v>861</v>
      </c>
      <c r="AS193" s="193" t="s">
        <v>873</v>
      </c>
      <c r="AT193" s="72"/>
      <c r="AU193" s="72"/>
      <c r="AV193" s="72"/>
      <c r="AW193" s="193" t="s">
        <v>136</v>
      </c>
      <c r="AX193" s="193" t="s">
        <v>136</v>
      </c>
      <c r="AY193" s="72"/>
      <c r="AZ193" s="193"/>
      <c r="BA193" s="193"/>
      <c r="BB193" s="8"/>
      <c r="BC193" s="140"/>
      <c r="BD193" s="11" t="s">
        <v>5630</v>
      </c>
      <c r="BE193" s="311" t="s">
        <v>5627</v>
      </c>
    </row>
    <row r="194" spans="1:57" ht="12.95" hidden="1" customHeight="1">
      <c r="A194" s="248" t="e">
        <v>#N/A</v>
      </c>
      <c r="B194" s="252" t="e">
        <v>#N/A</v>
      </c>
      <c r="C194" s="263" t="s">
        <v>1033</v>
      </c>
      <c r="D194" s="239" t="s">
        <v>3073</v>
      </c>
      <c r="E194" s="58"/>
      <c r="F194" s="59" t="s">
        <v>1851</v>
      </c>
      <c r="G194" s="191" t="s">
        <v>2190</v>
      </c>
      <c r="H194" s="192" t="s">
        <v>142</v>
      </c>
      <c r="I194" s="61" t="s">
        <v>2511</v>
      </c>
      <c r="J194" s="61" t="s">
        <v>2511</v>
      </c>
      <c r="K194" s="62" t="s">
        <v>2511</v>
      </c>
      <c r="L194" s="60" t="s">
        <v>2389</v>
      </c>
      <c r="M194" s="61" t="s">
        <v>2389</v>
      </c>
      <c r="N194" s="61" t="s">
        <v>2511</v>
      </c>
      <c r="O194" s="61" t="s">
        <v>2511</v>
      </c>
      <c r="P194" s="62" t="s">
        <v>2511</v>
      </c>
      <c r="Q194" s="7" t="s">
        <v>142</v>
      </c>
      <c r="R194" s="7" t="s">
        <v>126</v>
      </c>
      <c r="S194" s="58" t="s">
        <v>112</v>
      </c>
      <c r="T194" s="58" t="s">
        <v>113</v>
      </c>
      <c r="U194" s="63" t="s">
        <v>126</v>
      </c>
      <c r="V194" s="138" t="s">
        <v>3074</v>
      </c>
      <c r="W194" s="57" t="s">
        <v>3033</v>
      </c>
      <c r="X194" s="126" t="s">
        <v>2511</v>
      </c>
      <c r="Y194" s="126" t="s">
        <v>2511</v>
      </c>
      <c r="Z194" s="57" t="s">
        <v>2817</v>
      </c>
      <c r="AA194" s="57" t="s">
        <v>2859</v>
      </c>
      <c r="AB194" s="57" t="s">
        <v>2393</v>
      </c>
      <c r="AC194" s="57" t="s">
        <v>2516</v>
      </c>
      <c r="AD194" s="65" t="str">
        <f t="shared" si="43"/>
        <v>GPIO_PR1</v>
      </c>
      <c r="AE194" s="70"/>
      <c r="AF194" s="67" t="str">
        <f t="shared" si="44"/>
        <v>NORMAL</v>
      </c>
      <c r="AG194" s="67" t="str">
        <f t="shared" si="45"/>
        <v>TRISTATE</v>
      </c>
      <c r="AH194" s="67" t="str">
        <f t="shared" si="46"/>
        <v>DISABLE</v>
      </c>
      <c r="AI194" s="71" t="str">
        <f t="shared" si="47"/>
        <v/>
      </c>
      <c r="AJ194" s="189" t="b">
        <v>1</v>
      </c>
      <c r="AK194" s="189" t="b">
        <v>1</v>
      </c>
      <c r="AL194" s="189" t="b">
        <v>1</v>
      </c>
      <c r="AM194" s="189" t="b">
        <v>1</v>
      </c>
      <c r="AN194" s="189" t="b">
        <v>1</v>
      </c>
      <c r="AO194" s="189" t="b">
        <v>1</v>
      </c>
      <c r="AP194" s="69" t="str">
        <f t="shared" si="48"/>
        <v>VALID</v>
      </c>
      <c r="AQ194" s="166" t="s">
        <v>2190</v>
      </c>
      <c r="AR194" s="194" t="s">
        <v>861</v>
      </c>
      <c r="AS194" s="193" t="s">
        <v>895</v>
      </c>
      <c r="AT194" s="72"/>
      <c r="AU194" s="72"/>
      <c r="AV194" s="72"/>
      <c r="AW194" s="193" t="s">
        <v>872</v>
      </c>
      <c r="AX194" s="193" t="s">
        <v>136</v>
      </c>
      <c r="AY194" s="72"/>
      <c r="AZ194" s="193"/>
      <c r="BA194" s="193"/>
      <c r="BB194" s="8"/>
      <c r="BC194" s="140"/>
      <c r="BD194" s="11" t="s">
        <v>5631</v>
      </c>
      <c r="BE194" s="311" t="s">
        <v>5632</v>
      </c>
    </row>
    <row r="195" spans="1:57" ht="12.95" customHeight="1">
      <c r="A195" s="320" t="s">
        <v>5500</v>
      </c>
      <c r="B195" s="251">
        <v>203</v>
      </c>
      <c r="C195" s="239" t="s">
        <v>283</v>
      </c>
      <c r="D195" s="239" t="s">
        <v>3075</v>
      </c>
      <c r="E195" s="58"/>
      <c r="F195" s="59" t="s">
        <v>495</v>
      </c>
      <c r="G195" s="191" t="s">
        <v>2241</v>
      </c>
      <c r="H195" s="192" t="s">
        <v>888</v>
      </c>
      <c r="I195" s="61" t="s">
        <v>2511</v>
      </c>
      <c r="J195" s="61" t="s">
        <v>2511</v>
      </c>
      <c r="K195" s="62" t="s">
        <v>2511</v>
      </c>
      <c r="L195" s="60" t="s">
        <v>2389</v>
      </c>
      <c r="M195" s="61" t="s">
        <v>2388</v>
      </c>
      <c r="N195" s="61" t="s">
        <v>2511</v>
      </c>
      <c r="O195" s="61" t="s">
        <v>2511</v>
      </c>
      <c r="P195" s="62" t="s">
        <v>2511</v>
      </c>
      <c r="Q195" s="7" t="s">
        <v>132</v>
      </c>
      <c r="R195" s="7" t="s">
        <v>126</v>
      </c>
      <c r="S195" s="58" t="s">
        <v>112</v>
      </c>
      <c r="T195" s="58" t="s">
        <v>113</v>
      </c>
      <c r="U195" s="63" t="s">
        <v>126</v>
      </c>
      <c r="V195" s="138" t="s">
        <v>3076</v>
      </c>
      <c r="W195" s="57" t="s">
        <v>3033</v>
      </c>
      <c r="X195" s="126" t="s">
        <v>2511</v>
      </c>
      <c r="Y195" s="126" t="s">
        <v>3077</v>
      </c>
      <c r="Z195" s="57" t="s">
        <v>2817</v>
      </c>
      <c r="AA195" s="57" t="s">
        <v>2859</v>
      </c>
      <c r="AB195" s="57" t="s">
        <v>2393</v>
      </c>
      <c r="AC195" s="57" t="s">
        <v>2516</v>
      </c>
      <c r="AD195" s="65" t="str">
        <f t="shared" si="43"/>
        <v>UARTA</v>
      </c>
      <c r="AE195" s="70"/>
      <c r="AF195" s="67" t="str">
        <f t="shared" si="44"/>
        <v>NORMAL</v>
      </c>
      <c r="AG195" s="67" t="str">
        <f t="shared" si="45"/>
        <v>NORMAL</v>
      </c>
      <c r="AH195" s="67" t="str">
        <f t="shared" si="46"/>
        <v>DISABLE</v>
      </c>
      <c r="AI195" s="71" t="str">
        <f t="shared" si="47"/>
        <v>N/A</v>
      </c>
      <c r="AJ195" s="189" t="b">
        <v>1</v>
      </c>
      <c r="AK195" s="189" t="b">
        <v>1</v>
      </c>
      <c r="AL195" s="189" t="b">
        <v>1</v>
      </c>
      <c r="AM195" s="189" t="b">
        <v>1</v>
      </c>
      <c r="AN195" s="189" t="b">
        <v>1</v>
      </c>
      <c r="AO195" s="189" t="b">
        <v>1</v>
      </c>
      <c r="AP195" s="69" t="str">
        <f t="shared" si="48"/>
        <v>VALID</v>
      </c>
      <c r="AQ195" s="166" t="s">
        <v>888</v>
      </c>
      <c r="AR195" s="194" t="s">
        <v>861</v>
      </c>
      <c r="AS195" s="193"/>
      <c r="AT195" s="72"/>
      <c r="AU195" s="72"/>
      <c r="AV195" s="72"/>
      <c r="AW195" s="193" t="s">
        <v>136</v>
      </c>
      <c r="AX195" s="193" t="s">
        <v>136</v>
      </c>
      <c r="AY195" s="72"/>
      <c r="AZ195" s="193"/>
      <c r="BA195" s="193"/>
      <c r="BB195" s="8"/>
      <c r="BC195" s="140"/>
      <c r="BD195" s="11" t="s">
        <v>5500</v>
      </c>
      <c r="BE195" s="336" t="s">
        <v>5633</v>
      </c>
    </row>
    <row r="196" spans="1:57" s="81" customFormat="1" ht="12.95" customHeight="1">
      <c r="A196" s="320" t="s">
        <v>5501</v>
      </c>
      <c r="B196" s="251">
        <v>205</v>
      </c>
      <c r="C196" s="267" t="s">
        <v>284</v>
      </c>
      <c r="D196" s="239" t="s">
        <v>3078</v>
      </c>
      <c r="E196" s="58"/>
      <c r="F196" s="59" t="s">
        <v>496</v>
      </c>
      <c r="G196" s="191" t="s">
        <v>3079</v>
      </c>
      <c r="H196" s="192" t="s">
        <v>889</v>
      </c>
      <c r="I196" s="61" t="s">
        <v>2511</v>
      </c>
      <c r="J196" s="61" t="s">
        <v>2511</v>
      </c>
      <c r="K196" s="62" t="s">
        <v>2511</v>
      </c>
      <c r="L196" s="60" t="s">
        <v>2389</v>
      </c>
      <c r="M196" s="61" t="s">
        <v>2523</v>
      </c>
      <c r="N196" s="61" t="s">
        <v>2511</v>
      </c>
      <c r="O196" s="61" t="s">
        <v>2511</v>
      </c>
      <c r="P196" s="62" t="s">
        <v>2511</v>
      </c>
      <c r="Q196" s="7" t="s">
        <v>132</v>
      </c>
      <c r="R196" s="7" t="s">
        <v>126</v>
      </c>
      <c r="S196" s="58" t="s">
        <v>112</v>
      </c>
      <c r="T196" s="58" t="s">
        <v>113</v>
      </c>
      <c r="U196" s="63" t="s">
        <v>126</v>
      </c>
      <c r="V196" s="138" t="s">
        <v>3080</v>
      </c>
      <c r="W196" s="57" t="s">
        <v>3033</v>
      </c>
      <c r="X196" s="126" t="s">
        <v>2511</v>
      </c>
      <c r="Y196" s="126" t="s">
        <v>2511</v>
      </c>
      <c r="Z196" s="57" t="s">
        <v>2817</v>
      </c>
      <c r="AA196" s="57" t="s">
        <v>2859</v>
      </c>
      <c r="AB196" s="57" t="s">
        <v>2393</v>
      </c>
      <c r="AC196" s="57" t="s">
        <v>2631</v>
      </c>
      <c r="AD196" s="65" t="str">
        <f t="shared" si="43"/>
        <v>UARTA</v>
      </c>
      <c r="AE196" s="80"/>
      <c r="AF196" s="67" t="str">
        <f t="shared" si="44"/>
        <v>PULL_DOWN</v>
      </c>
      <c r="AG196" s="67" t="str">
        <f t="shared" si="45"/>
        <v>TRISTATE</v>
      </c>
      <c r="AH196" s="67" t="str">
        <f t="shared" si="46"/>
        <v>ENABLE</v>
      </c>
      <c r="AI196" s="71" t="str">
        <f t="shared" si="47"/>
        <v>N/A</v>
      </c>
      <c r="AJ196" s="189" t="b">
        <v>1</v>
      </c>
      <c r="AK196" s="189" t="b">
        <v>1</v>
      </c>
      <c r="AL196" s="189" t="b">
        <v>1</v>
      </c>
      <c r="AM196" s="189" t="b">
        <v>1</v>
      </c>
      <c r="AN196" s="189" t="b">
        <v>1</v>
      </c>
      <c r="AO196" s="189" t="b">
        <v>1</v>
      </c>
      <c r="AP196" s="69" t="str">
        <f t="shared" si="48"/>
        <v>VALID</v>
      </c>
      <c r="AQ196" s="163" t="s">
        <v>889</v>
      </c>
      <c r="AR196" s="194" t="s">
        <v>862</v>
      </c>
      <c r="AS196" s="193" t="s">
        <v>875</v>
      </c>
      <c r="AT196" s="72"/>
      <c r="AU196" s="72"/>
      <c r="AV196" s="72"/>
      <c r="AW196" s="193" t="s">
        <v>136</v>
      </c>
      <c r="AX196" s="193" t="s">
        <v>136</v>
      </c>
      <c r="AY196" s="72"/>
      <c r="AZ196" s="193"/>
      <c r="BA196" s="193"/>
      <c r="BB196" s="8"/>
      <c r="BC196" s="140"/>
      <c r="BD196" s="11" t="s">
        <v>5501</v>
      </c>
      <c r="BE196" s="337"/>
    </row>
    <row r="197" spans="1:57" ht="12.75" customHeight="1">
      <c r="A197" s="320" t="s">
        <v>5502</v>
      </c>
      <c r="B197" s="253">
        <v>207</v>
      </c>
      <c r="C197" s="239" t="s">
        <v>285</v>
      </c>
      <c r="D197" s="239" t="s">
        <v>3081</v>
      </c>
      <c r="E197" s="58"/>
      <c r="F197" s="59" t="s">
        <v>497</v>
      </c>
      <c r="G197" s="191" t="s">
        <v>2386</v>
      </c>
      <c r="H197" s="192" t="s">
        <v>938</v>
      </c>
      <c r="I197" s="61" t="s">
        <v>2511</v>
      </c>
      <c r="J197" s="61" t="s">
        <v>2511</v>
      </c>
      <c r="K197" s="62" t="s">
        <v>2511</v>
      </c>
      <c r="L197" s="60" t="s">
        <v>2389</v>
      </c>
      <c r="M197" s="61" t="s">
        <v>2388</v>
      </c>
      <c r="N197" s="61" t="s">
        <v>2511</v>
      </c>
      <c r="O197" s="61" t="s">
        <v>2511</v>
      </c>
      <c r="P197" s="62" t="s">
        <v>2511</v>
      </c>
      <c r="Q197" s="7" t="s">
        <v>132</v>
      </c>
      <c r="R197" s="7" t="s">
        <v>126</v>
      </c>
      <c r="S197" s="58" t="s">
        <v>112</v>
      </c>
      <c r="T197" s="58" t="s">
        <v>113</v>
      </c>
      <c r="U197" s="63" t="s">
        <v>126</v>
      </c>
      <c r="V197" s="138" t="s">
        <v>3082</v>
      </c>
      <c r="W197" s="57" t="s">
        <v>3033</v>
      </c>
      <c r="X197" s="126" t="s">
        <v>2511</v>
      </c>
      <c r="Y197" s="126" t="s">
        <v>3083</v>
      </c>
      <c r="Z197" s="57" t="s">
        <v>2514</v>
      </c>
      <c r="AA197" s="57" t="s">
        <v>2515</v>
      </c>
      <c r="AB197" s="57" t="s">
        <v>2393</v>
      </c>
      <c r="AC197" s="57" t="s">
        <v>2516</v>
      </c>
      <c r="AD197" s="65" t="str">
        <f t="shared" si="43"/>
        <v>GPIO_PR4</v>
      </c>
      <c r="AE197" s="70"/>
      <c r="AF197" s="67" t="str">
        <f t="shared" si="44"/>
        <v>PULL_DOWN</v>
      </c>
      <c r="AG197" s="67" t="str">
        <f t="shared" si="45"/>
        <v>TRISTATE</v>
      </c>
      <c r="AH197" s="67" t="str">
        <f t="shared" si="46"/>
        <v>ENABLE</v>
      </c>
      <c r="AI197" s="71" t="str">
        <f t="shared" si="47"/>
        <v/>
      </c>
      <c r="AJ197" s="189" t="b">
        <v>1</v>
      </c>
      <c r="AK197" s="189" t="b">
        <v>1</v>
      </c>
      <c r="AL197" s="189" t="b">
        <v>1</v>
      </c>
      <c r="AM197" s="189" t="b">
        <v>1</v>
      </c>
      <c r="AN197" s="189" t="b">
        <v>1</v>
      </c>
      <c r="AO197" s="189" t="b">
        <v>1</v>
      </c>
      <c r="AP197" s="69" t="str">
        <f t="shared" si="48"/>
        <v>VALID</v>
      </c>
      <c r="AQ197" s="166" t="s">
        <v>2386</v>
      </c>
      <c r="AR197" s="194" t="s">
        <v>862</v>
      </c>
      <c r="AS197" s="193" t="s">
        <v>875</v>
      </c>
      <c r="AT197" s="5"/>
      <c r="AU197" s="72"/>
      <c r="AV197" s="72"/>
      <c r="AW197" s="72"/>
      <c r="AX197" s="193" t="s">
        <v>136</v>
      </c>
      <c r="AY197" s="72"/>
      <c r="AZ197" s="193"/>
      <c r="BA197" s="193"/>
      <c r="BB197" s="8"/>
      <c r="BC197" s="140"/>
      <c r="BD197" s="11" t="s">
        <v>5634</v>
      </c>
      <c r="BE197" s="337"/>
    </row>
    <row r="198" spans="1:57" ht="12.95" customHeight="1">
      <c r="A198" s="320" t="s">
        <v>5503</v>
      </c>
      <c r="B198" s="251">
        <v>209</v>
      </c>
      <c r="C198" s="239" t="s">
        <v>286</v>
      </c>
      <c r="D198" s="239" t="s">
        <v>3084</v>
      </c>
      <c r="E198" s="58"/>
      <c r="F198" s="59" t="s">
        <v>498</v>
      </c>
      <c r="G198" s="191" t="s">
        <v>2482</v>
      </c>
      <c r="H198" s="192" t="s">
        <v>939</v>
      </c>
      <c r="I198" s="61" t="s">
        <v>2511</v>
      </c>
      <c r="J198" s="61" t="s">
        <v>2511</v>
      </c>
      <c r="K198" s="62" t="s">
        <v>2511</v>
      </c>
      <c r="L198" s="60" t="s">
        <v>2389</v>
      </c>
      <c r="M198" s="61" t="s">
        <v>2523</v>
      </c>
      <c r="N198" s="61" t="s">
        <v>2511</v>
      </c>
      <c r="O198" s="61" t="s">
        <v>2511</v>
      </c>
      <c r="P198" s="62" t="s">
        <v>2511</v>
      </c>
      <c r="Q198" s="7" t="s">
        <v>132</v>
      </c>
      <c r="R198" s="7" t="s">
        <v>126</v>
      </c>
      <c r="S198" s="58" t="s">
        <v>112</v>
      </c>
      <c r="T198" s="58" t="s">
        <v>113</v>
      </c>
      <c r="U198" s="63" t="s">
        <v>126</v>
      </c>
      <c r="V198" s="138" t="s">
        <v>3085</v>
      </c>
      <c r="W198" s="57" t="s">
        <v>3033</v>
      </c>
      <c r="X198" s="126" t="s">
        <v>3086</v>
      </c>
      <c r="Y198" s="126" t="s">
        <v>2511</v>
      </c>
      <c r="Z198" s="57" t="s">
        <v>2514</v>
      </c>
      <c r="AA198" s="57" t="s">
        <v>2753</v>
      </c>
      <c r="AB198" s="57" t="s">
        <v>2393</v>
      </c>
      <c r="AC198" s="57" t="s">
        <v>2548</v>
      </c>
      <c r="AD198" s="65" t="str">
        <f t="shared" si="43"/>
        <v>GPIO_PR5</v>
      </c>
      <c r="AE198" s="70"/>
      <c r="AF198" s="67" t="str">
        <f t="shared" si="44"/>
        <v>PULL_DOWN</v>
      </c>
      <c r="AG198" s="67" t="str">
        <f t="shared" si="45"/>
        <v>TRISTATE</v>
      </c>
      <c r="AH198" s="67" t="str">
        <f t="shared" si="46"/>
        <v>ENABLE</v>
      </c>
      <c r="AI198" s="71" t="str">
        <f t="shared" si="47"/>
        <v/>
      </c>
      <c r="AJ198" s="189" t="b">
        <v>1</v>
      </c>
      <c r="AK198" s="189" t="b">
        <v>1</v>
      </c>
      <c r="AL198" s="189" t="b">
        <v>1</v>
      </c>
      <c r="AM198" s="189" t="b">
        <v>1</v>
      </c>
      <c r="AN198" s="189" t="b">
        <v>1</v>
      </c>
      <c r="AO198" s="189" t="b">
        <v>1</v>
      </c>
      <c r="AP198" s="69" t="str">
        <f t="shared" si="48"/>
        <v>VALID</v>
      </c>
      <c r="AQ198" s="166" t="s">
        <v>2482</v>
      </c>
      <c r="AR198" s="194" t="s">
        <v>862</v>
      </c>
      <c r="AS198" s="193" t="s">
        <v>875</v>
      </c>
      <c r="AT198" s="193" t="s">
        <v>117</v>
      </c>
      <c r="AU198" s="72"/>
      <c r="AV198" s="72"/>
      <c r="AW198" s="72"/>
      <c r="AX198" s="193" t="s">
        <v>136</v>
      </c>
      <c r="AY198" s="72"/>
      <c r="AZ198" s="193"/>
      <c r="BA198" s="193"/>
      <c r="BB198" s="8"/>
      <c r="BC198" s="140"/>
      <c r="BD198" s="11" t="s">
        <v>5635</v>
      </c>
      <c r="BE198" s="338"/>
    </row>
    <row r="199" spans="1:57" s="56" customFormat="1" ht="18" hidden="1" customHeight="1">
      <c r="A199" s="355"/>
      <c r="B199" s="356"/>
      <c r="C199" s="266" t="s">
        <v>292</v>
      </c>
      <c r="D199" s="266"/>
      <c r="E199" s="73"/>
      <c r="F199" s="73"/>
      <c r="G199" s="74"/>
      <c r="H199" s="74"/>
      <c r="I199" s="74"/>
      <c r="J199" s="74"/>
      <c r="K199" s="74"/>
      <c r="L199" s="73"/>
      <c r="M199" s="73"/>
      <c r="N199" s="73"/>
      <c r="O199" s="73"/>
      <c r="P199" s="73"/>
      <c r="Q199" s="73"/>
      <c r="R199" s="73"/>
      <c r="S199" s="73"/>
      <c r="T199" s="73"/>
      <c r="U199" s="73"/>
      <c r="V199" s="73"/>
      <c r="W199" s="73"/>
      <c r="X199" s="127"/>
      <c r="Y199" s="127"/>
      <c r="Z199" s="75"/>
      <c r="AA199" s="75"/>
      <c r="AB199" s="75"/>
      <c r="AC199" s="75"/>
      <c r="AD199" s="75"/>
      <c r="AE199" s="75"/>
      <c r="AF199" s="75"/>
      <c r="AG199" s="75"/>
      <c r="AH199" s="75"/>
      <c r="AI199" s="75"/>
      <c r="AJ199" s="53"/>
      <c r="AK199" s="53"/>
      <c r="AL199" s="53"/>
      <c r="AM199" s="53"/>
      <c r="AN199" s="53"/>
      <c r="AO199" s="53"/>
      <c r="AP199" s="53"/>
      <c r="AQ199" s="54"/>
      <c r="AR199" s="76"/>
      <c r="AS199" s="77"/>
      <c r="AT199" s="77"/>
      <c r="AU199" s="77"/>
      <c r="AV199" s="77"/>
      <c r="AW199" s="77"/>
      <c r="AX199" s="77"/>
      <c r="AY199" s="77"/>
      <c r="AZ199" s="77"/>
      <c r="BA199" s="77"/>
      <c r="BB199" s="77"/>
      <c r="BC199" s="175" t="s">
        <v>5636</v>
      </c>
      <c r="BD199" s="186"/>
      <c r="BE199" s="231" t="s">
        <v>292</v>
      </c>
    </row>
    <row r="200" spans="1:57" ht="12.95" hidden="1" customHeight="1">
      <c r="A200" s="248" t="e">
        <v>#N/A</v>
      </c>
      <c r="B200" s="252" t="e">
        <v>#N/A</v>
      </c>
      <c r="C200" s="263" t="s">
        <v>1034</v>
      </c>
      <c r="D200" s="239" t="s">
        <v>3087</v>
      </c>
      <c r="E200" s="58"/>
      <c r="F200" s="59" t="s">
        <v>1812</v>
      </c>
      <c r="G200" s="191" t="s">
        <v>2400</v>
      </c>
      <c r="H200" s="192" t="s">
        <v>867</v>
      </c>
      <c r="I200" s="61"/>
      <c r="J200" s="61" t="s">
        <v>2511</v>
      </c>
      <c r="K200" s="62" t="s">
        <v>2511</v>
      </c>
      <c r="L200" s="60" t="s">
        <v>2389</v>
      </c>
      <c r="M200" s="61" t="s">
        <v>2389</v>
      </c>
      <c r="N200" s="61" t="s">
        <v>2523</v>
      </c>
      <c r="O200" s="61" t="s">
        <v>2511</v>
      </c>
      <c r="P200" s="62" t="s">
        <v>2511</v>
      </c>
      <c r="Q200" s="58" t="s">
        <v>835</v>
      </c>
      <c r="R200" s="58" t="s">
        <v>550</v>
      </c>
      <c r="S200" s="58" t="s">
        <v>112</v>
      </c>
      <c r="T200" s="58" t="s">
        <v>113</v>
      </c>
      <c r="U200" s="106" t="s">
        <v>112</v>
      </c>
      <c r="V200" s="138" t="s">
        <v>3088</v>
      </c>
      <c r="W200" s="57" t="s">
        <v>3089</v>
      </c>
      <c r="X200" s="126" t="s">
        <v>2511</v>
      </c>
      <c r="Y200" s="126" t="s">
        <v>2511</v>
      </c>
      <c r="Z200" s="57" t="s">
        <v>2582</v>
      </c>
      <c r="AA200" s="57" t="s">
        <v>2583</v>
      </c>
      <c r="AB200" s="57" t="s">
        <v>2584</v>
      </c>
      <c r="AC200" s="57" t="s">
        <v>2516</v>
      </c>
      <c r="AD200" s="65" t="str">
        <f t="shared" ref="AD200:AD207" si="49">IF(OR($AQ200="",$AQ200=$F200),$U200,IF($AQ200=$G200,SUBSTITUTE(SUBSTITUTE($AQ200,"GPIO3_","GPIO_"),".0",""),IF($AQ200=$H200,$Q200,IF($AQ200=$I200,$R200,IF($AQ200=$J200,$S200,IF($AQ200=$K200,$T200,"INVALID"))))))</f>
        <v>RSVD2</v>
      </c>
      <c r="AE200" s="70"/>
      <c r="AF200" s="67" t="str">
        <f t="shared" ref="AF200:AF207" si="50">IF(AND(OR($AS200="Int PU",$AS200="Int PD"),OR(AND($AZ200&lt;&gt;"",$AZ200&lt;&gt;"0"),AND($BA200&lt;&gt;"",$BA200&lt;&gt;"0"))),"INVALID",IF(OR($AQ200=$F200,$AS200="Int PD"),"PULL_DOWN",IF(OR($AS200="Int PU",AND($AE200="YES",OR($AZ200="",$AZ200="0"),OR($BA200="",$BA200="0"),OR($AR200="Input",$AR200="Bidirectional"))),"PULL_UP","NORMAL")))</f>
        <v>PULL_DOWN</v>
      </c>
      <c r="AG200" s="67" t="str">
        <f>IF($AV200="slave", "TRISTATE", IF($AR200="Input", "TRISTATE", IF($AS200="Z","TRISTATE",IF($AQ200=$F200,"TRISTATE","NORMAL"))))</f>
        <v>TRISTATE</v>
      </c>
      <c r="AH200" s="67" t="str">
        <f>IF(OR((AND($AQ200=$G200,$AR200="INPUT")),(AND($AQ200=$H200,$AV200="Slave")),$AR200="Bidirectional"),"ENABLE","DISABLE")</f>
        <v>DISABLE</v>
      </c>
      <c r="AI200" s="71" t="str">
        <f t="shared" si="47"/>
        <v>N/A</v>
      </c>
      <c r="AJ200" s="189" t="b">
        <v>1</v>
      </c>
      <c r="AK200" s="189" t="b">
        <v>1</v>
      </c>
      <c r="AL200" s="189" t="b">
        <v>1</v>
      </c>
      <c r="AM200" s="189" t="b">
        <v>1</v>
      </c>
      <c r="AN200" s="189" t="b">
        <v>1</v>
      </c>
      <c r="AO200" s="189" t="b">
        <v>1</v>
      </c>
      <c r="AP200" s="69" t="str">
        <f t="shared" ref="AP200:AP207" si="51">IF(AND($AJ200:$AO200), "VALID", "INVALID")</f>
        <v>VALID</v>
      </c>
      <c r="AQ200" s="168" t="s">
        <v>1812</v>
      </c>
      <c r="AR200" s="2" t="s">
        <v>79</v>
      </c>
      <c r="AS200" s="193"/>
      <c r="AT200" s="3"/>
      <c r="AU200" s="3"/>
      <c r="AV200" s="193" t="s">
        <v>900</v>
      </c>
      <c r="AW200" s="3"/>
      <c r="AX200" s="3"/>
      <c r="AY200" s="22"/>
      <c r="AZ200" s="4"/>
      <c r="BA200" s="4"/>
      <c r="BB200" s="13" t="s">
        <v>114</v>
      </c>
      <c r="BC200" s="139"/>
      <c r="BD200" s="147" t="s">
        <v>83</v>
      </c>
      <c r="BE200" s="147" t="s">
        <v>83</v>
      </c>
    </row>
    <row r="201" spans="1:57" ht="12.95" hidden="1" customHeight="1">
      <c r="A201" s="248" t="e">
        <v>#N/A</v>
      </c>
      <c r="B201" s="252" t="e">
        <v>#N/A</v>
      </c>
      <c r="C201" s="263" t="s">
        <v>1035</v>
      </c>
      <c r="D201" s="239" t="s">
        <v>3091</v>
      </c>
      <c r="E201" s="58"/>
      <c r="F201" s="59" t="s">
        <v>1811</v>
      </c>
      <c r="G201" s="191" t="s">
        <v>2401</v>
      </c>
      <c r="H201" s="192" t="s">
        <v>868</v>
      </c>
      <c r="I201" s="61"/>
      <c r="J201" s="61" t="s">
        <v>2511</v>
      </c>
      <c r="K201" s="62" t="s">
        <v>2511</v>
      </c>
      <c r="L201" s="60" t="s">
        <v>2389</v>
      </c>
      <c r="M201" s="61" t="s">
        <v>2519</v>
      </c>
      <c r="N201" s="61" t="s">
        <v>2523</v>
      </c>
      <c r="O201" s="61" t="s">
        <v>2511</v>
      </c>
      <c r="P201" s="62" t="s">
        <v>2511</v>
      </c>
      <c r="Q201" s="58" t="s">
        <v>835</v>
      </c>
      <c r="R201" s="58" t="s">
        <v>550</v>
      </c>
      <c r="S201" s="58" t="s">
        <v>112</v>
      </c>
      <c r="T201" s="58" t="s">
        <v>113</v>
      </c>
      <c r="U201" s="63" t="s">
        <v>112</v>
      </c>
      <c r="V201" s="138" t="s">
        <v>3092</v>
      </c>
      <c r="W201" s="57" t="s">
        <v>3089</v>
      </c>
      <c r="X201" s="126" t="s">
        <v>2511</v>
      </c>
      <c r="Y201" s="126" t="s">
        <v>2511</v>
      </c>
      <c r="Z201" s="57" t="s">
        <v>2582</v>
      </c>
      <c r="AA201" s="57" t="s">
        <v>2583</v>
      </c>
      <c r="AB201" s="57" t="s">
        <v>2584</v>
      </c>
      <c r="AC201" s="57" t="s">
        <v>2516</v>
      </c>
      <c r="AD201" s="65" t="str">
        <f t="shared" si="49"/>
        <v>RSVD2</v>
      </c>
      <c r="AE201" s="70"/>
      <c r="AF201" s="67" t="str">
        <f t="shared" si="50"/>
        <v>PULL_DOWN</v>
      </c>
      <c r="AG201" s="67" t="str">
        <f t="shared" si="45"/>
        <v>TRISTATE</v>
      </c>
      <c r="AH201" s="67" t="str">
        <f>IF(OR($AQ201=$F201,$AR201="Output"),"DISABLE","ENABLE")</f>
        <v>DISABLE</v>
      </c>
      <c r="AI201" s="71" t="str">
        <f t="shared" si="47"/>
        <v>N/A</v>
      </c>
      <c r="AJ201" s="189" t="b">
        <v>1</v>
      </c>
      <c r="AK201" s="189" t="b">
        <v>1</v>
      </c>
      <c r="AL201" s="189" t="b">
        <v>1</v>
      </c>
      <c r="AM201" s="189" t="b">
        <v>1</v>
      </c>
      <c r="AN201" s="189" t="b">
        <v>1</v>
      </c>
      <c r="AO201" s="189" t="b">
        <v>1</v>
      </c>
      <c r="AP201" s="69" t="str">
        <f t="shared" si="51"/>
        <v>VALID</v>
      </c>
      <c r="AQ201" s="195" t="s">
        <v>1811</v>
      </c>
      <c r="AR201" s="194" t="s">
        <v>79</v>
      </c>
      <c r="AS201" s="193"/>
      <c r="AT201" s="72"/>
      <c r="AU201" s="72"/>
      <c r="AV201" s="193" t="s">
        <v>900</v>
      </c>
      <c r="AW201" s="72"/>
      <c r="AX201" s="72"/>
      <c r="AY201" s="72"/>
      <c r="AZ201" s="193"/>
      <c r="BA201" s="193"/>
      <c r="BB201" s="8"/>
      <c r="BC201" s="140"/>
      <c r="BD201" s="147" t="s">
        <v>83</v>
      </c>
      <c r="BE201" s="147" t="s">
        <v>83</v>
      </c>
    </row>
    <row r="202" spans="1:57" ht="12.95" hidden="1" customHeight="1">
      <c r="A202" s="248" t="e">
        <v>#N/A</v>
      </c>
      <c r="B202" s="252" t="e">
        <v>#N/A</v>
      </c>
      <c r="C202" s="263" t="s">
        <v>1036</v>
      </c>
      <c r="D202" s="239" t="s">
        <v>3094</v>
      </c>
      <c r="E202" s="58"/>
      <c r="F202" s="59" t="s">
        <v>1810</v>
      </c>
      <c r="G202" s="191" t="s">
        <v>2402</v>
      </c>
      <c r="H202" s="192" t="s">
        <v>869</v>
      </c>
      <c r="I202" s="61"/>
      <c r="J202" s="61" t="s">
        <v>2511</v>
      </c>
      <c r="K202" s="62" t="s">
        <v>2511</v>
      </c>
      <c r="L202" s="60" t="s">
        <v>2389</v>
      </c>
      <c r="M202" s="61" t="s">
        <v>2523</v>
      </c>
      <c r="N202" s="61" t="s">
        <v>2523</v>
      </c>
      <c r="O202" s="61" t="s">
        <v>2511</v>
      </c>
      <c r="P202" s="62" t="s">
        <v>2511</v>
      </c>
      <c r="Q202" s="58" t="s">
        <v>835</v>
      </c>
      <c r="R202" s="58" t="s">
        <v>550</v>
      </c>
      <c r="S202" s="58" t="s">
        <v>112</v>
      </c>
      <c r="T202" s="58" t="s">
        <v>113</v>
      </c>
      <c r="U202" s="63" t="s">
        <v>112</v>
      </c>
      <c r="V202" s="138" t="s">
        <v>3095</v>
      </c>
      <c r="W202" s="57" t="s">
        <v>3089</v>
      </c>
      <c r="X202" s="126" t="s">
        <v>2511</v>
      </c>
      <c r="Y202" s="126" t="s">
        <v>2511</v>
      </c>
      <c r="Z202" s="57" t="s">
        <v>2582</v>
      </c>
      <c r="AA202" s="57" t="s">
        <v>2583</v>
      </c>
      <c r="AB202" s="57" t="s">
        <v>2584</v>
      </c>
      <c r="AC202" s="57" t="s">
        <v>2516</v>
      </c>
      <c r="AD202" s="65" t="str">
        <f t="shared" si="49"/>
        <v>RSVD2</v>
      </c>
      <c r="AE202" s="70"/>
      <c r="AF202" s="67" t="str">
        <f t="shared" si="50"/>
        <v>PULL_DOWN</v>
      </c>
      <c r="AG202" s="67" t="str">
        <f t="shared" si="45"/>
        <v>TRISTATE</v>
      </c>
      <c r="AH202" s="67" t="str">
        <f>IF(OR($AQ202=$F202,$AR202="Output"),"DISABLE","ENABLE")</f>
        <v>DISABLE</v>
      </c>
      <c r="AI202" s="71" t="str">
        <f t="shared" si="47"/>
        <v>N/A</v>
      </c>
      <c r="AJ202" s="189" t="b">
        <v>1</v>
      </c>
      <c r="AK202" s="189" t="b">
        <v>1</v>
      </c>
      <c r="AL202" s="189" t="b">
        <v>1</v>
      </c>
      <c r="AM202" s="189" t="b">
        <v>1</v>
      </c>
      <c r="AN202" s="189" t="b">
        <v>1</v>
      </c>
      <c r="AO202" s="189" t="b">
        <v>1</v>
      </c>
      <c r="AP202" s="69" t="str">
        <f t="shared" si="51"/>
        <v>VALID</v>
      </c>
      <c r="AQ202" s="195" t="s">
        <v>1810</v>
      </c>
      <c r="AR202" s="194" t="s">
        <v>79</v>
      </c>
      <c r="AS202" s="193"/>
      <c r="AT202" s="72"/>
      <c r="AU202" s="72"/>
      <c r="AV202" s="193" t="s">
        <v>900</v>
      </c>
      <c r="AW202" s="72"/>
      <c r="AX202" s="72"/>
      <c r="AY202" s="72"/>
      <c r="AZ202" s="193"/>
      <c r="BA202" s="193"/>
      <c r="BB202" s="8"/>
      <c r="BC202" s="140"/>
      <c r="BD202" s="147" t="s">
        <v>83</v>
      </c>
      <c r="BE202" s="147" t="s">
        <v>83</v>
      </c>
    </row>
    <row r="203" spans="1:57" ht="12.95" hidden="1" customHeight="1">
      <c r="A203" s="248" t="e">
        <v>#N/A</v>
      </c>
      <c r="B203" s="252" t="e">
        <v>#N/A</v>
      </c>
      <c r="C203" s="263" t="s">
        <v>1037</v>
      </c>
      <c r="D203" s="239" t="s">
        <v>3096</v>
      </c>
      <c r="E203" s="58"/>
      <c r="F203" s="59" t="s">
        <v>1809</v>
      </c>
      <c r="G203" s="191" t="s">
        <v>2403</v>
      </c>
      <c r="H203" s="192" t="s">
        <v>870</v>
      </c>
      <c r="I203" s="61"/>
      <c r="J203" s="61" t="s">
        <v>2511</v>
      </c>
      <c r="K203" s="62" t="s">
        <v>2511</v>
      </c>
      <c r="L203" s="60" t="s">
        <v>2389</v>
      </c>
      <c r="M203" s="61" t="s">
        <v>2389</v>
      </c>
      <c r="N203" s="61" t="s">
        <v>2523</v>
      </c>
      <c r="O203" s="61" t="s">
        <v>2511</v>
      </c>
      <c r="P203" s="62" t="s">
        <v>2511</v>
      </c>
      <c r="Q203" s="58" t="s">
        <v>835</v>
      </c>
      <c r="R203" s="58" t="s">
        <v>550</v>
      </c>
      <c r="S203" s="58" t="s">
        <v>112</v>
      </c>
      <c r="T203" s="58" t="s">
        <v>113</v>
      </c>
      <c r="U203" s="63" t="s">
        <v>112</v>
      </c>
      <c r="V203" s="138" t="s">
        <v>3097</v>
      </c>
      <c r="W203" s="57" t="s">
        <v>3089</v>
      </c>
      <c r="X203" s="126" t="s">
        <v>2511</v>
      </c>
      <c r="Y203" s="126" t="s">
        <v>2511</v>
      </c>
      <c r="Z203" s="57" t="s">
        <v>2582</v>
      </c>
      <c r="AA203" s="57" t="s">
        <v>2583</v>
      </c>
      <c r="AB203" s="57" t="s">
        <v>2584</v>
      </c>
      <c r="AC203" s="57" t="s">
        <v>2516</v>
      </c>
      <c r="AD203" s="65" t="str">
        <f t="shared" si="49"/>
        <v>RSVD2</v>
      </c>
      <c r="AE203" s="70"/>
      <c r="AF203" s="67" t="str">
        <f t="shared" si="50"/>
        <v>PULL_DOWN</v>
      </c>
      <c r="AG203" s="67" t="str">
        <f>IF($AV203="slave", "TRISTATE", IF($AR203="Input", "TRISTATE", IF($AS203="Z","TRISTATE",IF($AQ203=$F203,"TRISTATE","NORMAL"))))</f>
        <v>TRISTATE</v>
      </c>
      <c r="AH203" s="67" t="str">
        <f>IF(OR((AND($AQ203=$G203,$AR203="INPUT")),(AND($AQ203=$H203,$AV203="Slave")),$AR203="Bidirectional"),"ENABLE","DISABLE")</f>
        <v>DISABLE</v>
      </c>
      <c r="AI203" s="71" t="str">
        <f t="shared" si="47"/>
        <v>N/A</v>
      </c>
      <c r="AJ203" s="189" t="b">
        <v>1</v>
      </c>
      <c r="AK203" s="189" t="b">
        <v>1</v>
      </c>
      <c r="AL203" s="189" t="b">
        <v>1</v>
      </c>
      <c r="AM203" s="189" t="b">
        <v>1</v>
      </c>
      <c r="AN203" s="189" t="b">
        <v>1</v>
      </c>
      <c r="AO203" s="189" t="b">
        <v>1</v>
      </c>
      <c r="AP203" s="69" t="str">
        <f t="shared" si="51"/>
        <v>VALID</v>
      </c>
      <c r="AQ203" s="195" t="s">
        <v>1809</v>
      </c>
      <c r="AR203" s="194" t="s">
        <v>79</v>
      </c>
      <c r="AS203" s="193"/>
      <c r="AT203" s="72"/>
      <c r="AU203" s="72"/>
      <c r="AV203" s="193" t="s">
        <v>900</v>
      </c>
      <c r="AW203" s="72"/>
      <c r="AX203" s="72"/>
      <c r="AY203" s="72"/>
      <c r="AZ203" s="193"/>
      <c r="BA203" s="193"/>
      <c r="BB203" s="8"/>
      <c r="BC203" s="140"/>
      <c r="BD203" s="147" t="s">
        <v>83</v>
      </c>
      <c r="BE203" s="147" t="s">
        <v>83</v>
      </c>
    </row>
    <row r="204" spans="1:57" ht="12.95" hidden="1" customHeight="1">
      <c r="A204" s="248" t="e">
        <v>#N/A</v>
      </c>
      <c r="B204" s="252" t="e">
        <v>#N/A</v>
      </c>
      <c r="C204" s="263" t="s">
        <v>49</v>
      </c>
      <c r="D204" s="239" t="s">
        <v>3098</v>
      </c>
      <c r="E204" s="58"/>
      <c r="F204" s="59" t="s">
        <v>180</v>
      </c>
      <c r="G204" s="191" t="s">
        <v>3099</v>
      </c>
      <c r="H204" s="192" t="s">
        <v>912</v>
      </c>
      <c r="I204" s="61"/>
      <c r="J204" s="61" t="s">
        <v>2511</v>
      </c>
      <c r="K204" s="62" t="s">
        <v>2511</v>
      </c>
      <c r="L204" s="60" t="s">
        <v>2389</v>
      </c>
      <c r="M204" s="61" t="s">
        <v>2389</v>
      </c>
      <c r="N204" s="61" t="s">
        <v>2523</v>
      </c>
      <c r="O204" s="61" t="s">
        <v>2511</v>
      </c>
      <c r="P204" s="62" t="s">
        <v>2511</v>
      </c>
      <c r="Q204" s="58" t="s">
        <v>834</v>
      </c>
      <c r="R204" s="58" t="s">
        <v>1855</v>
      </c>
      <c r="S204" s="58" t="s">
        <v>112</v>
      </c>
      <c r="T204" s="58" t="s">
        <v>113</v>
      </c>
      <c r="U204" s="63" t="s">
        <v>112</v>
      </c>
      <c r="V204" s="138" t="s">
        <v>3100</v>
      </c>
      <c r="W204" s="57" t="s">
        <v>3089</v>
      </c>
      <c r="X204" s="126" t="s">
        <v>2511</v>
      </c>
      <c r="Y204" s="126" t="s">
        <v>2511</v>
      </c>
      <c r="Z204" s="57" t="s">
        <v>2582</v>
      </c>
      <c r="AA204" s="57" t="s">
        <v>2583</v>
      </c>
      <c r="AB204" s="57" t="s">
        <v>2584</v>
      </c>
      <c r="AC204" s="57" t="s">
        <v>2516</v>
      </c>
      <c r="AD204" s="65" t="str">
        <f t="shared" si="49"/>
        <v>RSVD2</v>
      </c>
      <c r="AE204" s="70"/>
      <c r="AF204" s="67" t="str">
        <f t="shared" si="50"/>
        <v>PULL_DOWN</v>
      </c>
      <c r="AG204" s="67" t="str">
        <f>IF($AV204="slave", "TRISTATE", IF($AR204="Input", "TRISTATE", IF($AS204="Z","TRISTATE",IF($AQ204=$F204,"TRISTATE","NORMAL"))))</f>
        <v>TRISTATE</v>
      </c>
      <c r="AH204" s="67" t="str">
        <f>IF(OR((AND($AQ204=$G204,$AR204="INPUT")),(AND($AQ204=$H204,$AV204="Slave")),$AR204="Bidirectional"),"ENABLE","DISABLE")</f>
        <v>DISABLE</v>
      </c>
      <c r="AI204" s="71" t="str">
        <f t="shared" si="47"/>
        <v>N/A</v>
      </c>
      <c r="AJ204" s="189" t="b">
        <v>1</v>
      </c>
      <c r="AK204" s="189" t="b">
        <v>1</v>
      </c>
      <c r="AL204" s="189" t="b">
        <v>1</v>
      </c>
      <c r="AM204" s="189" t="b">
        <v>1</v>
      </c>
      <c r="AN204" s="189" t="b">
        <v>1</v>
      </c>
      <c r="AO204" s="189" t="b">
        <v>1</v>
      </c>
      <c r="AP204" s="69" t="str">
        <f t="shared" si="51"/>
        <v>VALID</v>
      </c>
      <c r="AQ204" s="196" t="s">
        <v>180</v>
      </c>
      <c r="AR204" s="194" t="s">
        <v>79</v>
      </c>
      <c r="AS204" s="193"/>
      <c r="AT204" s="72"/>
      <c r="AU204" s="72"/>
      <c r="AV204" s="193" t="s">
        <v>900</v>
      </c>
      <c r="AW204" s="72"/>
      <c r="AX204" s="72"/>
      <c r="AY204" s="72"/>
      <c r="AZ204" s="193"/>
      <c r="BA204" s="193"/>
      <c r="BB204" s="8"/>
      <c r="BC204" s="140"/>
      <c r="BD204" s="147" t="s">
        <v>83</v>
      </c>
      <c r="BE204" s="147" t="s">
        <v>83</v>
      </c>
    </row>
    <row r="205" spans="1:57" ht="12.95" hidden="1" customHeight="1">
      <c r="A205" s="248" t="e">
        <v>#N/A</v>
      </c>
      <c r="B205" s="252" t="e">
        <v>#N/A</v>
      </c>
      <c r="C205" s="263" t="s">
        <v>47</v>
      </c>
      <c r="D205" s="239" t="s">
        <v>3101</v>
      </c>
      <c r="E205" s="58"/>
      <c r="F205" s="59" t="s">
        <v>178</v>
      </c>
      <c r="G205" s="191" t="s">
        <v>2404</v>
      </c>
      <c r="H205" s="192" t="s">
        <v>913</v>
      </c>
      <c r="I205" s="61"/>
      <c r="J205" s="61" t="s">
        <v>2511</v>
      </c>
      <c r="K205" s="62" t="s">
        <v>2511</v>
      </c>
      <c r="L205" s="60" t="s">
        <v>2389</v>
      </c>
      <c r="M205" s="61" t="s">
        <v>2519</v>
      </c>
      <c r="N205" s="61" t="s">
        <v>2523</v>
      </c>
      <c r="O205" s="61" t="s">
        <v>2511</v>
      </c>
      <c r="P205" s="62" t="s">
        <v>2511</v>
      </c>
      <c r="Q205" s="58" t="s">
        <v>834</v>
      </c>
      <c r="R205" s="58" t="s">
        <v>1855</v>
      </c>
      <c r="S205" s="58" t="s">
        <v>112</v>
      </c>
      <c r="T205" s="58" t="s">
        <v>113</v>
      </c>
      <c r="U205" s="63" t="s">
        <v>112</v>
      </c>
      <c r="V205" s="138" t="s">
        <v>3102</v>
      </c>
      <c r="W205" s="57" t="s">
        <v>3089</v>
      </c>
      <c r="X205" s="126" t="s">
        <v>2511</v>
      </c>
      <c r="Y205" s="126" t="s">
        <v>2511</v>
      </c>
      <c r="Z205" s="57" t="s">
        <v>2582</v>
      </c>
      <c r="AA205" s="57" t="s">
        <v>2583</v>
      </c>
      <c r="AB205" s="57" t="s">
        <v>2584</v>
      </c>
      <c r="AC205" s="57" t="s">
        <v>2516</v>
      </c>
      <c r="AD205" s="65" t="str">
        <f t="shared" si="49"/>
        <v>RSVD2</v>
      </c>
      <c r="AE205" s="70"/>
      <c r="AF205" s="67" t="str">
        <f t="shared" si="50"/>
        <v>PULL_DOWN</v>
      </c>
      <c r="AG205" s="67" t="str">
        <f t="shared" si="45"/>
        <v>TRISTATE</v>
      </c>
      <c r="AH205" s="67" t="str">
        <f>IF(OR($AQ205=$F205,$AR205="Output"),"DISABLE","ENABLE")</f>
        <v>DISABLE</v>
      </c>
      <c r="AI205" s="71" t="str">
        <f t="shared" si="47"/>
        <v>N/A</v>
      </c>
      <c r="AJ205" s="189" t="b">
        <v>1</v>
      </c>
      <c r="AK205" s="189" t="b">
        <v>1</v>
      </c>
      <c r="AL205" s="189" t="b">
        <v>1</v>
      </c>
      <c r="AM205" s="189" t="b">
        <v>1</v>
      </c>
      <c r="AN205" s="189" t="b">
        <v>1</v>
      </c>
      <c r="AO205" s="189" t="b">
        <v>1</v>
      </c>
      <c r="AP205" s="69" t="str">
        <f t="shared" si="51"/>
        <v>VALID</v>
      </c>
      <c r="AQ205" s="196" t="s">
        <v>178</v>
      </c>
      <c r="AR205" s="194" t="s">
        <v>79</v>
      </c>
      <c r="AS205" s="193"/>
      <c r="AT205" s="72"/>
      <c r="AU205" s="72"/>
      <c r="AV205" s="193" t="s">
        <v>900</v>
      </c>
      <c r="AW205" s="72"/>
      <c r="AX205" s="72"/>
      <c r="AY205" s="72"/>
      <c r="AZ205" s="193"/>
      <c r="BA205" s="193"/>
      <c r="BB205" s="8"/>
      <c r="BC205" s="140"/>
      <c r="BD205" s="147" t="s">
        <v>83</v>
      </c>
      <c r="BE205" s="147" t="s">
        <v>83</v>
      </c>
    </row>
    <row r="206" spans="1:57" ht="12.95" hidden="1" customHeight="1">
      <c r="A206" s="248" t="e">
        <v>#N/A</v>
      </c>
      <c r="B206" s="252" t="e">
        <v>#N/A</v>
      </c>
      <c r="C206" s="263" t="s">
        <v>46</v>
      </c>
      <c r="D206" s="239" t="s">
        <v>3103</v>
      </c>
      <c r="E206" s="58"/>
      <c r="F206" s="59" t="s">
        <v>177</v>
      </c>
      <c r="G206" s="191" t="s">
        <v>2405</v>
      </c>
      <c r="H206" s="192" t="s">
        <v>914</v>
      </c>
      <c r="I206" s="61"/>
      <c r="J206" s="61" t="s">
        <v>2511</v>
      </c>
      <c r="K206" s="62" t="s">
        <v>2511</v>
      </c>
      <c r="L206" s="60" t="s">
        <v>2389</v>
      </c>
      <c r="M206" s="61" t="s">
        <v>2523</v>
      </c>
      <c r="N206" s="61" t="s">
        <v>2523</v>
      </c>
      <c r="O206" s="61" t="s">
        <v>2511</v>
      </c>
      <c r="P206" s="62" t="s">
        <v>2511</v>
      </c>
      <c r="Q206" s="7" t="s">
        <v>834</v>
      </c>
      <c r="R206" s="58" t="s">
        <v>1855</v>
      </c>
      <c r="S206" s="58" t="s">
        <v>112</v>
      </c>
      <c r="T206" s="58" t="s">
        <v>113</v>
      </c>
      <c r="U206" s="64" t="s">
        <v>112</v>
      </c>
      <c r="V206" s="138" t="s">
        <v>3104</v>
      </c>
      <c r="W206" s="57" t="s">
        <v>3089</v>
      </c>
      <c r="X206" s="126" t="s">
        <v>2511</v>
      </c>
      <c r="Y206" s="126" t="s">
        <v>2511</v>
      </c>
      <c r="Z206" s="57" t="s">
        <v>2582</v>
      </c>
      <c r="AA206" s="57" t="s">
        <v>2583</v>
      </c>
      <c r="AB206" s="57" t="s">
        <v>2584</v>
      </c>
      <c r="AC206" s="57" t="s">
        <v>2516</v>
      </c>
      <c r="AD206" s="65" t="str">
        <f t="shared" si="49"/>
        <v>RSVD2</v>
      </c>
      <c r="AE206" s="70"/>
      <c r="AF206" s="67" t="str">
        <f t="shared" si="50"/>
        <v>PULL_DOWN</v>
      </c>
      <c r="AG206" s="67" t="str">
        <f t="shared" si="45"/>
        <v>TRISTATE</v>
      </c>
      <c r="AH206" s="67" t="str">
        <f>IF(OR($AQ206=$F206,$AR206="Output"),"DISABLE","ENABLE")</f>
        <v>DISABLE</v>
      </c>
      <c r="AI206" s="71" t="str">
        <f t="shared" si="47"/>
        <v>N/A</v>
      </c>
      <c r="AJ206" s="189" t="b">
        <v>1</v>
      </c>
      <c r="AK206" s="189" t="b">
        <v>1</v>
      </c>
      <c r="AL206" s="189" t="b">
        <v>1</v>
      </c>
      <c r="AM206" s="189" t="b">
        <v>1</v>
      </c>
      <c r="AN206" s="189" t="b">
        <v>1</v>
      </c>
      <c r="AO206" s="189" t="b">
        <v>1</v>
      </c>
      <c r="AP206" s="69" t="str">
        <f t="shared" si="51"/>
        <v>VALID</v>
      </c>
      <c r="AQ206" s="196" t="s">
        <v>177</v>
      </c>
      <c r="AR206" s="194" t="s">
        <v>79</v>
      </c>
      <c r="AS206" s="193"/>
      <c r="AT206" s="72"/>
      <c r="AU206" s="72"/>
      <c r="AV206" s="193" t="s">
        <v>900</v>
      </c>
      <c r="AW206" s="72"/>
      <c r="AX206" s="72"/>
      <c r="AY206" s="72"/>
      <c r="AZ206" s="193"/>
      <c r="BA206" s="193"/>
      <c r="BB206" s="8"/>
      <c r="BC206" s="140"/>
      <c r="BD206" s="147" t="s">
        <v>83</v>
      </c>
      <c r="BE206" s="147" t="s">
        <v>83</v>
      </c>
    </row>
    <row r="207" spans="1:57" ht="12.95" hidden="1" customHeight="1">
      <c r="A207" s="248" t="e">
        <v>#N/A</v>
      </c>
      <c r="B207" s="252" t="e">
        <v>#N/A</v>
      </c>
      <c r="C207" s="263" t="s">
        <v>48</v>
      </c>
      <c r="D207" s="239" t="s">
        <v>3105</v>
      </c>
      <c r="E207" s="58"/>
      <c r="F207" s="59" t="s">
        <v>179</v>
      </c>
      <c r="G207" s="191" t="s">
        <v>2406</v>
      </c>
      <c r="H207" s="192" t="s">
        <v>915</v>
      </c>
      <c r="I207" s="61"/>
      <c r="J207" s="61" t="s">
        <v>2511</v>
      </c>
      <c r="K207" s="62" t="s">
        <v>2511</v>
      </c>
      <c r="L207" s="60" t="s">
        <v>2389</v>
      </c>
      <c r="M207" s="61" t="s">
        <v>2389</v>
      </c>
      <c r="N207" s="61" t="s">
        <v>2523</v>
      </c>
      <c r="O207" s="61" t="s">
        <v>2511</v>
      </c>
      <c r="P207" s="62" t="s">
        <v>2511</v>
      </c>
      <c r="Q207" s="7" t="s">
        <v>834</v>
      </c>
      <c r="R207" s="58" t="s">
        <v>1855</v>
      </c>
      <c r="S207" s="58" t="s">
        <v>112</v>
      </c>
      <c r="T207" s="58" t="s">
        <v>113</v>
      </c>
      <c r="U207" s="64" t="s">
        <v>112</v>
      </c>
      <c r="V207" s="138" t="s">
        <v>3106</v>
      </c>
      <c r="W207" s="57" t="s">
        <v>3089</v>
      </c>
      <c r="X207" s="126" t="s">
        <v>2511</v>
      </c>
      <c r="Y207" s="126" t="s">
        <v>2511</v>
      </c>
      <c r="Z207" s="57" t="s">
        <v>2582</v>
      </c>
      <c r="AA207" s="57" t="s">
        <v>2583</v>
      </c>
      <c r="AB207" s="57" t="s">
        <v>2584</v>
      </c>
      <c r="AC207" s="57" t="s">
        <v>2516</v>
      </c>
      <c r="AD207" s="65" t="str">
        <f t="shared" si="49"/>
        <v>RSVD2</v>
      </c>
      <c r="AE207" s="70"/>
      <c r="AF207" s="67" t="str">
        <f t="shared" si="50"/>
        <v>PULL_DOWN</v>
      </c>
      <c r="AG207" s="67" t="str">
        <f>IF($AV207="slave", "TRISTATE", IF($AR207="Input", "TRISTATE", IF($AS207="Z","TRISTATE",IF($AQ207=$F207,"TRISTATE","NORMAL"))))</f>
        <v>TRISTATE</v>
      </c>
      <c r="AH207" s="67" t="str">
        <f>IF(OR((AND($AQ207=$G207,$AR207="INPUT")),(AND($AQ207=$H207,$AV207="Slave")),$AR207="Bidirectional"),"ENABLE","DISABLE")</f>
        <v>DISABLE</v>
      </c>
      <c r="AI207" s="71" t="str">
        <f t="shared" si="47"/>
        <v>N/A</v>
      </c>
      <c r="AJ207" s="189" t="b">
        <v>1</v>
      </c>
      <c r="AK207" s="189" t="b">
        <v>1</v>
      </c>
      <c r="AL207" s="189" t="b">
        <v>1</v>
      </c>
      <c r="AM207" s="189" t="b">
        <v>1</v>
      </c>
      <c r="AN207" s="189" t="b">
        <v>1</v>
      </c>
      <c r="AO207" s="189" t="b">
        <v>1</v>
      </c>
      <c r="AP207" s="69" t="str">
        <f t="shared" si="51"/>
        <v>VALID</v>
      </c>
      <c r="AQ207" s="196" t="s">
        <v>179</v>
      </c>
      <c r="AR207" s="194" t="s">
        <v>79</v>
      </c>
      <c r="AS207" s="193"/>
      <c r="AT207" s="72"/>
      <c r="AU207" s="72"/>
      <c r="AV207" s="193" t="s">
        <v>900</v>
      </c>
      <c r="AW207" s="72"/>
      <c r="AX207" s="72"/>
      <c r="AY207" s="72"/>
      <c r="AZ207" s="193"/>
      <c r="BA207" s="193"/>
      <c r="BB207" s="8"/>
      <c r="BC207" s="140"/>
      <c r="BD207" s="147" t="s">
        <v>83</v>
      </c>
      <c r="BE207" s="147" t="s">
        <v>83</v>
      </c>
    </row>
    <row r="208" spans="1:57" s="56" customFormat="1" ht="18" hidden="1" customHeight="1">
      <c r="A208" s="231"/>
      <c r="B208" s="231"/>
      <c r="C208" s="266" t="s">
        <v>1040</v>
      </c>
      <c r="D208" s="266"/>
      <c r="E208" s="73"/>
      <c r="F208" s="73"/>
      <c r="G208" s="74"/>
      <c r="H208" s="74"/>
      <c r="I208" s="74"/>
      <c r="J208" s="74"/>
      <c r="K208" s="74"/>
      <c r="L208" s="73"/>
      <c r="M208" s="73"/>
      <c r="N208" s="73"/>
      <c r="O208" s="73"/>
      <c r="P208" s="73"/>
      <c r="Q208" s="73"/>
      <c r="R208" s="73"/>
      <c r="S208" s="73"/>
      <c r="T208" s="73"/>
      <c r="U208" s="73"/>
      <c r="V208" s="73"/>
      <c r="W208" s="73"/>
      <c r="X208" s="73"/>
      <c r="Y208" s="73"/>
      <c r="Z208" s="73"/>
      <c r="AA208" s="73"/>
      <c r="AB208" s="73"/>
      <c r="AC208" s="73"/>
      <c r="AD208" s="73"/>
      <c r="AE208" s="73"/>
      <c r="AF208" s="75"/>
      <c r="AG208" s="75"/>
      <c r="AH208" s="75"/>
      <c r="AI208" s="75"/>
      <c r="AJ208" s="53"/>
      <c r="AK208" s="53"/>
      <c r="AL208" s="53"/>
      <c r="AM208" s="53"/>
      <c r="AN208" s="53"/>
      <c r="AO208" s="53"/>
      <c r="AP208" s="53"/>
      <c r="AQ208" s="54"/>
      <c r="AR208" s="76"/>
      <c r="AS208" s="77"/>
      <c r="AT208" s="77"/>
      <c r="AU208" s="77"/>
      <c r="AV208" s="77"/>
      <c r="AW208" s="77"/>
      <c r="AX208" s="77"/>
      <c r="AY208" s="77"/>
      <c r="AZ208" s="77"/>
      <c r="BA208" s="77"/>
      <c r="BB208" s="77"/>
      <c r="BC208" s="175" t="s">
        <v>59</v>
      </c>
      <c r="BD208" s="186"/>
      <c r="BE208" s="228" t="s">
        <v>1040</v>
      </c>
    </row>
    <row r="209" spans="1:57" ht="12.95" hidden="1" customHeight="1">
      <c r="A209" s="248" t="e">
        <v>#N/A</v>
      </c>
      <c r="B209" s="252" t="e">
        <v>#N/A</v>
      </c>
      <c r="C209" s="263" t="s">
        <v>1038</v>
      </c>
      <c r="D209" s="239" t="s">
        <v>3107</v>
      </c>
      <c r="E209" s="58"/>
      <c r="F209" s="59" t="s">
        <v>1808</v>
      </c>
      <c r="G209" s="191" t="s">
        <v>2191</v>
      </c>
      <c r="H209" s="192" t="s">
        <v>2511</v>
      </c>
      <c r="I209" s="61" t="s">
        <v>2511</v>
      </c>
      <c r="J209" s="61" t="s">
        <v>2511</v>
      </c>
      <c r="K209" s="62" t="s">
        <v>2511</v>
      </c>
      <c r="L209" s="60" t="s">
        <v>2389</v>
      </c>
      <c r="M209" s="61" t="s">
        <v>2511</v>
      </c>
      <c r="N209" s="61" t="s">
        <v>2511</v>
      </c>
      <c r="O209" s="61" t="s">
        <v>2511</v>
      </c>
      <c r="P209" s="62" t="s">
        <v>2511</v>
      </c>
      <c r="Q209" s="58" t="s">
        <v>552</v>
      </c>
      <c r="R209" s="58" t="s">
        <v>126</v>
      </c>
      <c r="S209" s="58" t="s">
        <v>112</v>
      </c>
      <c r="T209" s="58" t="s">
        <v>113</v>
      </c>
      <c r="U209" s="64" t="s">
        <v>552</v>
      </c>
      <c r="V209" s="138" t="s">
        <v>3108</v>
      </c>
      <c r="W209" s="57" t="s">
        <v>2683</v>
      </c>
      <c r="X209" s="126" t="s">
        <v>2511</v>
      </c>
      <c r="Y209" s="126" t="s">
        <v>2511</v>
      </c>
      <c r="Z209" s="57" t="s">
        <v>2514</v>
      </c>
      <c r="AA209" s="57" t="s">
        <v>2515</v>
      </c>
      <c r="AB209" s="57" t="s">
        <v>2393</v>
      </c>
      <c r="AC209" s="57">
        <v>0</v>
      </c>
      <c r="AD209" s="65" t="str">
        <f t="shared" ref="AD209:AD229" si="52">IF(OR($AQ209="",$AQ209=$F209),$U209,IF($AQ209=$G209,SUBSTITUTE(SUBSTITUTE($AQ209,"GPIO3_","GPIO_"),".0",""),IF($AQ209=$H209,$Q209,IF($AQ209=$I209,$R209,IF($AQ209=$J209,$S209,IF($AQ209=$K209,$T209,"INVALID"))))))</f>
        <v>GPIO_PB0</v>
      </c>
      <c r="AE209" s="70"/>
      <c r="AF209" s="67" t="str">
        <f t="shared" ref="AF209:AF243" si="53">IF(AND(OR($AS209="Int PU",$AS209="Int PD"),OR(AND($AZ209&lt;&gt;"",$AZ209&lt;&gt;"0"),AND($BA209&lt;&gt;"",$BA209&lt;&gt;"0"))),"INVALID",IF(OR($AQ209=$F209,$AS209="Int PD"),"PULL_DOWN",IF(OR($AS209="Int PU",AND($AE209="YES",OR($AZ209="",$AZ209="0"),OR($BA209="",$BA209="0"),OR($AR209="Input",$AR209="Bidirectional"))),"PULL_UP","NORMAL")))</f>
        <v>NORMAL</v>
      </c>
      <c r="AG209" s="67" t="str">
        <f t="shared" si="45"/>
        <v>NORMAL</v>
      </c>
      <c r="AH209" s="67" t="str">
        <f t="shared" ref="AH209:AH243" si="54">IF(OR($AQ209=$F209,$AR209="Output"),"DISABLE","ENABLE")</f>
        <v>DISABLE</v>
      </c>
      <c r="AI209" s="71" t="str">
        <f t="shared" si="47"/>
        <v>0</v>
      </c>
      <c r="AJ209" s="189" t="b">
        <v>1</v>
      </c>
      <c r="AK209" s="189" t="b">
        <v>1</v>
      </c>
      <c r="AL209" s="189" t="b">
        <v>1</v>
      </c>
      <c r="AM209" s="189" t="b">
        <v>1</v>
      </c>
      <c r="AN209" s="189" t="b">
        <v>1</v>
      </c>
      <c r="AO209" s="189" t="b">
        <v>1</v>
      </c>
      <c r="AP209" s="69" t="str">
        <f t="shared" ref="AP209:AP229" si="55">IF(AND($AJ209:$AO209), "VALID", "INVALID")</f>
        <v>VALID</v>
      </c>
      <c r="AQ209" s="195" t="s">
        <v>2191</v>
      </c>
      <c r="AR209" s="194" t="s">
        <v>861</v>
      </c>
      <c r="AS209" s="193" t="s">
        <v>874</v>
      </c>
      <c r="AT209" s="72"/>
      <c r="AU209" s="72"/>
      <c r="AV209" s="72"/>
      <c r="AW209" s="72"/>
      <c r="AX209" s="193" t="s">
        <v>136</v>
      </c>
      <c r="AY209" s="72"/>
      <c r="AZ209" s="193"/>
      <c r="BA209" s="193"/>
      <c r="BB209" s="8" t="s">
        <v>114</v>
      </c>
      <c r="BC209" s="140"/>
      <c r="BD209" s="11" t="s">
        <v>5637</v>
      </c>
      <c r="BE209" s="311" t="s">
        <v>5638</v>
      </c>
    </row>
    <row r="210" spans="1:57" ht="12.95" hidden="1" customHeight="1">
      <c r="A210" s="248" t="e">
        <v>#N/A</v>
      </c>
      <c r="B210" s="252" t="e">
        <v>#N/A</v>
      </c>
      <c r="C210" s="263" t="s">
        <v>1039</v>
      </c>
      <c r="D210" s="239" t="s">
        <v>3109</v>
      </c>
      <c r="E210" s="58"/>
      <c r="F210" s="59" t="s">
        <v>1807</v>
      </c>
      <c r="G210" s="191" t="s">
        <v>2192</v>
      </c>
      <c r="H210" s="192" t="s">
        <v>2511</v>
      </c>
      <c r="I210" s="61" t="s">
        <v>2511</v>
      </c>
      <c r="J210" s="61" t="s">
        <v>2511</v>
      </c>
      <c r="K210" s="62" t="s">
        <v>2511</v>
      </c>
      <c r="L210" s="60" t="s">
        <v>2389</v>
      </c>
      <c r="M210" s="61" t="s">
        <v>2511</v>
      </c>
      <c r="N210" s="61" t="s">
        <v>2511</v>
      </c>
      <c r="O210" s="61" t="s">
        <v>2511</v>
      </c>
      <c r="P210" s="62" t="s">
        <v>2511</v>
      </c>
      <c r="Q210" s="58" t="s">
        <v>552</v>
      </c>
      <c r="R210" s="58" t="s">
        <v>126</v>
      </c>
      <c r="S210" s="58" t="s">
        <v>112</v>
      </c>
      <c r="T210" s="58" t="s">
        <v>113</v>
      </c>
      <c r="U210" s="64" t="s">
        <v>552</v>
      </c>
      <c r="V210" s="138" t="s">
        <v>3110</v>
      </c>
      <c r="W210" s="57" t="s">
        <v>2683</v>
      </c>
      <c r="X210" s="126" t="s">
        <v>2511</v>
      </c>
      <c r="Y210" s="126" t="s">
        <v>2511</v>
      </c>
      <c r="Z210" s="57" t="s">
        <v>2514</v>
      </c>
      <c r="AA210" s="57" t="s">
        <v>2515</v>
      </c>
      <c r="AB210" s="57" t="s">
        <v>2393</v>
      </c>
      <c r="AC210" s="57">
        <v>0</v>
      </c>
      <c r="AD210" s="65" t="str">
        <f t="shared" si="52"/>
        <v>RSVD0</v>
      </c>
      <c r="AE210" s="70"/>
      <c r="AF210" s="67" t="str">
        <f t="shared" si="53"/>
        <v>PULL_DOWN</v>
      </c>
      <c r="AG210" s="67" t="str">
        <f t="shared" si="45"/>
        <v>TRISTATE</v>
      </c>
      <c r="AH210" s="67" t="str">
        <f t="shared" si="54"/>
        <v>DISABLE</v>
      </c>
      <c r="AI210" s="71" t="str">
        <f t="shared" si="47"/>
        <v>N/A</v>
      </c>
      <c r="AJ210" s="189" t="b">
        <v>1</v>
      </c>
      <c r="AK210" s="189" t="b">
        <v>1</v>
      </c>
      <c r="AL210" s="189" t="b">
        <v>1</v>
      </c>
      <c r="AM210" s="189" t="b">
        <v>1</v>
      </c>
      <c r="AN210" s="189" t="b">
        <v>1</v>
      </c>
      <c r="AO210" s="189" t="b">
        <v>1</v>
      </c>
      <c r="AP210" s="69" t="str">
        <f t="shared" si="55"/>
        <v>VALID</v>
      </c>
      <c r="AQ210" s="195" t="s">
        <v>1807</v>
      </c>
      <c r="AR210" s="194" t="s">
        <v>79</v>
      </c>
      <c r="AS210" s="193"/>
      <c r="AT210" s="72"/>
      <c r="AU210" s="72"/>
      <c r="AV210" s="72"/>
      <c r="AW210" s="72"/>
      <c r="AX210" s="193" t="s">
        <v>136</v>
      </c>
      <c r="AY210" s="72"/>
      <c r="AZ210" s="193"/>
      <c r="BA210" s="193"/>
      <c r="BB210" s="8"/>
      <c r="BC210" s="140"/>
      <c r="BD210" s="147" t="s">
        <v>83</v>
      </c>
      <c r="BE210" s="147" t="s">
        <v>83</v>
      </c>
    </row>
    <row r="211" spans="1:57" s="56" customFormat="1" ht="18" hidden="1" customHeight="1">
      <c r="A211" s="355"/>
      <c r="B211" s="356"/>
      <c r="C211" s="266" t="s">
        <v>766</v>
      </c>
      <c r="D211" s="266"/>
      <c r="E211" s="73"/>
      <c r="F211" s="73"/>
      <c r="G211" s="74"/>
      <c r="H211" s="74"/>
      <c r="I211" s="74"/>
      <c r="J211" s="74"/>
      <c r="K211" s="74"/>
      <c r="L211" s="73"/>
      <c r="M211" s="73"/>
      <c r="N211" s="73"/>
      <c r="O211" s="73"/>
      <c r="P211" s="73"/>
      <c r="Q211" s="73"/>
      <c r="R211" s="73"/>
      <c r="S211" s="73"/>
      <c r="T211" s="73"/>
      <c r="U211" s="73"/>
      <c r="V211" s="73"/>
      <c r="W211" s="73"/>
      <c r="X211" s="73"/>
      <c r="Y211" s="73"/>
      <c r="Z211" s="73"/>
      <c r="AA211" s="73"/>
      <c r="AB211" s="73"/>
      <c r="AC211" s="73"/>
      <c r="AD211" s="73"/>
      <c r="AE211" s="73"/>
      <c r="AF211" s="75"/>
      <c r="AG211" s="75"/>
      <c r="AH211" s="75"/>
      <c r="AI211" s="75"/>
      <c r="AJ211" s="53"/>
      <c r="AK211" s="53"/>
      <c r="AL211" s="53"/>
      <c r="AM211" s="53"/>
      <c r="AN211" s="53"/>
      <c r="AO211" s="53"/>
      <c r="AP211" s="53"/>
      <c r="AQ211" s="54"/>
      <c r="AR211" s="76"/>
      <c r="AS211" s="77"/>
      <c r="AT211" s="77"/>
      <c r="AU211" s="77"/>
      <c r="AV211" s="77"/>
      <c r="AW211" s="77"/>
      <c r="AX211" s="77"/>
      <c r="AY211" s="77"/>
      <c r="AZ211" s="77"/>
      <c r="BA211" s="77"/>
      <c r="BB211" s="77"/>
      <c r="BC211" s="175" t="s">
        <v>5636</v>
      </c>
      <c r="BD211" s="186"/>
      <c r="BE211" s="231" t="s">
        <v>766</v>
      </c>
    </row>
    <row r="212" spans="1:57" ht="12.95" hidden="1" customHeight="1">
      <c r="A212" s="248" t="e">
        <v>#N/A</v>
      </c>
      <c r="B212" s="252" t="e">
        <v>#N/A</v>
      </c>
      <c r="C212" s="263" t="s">
        <v>767</v>
      </c>
      <c r="D212" s="239" t="s">
        <v>3112</v>
      </c>
      <c r="E212" s="58"/>
      <c r="F212" s="59" t="s">
        <v>827</v>
      </c>
      <c r="G212" s="191" t="s">
        <v>3113</v>
      </c>
      <c r="H212" s="192" t="s">
        <v>767</v>
      </c>
      <c r="I212" s="61" t="s">
        <v>2511</v>
      </c>
      <c r="J212" s="61" t="s">
        <v>2511</v>
      </c>
      <c r="K212" s="62" t="s">
        <v>2511</v>
      </c>
      <c r="L212" s="60" t="s">
        <v>2389</v>
      </c>
      <c r="M212" s="61" t="s">
        <v>2388</v>
      </c>
      <c r="N212" s="61" t="s">
        <v>2511</v>
      </c>
      <c r="O212" s="61" t="s">
        <v>2511</v>
      </c>
      <c r="P212" s="62" t="s">
        <v>2511</v>
      </c>
      <c r="Q212" s="58" t="s">
        <v>852</v>
      </c>
      <c r="R212" s="58" t="s">
        <v>126</v>
      </c>
      <c r="S212" s="58" t="s">
        <v>112</v>
      </c>
      <c r="T212" s="58" t="s">
        <v>113</v>
      </c>
      <c r="U212" s="64" t="s">
        <v>126</v>
      </c>
      <c r="V212" s="138" t="s">
        <v>3114</v>
      </c>
      <c r="W212" s="57" t="s">
        <v>3115</v>
      </c>
      <c r="X212" s="126" t="s">
        <v>2511</v>
      </c>
      <c r="Y212" s="126" t="s">
        <v>2511</v>
      </c>
      <c r="Z212" s="57" t="s">
        <v>2628</v>
      </c>
      <c r="AA212" s="57" t="s">
        <v>2629</v>
      </c>
      <c r="AB212" s="57" t="s">
        <v>2630</v>
      </c>
      <c r="AC212" s="57">
        <v>0</v>
      </c>
      <c r="AD212" s="65" t="str">
        <f t="shared" si="52"/>
        <v>RSVD1</v>
      </c>
      <c r="AE212" s="70"/>
      <c r="AF212" s="67" t="str">
        <f t="shared" si="53"/>
        <v>PULL_DOWN</v>
      </c>
      <c r="AG212" s="67" t="str">
        <f t="shared" si="45"/>
        <v>TRISTATE</v>
      </c>
      <c r="AH212" s="67" t="str">
        <f t="shared" si="54"/>
        <v>DISABLE</v>
      </c>
      <c r="AI212" s="71" t="str">
        <f t="shared" si="47"/>
        <v>N/A</v>
      </c>
      <c r="AJ212" s="189" t="b">
        <v>1</v>
      </c>
      <c r="AK212" s="189" t="b">
        <v>1</v>
      </c>
      <c r="AL212" s="189" t="b">
        <v>1</v>
      </c>
      <c r="AM212" s="189" t="b">
        <v>1</v>
      </c>
      <c r="AN212" s="189" t="b">
        <v>1</v>
      </c>
      <c r="AO212" s="189" t="b">
        <v>1</v>
      </c>
      <c r="AP212" s="69" t="str">
        <f t="shared" si="55"/>
        <v>VALID</v>
      </c>
      <c r="AQ212" s="195" t="s">
        <v>827</v>
      </c>
      <c r="AR212" s="194" t="s">
        <v>79</v>
      </c>
      <c r="AS212" s="193"/>
      <c r="AT212" s="72"/>
      <c r="AU212" s="72"/>
      <c r="AV212" s="72"/>
      <c r="AW212" s="72"/>
      <c r="AX212" s="72"/>
      <c r="AY212" s="72"/>
      <c r="AZ212" s="193"/>
      <c r="BA212" s="193"/>
      <c r="BB212" s="8"/>
      <c r="BC212" s="140"/>
      <c r="BD212" s="147" t="s">
        <v>83</v>
      </c>
      <c r="BE212" s="147" t="s">
        <v>83</v>
      </c>
    </row>
    <row r="213" spans="1:57" ht="12.95" hidden="1" customHeight="1">
      <c r="A213" s="248" t="e">
        <v>#N/A</v>
      </c>
      <c r="B213" s="252" t="e">
        <v>#N/A</v>
      </c>
      <c r="C213" s="263" t="s">
        <v>768</v>
      </c>
      <c r="D213" s="239" t="s">
        <v>3116</v>
      </c>
      <c r="E213" s="58"/>
      <c r="F213" s="59" t="s">
        <v>828</v>
      </c>
      <c r="G213" s="191" t="s">
        <v>3117</v>
      </c>
      <c r="H213" s="192" t="s">
        <v>768</v>
      </c>
      <c r="I213" s="61" t="s">
        <v>2511</v>
      </c>
      <c r="J213" s="61" t="s">
        <v>2511</v>
      </c>
      <c r="K213" s="62" t="s">
        <v>2511</v>
      </c>
      <c r="L213" s="60" t="s">
        <v>2389</v>
      </c>
      <c r="M213" s="61" t="s">
        <v>2388</v>
      </c>
      <c r="N213" s="61" t="s">
        <v>2511</v>
      </c>
      <c r="O213" s="61" t="s">
        <v>2511</v>
      </c>
      <c r="P213" s="62" t="s">
        <v>2511</v>
      </c>
      <c r="Q213" s="58" t="s">
        <v>852</v>
      </c>
      <c r="R213" s="58" t="s">
        <v>126</v>
      </c>
      <c r="S213" s="58" t="s">
        <v>112</v>
      </c>
      <c r="T213" s="58" t="s">
        <v>113</v>
      </c>
      <c r="U213" s="64" t="s">
        <v>126</v>
      </c>
      <c r="V213" s="138" t="s">
        <v>3118</v>
      </c>
      <c r="W213" s="57" t="s">
        <v>3115</v>
      </c>
      <c r="X213" s="126" t="s">
        <v>2511</v>
      </c>
      <c r="Y213" s="126" t="s">
        <v>2511</v>
      </c>
      <c r="Z213" s="57" t="s">
        <v>2628</v>
      </c>
      <c r="AA213" s="57" t="s">
        <v>2629</v>
      </c>
      <c r="AB213" s="57" t="s">
        <v>2630</v>
      </c>
      <c r="AC213" s="57">
        <v>0</v>
      </c>
      <c r="AD213" s="65" t="str">
        <f t="shared" si="52"/>
        <v>RSVD1</v>
      </c>
      <c r="AE213" s="70"/>
      <c r="AF213" s="67" t="str">
        <f t="shared" si="53"/>
        <v>PULL_DOWN</v>
      </c>
      <c r="AG213" s="67" t="str">
        <f t="shared" si="45"/>
        <v>TRISTATE</v>
      </c>
      <c r="AH213" s="67" t="str">
        <f t="shared" si="54"/>
        <v>DISABLE</v>
      </c>
      <c r="AI213" s="71" t="str">
        <f t="shared" si="47"/>
        <v>N/A</v>
      </c>
      <c r="AJ213" s="189" t="b">
        <v>1</v>
      </c>
      <c r="AK213" s="189" t="b">
        <v>1</v>
      </c>
      <c r="AL213" s="189" t="b">
        <v>1</v>
      </c>
      <c r="AM213" s="189" t="b">
        <v>1</v>
      </c>
      <c r="AN213" s="189" t="b">
        <v>1</v>
      </c>
      <c r="AO213" s="189" t="b">
        <v>1</v>
      </c>
      <c r="AP213" s="69" t="str">
        <f t="shared" si="55"/>
        <v>VALID</v>
      </c>
      <c r="AQ213" s="195" t="s">
        <v>828</v>
      </c>
      <c r="AR213" s="194" t="s">
        <v>79</v>
      </c>
      <c r="AS213" s="193"/>
      <c r="AT213" s="72"/>
      <c r="AU213" s="72"/>
      <c r="AV213" s="72"/>
      <c r="AW213" s="72"/>
      <c r="AX213" s="72"/>
      <c r="AY213" s="72"/>
      <c r="AZ213" s="193"/>
      <c r="BA213" s="193"/>
      <c r="BB213" s="8"/>
      <c r="BC213" s="140"/>
      <c r="BD213" s="147" t="s">
        <v>83</v>
      </c>
      <c r="BE213" s="147" t="s">
        <v>83</v>
      </c>
    </row>
    <row r="214" spans="1:57" s="56" customFormat="1" ht="18" customHeight="1">
      <c r="A214" s="355"/>
      <c r="B214" s="356"/>
      <c r="C214" s="266" t="s">
        <v>68</v>
      </c>
      <c r="D214" s="266"/>
      <c r="E214" s="73"/>
      <c r="F214" s="73"/>
      <c r="G214" s="74"/>
      <c r="H214" s="74"/>
      <c r="I214" s="74"/>
      <c r="J214" s="74"/>
      <c r="K214" s="74"/>
      <c r="L214" s="73"/>
      <c r="M214" s="73"/>
      <c r="N214" s="73"/>
      <c r="O214" s="73"/>
      <c r="P214" s="73"/>
      <c r="Q214" s="73"/>
      <c r="R214" s="73"/>
      <c r="S214" s="73"/>
      <c r="T214" s="73"/>
      <c r="U214" s="73"/>
      <c r="V214" s="73"/>
      <c r="W214" s="73"/>
      <c r="X214" s="73"/>
      <c r="Y214" s="73"/>
      <c r="Z214" s="73"/>
      <c r="AA214" s="73"/>
      <c r="AB214" s="73"/>
      <c r="AC214" s="73"/>
      <c r="AD214" s="73"/>
      <c r="AE214" s="73"/>
      <c r="AF214" s="75"/>
      <c r="AG214" s="75"/>
      <c r="AH214" s="75"/>
      <c r="AI214" s="75"/>
      <c r="AJ214" s="53"/>
      <c r="AK214" s="53"/>
      <c r="AL214" s="53"/>
      <c r="AM214" s="53"/>
      <c r="AN214" s="53"/>
      <c r="AO214" s="53"/>
      <c r="AP214" s="53"/>
      <c r="AQ214" s="54"/>
      <c r="AR214" s="76"/>
      <c r="AS214" s="77"/>
      <c r="AT214" s="77"/>
      <c r="AU214" s="77"/>
      <c r="AV214" s="77"/>
      <c r="AW214" s="77"/>
      <c r="AX214" s="77"/>
      <c r="AY214" s="77"/>
      <c r="AZ214" s="77"/>
      <c r="BA214" s="77"/>
      <c r="BB214" s="77"/>
      <c r="BC214" s="175" t="s">
        <v>59</v>
      </c>
      <c r="BD214" s="186"/>
      <c r="BE214" s="76" t="s">
        <v>68</v>
      </c>
    </row>
    <row r="215" spans="1:57" ht="12.95" hidden="1" customHeight="1">
      <c r="A215" s="248" t="e">
        <v>#N/A</v>
      </c>
      <c r="B215" s="252" t="e">
        <v>#N/A</v>
      </c>
      <c r="C215" s="263" t="s">
        <v>17</v>
      </c>
      <c r="D215" s="239" t="s">
        <v>2637</v>
      </c>
      <c r="E215" s="58"/>
      <c r="F215" s="59" t="s">
        <v>479</v>
      </c>
      <c r="G215" s="191" t="s">
        <v>3120</v>
      </c>
      <c r="H215" s="192" t="s">
        <v>2193</v>
      </c>
      <c r="I215" s="61" t="s">
        <v>2511</v>
      </c>
      <c r="J215" s="61" t="s">
        <v>2511</v>
      </c>
      <c r="K215" s="62" t="s">
        <v>2511</v>
      </c>
      <c r="L215" s="60" t="s">
        <v>2389</v>
      </c>
      <c r="M215" s="61" t="s">
        <v>2389</v>
      </c>
      <c r="N215" s="61" t="s">
        <v>2511</v>
      </c>
      <c r="O215" s="61" t="s">
        <v>2511</v>
      </c>
      <c r="P215" s="62" t="s">
        <v>2511</v>
      </c>
      <c r="Q215" s="58" t="s">
        <v>545</v>
      </c>
      <c r="R215" s="58" t="s">
        <v>126</v>
      </c>
      <c r="S215" s="58" t="s">
        <v>112</v>
      </c>
      <c r="T215" s="58" t="s">
        <v>113</v>
      </c>
      <c r="U215" s="64" t="s">
        <v>126</v>
      </c>
      <c r="V215" s="138" t="s">
        <v>3121</v>
      </c>
      <c r="W215" s="57" t="s">
        <v>3122</v>
      </c>
      <c r="X215" s="126" t="s">
        <v>2511</v>
      </c>
      <c r="Y215" s="126" t="s">
        <v>2511</v>
      </c>
      <c r="Z215" s="57" t="s">
        <v>2817</v>
      </c>
      <c r="AA215" s="57" t="s">
        <v>3123</v>
      </c>
      <c r="AB215" s="57" t="s">
        <v>2393</v>
      </c>
      <c r="AC215" s="57" t="s">
        <v>2631</v>
      </c>
      <c r="AD215" s="65" t="str">
        <f t="shared" si="52"/>
        <v>RSVD1</v>
      </c>
      <c r="AE215" s="70"/>
      <c r="AF215" s="67" t="str">
        <f t="shared" si="53"/>
        <v>PULL_DOWN</v>
      </c>
      <c r="AG215" s="67" t="str">
        <f t="shared" si="45"/>
        <v>TRISTATE</v>
      </c>
      <c r="AH215" s="67" t="str">
        <f t="shared" si="54"/>
        <v>DISABLE</v>
      </c>
      <c r="AI215" s="71" t="str">
        <f t="shared" si="47"/>
        <v>N/A</v>
      </c>
      <c r="AJ215" s="189" t="b">
        <v>1</v>
      </c>
      <c r="AK215" s="189" t="b">
        <v>1</v>
      </c>
      <c r="AL215" s="189" t="b">
        <v>1</v>
      </c>
      <c r="AM215" s="189" t="b">
        <v>1</v>
      </c>
      <c r="AN215" s="189" t="b">
        <v>1</v>
      </c>
      <c r="AO215" s="189" t="b">
        <v>1</v>
      </c>
      <c r="AP215" s="69" t="str">
        <f t="shared" si="55"/>
        <v>VALID</v>
      </c>
      <c r="AQ215" s="196" t="s">
        <v>479</v>
      </c>
      <c r="AR215" s="194" t="s">
        <v>79</v>
      </c>
      <c r="AS215" s="193"/>
      <c r="AT215" s="72"/>
      <c r="AU215" s="72"/>
      <c r="AV215" s="72"/>
      <c r="AW215" s="193" t="s">
        <v>136</v>
      </c>
      <c r="AX215" s="193" t="s">
        <v>136</v>
      </c>
      <c r="AY215" s="72"/>
      <c r="AZ215" s="193"/>
      <c r="BA215" s="193"/>
      <c r="BB215" s="8"/>
      <c r="BC215" s="140"/>
      <c r="BD215" s="147" t="s">
        <v>83</v>
      </c>
      <c r="BE215" s="147" t="s">
        <v>83</v>
      </c>
    </row>
    <row r="216" spans="1:57" ht="12.95" hidden="1" customHeight="1">
      <c r="A216" s="248" t="e">
        <v>#N/A</v>
      </c>
      <c r="B216" s="252" t="e">
        <v>#N/A</v>
      </c>
      <c r="C216" s="263" t="s">
        <v>18</v>
      </c>
      <c r="D216" s="239" t="s">
        <v>2802</v>
      </c>
      <c r="E216" s="58"/>
      <c r="F216" s="59" t="s">
        <v>480</v>
      </c>
      <c r="G216" s="191" t="s">
        <v>3124</v>
      </c>
      <c r="H216" s="192" t="s">
        <v>2194</v>
      </c>
      <c r="I216" s="61" t="s">
        <v>2511</v>
      </c>
      <c r="J216" s="61" t="s">
        <v>2511</v>
      </c>
      <c r="K216" s="62"/>
      <c r="L216" s="60" t="s">
        <v>2389</v>
      </c>
      <c r="M216" s="61" t="s">
        <v>2389</v>
      </c>
      <c r="N216" s="61" t="s">
        <v>2511</v>
      </c>
      <c r="O216" s="61" t="s">
        <v>2511</v>
      </c>
      <c r="P216" s="62"/>
      <c r="Q216" s="58" t="s">
        <v>545</v>
      </c>
      <c r="R216" s="58" t="s">
        <v>126</v>
      </c>
      <c r="S216" s="58" t="s">
        <v>112</v>
      </c>
      <c r="T216" s="58" t="s">
        <v>113</v>
      </c>
      <c r="U216" s="64" t="s">
        <v>126</v>
      </c>
      <c r="V216" s="138" t="s">
        <v>3125</v>
      </c>
      <c r="W216" s="57" t="s">
        <v>3122</v>
      </c>
      <c r="X216" s="126" t="s">
        <v>2511</v>
      </c>
      <c r="Y216" s="126" t="s">
        <v>2511</v>
      </c>
      <c r="Z216" s="57" t="s">
        <v>2817</v>
      </c>
      <c r="AA216" s="57" t="s">
        <v>3123</v>
      </c>
      <c r="AB216" s="57" t="s">
        <v>2393</v>
      </c>
      <c r="AC216" s="57">
        <v>0</v>
      </c>
      <c r="AD216" s="65" t="str">
        <f t="shared" si="52"/>
        <v>RSVD1</v>
      </c>
      <c r="AE216" s="70"/>
      <c r="AF216" s="67" t="str">
        <f t="shared" si="53"/>
        <v>PULL_DOWN</v>
      </c>
      <c r="AG216" s="67" t="str">
        <f t="shared" si="45"/>
        <v>TRISTATE</v>
      </c>
      <c r="AH216" s="67" t="str">
        <f t="shared" si="54"/>
        <v>DISABLE</v>
      </c>
      <c r="AI216" s="71" t="str">
        <f t="shared" si="47"/>
        <v>N/A</v>
      </c>
      <c r="AJ216" s="189" t="b">
        <v>1</v>
      </c>
      <c r="AK216" s="189" t="b">
        <v>1</v>
      </c>
      <c r="AL216" s="189" t="b">
        <v>1</v>
      </c>
      <c r="AM216" s="189" t="b">
        <v>1</v>
      </c>
      <c r="AN216" s="189" t="b">
        <v>1</v>
      </c>
      <c r="AO216" s="189" t="b">
        <v>1</v>
      </c>
      <c r="AP216" s="69" t="str">
        <f t="shared" si="55"/>
        <v>VALID</v>
      </c>
      <c r="AQ216" s="196" t="s">
        <v>480</v>
      </c>
      <c r="AR216" s="194" t="s">
        <v>79</v>
      </c>
      <c r="AS216" s="193"/>
      <c r="AT216" s="72"/>
      <c r="AU216" s="72"/>
      <c r="AV216" s="72"/>
      <c r="AW216" s="193" t="s">
        <v>136</v>
      </c>
      <c r="AX216" s="193" t="s">
        <v>136</v>
      </c>
      <c r="AY216" s="72"/>
      <c r="AZ216" s="193"/>
      <c r="BA216" s="193"/>
      <c r="BB216" s="8"/>
      <c r="BC216" s="140"/>
      <c r="BD216" s="147" t="s">
        <v>83</v>
      </c>
      <c r="BE216" s="147" t="s">
        <v>83</v>
      </c>
    </row>
    <row r="217" spans="1:57" ht="12.95" hidden="1" customHeight="1">
      <c r="A217" s="248" t="e">
        <v>#N/A</v>
      </c>
      <c r="B217" s="252" t="e">
        <v>#N/A</v>
      </c>
      <c r="C217" s="263" t="s">
        <v>19</v>
      </c>
      <c r="D217" s="239" t="s">
        <v>2659</v>
      </c>
      <c r="E217" s="58"/>
      <c r="F217" s="59" t="s">
        <v>481</v>
      </c>
      <c r="G217" s="191" t="s">
        <v>3126</v>
      </c>
      <c r="H217" s="192" t="s">
        <v>887</v>
      </c>
      <c r="I217" s="61" t="s">
        <v>2511</v>
      </c>
      <c r="J217" s="61" t="s">
        <v>2511</v>
      </c>
      <c r="K217" s="62" t="s">
        <v>2511</v>
      </c>
      <c r="L217" s="60" t="s">
        <v>2389</v>
      </c>
      <c r="M217" s="61" t="s">
        <v>2389</v>
      </c>
      <c r="N217" s="61" t="s">
        <v>2511</v>
      </c>
      <c r="O217" s="61" t="s">
        <v>2511</v>
      </c>
      <c r="P217" s="62" t="s">
        <v>2511</v>
      </c>
      <c r="Q217" s="58" t="s">
        <v>546</v>
      </c>
      <c r="R217" s="58" t="s">
        <v>126</v>
      </c>
      <c r="S217" s="58" t="s">
        <v>112</v>
      </c>
      <c r="T217" s="58" t="s">
        <v>113</v>
      </c>
      <c r="U217" s="64" t="s">
        <v>126</v>
      </c>
      <c r="V217" s="138" t="s">
        <v>3127</v>
      </c>
      <c r="W217" s="57" t="s">
        <v>3122</v>
      </c>
      <c r="X217" s="126" t="s">
        <v>3128</v>
      </c>
      <c r="Y217" s="126" t="s">
        <v>2511</v>
      </c>
      <c r="Z217" s="57" t="s">
        <v>2817</v>
      </c>
      <c r="AA217" s="57" t="s">
        <v>3123</v>
      </c>
      <c r="AB217" s="57" t="s">
        <v>2393</v>
      </c>
      <c r="AC217" s="57" t="s">
        <v>2631</v>
      </c>
      <c r="AD217" s="65" t="str">
        <f t="shared" si="52"/>
        <v>RSVD1</v>
      </c>
      <c r="AE217" s="70"/>
      <c r="AF217" s="67" t="str">
        <f t="shared" si="53"/>
        <v>PULL_DOWN</v>
      </c>
      <c r="AG217" s="67" t="str">
        <f t="shared" si="45"/>
        <v>TRISTATE</v>
      </c>
      <c r="AH217" s="67" t="str">
        <f t="shared" si="54"/>
        <v>DISABLE</v>
      </c>
      <c r="AI217" s="71" t="str">
        <f t="shared" si="47"/>
        <v>N/A</v>
      </c>
      <c r="AJ217" s="189" t="b">
        <v>1</v>
      </c>
      <c r="AK217" s="189" t="b">
        <v>1</v>
      </c>
      <c r="AL217" s="189" t="b">
        <v>1</v>
      </c>
      <c r="AM217" s="189" t="b">
        <v>1</v>
      </c>
      <c r="AN217" s="189" t="b">
        <v>1</v>
      </c>
      <c r="AO217" s="189" t="b">
        <v>1</v>
      </c>
      <c r="AP217" s="69" t="str">
        <f t="shared" si="55"/>
        <v>VALID</v>
      </c>
      <c r="AQ217" s="196" t="s">
        <v>481</v>
      </c>
      <c r="AR217" s="194" t="s">
        <v>79</v>
      </c>
      <c r="AS217" s="193"/>
      <c r="AT217" s="193" t="s">
        <v>117</v>
      </c>
      <c r="AU217" s="72"/>
      <c r="AV217" s="72"/>
      <c r="AW217" s="193" t="s">
        <v>136</v>
      </c>
      <c r="AX217" s="193" t="s">
        <v>136</v>
      </c>
      <c r="AY217" s="72"/>
      <c r="AZ217" s="193"/>
      <c r="BA217" s="193"/>
      <c r="BB217" s="8"/>
      <c r="BC217" s="140"/>
      <c r="BD217" s="147" t="s">
        <v>83</v>
      </c>
      <c r="BE217" s="147" t="s">
        <v>83</v>
      </c>
    </row>
    <row r="218" spans="1:57" ht="12.95" hidden="1" customHeight="1">
      <c r="A218" s="248" t="e">
        <v>#N/A</v>
      </c>
      <c r="B218" s="252" t="e">
        <v>#N/A</v>
      </c>
      <c r="C218" s="263" t="s">
        <v>20</v>
      </c>
      <c r="D218" s="239" t="s">
        <v>3129</v>
      </c>
      <c r="E218" s="58"/>
      <c r="F218" s="59" t="s">
        <v>482</v>
      </c>
      <c r="G218" s="191" t="s">
        <v>3130</v>
      </c>
      <c r="H218" s="192" t="s">
        <v>920</v>
      </c>
      <c r="I218" s="61" t="s">
        <v>2511</v>
      </c>
      <c r="J218" s="61" t="s">
        <v>2511</v>
      </c>
      <c r="K218" s="62"/>
      <c r="L218" s="60" t="s">
        <v>2389</v>
      </c>
      <c r="M218" s="61" t="s">
        <v>2389</v>
      </c>
      <c r="N218" s="61" t="s">
        <v>2511</v>
      </c>
      <c r="O218" s="61" t="s">
        <v>2511</v>
      </c>
      <c r="P218" s="62"/>
      <c r="Q218" s="7" t="s">
        <v>546</v>
      </c>
      <c r="R218" s="58" t="s">
        <v>126</v>
      </c>
      <c r="S218" s="58" t="s">
        <v>112</v>
      </c>
      <c r="T218" s="58" t="s">
        <v>113</v>
      </c>
      <c r="U218" s="64" t="s">
        <v>126</v>
      </c>
      <c r="V218" s="138" t="s">
        <v>3131</v>
      </c>
      <c r="W218" s="57" t="s">
        <v>3122</v>
      </c>
      <c r="X218" s="126" t="s">
        <v>2511</v>
      </c>
      <c r="Y218" s="126" t="s">
        <v>2511</v>
      </c>
      <c r="Z218" s="57" t="s">
        <v>2817</v>
      </c>
      <c r="AA218" s="57" t="s">
        <v>3123</v>
      </c>
      <c r="AB218" s="57" t="s">
        <v>2393</v>
      </c>
      <c r="AC218" s="57">
        <v>0</v>
      </c>
      <c r="AD218" s="65" t="str">
        <f t="shared" si="52"/>
        <v>RSVD1</v>
      </c>
      <c r="AE218" s="70"/>
      <c r="AF218" s="67" t="str">
        <f t="shared" si="53"/>
        <v>PULL_DOWN</v>
      </c>
      <c r="AG218" s="67" t="str">
        <f t="shared" si="45"/>
        <v>TRISTATE</v>
      </c>
      <c r="AH218" s="67" t="str">
        <f t="shared" si="54"/>
        <v>DISABLE</v>
      </c>
      <c r="AI218" s="71" t="str">
        <f t="shared" si="47"/>
        <v>N/A</v>
      </c>
      <c r="AJ218" s="189" t="b">
        <v>1</v>
      </c>
      <c r="AK218" s="189" t="b">
        <v>1</v>
      </c>
      <c r="AL218" s="189" t="b">
        <v>1</v>
      </c>
      <c r="AM218" s="189" t="b">
        <v>1</v>
      </c>
      <c r="AN218" s="189" t="b">
        <v>1</v>
      </c>
      <c r="AO218" s="189" t="b">
        <v>1</v>
      </c>
      <c r="AP218" s="69" t="str">
        <f t="shared" si="55"/>
        <v>VALID</v>
      </c>
      <c r="AQ218" s="196" t="s">
        <v>482</v>
      </c>
      <c r="AR218" s="194" t="s">
        <v>79</v>
      </c>
      <c r="AS218" s="193"/>
      <c r="AT218" s="72"/>
      <c r="AU218" s="72"/>
      <c r="AV218" s="72"/>
      <c r="AW218" s="193" t="s">
        <v>136</v>
      </c>
      <c r="AX218" s="193" t="s">
        <v>136</v>
      </c>
      <c r="AY218" s="72"/>
      <c r="AZ218" s="193"/>
      <c r="BA218" s="193"/>
      <c r="BB218" s="8"/>
      <c r="BC218" s="140"/>
      <c r="BD218" s="147" t="s">
        <v>83</v>
      </c>
      <c r="BE218" s="147" t="s">
        <v>83</v>
      </c>
    </row>
    <row r="219" spans="1:57" ht="12.95" hidden="1" customHeight="1">
      <c r="A219" s="248" t="e">
        <v>#N/A</v>
      </c>
      <c r="B219" s="252" t="e">
        <v>#N/A</v>
      </c>
      <c r="C219" s="263" t="s">
        <v>745</v>
      </c>
      <c r="D219" s="239" t="s">
        <v>3132</v>
      </c>
      <c r="E219" s="58"/>
      <c r="F219" s="59" t="s">
        <v>776</v>
      </c>
      <c r="G219" s="191" t="s">
        <v>3133</v>
      </c>
      <c r="H219" s="192" t="s">
        <v>2195</v>
      </c>
      <c r="I219" s="61" t="s">
        <v>2511</v>
      </c>
      <c r="J219" s="61" t="s">
        <v>2511</v>
      </c>
      <c r="K219" s="62" t="s">
        <v>2511</v>
      </c>
      <c r="L219" s="60" t="s">
        <v>2389</v>
      </c>
      <c r="M219" s="61" t="s">
        <v>2389</v>
      </c>
      <c r="N219" s="61" t="s">
        <v>2511</v>
      </c>
      <c r="O219" s="61" t="s">
        <v>2511</v>
      </c>
      <c r="P219" s="62" t="s">
        <v>2511</v>
      </c>
      <c r="Q219" s="7" t="s">
        <v>839</v>
      </c>
      <c r="R219" s="58" t="s">
        <v>126</v>
      </c>
      <c r="S219" s="58" t="s">
        <v>112</v>
      </c>
      <c r="T219" s="58" t="s">
        <v>113</v>
      </c>
      <c r="U219" s="64" t="s">
        <v>126</v>
      </c>
      <c r="V219" s="138" t="s">
        <v>3134</v>
      </c>
      <c r="W219" s="57" t="s">
        <v>3122</v>
      </c>
      <c r="X219" s="126" t="s">
        <v>3135</v>
      </c>
      <c r="Y219" s="126" t="s">
        <v>2511</v>
      </c>
      <c r="Z219" s="57" t="s">
        <v>2817</v>
      </c>
      <c r="AA219" s="57" t="s">
        <v>3123</v>
      </c>
      <c r="AB219" s="57" t="s">
        <v>2393</v>
      </c>
      <c r="AC219" s="57" t="s">
        <v>2631</v>
      </c>
      <c r="AD219" s="65" t="str">
        <f t="shared" si="52"/>
        <v>RSVD1</v>
      </c>
      <c r="AE219" s="70"/>
      <c r="AF219" s="67" t="str">
        <f t="shared" si="53"/>
        <v>PULL_DOWN</v>
      </c>
      <c r="AG219" s="67" t="str">
        <f t="shared" si="45"/>
        <v>TRISTATE</v>
      </c>
      <c r="AH219" s="67" t="str">
        <f t="shared" si="54"/>
        <v>DISABLE</v>
      </c>
      <c r="AI219" s="71" t="str">
        <f t="shared" si="47"/>
        <v>N/A</v>
      </c>
      <c r="AJ219" s="189" t="b">
        <v>1</v>
      </c>
      <c r="AK219" s="189" t="b">
        <v>1</v>
      </c>
      <c r="AL219" s="189" t="b">
        <v>1</v>
      </c>
      <c r="AM219" s="189" t="b">
        <v>1</v>
      </c>
      <c r="AN219" s="189" t="b">
        <v>1</v>
      </c>
      <c r="AO219" s="189" t="b">
        <v>1</v>
      </c>
      <c r="AP219" s="69" t="str">
        <f t="shared" si="55"/>
        <v>VALID</v>
      </c>
      <c r="AQ219" s="196" t="s">
        <v>776</v>
      </c>
      <c r="AR219" s="194" t="s">
        <v>79</v>
      </c>
      <c r="AS219" s="193"/>
      <c r="AT219" s="193" t="s">
        <v>117</v>
      </c>
      <c r="AU219" s="72"/>
      <c r="AV219" s="72"/>
      <c r="AW219" s="193" t="s">
        <v>136</v>
      </c>
      <c r="AX219" s="193" t="s">
        <v>136</v>
      </c>
      <c r="AY219" s="72"/>
      <c r="AZ219" s="193"/>
      <c r="BA219" s="193"/>
      <c r="BB219" s="8"/>
      <c r="BC219" s="140"/>
      <c r="BD219" s="147" t="s">
        <v>83</v>
      </c>
      <c r="BE219" s="147" t="s">
        <v>83</v>
      </c>
    </row>
    <row r="220" spans="1:57" ht="12.95" hidden="1" customHeight="1">
      <c r="A220" s="248" t="e">
        <v>#N/A</v>
      </c>
      <c r="B220" s="252" t="e">
        <v>#N/A</v>
      </c>
      <c r="C220" s="263" t="s">
        <v>744</v>
      </c>
      <c r="D220" s="239" t="s">
        <v>3136</v>
      </c>
      <c r="E220" s="58"/>
      <c r="F220" s="59" t="s">
        <v>775</v>
      </c>
      <c r="G220" s="191" t="s">
        <v>3137</v>
      </c>
      <c r="H220" s="192" t="s">
        <v>2196</v>
      </c>
      <c r="I220" s="61" t="s">
        <v>2511</v>
      </c>
      <c r="J220" s="61" t="s">
        <v>2511</v>
      </c>
      <c r="K220" s="62" t="s">
        <v>2511</v>
      </c>
      <c r="L220" s="60" t="s">
        <v>2389</v>
      </c>
      <c r="M220" s="61" t="s">
        <v>2389</v>
      </c>
      <c r="N220" s="61" t="s">
        <v>2511</v>
      </c>
      <c r="O220" s="61" t="s">
        <v>2511</v>
      </c>
      <c r="P220" s="62" t="s">
        <v>2511</v>
      </c>
      <c r="Q220" s="7" t="s">
        <v>839</v>
      </c>
      <c r="R220" s="58" t="s">
        <v>126</v>
      </c>
      <c r="S220" s="58" t="s">
        <v>112</v>
      </c>
      <c r="T220" s="58" t="s">
        <v>113</v>
      </c>
      <c r="U220" s="64" t="s">
        <v>126</v>
      </c>
      <c r="V220" s="138" t="s">
        <v>3138</v>
      </c>
      <c r="W220" s="57" t="s">
        <v>3122</v>
      </c>
      <c r="X220" s="126" t="s">
        <v>2511</v>
      </c>
      <c r="Y220" s="126" t="s">
        <v>2511</v>
      </c>
      <c r="Z220" s="57" t="s">
        <v>2817</v>
      </c>
      <c r="AA220" s="57" t="s">
        <v>3123</v>
      </c>
      <c r="AB220" s="57" t="s">
        <v>2393</v>
      </c>
      <c r="AC220" s="57">
        <v>0</v>
      </c>
      <c r="AD220" s="65" t="str">
        <f t="shared" si="52"/>
        <v>RSVD1</v>
      </c>
      <c r="AE220" s="70"/>
      <c r="AF220" s="67" t="str">
        <f t="shared" si="53"/>
        <v>PULL_DOWN</v>
      </c>
      <c r="AG220" s="67" t="str">
        <f t="shared" si="45"/>
        <v>TRISTATE</v>
      </c>
      <c r="AH220" s="67" t="str">
        <f t="shared" si="54"/>
        <v>DISABLE</v>
      </c>
      <c r="AI220" s="71" t="str">
        <f t="shared" si="47"/>
        <v>N/A</v>
      </c>
      <c r="AJ220" s="189" t="b">
        <v>1</v>
      </c>
      <c r="AK220" s="189" t="b">
        <v>1</v>
      </c>
      <c r="AL220" s="189" t="b">
        <v>1</v>
      </c>
      <c r="AM220" s="189" t="b">
        <v>1</v>
      </c>
      <c r="AN220" s="189" t="b">
        <v>1</v>
      </c>
      <c r="AO220" s="189" t="b">
        <v>1</v>
      </c>
      <c r="AP220" s="69" t="str">
        <f t="shared" si="55"/>
        <v>VALID</v>
      </c>
      <c r="AQ220" s="196" t="s">
        <v>775</v>
      </c>
      <c r="AR220" s="194" t="s">
        <v>79</v>
      </c>
      <c r="AS220" s="193"/>
      <c r="AT220" s="72"/>
      <c r="AU220" s="72"/>
      <c r="AV220" s="72"/>
      <c r="AW220" s="193" t="s">
        <v>136</v>
      </c>
      <c r="AX220" s="193" t="s">
        <v>136</v>
      </c>
      <c r="AY220" s="72"/>
      <c r="AZ220" s="193"/>
      <c r="BA220" s="193"/>
      <c r="BB220" s="8"/>
      <c r="BC220" s="140"/>
      <c r="BD220" s="147" t="s">
        <v>83</v>
      </c>
      <c r="BE220" s="147" t="s">
        <v>83</v>
      </c>
    </row>
    <row r="221" spans="1:57" ht="12.95" hidden="1" customHeight="1">
      <c r="A221" s="248" t="e">
        <v>#N/A</v>
      </c>
      <c r="B221" s="252" t="e">
        <v>#N/A</v>
      </c>
      <c r="C221" s="263" t="s">
        <v>1041</v>
      </c>
      <c r="D221" s="239" t="s">
        <v>3140</v>
      </c>
      <c r="E221" s="58"/>
      <c r="F221" s="59" t="s">
        <v>1806</v>
      </c>
      <c r="G221" s="191" t="s">
        <v>3141</v>
      </c>
      <c r="H221" s="192" t="s">
        <v>2197</v>
      </c>
      <c r="I221" s="61" t="s">
        <v>2511</v>
      </c>
      <c r="J221" s="61" t="s">
        <v>2511</v>
      </c>
      <c r="K221" s="62" t="s">
        <v>2511</v>
      </c>
      <c r="L221" s="60" t="s">
        <v>2389</v>
      </c>
      <c r="M221" s="61" t="s">
        <v>2389</v>
      </c>
      <c r="N221" s="61" t="s">
        <v>2511</v>
      </c>
      <c r="O221" s="61" t="s">
        <v>2511</v>
      </c>
      <c r="P221" s="62" t="s">
        <v>2511</v>
      </c>
      <c r="Q221" s="7" t="s">
        <v>1856</v>
      </c>
      <c r="R221" s="58" t="s">
        <v>126</v>
      </c>
      <c r="S221" s="58" t="s">
        <v>112</v>
      </c>
      <c r="T221" s="58" t="s">
        <v>113</v>
      </c>
      <c r="U221" s="64" t="s">
        <v>126</v>
      </c>
      <c r="V221" s="138" t="s">
        <v>3142</v>
      </c>
      <c r="W221" s="57" t="s">
        <v>3122</v>
      </c>
      <c r="X221" s="126" t="s">
        <v>3143</v>
      </c>
      <c r="Y221" s="126" t="s">
        <v>2511</v>
      </c>
      <c r="Z221" s="57" t="s">
        <v>2817</v>
      </c>
      <c r="AA221" s="57" t="s">
        <v>3123</v>
      </c>
      <c r="AB221" s="57" t="s">
        <v>2393</v>
      </c>
      <c r="AC221" s="57" t="s">
        <v>2631</v>
      </c>
      <c r="AD221" s="65" t="str">
        <f t="shared" si="52"/>
        <v>RSVD1</v>
      </c>
      <c r="AE221" s="70"/>
      <c r="AF221" s="67" t="str">
        <f t="shared" si="53"/>
        <v>PULL_DOWN</v>
      </c>
      <c r="AG221" s="67" t="str">
        <f t="shared" si="45"/>
        <v>TRISTATE</v>
      </c>
      <c r="AH221" s="67" t="str">
        <f t="shared" si="54"/>
        <v>DISABLE</v>
      </c>
      <c r="AI221" s="71" t="str">
        <f t="shared" si="47"/>
        <v>N/A</v>
      </c>
      <c r="AJ221" s="189" t="b">
        <v>1</v>
      </c>
      <c r="AK221" s="189" t="b">
        <v>1</v>
      </c>
      <c r="AL221" s="189" t="b">
        <v>1</v>
      </c>
      <c r="AM221" s="189" t="b">
        <v>1</v>
      </c>
      <c r="AN221" s="189" t="b">
        <v>1</v>
      </c>
      <c r="AO221" s="189" t="b">
        <v>1</v>
      </c>
      <c r="AP221" s="69" t="str">
        <f t="shared" si="55"/>
        <v>VALID</v>
      </c>
      <c r="AQ221" s="196" t="s">
        <v>1806</v>
      </c>
      <c r="AR221" s="194" t="s">
        <v>79</v>
      </c>
      <c r="AS221" s="193"/>
      <c r="AT221" s="193" t="s">
        <v>117</v>
      </c>
      <c r="AU221" s="72"/>
      <c r="AV221" s="72"/>
      <c r="AW221" s="193" t="s">
        <v>136</v>
      </c>
      <c r="AX221" s="193" t="s">
        <v>136</v>
      </c>
      <c r="AY221" s="72"/>
      <c r="AZ221" s="193"/>
      <c r="BA221" s="193"/>
      <c r="BB221" s="8"/>
      <c r="BC221" s="140"/>
      <c r="BD221" s="147" t="s">
        <v>83</v>
      </c>
      <c r="BE221" s="147" t="s">
        <v>83</v>
      </c>
    </row>
    <row r="222" spans="1:57" ht="12.95" hidden="1" customHeight="1">
      <c r="A222" s="248" t="e">
        <v>#N/A</v>
      </c>
      <c r="B222" s="252" t="e">
        <v>#N/A</v>
      </c>
      <c r="C222" s="263" t="s">
        <v>1042</v>
      </c>
      <c r="D222" s="239" t="s">
        <v>3144</v>
      </c>
      <c r="E222" s="58"/>
      <c r="F222" s="59" t="s">
        <v>1805</v>
      </c>
      <c r="G222" s="191" t="s">
        <v>2496</v>
      </c>
      <c r="H222" s="192" t="s">
        <v>2198</v>
      </c>
      <c r="I222" s="61" t="s">
        <v>2511</v>
      </c>
      <c r="J222" s="61" t="s">
        <v>2511</v>
      </c>
      <c r="K222" s="62" t="s">
        <v>2511</v>
      </c>
      <c r="L222" s="60" t="s">
        <v>2389</v>
      </c>
      <c r="M222" s="61" t="s">
        <v>2389</v>
      </c>
      <c r="N222" s="61" t="s">
        <v>2511</v>
      </c>
      <c r="O222" s="61" t="s">
        <v>2511</v>
      </c>
      <c r="P222" s="62" t="s">
        <v>2511</v>
      </c>
      <c r="Q222" s="58" t="s">
        <v>1856</v>
      </c>
      <c r="R222" s="58" t="s">
        <v>126</v>
      </c>
      <c r="S222" s="58" t="s">
        <v>112</v>
      </c>
      <c r="T222" s="58" t="s">
        <v>113</v>
      </c>
      <c r="U222" s="64" t="s">
        <v>126</v>
      </c>
      <c r="V222" s="138" t="s">
        <v>3145</v>
      </c>
      <c r="W222" s="57" t="s">
        <v>3122</v>
      </c>
      <c r="X222" s="126" t="s">
        <v>2511</v>
      </c>
      <c r="Y222" s="126" t="s">
        <v>2511</v>
      </c>
      <c r="Z222" s="57" t="s">
        <v>2817</v>
      </c>
      <c r="AA222" s="57" t="s">
        <v>3123</v>
      </c>
      <c r="AB222" s="57" t="s">
        <v>2393</v>
      </c>
      <c r="AC222" s="57">
        <v>0</v>
      </c>
      <c r="AD222" s="65" t="str">
        <f t="shared" si="52"/>
        <v>RSVD1</v>
      </c>
      <c r="AE222" s="70"/>
      <c r="AF222" s="67" t="str">
        <f t="shared" si="53"/>
        <v>PULL_DOWN</v>
      </c>
      <c r="AG222" s="67" t="str">
        <f t="shared" si="45"/>
        <v>TRISTATE</v>
      </c>
      <c r="AH222" s="67" t="str">
        <f t="shared" si="54"/>
        <v>DISABLE</v>
      </c>
      <c r="AI222" s="71" t="str">
        <f t="shared" si="47"/>
        <v>N/A</v>
      </c>
      <c r="AJ222" s="189" t="b">
        <v>1</v>
      </c>
      <c r="AK222" s="189" t="b">
        <v>1</v>
      </c>
      <c r="AL222" s="189" t="b">
        <v>1</v>
      </c>
      <c r="AM222" s="189" t="b">
        <v>1</v>
      </c>
      <c r="AN222" s="189" t="b">
        <v>1</v>
      </c>
      <c r="AO222" s="189" t="b">
        <v>1</v>
      </c>
      <c r="AP222" s="69" t="str">
        <f t="shared" si="55"/>
        <v>VALID</v>
      </c>
      <c r="AQ222" s="195" t="s">
        <v>1805</v>
      </c>
      <c r="AR222" s="194" t="s">
        <v>79</v>
      </c>
      <c r="AS222" s="193"/>
      <c r="AT222" s="72"/>
      <c r="AU222" s="72"/>
      <c r="AV222" s="72"/>
      <c r="AW222" s="193" t="s">
        <v>136</v>
      </c>
      <c r="AX222" s="193" t="s">
        <v>136</v>
      </c>
      <c r="AY222" s="72"/>
      <c r="AZ222" s="193"/>
      <c r="BA222" s="193"/>
      <c r="BB222" s="8"/>
      <c r="BC222" s="140"/>
      <c r="BD222" s="147" t="s">
        <v>83</v>
      </c>
      <c r="BE222" s="147" t="s">
        <v>83</v>
      </c>
    </row>
    <row r="223" spans="1:57" ht="12.95" customHeight="1">
      <c r="A223" s="247" t="s">
        <v>5482</v>
      </c>
      <c r="B223" s="251">
        <v>182</v>
      </c>
      <c r="C223" s="285" t="s">
        <v>1043</v>
      </c>
      <c r="D223" s="239" t="s">
        <v>2762</v>
      </c>
      <c r="E223" s="58"/>
      <c r="F223" s="59" t="s">
        <v>1804</v>
      </c>
      <c r="G223" s="191" t="s">
        <v>3147</v>
      </c>
      <c r="H223" s="192" t="s">
        <v>2199</v>
      </c>
      <c r="I223" s="61" t="s">
        <v>2511</v>
      </c>
      <c r="J223" s="61" t="s">
        <v>2511</v>
      </c>
      <c r="K223" s="62" t="s">
        <v>2511</v>
      </c>
      <c r="L223" s="60" t="s">
        <v>2389</v>
      </c>
      <c r="M223" s="61" t="s">
        <v>2389</v>
      </c>
      <c r="N223" s="61" t="s">
        <v>2511</v>
      </c>
      <c r="O223" s="61" t="s">
        <v>2511</v>
      </c>
      <c r="P223" s="62" t="s">
        <v>2511</v>
      </c>
      <c r="Q223" s="58" t="s">
        <v>1857</v>
      </c>
      <c r="R223" s="58" t="s">
        <v>126</v>
      </c>
      <c r="S223" s="58" t="s">
        <v>112</v>
      </c>
      <c r="T223" s="58" t="s">
        <v>113</v>
      </c>
      <c r="U223" s="64" t="s">
        <v>126</v>
      </c>
      <c r="V223" s="138" t="s">
        <v>3148</v>
      </c>
      <c r="W223" s="57" t="s">
        <v>3122</v>
      </c>
      <c r="X223" s="126" t="s">
        <v>3149</v>
      </c>
      <c r="Y223" s="126" t="s">
        <v>2511</v>
      </c>
      <c r="Z223" s="57" t="s">
        <v>2817</v>
      </c>
      <c r="AA223" s="57" t="s">
        <v>3123</v>
      </c>
      <c r="AB223" s="57" t="s">
        <v>2393</v>
      </c>
      <c r="AC223" s="57" t="s">
        <v>2631</v>
      </c>
      <c r="AD223" s="65" t="str">
        <f t="shared" si="52"/>
        <v>PE4</v>
      </c>
      <c r="AE223" s="70"/>
      <c r="AF223" s="67" t="str">
        <f t="shared" si="53"/>
        <v>NORMAL</v>
      </c>
      <c r="AG223" s="67" t="str">
        <f t="shared" si="45"/>
        <v>NORMAL</v>
      </c>
      <c r="AH223" s="67" t="str">
        <f t="shared" si="54"/>
        <v>ENABLE</v>
      </c>
      <c r="AI223" s="71" t="str">
        <f t="shared" si="47"/>
        <v>N/A</v>
      </c>
      <c r="AJ223" s="189" t="b">
        <v>1</v>
      </c>
      <c r="AK223" s="189" t="b">
        <v>1</v>
      </c>
      <c r="AL223" s="189" t="b">
        <v>1</v>
      </c>
      <c r="AM223" s="189" t="b">
        <v>1</v>
      </c>
      <c r="AN223" s="189" t="b">
        <v>1</v>
      </c>
      <c r="AO223" s="189" t="b">
        <v>1</v>
      </c>
      <c r="AP223" s="69" t="str">
        <f t="shared" si="55"/>
        <v>VALID</v>
      </c>
      <c r="AQ223" s="195" t="s">
        <v>2199</v>
      </c>
      <c r="AR223" s="194" t="s">
        <v>860</v>
      </c>
      <c r="AS223" s="193"/>
      <c r="AT223" s="193" t="s">
        <v>117</v>
      </c>
      <c r="AU223" s="72"/>
      <c r="AV223" s="72"/>
      <c r="AW223" s="193" t="s">
        <v>872</v>
      </c>
      <c r="AX223" s="193" t="s">
        <v>872</v>
      </c>
      <c r="AY223" s="72"/>
      <c r="AZ223" s="193"/>
      <c r="BA223" s="193"/>
      <c r="BB223" s="8"/>
      <c r="BC223" s="140"/>
      <c r="BD223" s="11" t="s">
        <v>1043</v>
      </c>
      <c r="BE223" s="311" t="s">
        <v>5689</v>
      </c>
    </row>
    <row r="224" spans="1:57" ht="12.95" customHeight="1">
      <c r="A224" s="247" t="s">
        <v>5481</v>
      </c>
      <c r="B224" s="251">
        <v>183</v>
      </c>
      <c r="C224" s="285" t="s">
        <v>1044</v>
      </c>
      <c r="D224" s="239" t="s">
        <v>3151</v>
      </c>
      <c r="E224" s="58"/>
      <c r="F224" s="59" t="s">
        <v>1803</v>
      </c>
      <c r="G224" s="191" t="s">
        <v>3152</v>
      </c>
      <c r="H224" s="192" t="s">
        <v>2200</v>
      </c>
      <c r="I224" s="61" t="s">
        <v>2511</v>
      </c>
      <c r="J224" s="61" t="s">
        <v>2511</v>
      </c>
      <c r="K224" s="62" t="s">
        <v>2511</v>
      </c>
      <c r="L224" s="60" t="s">
        <v>2389</v>
      </c>
      <c r="M224" s="61" t="s">
        <v>2389</v>
      </c>
      <c r="N224" s="61" t="s">
        <v>2511</v>
      </c>
      <c r="O224" s="61" t="s">
        <v>2511</v>
      </c>
      <c r="P224" s="62" t="s">
        <v>2511</v>
      </c>
      <c r="Q224" s="58" t="s">
        <v>1857</v>
      </c>
      <c r="R224" s="58" t="s">
        <v>126</v>
      </c>
      <c r="S224" s="58" t="s">
        <v>112</v>
      </c>
      <c r="T224" s="58" t="s">
        <v>113</v>
      </c>
      <c r="U224" s="64" t="s">
        <v>126</v>
      </c>
      <c r="V224" s="138" t="s">
        <v>3153</v>
      </c>
      <c r="W224" s="57" t="s">
        <v>3122</v>
      </c>
      <c r="X224" s="126" t="s">
        <v>2511</v>
      </c>
      <c r="Y224" s="126" t="s">
        <v>2511</v>
      </c>
      <c r="Z224" s="57" t="s">
        <v>2817</v>
      </c>
      <c r="AA224" s="57" t="s">
        <v>3123</v>
      </c>
      <c r="AB224" s="57" t="s">
        <v>2393</v>
      </c>
      <c r="AC224" s="57">
        <v>0</v>
      </c>
      <c r="AD224" s="65" t="str">
        <f t="shared" si="52"/>
        <v>PE4</v>
      </c>
      <c r="AE224" s="70"/>
      <c r="AF224" s="67" t="str">
        <f t="shared" si="53"/>
        <v>NORMAL</v>
      </c>
      <c r="AG224" s="67" t="str">
        <f t="shared" si="45"/>
        <v>NORMAL</v>
      </c>
      <c r="AH224" s="67" t="str">
        <f t="shared" si="54"/>
        <v>DISABLE</v>
      </c>
      <c r="AI224" s="71" t="str">
        <f t="shared" si="47"/>
        <v>N/A</v>
      </c>
      <c r="AJ224" s="189" t="b">
        <v>1</v>
      </c>
      <c r="AK224" s="189" t="b">
        <v>1</v>
      </c>
      <c r="AL224" s="189" t="b">
        <v>1</v>
      </c>
      <c r="AM224" s="189" t="b">
        <v>1</v>
      </c>
      <c r="AN224" s="189" t="b">
        <v>1</v>
      </c>
      <c r="AO224" s="189" t="b">
        <v>1</v>
      </c>
      <c r="AP224" s="69" t="str">
        <f t="shared" si="55"/>
        <v>VALID</v>
      </c>
      <c r="AQ224" s="195" t="s">
        <v>2200</v>
      </c>
      <c r="AR224" s="194" t="s">
        <v>861</v>
      </c>
      <c r="AS224" s="193"/>
      <c r="AT224" s="72"/>
      <c r="AU224" s="72"/>
      <c r="AV224" s="72"/>
      <c r="AW224" s="193" t="s">
        <v>872</v>
      </c>
      <c r="AX224" s="193" t="s">
        <v>872</v>
      </c>
      <c r="AY224" s="72"/>
      <c r="AZ224" s="193"/>
      <c r="BA224" s="193"/>
      <c r="BB224" s="8"/>
      <c r="BC224" s="140"/>
      <c r="BD224" s="11" t="s">
        <v>1044</v>
      </c>
      <c r="BE224" s="311" t="s">
        <v>5690</v>
      </c>
    </row>
    <row r="225" spans="1:57" ht="12.95" customHeight="1">
      <c r="A225" s="250" t="s">
        <v>5682</v>
      </c>
      <c r="B225" s="253">
        <v>179</v>
      </c>
      <c r="C225" s="285" t="s">
        <v>21</v>
      </c>
      <c r="D225" s="239" t="s">
        <v>2641</v>
      </c>
      <c r="E225" s="58"/>
      <c r="F225" s="59" t="s">
        <v>483</v>
      </c>
      <c r="G225" s="191" t="s">
        <v>2201</v>
      </c>
      <c r="H225" s="192" t="s">
        <v>2511</v>
      </c>
      <c r="I225" s="61" t="s">
        <v>2511</v>
      </c>
      <c r="J225" s="61" t="s">
        <v>2511</v>
      </c>
      <c r="K225" s="62" t="s">
        <v>2511</v>
      </c>
      <c r="L225" s="60" t="s">
        <v>2389</v>
      </c>
      <c r="M225" s="61" t="s">
        <v>2511</v>
      </c>
      <c r="N225" s="61" t="s">
        <v>2511</v>
      </c>
      <c r="O225" s="61" t="s">
        <v>2511</v>
      </c>
      <c r="P225" s="62" t="s">
        <v>2511</v>
      </c>
      <c r="Q225" s="58" t="s">
        <v>552</v>
      </c>
      <c r="R225" s="58" t="s">
        <v>126</v>
      </c>
      <c r="S225" s="58" t="s">
        <v>112</v>
      </c>
      <c r="T225" s="58" t="s">
        <v>113</v>
      </c>
      <c r="U225" s="64" t="s">
        <v>552</v>
      </c>
      <c r="V225" s="138" t="s">
        <v>3155</v>
      </c>
      <c r="W225" s="57" t="s">
        <v>3122</v>
      </c>
      <c r="X225" s="126" t="s">
        <v>3156</v>
      </c>
      <c r="Y225" s="126" t="s">
        <v>2511</v>
      </c>
      <c r="Z225" s="57" t="s">
        <v>2817</v>
      </c>
      <c r="AA225" s="57" t="s">
        <v>3123</v>
      </c>
      <c r="AB225" s="57" t="s">
        <v>2393</v>
      </c>
      <c r="AC225" s="57" t="s">
        <v>2631</v>
      </c>
      <c r="AD225" s="65" t="str">
        <f t="shared" si="52"/>
        <v>GPIO_PL2</v>
      </c>
      <c r="AE225" s="70"/>
      <c r="AF225" s="67" t="str">
        <f t="shared" si="53"/>
        <v>PULL_UP</v>
      </c>
      <c r="AG225" s="67" t="str">
        <f t="shared" si="45"/>
        <v>TRISTATE</v>
      </c>
      <c r="AH225" s="67" t="str">
        <f t="shared" si="54"/>
        <v>ENABLE</v>
      </c>
      <c r="AI225" s="71" t="str">
        <f t="shared" si="47"/>
        <v/>
      </c>
      <c r="AJ225" s="189" t="b">
        <v>1</v>
      </c>
      <c r="AK225" s="189" t="b">
        <v>1</v>
      </c>
      <c r="AL225" s="189" t="b">
        <v>1</v>
      </c>
      <c r="AM225" s="189" t="b">
        <v>1</v>
      </c>
      <c r="AN225" s="189" t="b">
        <v>1</v>
      </c>
      <c r="AO225" s="189" t="b">
        <v>1</v>
      </c>
      <c r="AP225" s="69" t="str">
        <f t="shared" si="55"/>
        <v>VALID</v>
      </c>
      <c r="AQ225" s="196" t="s">
        <v>2201</v>
      </c>
      <c r="AR225" s="194" t="s">
        <v>862</v>
      </c>
      <c r="AS225" s="193" t="s">
        <v>873</v>
      </c>
      <c r="AT225" s="193" t="s">
        <v>117</v>
      </c>
      <c r="AU225" s="72"/>
      <c r="AV225" s="72"/>
      <c r="AW225" s="193" t="s">
        <v>872</v>
      </c>
      <c r="AX225" s="193" t="s">
        <v>872</v>
      </c>
      <c r="AY225" s="72"/>
      <c r="AZ225" s="193"/>
      <c r="BA225" s="193"/>
      <c r="BB225" s="8"/>
      <c r="BC225" s="140"/>
      <c r="BD225" s="11" t="s">
        <v>21</v>
      </c>
      <c r="BE225" s="311" t="s">
        <v>5639</v>
      </c>
    </row>
    <row r="226" spans="1:57" ht="12.95" hidden="1" customHeight="1">
      <c r="A226" s="248" t="e">
        <v>#N/A</v>
      </c>
      <c r="B226" s="252" t="e">
        <v>#N/A</v>
      </c>
      <c r="C226" s="263" t="s">
        <v>1045</v>
      </c>
      <c r="D226" s="239" t="s">
        <v>2645</v>
      </c>
      <c r="E226" s="58"/>
      <c r="F226" s="59" t="s">
        <v>1802</v>
      </c>
      <c r="G226" s="191" t="s">
        <v>2202</v>
      </c>
      <c r="H226" s="192"/>
      <c r="I226" s="61" t="s">
        <v>2511</v>
      </c>
      <c r="J226" s="61" t="s">
        <v>2511</v>
      </c>
      <c r="K226" s="62" t="s">
        <v>2511</v>
      </c>
      <c r="L226" s="60" t="s">
        <v>2389</v>
      </c>
      <c r="M226" s="61" t="s">
        <v>2388</v>
      </c>
      <c r="N226" s="61" t="s">
        <v>2511</v>
      </c>
      <c r="O226" s="61" t="s">
        <v>2511</v>
      </c>
      <c r="P226" s="62" t="s">
        <v>2511</v>
      </c>
      <c r="Q226" s="58" t="s">
        <v>552</v>
      </c>
      <c r="R226" s="58" t="s">
        <v>126</v>
      </c>
      <c r="S226" s="58" t="s">
        <v>112</v>
      </c>
      <c r="T226" s="58" t="s">
        <v>113</v>
      </c>
      <c r="U226" s="64" t="s">
        <v>126</v>
      </c>
      <c r="V226" s="138" t="s">
        <v>3157</v>
      </c>
      <c r="W226" s="57" t="s">
        <v>3122</v>
      </c>
      <c r="X226" s="126" t="s">
        <v>3158</v>
      </c>
      <c r="Y226" s="126" t="s">
        <v>2511</v>
      </c>
      <c r="Z226" s="57" t="s">
        <v>2817</v>
      </c>
      <c r="AA226" s="57" t="s">
        <v>3123</v>
      </c>
      <c r="AB226" s="57" t="s">
        <v>2393</v>
      </c>
      <c r="AC226" s="57" t="s">
        <v>2631</v>
      </c>
      <c r="AD226" s="65" t="str">
        <f t="shared" si="52"/>
        <v>RSVD1</v>
      </c>
      <c r="AE226" s="70"/>
      <c r="AF226" s="67" t="str">
        <f t="shared" si="53"/>
        <v>PULL_DOWN</v>
      </c>
      <c r="AG226" s="67" t="str">
        <f t="shared" si="45"/>
        <v>TRISTATE</v>
      </c>
      <c r="AH226" s="67" t="str">
        <f t="shared" si="54"/>
        <v>DISABLE</v>
      </c>
      <c r="AI226" s="71" t="str">
        <f t="shared" si="47"/>
        <v>N/A</v>
      </c>
      <c r="AJ226" s="189" t="b">
        <v>1</v>
      </c>
      <c r="AK226" s="189" t="b">
        <v>1</v>
      </c>
      <c r="AL226" s="189" t="b">
        <v>1</v>
      </c>
      <c r="AM226" s="189" t="b">
        <v>1</v>
      </c>
      <c r="AN226" s="189" t="b">
        <v>1</v>
      </c>
      <c r="AO226" s="189" t="b">
        <v>1</v>
      </c>
      <c r="AP226" s="69" t="str">
        <f t="shared" si="55"/>
        <v>VALID</v>
      </c>
      <c r="AQ226" s="196" t="s">
        <v>1802</v>
      </c>
      <c r="AR226" s="194" t="s">
        <v>79</v>
      </c>
      <c r="AS226" s="193"/>
      <c r="AT226" s="193" t="s">
        <v>117</v>
      </c>
      <c r="AU226" s="72"/>
      <c r="AV226" s="72"/>
      <c r="AW226" s="193" t="s">
        <v>136</v>
      </c>
      <c r="AX226" s="193" t="s">
        <v>136</v>
      </c>
      <c r="AY226" s="72"/>
      <c r="AZ226" s="193"/>
      <c r="BA226" s="193"/>
      <c r="BB226" s="8"/>
      <c r="BC226" s="140"/>
      <c r="BD226" s="147" t="s">
        <v>83</v>
      </c>
      <c r="BE226" s="147" t="s">
        <v>83</v>
      </c>
    </row>
    <row r="227" spans="1:57" s="56" customFormat="1" ht="18" customHeight="1">
      <c r="A227" s="355"/>
      <c r="B227" s="356"/>
      <c r="C227" s="266" t="s">
        <v>1742</v>
      </c>
      <c r="D227" s="266"/>
      <c r="E227" s="73"/>
      <c r="F227" s="73"/>
      <c r="G227" s="74"/>
      <c r="H227" s="74"/>
      <c r="I227" s="74"/>
      <c r="J227" s="74"/>
      <c r="K227" s="74"/>
      <c r="L227" s="73"/>
      <c r="M227" s="73"/>
      <c r="N227" s="73"/>
      <c r="O227" s="73"/>
      <c r="P227" s="73"/>
      <c r="Q227" s="73"/>
      <c r="R227" s="73"/>
      <c r="S227" s="73"/>
      <c r="T227" s="73"/>
      <c r="U227" s="73"/>
      <c r="V227" s="73"/>
      <c r="W227" s="73"/>
      <c r="X227" s="73"/>
      <c r="Y227" s="73"/>
      <c r="Z227" s="73"/>
      <c r="AA227" s="73"/>
      <c r="AB227" s="73"/>
      <c r="AC227" s="73"/>
      <c r="AD227" s="73"/>
      <c r="AE227" s="73"/>
      <c r="AF227" s="75"/>
      <c r="AG227" s="75"/>
      <c r="AH227" s="75"/>
      <c r="AI227" s="75"/>
      <c r="AJ227" s="53"/>
      <c r="AK227" s="53"/>
      <c r="AL227" s="53"/>
      <c r="AM227" s="53"/>
      <c r="AN227" s="53"/>
      <c r="AO227" s="53"/>
      <c r="AP227" s="53"/>
      <c r="AQ227" s="54"/>
      <c r="AR227" s="76"/>
      <c r="AS227" s="77"/>
      <c r="AT227" s="77"/>
      <c r="AU227" s="77"/>
      <c r="AV227" s="77"/>
      <c r="AW227" s="77"/>
      <c r="AX227" s="77"/>
      <c r="AY227" s="77"/>
      <c r="AZ227" s="77"/>
      <c r="BA227" s="77"/>
      <c r="BB227" s="77"/>
      <c r="BC227" s="175" t="s">
        <v>59</v>
      </c>
      <c r="BD227" s="186"/>
      <c r="BE227" s="76" t="s">
        <v>1742</v>
      </c>
    </row>
    <row r="228" spans="1:57" ht="12.95" customHeight="1">
      <c r="A228" s="247" t="s">
        <v>5474</v>
      </c>
      <c r="B228" s="251">
        <v>180</v>
      </c>
      <c r="C228" s="239" t="s">
        <v>1740</v>
      </c>
      <c r="D228" s="239" t="s">
        <v>2633</v>
      </c>
      <c r="E228" s="58"/>
      <c r="F228" s="59" t="s">
        <v>1800</v>
      </c>
      <c r="G228" s="191" t="s">
        <v>2511</v>
      </c>
      <c r="H228" s="192" t="s">
        <v>2203</v>
      </c>
      <c r="I228" s="61" t="s">
        <v>2511</v>
      </c>
      <c r="J228" s="61" t="s">
        <v>2511</v>
      </c>
      <c r="K228" s="62" t="s">
        <v>2511</v>
      </c>
      <c r="L228" s="60" t="s">
        <v>2511</v>
      </c>
      <c r="M228" s="61" t="s">
        <v>2389</v>
      </c>
      <c r="N228" s="61" t="s">
        <v>2511</v>
      </c>
      <c r="O228" s="61" t="s">
        <v>2511</v>
      </c>
      <c r="P228" s="62" t="s">
        <v>2511</v>
      </c>
      <c r="Q228" s="58" t="s">
        <v>5416</v>
      </c>
      <c r="R228" s="58" t="s">
        <v>126</v>
      </c>
      <c r="S228" s="58" t="s">
        <v>112</v>
      </c>
      <c r="T228" s="58" t="s">
        <v>113</v>
      </c>
      <c r="U228" s="64" t="s">
        <v>126</v>
      </c>
      <c r="V228" s="138" t="s">
        <v>3159</v>
      </c>
      <c r="W228" s="57" t="s">
        <v>3160</v>
      </c>
      <c r="X228" s="126" t="s">
        <v>3161</v>
      </c>
      <c r="Y228" s="126" t="s">
        <v>2511</v>
      </c>
      <c r="Z228" s="57" t="s">
        <v>2817</v>
      </c>
      <c r="AA228" s="57" t="s">
        <v>3123</v>
      </c>
      <c r="AB228" s="57" t="s">
        <v>2393</v>
      </c>
      <c r="AC228" s="57" t="s">
        <v>2631</v>
      </c>
      <c r="AD228" s="65" t="str">
        <f t="shared" si="52"/>
        <v>PE5</v>
      </c>
      <c r="AE228" s="70"/>
      <c r="AF228" s="67" t="str">
        <f t="shared" si="53"/>
        <v>NORMAL</v>
      </c>
      <c r="AG228" s="67" t="str">
        <f t="shared" si="45"/>
        <v>NORMAL</v>
      </c>
      <c r="AH228" s="67" t="str">
        <f t="shared" si="54"/>
        <v>ENABLE</v>
      </c>
      <c r="AI228" s="71" t="str">
        <f t="shared" si="47"/>
        <v>N/A</v>
      </c>
      <c r="AJ228" s="189" t="b">
        <v>1</v>
      </c>
      <c r="AK228" s="189" t="b">
        <v>1</v>
      </c>
      <c r="AL228" s="189" t="b">
        <v>1</v>
      </c>
      <c r="AM228" s="189" t="b">
        <v>1</v>
      </c>
      <c r="AN228" s="189" t="b">
        <v>1</v>
      </c>
      <c r="AO228" s="189" t="b">
        <v>1</v>
      </c>
      <c r="AP228" s="69" t="str">
        <f t="shared" si="55"/>
        <v>VALID</v>
      </c>
      <c r="AQ228" s="196" t="s">
        <v>2203</v>
      </c>
      <c r="AR228" s="194" t="s">
        <v>860</v>
      </c>
      <c r="AS228" s="193" t="s">
        <v>874</v>
      </c>
      <c r="AT228" s="193" t="s">
        <v>117</v>
      </c>
      <c r="AU228" s="72"/>
      <c r="AV228" s="72"/>
      <c r="AW228" s="193" t="s">
        <v>872</v>
      </c>
      <c r="AX228" s="193" t="s">
        <v>872</v>
      </c>
      <c r="AY228" s="72"/>
      <c r="AZ228" s="193"/>
      <c r="BA228" s="193"/>
      <c r="BB228" s="8"/>
      <c r="BC228" s="140"/>
      <c r="BD228" s="11" t="s">
        <v>1740</v>
      </c>
      <c r="BE228" s="311" t="s">
        <v>5640</v>
      </c>
    </row>
    <row r="229" spans="1:57" ht="12.95" customHeight="1">
      <c r="A229" s="247" t="s">
        <v>5473</v>
      </c>
      <c r="B229" s="251">
        <v>181</v>
      </c>
      <c r="C229" s="239" t="s">
        <v>1741</v>
      </c>
      <c r="D229" s="239" t="s">
        <v>2767</v>
      </c>
      <c r="E229" s="58"/>
      <c r="F229" s="59" t="s">
        <v>1801</v>
      </c>
      <c r="G229" s="191" t="s">
        <v>2511</v>
      </c>
      <c r="H229" s="192" t="s">
        <v>2204</v>
      </c>
      <c r="I229" s="61" t="s">
        <v>2511</v>
      </c>
      <c r="J229" s="61" t="s">
        <v>2511</v>
      </c>
      <c r="K229" s="62"/>
      <c r="L229" s="60" t="s">
        <v>2511</v>
      </c>
      <c r="M229" s="61" t="s">
        <v>2389</v>
      </c>
      <c r="N229" s="61" t="s">
        <v>2511</v>
      </c>
      <c r="O229" s="61" t="s">
        <v>2511</v>
      </c>
      <c r="P229" s="62"/>
      <c r="Q229" s="58" t="s">
        <v>5416</v>
      </c>
      <c r="R229" s="58" t="s">
        <v>126</v>
      </c>
      <c r="S229" s="58" t="s">
        <v>112</v>
      </c>
      <c r="T229" s="58" t="s">
        <v>113</v>
      </c>
      <c r="U229" s="64" t="s">
        <v>126</v>
      </c>
      <c r="V229" s="138" t="s">
        <v>3163</v>
      </c>
      <c r="W229" s="57" t="s">
        <v>3160</v>
      </c>
      <c r="X229" s="126" t="s">
        <v>2511</v>
      </c>
      <c r="Y229" s="126" t="s">
        <v>2511</v>
      </c>
      <c r="Z229" s="57" t="s">
        <v>2817</v>
      </c>
      <c r="AA229" s="57" t="s">
        <v>3123</v>
      </c>
      <c r="AB229" s="57" t="s">
        <v>2393</v>
      </c>
      <c r="AC229" s="57">
        <v>0</v>
      </c>
      <c r="AD229" s="65" t="str">
        <f t="shared" si="52"/>
        <v>PE5</v>
      </c>
      <c r="AE229" s="70"/>
      <c r="AF229" s="67" t="str">
        <f t="shared" si="53"/>
        <v>NORMAL</v>
      </c>
      <c r="AG229" s="67" t="str">
        <f t="shared" si="45"/>
        <v>NORMAL</v>
      </c>
      <c r="AH229" s="67" t="str">
        <f t="shared" si="54"/>
        <v>DISABLE</v>
      </c>
      <c r="AI229" s="71" t="str">
        <f t="shared" si="47"/>
        <v>N/A</v>
      </c>
      <c r="AJ229" s="189" t="b">
        <v>1</v>
      </c>
      <c r="AK229" s="189" t="b">
        <v>1</v>
      </c>
      <c r="AL229" s="189" t="b">
        <v>1</v>
      </c>
      <c r="AM229" s="189" t="b">
        <v>1</v>
      </c>
      <c r="AN229" s="189" t="b">
        <v>1</v>
      </c>
      <c r="AO229" s="189" t="b">
        <v>1</v>
      </c>
      <c r="AP229" s="69" t="str">
        <f t="shared" si="55"/>
        <v>VALID</v>
      </c>
      <c r="AQ229" s="196" t="s">
        <v>2204</v>
      </c>
      <c r="AR229" s="194" t="s">
        <v>861</v>
      </c>
      <c r="AS229" s="193"/>
      <c r="AT229" s="72"/>
      <c r="AU229" s="72"/>
      <c r="AV229" s="72"/>
      <c r="AW229" s="193" t="s">
        <v>872</v>
      </c>
      <c r="AX229" s="193" t="s">
        <v>872</v>
      </c>
      <c r="AY229" s="72"/>
      <c r="AZ229" s="193"/>
      <c r="BA229" s="193"/>
      <c r="BB229" s="8"/>
      <c r="BC229" s="140"/>
      <c r="BD229" s="11" t="s">
        <v>1741</v>
      </c>
      <c r="BE229" s="311" t="s">
        <v>5641</v>
      </c>
    </row>
    <row r="230" spans="1:57" s="56" customFormat="1" ht="18" customHeight="1">
      <c r="A230" s="355"/>
      <c r="B230" s="356"/>
      <c r="C230" s="266" t="s">
        <v>772</v>
      </c>
      <c r="D230" s="266"/>
      <c r="E230" s="73"/>
      <c r="F230" s="73"/>
      <c r="G230" s="74"/>
      <c r="H230" s="74"/>
      <c r="I230" s="74"/>
      <c r="J230" s="74"/>
      <c r="K230" s="74"/>
      <c r="L230" s="73"/>
      <c r="M230" s="73"/>
      <c r="N230" s="73"/>
      <c r="O230" s="73"/>
      <c r="P230" s="73"/>
      <c r="Q230" s="73"/>
      <c r="R230" s="73"/>
      <c r="S230" s="73"/>
      <c r="T230" s="73"/>
      <c r="U230" s="73"/>
      <c r="V230" s="73"/>
      <c r="W230" s="73"/>
      <c r="X230" s="73"/>
      <c r="Y230" s="73"/>
      <c r="Z230" s="73"/>
      <c r="AA230" s="73"/>
      <c r="AB230" s="73"/>
      <c r="AC230" s="73"/>
      <c r="AD230" s="73"/>
      <c r="AE230" s="73"/>
      <c r="AF230" s="75"/>
      <c r="AG230" s="75"/>
      <c r="AH230" s="75"/>
      <c r="AI230" s="75"/>
      <c r="AJ230" s="53"/>
      <c r="AK230" s="53"/>
      <c r="AL230" s="53"/>
      <c r="AM230" s="53"/>
      <c r="AN230" s="53"/>
      <c r="AO230" s="53"/>
      <c r="AP230" s="53"/>
      <c r="AQ230" s="54"/>
      <c r="AR230" s="76"/>
      <c r="AS230" s="77"/>
      <c r="AT230" s="77"/>
      <c r="AU230" s="77"/>
      <c r="AV230" s="77"/>
      <c r="AW230" s="77"/>
      <c r="AX230" s="77"/>
      <c r="AY230" s="77"/>
      <c r="AZ230" s="77"/>
      <c r="BA230" s="77"/>
      <c r="BB230" s="77"/>
      <c r="BC230" s="175" t="s">
        <v>59</v>
      </c>
      <c r="BD230" s="186"/>
      <c r="BE230" s="76" t="s">
        <v>772</v>
      </c>
    </row>
    <row r="231" spans="1:57" ht="12.95" hidden="1" customHeight="1">
      <c r="A231" s="248" t="e">
        <v>#N/A</v>
      </c>
      <c r="B231" s="252" t="e">
        <v>#N/A</v>
      </c>
      <c r="C231" s="263" t="s">
        <v>1048</v>
      </c>
      <c r="D231" s="239" t="s">
        <v>2530</v>
      </c>
      <c r="E231" s="58"/>
      <c r="F231" s="59" t="s">
        <v>1794</v>
      </c>
      <c r="G231" s="191" t="s">
        <v>2511</v>
      </c>
      <c r="H231" s="192" t="s">
        <v>2215</v>
      </c>
      <c r="I231" s="61" t="s">
        <v>2511</v>
      </c>
      <c r="J231" s="61" t="s">
        <v>2511</v>
      </c>
      <c r="K231" s="62" t="s">
        <v>2511</v>
      </c>
      <c r="L231" s="60" t="s">
        <v>2511</v>
      </c>
      <c r="M231" s="61" t="s">
        <v>2388</v>
      </c>
      <c r="N231" s="61" t="s">
        <v>2511</v>
      </c>
      <c r="O231" s="61" t="s">
        <v>2511</v>
      </c>
      <c r="P231" s="62" t="s">
        <v>2511</v>
      </c>
      <c r="Q231" s="82"/>
      <c r="R231" s="82"/>
      <c r="S231" s="82"/>
      <c r="T231" s="82"/>
      <c r="U231" s="82"/>
      <c r="V231" s="138" t="s">
        <v>3165</v>
      </c>
      <c r="W231" s="57" t="s">
        <v>3166</v>
      </c>
      <c r="X231" s="126" t="s">
        <v>2511</v>
      </c>
      <c r="Y231" s="126" t="s">
        <v>2511</v>
      </c>
      <c r="Z231" s="57" t="s">
        <v>2511</v>
      </c>
      <c r="AA231" s="57" t="s">
        <v>3167</v>
      </c>
      <c r="AB231" s="57" t="s">
        <v>2511</v>
      </c>
      <c r="AC231" s="57">
        <v>0</v>
      </c>
      <c r="AD231" s="70"/>
      <c r="AE231" s="70"/>
      <c r="AF231" s="67" t="str">
        <f t="shared" si="53"/>
        <v>PULL_DOWN</v>
      </c>
      <c r="AG231" s="67" t="str">
        <f t="shared" si="45"/>
        <v>TRISTATE</v>
      </c>
      <c r="AH231" s="67" t="str">
        <f t="shared" si="54"/>
        <v>DISABLE</v>
      </c>
      <c r="AI231" s="71" t="str">
        <f t="shared" si="47"/>
        <v>N/A</v>
      </c>
      <c r="AJ231" s="189" t="b">
        <v>1</v>
      </c>
      <c r="AK231" s="189" t="b">
        <v>1</v>
      </c>
      <c r="AL231" s="189" t="b">
        <v>1</v>
      </c>
      <c r="AM231" s="189" t="b">
        <v>1</v>
      </c>
      <c r="AN231" s="189" t="b">
        <v>1</v>
      </c>
      <c r="AO231" s="189" t="b">
        <v>1</v>
      </c>
      <c r="AP231" s="69" t="str">
        <f t="shared" ref="AP231:AP240" si="56">IF(AND($AJ231:$AO231), "VALID", "INVALID")</f>
        <v>VALID</v>
      </c>
      <c r="AQ231" s="196" t="s">
        <v>1794</v>
      </c>
      <c r="AR231" s="194" t="s">
        <v>79</v>
      </c>
      <c r="AS231" s="193"/>
      <c r="AT231" s="72"/>
      <c r="AU231" s="72"/>
      <c r="AV231" s="72"/>
      <c r="AW231" s="72"/>
      <c r="AX231" s="72"/>
      <c r="AY231" s="72"/>
      <c r="AZ231" s="193"/>
      <c r="BA231" s="193"/>
      <c r="BB231" s="8"/>
      <c r="BC231" s="140"/>
      <c r="BD231" s="147" t="s">
        <v>83</v>
      </c>
      <c r="BE231" s="147" t="s">
        <v>83</v>
      </c>
    </row>
    <row r="232" spans="1:57" ht="12.95" hidden="1" customHeight="1">
      <c r="A232" s="248" t="e">
        <v>#N/A</v>
      </c>
      <c r="B232" s="252" t="e">
        <v>#N/A</v>
      </c>
      <c r="C232" s="263" t="s">
        <v>1049</v>
      </c>
      <c r="D232" s="239" t="s">
        <v>3150</v>
      </c>
      <c r="E232" s="58"/>
      <c r="F232" s="59" t="s">
        <v>1795</v>
      </c>
      <c r="G232" s="191" t="s">
        <v>2511</v>
      </c>
      <c r="H232" s="192" t="s">
        <v>2205</v>
      </c>
      <c r="I232" s="61" t="s">
        <v>2511</v>
      </c>
      <c r="J232" s="61" t="s">
        <v>2511</v>
      </c>
      <c r="K232" s="62" t="s">
        <v>2511</v>
      </c>
      <c r="L232" s="60" t="s">
        <v>2511</v>
      </c>
      <c r="M232" s="61" t="s">
        <v>2388</v>
      </c>
      <c r="N232" s="61" t="s">
        <v>2511</v>
      </c>
      <c r="O232" s="61" t="s">
        <v>2511</v>
      </c>
      <c r="P232" s="62" t="s">
        <v>2511</v>
      </c>
      <c r="Q232" s="82"/>
      <c r="R232" s="82"/>
      <c r="S232" s="82"/>
      <c r="T232" s="82"/>
      <c r="U232" s="82"/>
      <c r="V232" s="138" t="s">
        <v>3168</v>
      </c>
      <c r="W232" s="57" t="s">
        <v>3166</v>
      </c>
      <c r="X232" s="126" t="s">
        <v>2511</v>
      </c>
      <c r="Y232" s="126" t="s">
        <v>2511</v>
      </c>
      <c r="Z232" s="57" t="s">
        <v>2511</v>
      </c>
      <c r="AA232" s="57" t="s">
        <v>3167</v>
      </c>
      <c r="AB232" s="57" t="s">
        <v>2511</v>
      </c>
      <c r="AC232" s="57">
        <v>0</v>
      </c>
      <c r="AD232" s="70"/>
      <c r="AE232" s="70"/>
      <c r="AF232" s="67" t="str">
        <f t="shared" si="53"/>
        <v>PULL_DOWN</v>
      </c>
      <c r="AG232" s="67" t="str">
        <f t="shared" si="45"/>
        <v>TRISTATE</v>
      </c>
      <c r="AH232" s="67" t="str">
        <f t="shared" si="54"/>
        <v>DISABLE</v>
      </c>
      <c r="AI232" s="71" t="str">
        <f t="shared" si="47"/>
        <v>N/A</v>
      </c>
      <c r="AJ232" s="189" t="b">
        <v>1</v>
      </c>
      <c r="AK232" s="189" t="b">
        <v>1</v>
      </c>
      <c r="AL232" s="189" t="b">
        <v>1</v>
      </c>
      <c r="AM232" s="189" t="b">
        <v>1</v>
      </c>
      <c r="AN232" s="189" t="b">
        <v>1</v>
      </c>
      <c r="AO232" s="189" t="b">
        <v>1</v>
      </c>
      <c r="AP232" s="69" t="str">
        <f t="shared" si="56"/>
        <v>VALID</v>
      </c>
      <c r="AQ232" s="196" t="s">
        <v>1795</v>
      </c>
      <c r="AR232" s="194" t="s">
        <v>79</v>
      </c>
      <c r="AS232" s="193"/>
      <c r="AT232" s="72"/>
      <c r="AU232" s="72"/>
      <c r="AV232" s="72"/>
      <c r="AW232" s="72"/>
      <c r="AX232" s="72"/>
      <c r="AY232" s="72"/>
      <c r="AZ232" s="193"/>
      <c r="BA232" s="193"/>
      <c r="BB232" s="8"/>
      <c r="BC232" s="140"/>
      <c r="BD232" s="147" t="s">
        <v>83</v>
      </c>
      <c r="BE232" s="147" t="s">
        <v>83</v>
      </c>
    </row>
    <row r="233" spans="1:57" ht="12.95" hidden="1" customHeight="1">
      <c r="A233" s="248" t="e">
        <v>#N/A</v>
      </c>
      <c r="B233" s="252" t="e">
        <v>#N/A</v>
      </c>
      <c r="C233" s="263" t="s">
        <v>288</v>
      </c>
      <c r="D233" s="239" t="s">
        <v>3162</v>
      </c>
      <c r="E233" s="58"/>
      <c r="F233" s="59" t="s">
        <v>484</v>
      </c>
      <c r="G233" s="191" t="s">
        <v>2511</v>
      </c>
      <c r="H233" s="192" t="s">
        <v>2206</v>
      </c>
      <c r="I233" s="61" t="s">
        <v>2511</v>
      </c>
      <c r="J233" s="61" t="s">
        <v>2511</v>
      </c>
      <c r="K233" s="62" t="s">
        <v>2511</v>
      </c>
      <c r="L233" s="60" t="s">
        <v>2511</v>
      </c>
      <c r="M233" s="61" t="s">
        <v>2388</v>
      </c>
      <c r="N233" s="61" t="s">
        <v>2511</v>
      </c>
      <c r="O233" s="61" t="s">
        <v>2511</v>
      </c>
      <c r="P233" s="62" t="s">
        <v>2511</v>
      </c>
      <c r="Q233" s="82"/>
      <c r="R233" s="82"/>
      <c r="S233" s="82"/>
      <c r="T233" s="82"/>
      <c r="U233" s="82"/>
      <c r="V233" s="138" t="s">
        <v>3170</v>
      </c>
      <c r="W233" s="57" t="s">
        <v>3166</v>
      </c>
      <c r="X233" s="126" t="s">
        <v>2511</v>
      </c>
      <c r="Y233" s="126" t="s">
        <v>2511</v>
      </c>
      <c r="Z233" s="57" t="s">
        <v>2511</v>
      </c>
      <c r="AA233" s="57" t="s">
        <v>3167</v>
      </c>
      <c r="AB233" s="57" t="s">
        <v>2511</v>
      </c>
      <c r="AC233" s="57">
        <v>0</v>
      </c>
      <c r="AD233" s="70"/>
      <c r="AE233" s="70"/>
      <c r="AF233" s="67" t="str">
        <f t="shared" si="53"/>
        <v>PULL_DOWN</v>
      </c>
      <c r="AG233" s="67" t="str">
        <f t="shared" si="45"/>
        <v>TRISTATE</v>
      </c>
      <c r="AH233" s="67" t="str">
        <f t="shared" si="54"/>
        <v>DISABLE</v>
      </c>
      <c r="AI233" s="71" t="str">
        <f t="shared" si="47"/>
        <v>N/A</v>
      </c>
      <c r="AJ233" s="189" t="b">
        <v>1</v>
      </c>
      <c r="AK233" s="189" t="b">
        <v>1</v>
      </c>
      <c r="AL233" s="189" t="b">
        <v>1</v>
      </c>
      <c r="AM233" s="189" t="b">
        <v>1</v>
      </c>
      <c r="AN233" s="189" t="b">
        <v>1</v>
      </c>
      <c r="AO233" s="189" t="b">
        <v>1</v>
      </c>
      <c r="AP233" s="69" t="str">
        <f t="shared" si="56"/>
        <v>VALID</v>
      </c>
      <c r="AQ233" s="196" t="s">
        <v>484</v>
      </c>
      <c r="AR233" s="194" t="s">
        <v>79</v>
      </c>
      <c r="AS233" s="193"/>
      <c r="AT233" s="72"/>
      <c r="AU233" s="72"/>
      <c r="AV233" s="72"/>
      <c r="AW233" s="72"/>
      <c r="AX233" s="72"/>
      <c r="AY233" s="72"/>
      <c r="AZ233" s="193"/>
      <c r="BA233" s="193"/>
      <c r="BB233" s="8"/>
      <c r="BC233" s="140"/>
      <c r="BD233" s="147" t="s">
        <v>83</v>
      </c>
      <c r="BE233" s="147" t="s">
        <v>83</v>
      </c>
    </row>
    <row r="234" spans="1:57" ht="12.95" hidden="1" customHeight="1">
      <c r="A234" s="248" t="e">
        <v>#N/A</v>
      </c>
      <c r="B234" s="252" t="e">
        <v>#N/A</v>
      </c>
      <c r="C234" s="263" t="s">
        <v>289</v>
      </c>
      <c r="D234" s="239" t="s">
        <v>3139</v>
      </c>
      <c r="E234" s="58"/>
      <c r="F234" s="59" t="s">
        <v>485</v>
      </c>
      <c r="G234" s="191" t="s">
        <v>2511</v>
      </c>
      <c r="H234" s="192" t="s">
        <v>2207</v>
      </c>
      <c r="I234" s="61" t="s">
        <v>2511</v>
      </c>
      <c r="J234" s="61" t="s">
        <v>2511</v>
      </c>
      <c r="K234" s="62" t="s">
        <v>2511</v>
      </c>
      <c r="L234" s="60" t="s">
        <v>2511</v>
      </c>
      <c r="M234" s="61" t="s">
        <v>2388</v>
      </c>
      <c r="N234" s="61" t="s">
        <v>2511</v>
      </c>
      <c r="O234" s="61" t="s">
        <v>2511</v>
      </c>
      <c r="P234" s="62" t="s">
        <v>2511</v>
      </c>
      <c r="Q234" s="82"/>
      <c r="R234" s="82"/>
      <c r="S234" s="82"/>
      <c r="T234" s="82"/>
      <c r="U234" s="82"/>
      <c r="V234" s="138" t="s">
        <v>3172</v>
      </c>
      <c r="W234" s="57" t="s">
        <v>3166</v>
      </c>
      <c r="X234" s="126" t="s">
        <v>2511</v>
      </c>
      <c r="Y234" s="126" t="s">
        <v>2511</v>
      </c>
      <c r="Z234" s="57" t="s">
        <v>2511</v>
      </c>
      <c r="AA234" s="57" t="s">
        <v>3167</v>
      </c>
      <c r="AB234" s="57" t="s">
        <v>2511</v>
      </c>
      <c r="AC234" s="57">
        <v>0</v>
      </c>
      <c r="AD234" s="70"/>
      <c r="AE234" s="70"/>
      <c r="AF234" s="67" t="str">
        <f t="shared" si="53"/>
        <v>PULL_DOWN</v>
      </c>
      <c r="AG234" s="67" t="str">
        <f t="shared" si="45"/>
        <v>TRISTATE</v>
      </c>
      <c r="AH234" s="67" t="str">
        <f t="shared" si="54"/>
        <v>DISABLE</v>
      </c>
      <c r="AI234" s="71" t="str">
        <f t="shared" si="47"/>
        <v>N/A</v>
      </c>
      <c r="AJ234" s="189" t="b">
        <v>1</v>
      </c>
      <c r="AK234" s="189" t="b">
        <v>1</v>
      </c>
      <c r="AL234" s="189" t="b">
        <v>1</v>
      </c>
      <c r="AM234" s="189" t="b">
        <v>1</v>
      </c>
      <c r="AN234" s="189" t="b">
        <v>1</v>
      </c>
      <c r="AO234" s="189" t="b">
        <v>1</v>
      </c>
      <c r="AP234" s="69" t="str">
        <f t="shared" si="56"/>
        <v>VALID</v>
      </c>
      <c r="AQ234" s="196" t="s">
        <v>485</v>
      </c>
      <c r="AR234" s="194" t="s">
        <v>79</v>
      </c>
      <c r="AS234" s="193"/>
      <c r="AT234" s="72"/>
      <c r="AU234" s="72"/>
      <c r="AV234" s="72"/>
      <c r="AW234" s="72"/>
      <c r="AX234" s="72"/>
      <c r="AY234" s="72"/>
      <c r="AZ234" s="193"/>
      <c r="BA234" s="193"/>
      <c r="BB234" s="8"/>
      <c r="BC234" s="140"/>
      <c r="BD234" s="147" t="s">
        <v>83</v>
      </c>
      <c r="BE234" s="147" t="s">
        <v>83</v>
      </c>
    </row>
    <row r="235" spans="1:57" ht="12.95" hidden="1" customHeight="1">
      <c r="A235" s="248" t="e">
        <v>#N/A</v>
      </c>
      <c r="B235" s="252" t="e">
        <v>#N/A</v>
      </c>
      <c r="C235" s="263" t="s">
        <v>290</v>
      </c>
      <c r="D235" s="239" t="s">
        <v>3174</v>
      </c>
      <c r="E235" s="58"/>
      <c r="F235" s="59" t="s">
        <v>486</v>
      </c>
      <c r="G235" s="191" t="s">
        <v>2511</v>
      </c>
      <c r="H235" s="192" t="s">
        <v>921</v>
      </c>
      <c r="I235" s="61" t="s">
        <v>2511</v>
      </c>
      <c r="J235" s="61" t="s">
        <v>2511</v>
      </c>
      <c r="K235" s="62" t="s">
        <v>2511</v>
      </c>
      <c r="L235" s="60" t="s">
        <v>2511</v>
      </c>
      <c r="M235" s="61" t="s">
        <v>2388</v>
      </c>
      <c r="N235" s="61" t="s">
        <v>2511</v>
      </c>
      <c r="O235" s="61" t="s">
        <v>2511</v>
      </c>
      <c r="P235" s="62" t="s">
        <v>2511</v>
      </c>
      <c r="Q235" s="82"/>
      <c r="R235" s="82"/>
      <c r="S235" s="82"/>
      <c r="T235" s="82"/>
      <c r="U235" s="82"/>
      <c r="V235" s="138" t="s">
        <v>3175</v>
      </c>
      <c r="W235" s="57" t="s">
        <v>3166</v>
      </c>
      <c r="X235" s="126" t="s">
        <v>2511</v>
      </c>
      <c r="Y235" s="126" t="s">
        <v>2511</v>
      </c>
      <c r="Z235" s="57" t="s">
        <v>2511</v>
      </c>
      <c r="AA235" s="57" t="s">
        <v>3167</v>
      </c>
      <c r="AB235" s="57" t="s">
        <v>2511</v>
      </c>
      <c r="AC235" s="57">
        <v>0</v>
      </c>
      <c r="AD235" s="70"/>
      <c r="AE235" s="70"/>
      <c r="AF235" s="67" t="str">
        <f t="shared" si="53"/>
        <v>PULL_DOWN</v>
      </c>
      <c r="AG235" s="67" t="str">
        <f t="shared" si="45"/>
        <v>TRISTATE</v>
      </c>
      <c r="AH235" s="67" t="str">
        <f t="shared" si="54"/>
        <v>DISABLE</v>
      </c>
      <c r="AI235" s="71" t="str">
        <f t="shared" si="47"/>
        <v>N/A</v>
      </c>
      <c r="AJ235" s="189" t="b">
        <v>1</v>
      </c>
      <c r="AK235" s="189" t="b">
        <v>1</v>
      </c>
      <c r="AL235" s="189" t="b">
        <v>1</v>
      </c>
      <c r="AM235" s="189" t="b">
        <v>1</v>
      </c>
      <c r="AN235" s="189" t="b">
        <v>1</v>
      </c>
      <c r="AO235" s="189" t="b">
        <v>1</v>
      </c>
      <c r="AP235" s="69" t="str">
        <f t="shared" si="56"/>
        <v>VALID</v>
      </c>
      <c r="AQ235" s="195" t="s">
        <v>486</v>
      </c>
      <c r="AR235" s="194" t="s">
        <v>79</v>
      </c>
      <c r="AS235" s="193"/>
      <c r="AT235" s="72"/>
      <c r="AU235" s="72"/>
      <c r="AV235" s="72"/>
      <c r="AW235" s="72"/>
      <c r="AX235" s="72"/>
      <c r="AY235" s="72"/>
      <c r="AZ235" s="193"/>
      <c r="BA235" s="193"/>
      <c r="BB235" s="8"/>
      <c r="BC235" s="140"/>
      <c r="BD235" s="147" t="s">
        <v>83</v>
      </c>
      <c r="BE235" s="147" t="s">
        <v>83</v>
      </c>
    </row>
    <row r="236" spans="1:57" ht="12.95" hidden="1" customHeight="1">
      <c r="A236" s="248" t="e">
        <v>#N/A</v>
      </c>
      <c r="B236" s="252" t="e">
        <v>#N/A</v>
      </c>
      <c r="C236" s="263" t="s">
        <v>291</v>
      </c>
      <c r="D236" s="239" t="s">
        <v>3176</v>
      </c>
      <c r="E236" s="58"/>
      <c r="F236" s="59" t="s">
        <v>487</v>
      </c>
      <c r="G236" s="191" t="s">
        <v>2511</v>
      </c>
      <c r="H236" s="192" t="s">
        <v>922</v>
      </c>
      <c r="I236" s="61" t="s">
        <v>2511</v>
      </c>
      <c r="J236" s="61" t="s">
        <v>2511</v>
      </c>
      <c r="K236" s="62" t="s">
        <v>2511</v>
      </c>
      <c r="L236" s="60" t="s">
        <v>2511</v>
      </c>
      <c r="M236" s="61" t="s">
        <v>2388</v>
      </c>
      <c r="N236" s="61" t="s">
        <v>2511</v>
      </c>
      <c r="O236" s="61" t="s">
        <v>2511</v>
      </c>
      <c r="P236" s="62" t="s">
        <v>2511</v>
      </c>
      <c r="Q236" s="82"/>
      <c r="R236" s="82"/>
      <c r="S236" s="82"/>
      <c r="T236" s="82"/>
      <c r="U236" s="82"/>
      <c r="V236" s="138" t="s">
        <v>3177</v>
      </c>
      <c r="W236" s="57" t="s">
        <v>3166</v>
      </c>
      <c r="X236" s="126" t="s">
        <v>2511</v>
      </c>
      <c r="Y236" s="126" t="s">
        <v>2511</v>
      </c>
      <c r="Z236" s="57" t="s">
        <v>2511</v>
      </c>
      <c r="AA236" s="57" t="s">
        <v>3167</v>
      </c>
      <c r="AB236" s="57" t="s">
        <v>2511</v>
      </c>
      <c r="AC236" s="57">
        <v>0</v>
      </c>
      <c r="AD236" s="70"/>
      <c r="AE236" s="70"/>
      <c r="AF236" s="67" t="str">
        <f t="shared" si="53"/>
        <v>PULL_DOWN</v>
      </c>
      <c r="AG236" s="67" t="str">
        <f t="shared" si="45"/>
        <v>TRISTATE</v>
      </c>
      <c r="AH236" s="67" t="str">
        <f t="shared" si="54"/>
        <v>DISABLE</v>
      </c>
      <c r="AI236" s="71" t="str">
        <f t="shared" si="47"/>
        <v>N/A</v>
      </c>
      <c r="AJ236" s="189" t="b">
        <v>1</v>
      </c>
      <c r="AK236" s="189" t="b">
        <v>1</v>
      </c>
      <c r="AL236" s="189" t="b">
        <v>1</v>
      </c>
      <c r="AM236" s="189" t="b">
        <v>1</v>
      </c>
      <c r="AN236" s="189" t="b">
        <v>1</v>
      </c>
      <c r="AO236" s="189" t="b">
        <v>1</v>
      </c>
      <c r="AP236" s="69" t="str">
        <f t="shared" si="56"/>
        <v>VALID</v>
      </c>
      <c r="AQ236" s="195" t="s">
        <v>487</v>
      </c>
      <c r="AR236" s="194" t="s">
        <v>79</v>
      </c>
      <c r="AS236" s="193"/>
      <c r="AT236" s="72"/>
      <c r="AU236" s="72"/>
      <c r="AV236" s="72"/>
      <c r="AW236" s="72"/>
      <c r="AX236" s="72"/>
      <c r="AY236" s="72"/>
      <c r="AZ236" s="193"/>
      <c r="BA236" s="193"/>
      <c r="BB236" s="8"/>
      <c r="BC236" s="140"/>
      <c r="BD236" s="147" t="s">
        <v>83</v>
      </c>
      <c r="BE236" s="147" t="s">
        <v>83</v>
      </c>
    </row>
    <row r="237" spans="1:57" ht="12.95" hidden="1" customHeight="1">
      <c r="A237" s="248" t="e">
        <v>#N/A</v>
      </c>
      <c r="B237" s="252" t="e">
        <v>#N/A</v>
      </c>
      <c r="C237" s="263" t="s">
        <v>853</v>
      </c>
      <c r="D237" s="239" t="s">
        <v>3178</v>
      </c>
      <c r="E237" s="58"/>
      <c r="F237" s="59" t="s">
        <v>1796</v>
      </c>
      <c r="G237" s="191" t="s">
        <v>2511</v>
      </c>
      <c r="H237" s="192" t="s">
        <v>2208</v>
      </c>
      <c r="I237" s="61" t="s">
        <v>2511</v>
      </c>
      <c r="J237" s="61" t="s">
        <v>2511</v>
      </c>
      <c r="K237" s="62" t="s">
        <v>2511</v>
      </c>
      <c r="L237" s="60" t="s">
        <v>2511</v>
      </c>
      <c r="M237" s="61" t="s">
        <v>2388</v>
      </c>
      <c r="N237" s="61" t="s">
        <v>2511</v>
      </c>
      <c r="O237" s="61" t="s">
        <v>2511</v>
      </c>
      <c r="P237" s="62" t="s">
        <v>2511</v>
      </c>
      <c r="Q237" s="82"/>
      <c r="R237" s="82"/>
      <c r="S237" s="82"/>
      <c r="T237" s="82"/>
      <c r="U237" s="82"/>
      <c r="V237" s="138" t="s">
        <v>3179</v>
      </c>
      <c r="W237" s="57" t="s">
        <v>3166</v>
      </c>
      <c r="X237" s="126" t="s">
        <v>2511</v>
      </c>
      <c r="Y237" s="126" t="s">
        <v>2511</v>
      </c>
      <c r="Z237" s="57" t="s">
        <v>2511</v>
      </c>
      <c r="AA237" s="57" t="s">
        <v>3167</v>
      </c>
      <c r="AB237" s="57" t="s">
        <v>2511</v>
      </c>
      <c r="AC237" s="57">
        <v>0</v>
      </c>
      <c r="AD237" s="70"/>
      <c r="AE237" s="70"/>
      <c r="AF237" s="67" t="str">
        <f t="shared" si="53"/>
        <v>PULL_DOWN</v>
      </c>
      <c r="AG237" s="67" t="str">
        <f t="shared" si="45"/>
        <v>TRISTATE</v>
      </c>
      <c r="AH237" s="67" t="str">
        <f t="shared" si="54"/>
        <v>DISABLE</v>
      </c>
      <c r="AI237" s="71" t="str">
        <f t="shared" si="47"/>
        <v>N/A</v>
      </c>
      <c r="AJ237" s="189" t="b">
        <v>1</v>
      </c>
      <c r="AK237" s="189" t="b">
        <v>1</v>
      </c>
      <c r="AL237" s="189" t="b">
        <v>1</v>
      </c>
      <c r="AM237" s="189" t="b">
        <v>1</v>
      </c>
      <c r="AN237" s="189" t="b">
        <v>1</v>
      </c>
      <c r="AO237" s="189" t="b">
        <v>1</v>
      </c>
      <c r="AP237" s="69" t="str">
        <f t="shared" si="56"/>
        <v>VALID</v>
      </c>
      <c r="AQ237" s="195" t="s">
        <v>1796</v>
      </c>
      <c r="AR237" s="194" t="s">
        <v>79</v>
      </c>
      <c r="AS237" s="193"/>
      <c r="AT237" s="72"/>
      <c r="AU237" s="72"/>
      <c r="AV237" s="72"/>
      <c r="AW237" s="72"/>
      <c r="AX237" s="72"/>
      <c r="AY237" s="72"/>
      <c r="AZ237" s="193"/>
      <c r="BA237" s="193"/>
      <c r="BB237" s="8"/>
      <c r="BC237" s="140"/>
      <c r="BD237" s="147" t="s">
        <v>83</v>
      </c>
      <c r="BE237" s="147" t="s">
        <v>83</v>
      </c>
    </row>
    <row r="238" spans="1:57" ht="12.95" hidden="1" customHeight="1">
      <c r="A238" s="248" t="e">
        <v>#N/A</v>
      </c>
      <c r="B238" s="252" t="e">
        <v>#N/A</v>
      </c>
      <c r="C238" s="263" t="s">
        <v>854</v>
      </c>
      <c r="D238" s="239" t="s">
        <v>3181</v>
      </c>
      <c r="E238" s="58"/>
      <c r="F238" s="59" t="s">
        <v>1797</v>
      </c>
      <c r="G238" s="191" t="s">
        <v>2511</v>
      </c>
      <c r="H238" s="192" t="s">
        <v>2209</v>
      </c>
      <c r="I238" s="61" t="s">
        <v>2511</v>
      </c>
      <c r="J238" s="61" t="s">
        <v>2511</v>
      </c>
      <c r="K238" s="62" t="s">
        <v>2511</v>
      </c>
      <c r="L238" s="60" t="s">
        <v>2511</v>
      </c>
      <c r="M238" s="61" t="s">
        <v>2388</v>
      </c>
      <c r="N238" s="61" t="s">
        <v>2511</v>
      </c>
      <c r="O238" s="61" t="s">
        <v>2511</v>
      </c>
      <c r="P238" s="62" t="s">
        <v>2511</v>
      </c>
      <c r="Q238" s="82"/>
      <c r="R238" s="82"/>
      <c r="S238" s="82"/>
      <c r="T238" s="82"/>
      <c r="U238" s="82"/>
      <c r="V238" s="138" t="s">
        <v>3182</v>
      </c>
      <c r="W238" s="57" t="s">
        <v>3166</v>
      </c>
      <c r="X238" s="126" t="s">
        <v>2511</v>
      </c>
      <c r="Y238" s="126" t="s">
        <v>2511</v>
      </c>
      <c r="Z238" s="57" t="s">
        <v>2511</v>
      </c>
      <c r="AA238" s="57" t="s">
        <v>3167</v>
      </c>
      <c r="AB238" s="57" t="s">
        <v>2511</v>
      </c>
      <c r="AC238" s="57">
        <v>0</v>
      </c>
      <c r="AD238" s="70"/>
      <c r="AE238" s="70"/>
      <c r="AF238" s="67" t="str">
        <f t="shared" si="53"/>
        <v>PULL_DOWN</v>
      </c>
      <c r="AG238" s="67" t="str">
        <f t="shared" si="45"/>
        <v>TRISTATE</v>
      </c>
      <c r="AH238" s="67" t="str">
        <f t="shared" si="54"/>
        <v>DISABLE</v>
      </c>
      <c r="AI238" s="71" t="str">
        <f t="shared" si="47"/>
        <v>N/A</v>
      </c>
      <c r="AJ238" s="189" t="b">
        <v>1</v>
      </c>
      <c r="AK238" s="189" t="b">
        <v>1</v>
      </c>
      <c r="AL238" s="189" t="b">
        <v>1</v>
      </c>
      <c r="AM238" s="189" t="b">
        <v>1</v>
      </c>
      <c r="AN238" s="189" t="b">
        <v>1</v>
      </c>
      <c r="AO238" s="189" t="b">
        <v>1</v>
      </c>
      <c r="AP238" s="69" t="str">
        <f t="shared" si="56"/>
        <v>VALID</v>
      </c>
      <c r="AQ238" s="195" t="s">
        <v>1797</v>
      </c>
      <c r="AR238" s="194" t="s">
        <v>79</v>
      </c>
      <c r="AS238" s="193"/>
      <c r="AT238" s="72"/>
      <c r="AU238" s="72"/>
      <c r="AV238" s="72"/>
      <c r="AW238" s="72"/>
      <c r="AX238" s="72"/>
      <c r="AY238" s="72"/>
      <c r="AZ238" s="193"/>
      <c r="BA238" s="193"/>
      <c r="BB238" s="8"/>
      <c r="BC238" s="140"/>
      <c r="BD238" s="147" t="s">
        <v>83</v>
      </c>
      <c r="BE238" s="147" t="s">
        <v>83</v>
      </c>
    </row>
    <row r="239" spans="1:57" ht="12.95" customHeight="1">
      <c r="A239" s="247" t="s">
        <v>5483</v>
      </c>
      <c r="B239" s="251">
        <v>175</v>
      </c>
      <c r="C239" s="285" t="s">
        <v>1050</v>
      </c>
      <c r="D239" s="239" t="s">
        <v>3183</v>
      </c>
      <c r="E239" s="58"/>
      <c r="F239" s="59" t="s">
        <v>1798</v>
      </c>
      <c r="G239" s="191" t="s">
        <v>2511</v>
      </c>
      <c r="H239" s="192" t="s">
        <v>2210</v>
      </c>
      <c r="I239" s="61" t="s">
        <v>2511</v>
      </c>
      <c r="J239" s="61" t="s">
        <v>2511</v>
      </c>
      <c r="K239" s="62" t="s">
        <v>2511</v>
      </c>
      <c r="L239" s="60" t="s">
        <v>2511</v>
      </c>
      <c r="M239" s="61" t="s">
        <v>2388</v>
      </c>
      <c r="N239" s="61" t="s">
        <v>2511</v>
      </c>
      <c r="O239" s="61" t="s">
        <v>2511</v>
      </c>
      <c r="P239" s="62" t="s">
        <v>2511</v>
      </c>
      <c r="Q239" s="82"/>
      <c r="R239" s="82"/>
      <c r="S239" s="82"/>
      <c r="T239" s="82"/>
      <c r="U239" s="82"/>
      <c r="V239" s="138" t="s">
        <v>3184</v>
      </c>
      <c r="W239" s="57" t="s">
        <v>3166</v>
      </c>
      <c r="X239" s="126" t="s">
        <v>2511</v>
      </c>
      <c r="Y239" s="126" t="s">
        <v>2511</v>
      </c>
      <c r="Z239" s="57" t="s">
        <v>2511</v>
      </c>
      <c r="AA239" s="57" t="s">
        <v>3167</v>
      </c>
      <c r="AB239" s="57" t="s">
        <v>2511</v>
      </c>
      <c r="AC239" s="57">
        <v>0</v>
      </c>
      <c r="AD239" s="70"/>
      <c r="AE239" s="70"/>
      <c r="AF239" s="67" t="str">
        <f t="shared" si="53"/>
        <v>NORMAL</v>
      </c>
      <c r="AG239" s="67" t="str">
        <f t="shared" si="45"/>
        <v>NORMAL</v>
      </c>
      <c r="AH239" s="67" t="str">
        <f t="shared" si="54"/>
        <v>DISABLE</v>
      </c>
      <c r="AI239" s="71" t="str">
        <f t="shared" si="47"/>
        <v>N/A</v>
      </c>
      <c r="AJ239" s="189" t="b">
        <v>1</v>
      </c>
      <c r="AK239" s="189" t="b">
        <v>1</v>
      </c>
      <c r="AL239" s="189" t="b">
        <v>1</v>
      </c>
      <c r="AM239" s="189" t="b">
        <v>1</v>
      </c>
      <c r="AN239" s="189" t="b">
        <v>1</v>
      </c>
      <c r="AO239" s="189" t="b">
        <v>1</v>
      </c>
      <c r="AP239" s="69" t="str">
        <f t="shared" si="56"/>
        <v>VALID</v>
      </c>
      <c r="AQ239" s="195" t="s">
        <v>2210</v>
      </c>
      <c r="AR239" s="194" t="s">
        <v>861</v>
      </c>
      <c r="AS239" s="193"/>
      <c r="AT239" s="72"/>
      <c r="AU239" s="72"/>
      <c r="AV239" s="72"/>
      <c r="AW239" s="72"/>
      <c r="AX239" s="72"/>
      <c r="AY239" s="72"/>
      <c r="AZ239" s="193"/>
      <c r="BA239" s="193"/>
      <c r="BB239" s="8"/>
      <c r="BC239" s="140"/>
      <c r="BD239" s="11" t="s">
        <v>5691</v>
      </c>
      <c r="BE239" s="312" t="s">
        <v>5693</v>
      </c>
    </row>
    <row r="240" spans="1:57" ht="12.95" customHeight="1">
      <c r="A240" s="247" t="s">
        <v>5484</v>
      </c>
      <c r="B240" s="251">
        <v>173</v>
      </c>
      <c r="C240" s="285" t="s">
        <v>1051</v>
      </c>
      <c r="D240" s="239" t="s">
        <v>3186</v>
      </c>
      <c r="E240" s="58"/>
      <c r="F240" s="59" t="s">
        <v>1799</v>
      </c>
      <c r="G240" s="191" t="s">
        <v>2511</v>
      </c>
      <c r="H240" s="192" t="s">
        <v>2211</v>
      </c>
      <c r="I240" s="61" t="s">
        <v>2511</v>
      </c>
      <c r="J240" s="61" t="s">
        <v>2511</v>
      </c>
      <c r="K240" s="62" t="s">
        <v>2511</v>
      </c>
      <c r="L240" s="60" t="s">
        <v>2511</v>
      </c>
      <c r="M240" s="61" t="s">
        <v>2388</v>
      </c>
      <c r="N240" s="61" t="s">
        <v>2511</v>
      </c>
      <c r="O240" s="61" t="s">
        <v>2511</v>
      </c>
      <c r="P240" s="62" t="s">
        <v>2511</v>
      </c>
      <c r="Q240" s="82"/>
      <c r="R240" s="82"/>
      <c r="S240" s="82"/>
      <c r="T240" s="82"/>
      <c r="U240" s="82"/>
      <c r="V240" s="138" t="s">
        <v>3187</v>
      </c>
      <c r="W240" s="57" t="s">
        <v>3166</v>
      </c>
      <c r="X240" s="126" t="s">
        <v>2511</v>
      </c>
      <c r="Y240" s="126" t="s">
        <v>2511</v>
      </c>
      <c r="Z240" s="57" t="s">
        <v>2511</v>
      </c>
      <c r="AA240" s="57" t="s">
        <v>3167</v>
      </c>
      <c r="AB240" s="57" t="s">
        <v>2511</v>
      </c>
      <c r="AC240" s="57">
        <v>0</v>
      </c>
      <c r="AD240" s="70"/>
      <c r="AE240" s="70"/>
      <c r="AF240" s="67" t="str">
        <f t="shared" si="53"/>
        <v>NORMAL</v>
      </c>
      <c r="AG240" s="67" t="str">
        <f t="shared" si="45"/>
        <v>NORMAL</v>
      </c>
      <c r="AH240" s="67" t="str">
        <f t="shared" si="54"/>
        <v>DISABLE</v>
      </c>
      <c r="AI240" s="71" t="str">
        <f t="shared" si="47"/>
        <v>N/A</v>
      </c>
      <c r="AJ240" s="189" t="b">
        <v>1</v>
      </c>
      <c r="AK240" s="189" t="b">
        <v>1</v>
      </c>
      <c r="AL240" s="189" t="b">
        <v>1</v>
      </c>
      <c r="AM240" s="189" t="b">
        <v>1</v>
      </c>
      <c r="AN240" s="189" t="b">
        <v>1</v>
      </c>
      <c r="AO240" s="189" t="b">
        <v>1</v>
      </c>
      <c r="AP240" s="69" t="str">
        <f t="shared" si="56"/>
        <v>VALID</v>
      </c>
      <c r="AQ240" s="195" t="s">
        <v>2211</v>
      </c>
      <c r="AR240" s="194" t="s">
        <v>861</v>
      </c>
      <c r="AS240" s="193"/>
      <c r="AT240" s="72"/>
      <c r="AU240" s="72"/>
      <c r="AV240" s="72"/>
      <c r="AW240" s="72"/>
      <c r="AX240" s="72"/>
      <c r="AY240" s="72"/>
      <c r="AZ240" s="193"/>
      <c r="BA240" s="193"/>
      <c r="BB240" s="8"/>
      <c r="BC240" s="140"/>
      <c r="BD240" s="11" t="s">
        <v>5692</v>
      </c>
      <c r="BE240" s="312" t="s">
        <v>5693</v>
      </c>
    </row>
    <row r="241" spans="1:57" s="56" customFormat="1" ht="18" customHeight="1">
      <c r="A241" s="355"/>
      <c r="B241" s="356"/>
      <c r="C241" s="265" t="s">
        <v>1739</v>
      </c>
      <c r="D241" s="266"/>
      <c r="E241" s="73"/>
      <c r="F241" s="73"/>
      <c r="G241" s="74"/>
      <c r="H241" s="74"/>
      <c r="I241" s="74"/>
      <c r="J241" s="74"/>
      <c r="K241" s="74"/>
      <c r="L241" s="73"/>
      <c r="M241" s="73"/>
      <c r="N241" s="73"/>
      <c r="O241" s="73"/>
      <c r="P241" s="73"/>
      <c r="Q241" s="73"/>
      <c r="R241" s="73"/>
      <c r="S241" s="73"/>
      <c r="T241" s="73"/>
      <c r="U241" s="73"/>
      <c r="V241" s="73"/>
      <c r="W241" s="73"/>
      <c r="X241" s="73"/>
      <c r="Y241" s="73"/>
      <c r="Z241" s="73"/>
      <c r="AA241" s="73"/>
      <c r="AB241" s="73"/>
      <c r="AC241" s="73"/>
      <c r="AD241" s="73"/>
      <c r="AE241" s="73"/>
      <c r="AF241" s="75"/>
      <c r="AG241" s="75"/>
      <c r="AH241" s="75"/>
      <c r="AI241" s="75"/>
      <c r="AJ241" s="53"/>
      <c r="AK241" s="53"/>
      <c r="AL241" s="53"/>
      <c r="AM241" s="53"/>
      <c r="AN241" s="53"/>
      <c r="AO241" s="53"/>
      <c r="AP241" s="53"/>
      <c r="AQ241" s="54"/>
      <c r="AR241" s="76"/>
      <c r="AS241" s="77"/>
      <c r="AT241" s="77"/>
      <c r="AU241" s="77"/>
      <c r="AV241" s="77"/>
      <c r="AW241" s="77"/>
      <c r="AX241" s="77"/>
      <c r="AY241" s="77"/>
      <c r="AZ241" s="77"/>
      <c r="BA241" s="77"/>
      <c r="BB241" s="77"/>
      <c r="BC241" s="175" t="s">
        <v>59</v>
      </c>
      <c r="BD241" s="186"/>
      <c r="BE241" s="228" t="s">
        <v>1739</v>
      </c>
    </row>
    <row r="242" spans="1:57" ht="12.95" customHeight="1">
      <c r="A242" s="247" t="s">
        <v>5476</v>
      </c>
      <c r="B242" s="251">
        <v>162</v>
      </c>
      <c r="C242" s="239" t="s">
        <v>1046</v>
      </c>
      <c r="D242" s="239" t="s">
        <v>3189</v>
      </c>
      <c r="E242" s="58"/>
      <c r="F242" s="59" t="s">
        <v>1793</v>
      </c>
      <c r="G242" s="191" t="s">
        <v>2511</v>
      </c>
      <c r="H242" s="192" t="s">
        <v>2468</v>
      </c>
      <c r="I242" s="61" t="s">
        <v>2511</v>
      </c>
      <c r="J242" s="61" t="s">
        <v>2511</v>
      </c>
      <c r="K242" s="62" t="s">
        <v>2511</v>
      </c>
      <c r="L242" s="60" t="s">
        <v>2511</v>
      </c>
      <c r="M242" s="61" t="s">
        <v>2388</v>
      </c>
      <c r="N242" s="61" t="s">
        <v>2511</v>
      </c>
      <c r="O242" s="61" t="s">
        <v>2511</v>
      </c>
      <c r="P242" s="62" t="s">
        <v>2511</v>
      </c>
      <c r="Q242" s="7"/>
      <c r="R242" s="58"/>
      <c r="S242" s="58"/>
      <c r="T242" s="58"/>
      <c r="U242" s="63"/>
      <c r="V242" s="138" t="s">
        <v>3190</v>
      </c>
      <c r="W242" s="57" t="s">
        <v>3191</v>
      </c>
      <c r="X242" s="126" t="s">
        <v>2511</v>
      </c>
      <c r="Y242" s="126" t="s">
        <v>2511</v>
      </c>
      <c r="Z242" s="57" t="s">
        <v>2511</v>
      </c>
      <c r="AA242" s="57" t="s">
        <v>3192</v>
      </c>
      <c r="AB242" s="57" t="s">
        <v>2511</v>
      </c>
      <c r="AC242" s="57">
        <v>0</v>
      </c>
      <c r="AD242" s="70"/>
      <c r="AE242" s="70"/>
      <c r="AF242" s="67" t="str">
        <f t="shared" si="53"/>
        <v>NORMAL</v>
      </c>
      <c r="AG242" s="67" t="str">
        <f t="shared" ref="AG242:AG263" si="57">IF($AR242="Input", "TRISTATE", IF($AS242="Z","TRISTATE",IF($AQ242=$F242,"TRISTATE","NORMAL")))</f>
        <v>NORMAL</v>
      </c>
      <c r="AH242" s="67" t="str">
        <f t="shared" si="54"/>
        <v>DISABLE</v>
      </c>
      <c r="AI242" s="71" t="str">
        <f t="shared" si="47"/>
        <v>N/A</v>
      </c>
      <c r="AJ242" s="189" t="b">
        <v>1</v>
      </c>
      <c r="AK242" s="189" t="b">
        <v>1</v>
      </c>
      <c r="AL242" s="189" t="b">
        <v>1</v>
      </c>
      <c r="AM242" s="189" t="b">
        <v>1</v>
      </c>
      <c r="AN242" s="189" t="b">
        <v>1</v>
      </c>
      <c r="AO242" s="189" t="b">
        <v>1</v>
      </c>
      <c r="AP242" s="69" t="str">
        <f>IF(AND($AJ242:$AO242), "VALID", "INVALID")</f>
        <v>VALID</v>
      </c>
      <c r="AQ242" s="196" t="s">
        <v>2468</v>
      </c>
      <c r="AR242" s="194" t="s">
        <v>861</v>
      </c>
      <c r="AS242" s="193"/>
      <c r="AT242" s="72"/>
      <c r="AU242" s="72"/>
      <c r="AV242" s="72"/>
      <c r="AW242" s="72"/>
      <c r="AX242" s="72"/>
      <c r="AY242" s="72"/>
      <c r="AZ242" s="193"/>
      <c r="BA242" s="193"/>
      <c r="BB242" s="8"/>
      <c r="BC242" s="140"/>
      <c r="BD242" s="11" t="s">
        <v>5694</v>
      </c>
      <c r="BE242" s="312" t="s">
        <v>5695</v>
      </c>
    </row>
    <row r="243" spans="1:57" ht="12.95" customHeight="1">
      <c r="A243" s="247" t="s">
        <v>5475</v>
      </c>
      <c r="B243" s="251">
        <v>160</v>
      </c>
      <c r="C243" s="239" t="s">
        <v>1047</v>
      </c>
      <c r="D243" s="239" t="s">
        <v>3194</v>
      </c>
      <c r="E243" s="58"/>
      <c r="F243" s="59" t="s">
        <v>1792</v>
      </c>
      <c r="G243" s="191" t="s">
        <v>2511</v>
      </c>
      <c r="H243" s="192" t="s">
        <v>2469</v>
      </c>
      <c r="I243" s="61" t="s">
        <v>2511</v>
      </c>
      <c r="J243" s="61" t="s">
        <v>2511</v>
      </c>
      <c r="K243" s="62" t="s">
        <v>2511</v>
      </c>
      <c r="L243" s="60" t="s">
        <v>2511</v>
      </c>
      <c r="M243" s="61" t="s">
        <v>2388</v>
      </c>
      <c r="N243" s="61" t="s">
        <v>2511</v>
      </c>
      <c r="O243" s="61" t="s">
        <v>2511</v>
      </c>
      <c r="P243" s="62" t="s">
        <v>2511</v>
      </c>
      <c r="Q243" s="7"/>
      <c r="R243" s="58"/>
      <c r="S243" s="58"/>
      <c r="T243" s="58"/>
      <c r="U243" s="63"/>
      <c r="V243" s="138" t="s">
        <v>3195</v>
      </c>
      <c r="W243" s="57" t="s">
        <v>3191</v>
      </c>
      <c r="X243" s="126" t="s">
        <v>2511</v>
      </c>
      <c r="Y243" s="126" t="s">
        <v>2511</v>
      </c>
      <c r="Z243" s="57" t="s">
        <v>2511</v>
      </c>
      <c r="AA243" s="57" t="s">
        <v>3192</v>
      </c>
      <c r="AB243" s="57" t="s">
        <v>2511</v>
      </c>
      <c r="AC243" s="57">
        <v>0</v>
      </c>
      <c r="AD243" s="70"/>
      <c r="AE243" s="70"/>
      <c r="AF243" s="67" t="str">
        <f t="shared" si="53"/>
        <v>NORMAL</v>
      </c>
      <c r="AG243" s="67" t="str">
        <f t="shared" si="57"/>
        <v>NORMAL</v>
      </c>
      <c r="AH243" s="67" t="str">
        <f t="shared" si="54"/>
        <v>DISABLE</v>
      </c>
      <c r="AI243" s="71" t="str">
        <f t="shared" si="47"/>
        <v>N/A</v>
      </c>
      <c r="AJ243" s="189" t="b">
        <v>1</v>
      </c>
      <c r="AK243" s="189" t="b">
        <v>1</v>
      </c>
      <c r="AL243" s="189" t="b">
        <v>1</v>
      </c>
      <c r="AM243" s="189" t="b">
        <v>1</v>
      </c>
      <c r="AN243" s="189" t="b">
        <v>1</v>
      </c>
      <c r="AO243" s="189" t="b">
        <v>1</v>
      </c>
      <c r="AP243" s="69" t="str">
        <f>IF(AND($AJ243:$AO243), "VALID", "INVALID")</f>
        <v>VALID</v>
      </c>
      <c r="AQ243" s="196" t="s">
        <v>2469</v>
      </c>
      <c r="AR243" s="194" t="s">
        <v>861</v>
      </c>
      <c r="AS243" s="193"/>
      <c r="AT243" s="72"/>
      <c r="AU243" s="72"/>
      <c r="AV243" s="72"/>
      <c r="AW243" s="72"/>
      <c r="AX243" s="72"/>
      <c r="AY243" s="72"/>
      <c r="AZ243" s="193"/>
      <c r="BA243" s="193"/>
      <c r="BB243" s="8"/>
      <c r="BC243" s="140"/>
      <c r="BD243" s="11" t="s">
        <v>5696</v>
      </c>
      <c r="BE243" s="312" t="s">
        <v>5695</v>
      </c>
    </row>
    <row r="244" spans="1:57" s="56" customFormat="1" ht="18" customHeight="1">
      <c r="A244" s="355"/>
      <c r="B244" s="356"/>
      <c r="C244" s="266" t="s">
        <v>561</v>
      </c>
      <c r="D244" s="266"/>
      <c r="E244" s="73"/>
      <c r="F244" s="73"/>
      <c r="G244" s="74"/>
      <c r="H244" s="74"/>
      <c r="I244" s="74"/>
      <c r="J244" s="74"/>
      <c r="K244" s="74"/>
      <c r="L244" s="73"/>
      <c r="M244" s="73"/>
      <c r="N244" s="73"/>
      <c r="O244" s="73"/>
      <c r="P244" s="73"/>
      <c r="Q244" s="73"/>
      <c r="R244" s="73"/>
      <c r="S244" s="73"/>
      <c r="T244" s="73"/>
      <c r="U244" s="73"/>
      <c r="V244" s="73"/>
      <c r="W244" s="73"/>
      <c r="X244" s="127"/>
      <c r="Y244" s="127"/>
      <c r="Z244" s="75"/>
      <c r="AA244" s="75"/>
      <c r="AB244" s="75"/>
      <c r="AC244" s="75"/>
      <c r="AD244" s="75"/>
      <c r="AE244" s="75"/>
      <c r="AF244" s="75"/>
      <c r="AG244" s="75"/>
      <c r="AH244" s="75"/>
      <c r="AI244" s="75"/>
      <c r="AJ244" s="53"/>
      <c r="AK244" s="53"/>
      <c r="AL244" s="53"/>
      <c r="AM244" s="53"/>
      <c r="AN244" s="53"/>
      <c r="AO244" s="53"/>
      <c r="AP244" s="53"/>
      <c r="AQ244" s="54"/>
      <c r="AR244" s="76"/>
      <c r="AS244" s="77"/>
      <c r="AT244" s="77"/>
      <c r="AU244" s="77"/>
      <c r="AV244" s="77"/>
      <c r="AW244" s="77"/>
      <c r="AX244" s="77"/>
      <c r="AY244" s="77"/>
      <c r="AZ244" s="77"/>
      <c r="BA244" s="77"/>
      <c r="BB244" s="77"/>
      <c r="BC244" s="175" t="s">
        <v>59</v>
      </c>
      <c r="BD244" s="186"/>
      <c r="BE244" s="231" t="s">
        <v>561</v>
      </c>
    </row>
    <row r="245" spans="1:57" ht="12.95" customHeight="1">
      <c r="A245" s="247" t="s">
        <v>5439</v>
      </c>
      <c r="B245" s="251">
        <v>92</v>
      </c>
      <c r="C245" s="239" t="s">
        <v>74</v>
      </c>
      <c r="D245" s="239" t="s">
        <v>3197</v>
      </c>
      <c r="E245" s="58"/>
      <c r="F245" s="59" t="s">
        <v>223</v>
      </c>
      <c r="G245" s="191" t="s">
        <v>2511</v>
      </c>
      <c r="H245" s="192" t="s">
        <v>74</v>
      </c>
      <c r="I245" s="61" t="s">
        <v>2407</v>
      </c>
      <c r="J245" s="61"/>
      <c r="K245" s="62" t="s">
        <v>2511</v>
      </c>
      <c r="L245" s="60" t="s">
        <v>2511</v>
      </c>
      <c r="M245" s="61" t="s">
        <v>2389</v>
      </c>
      <c r="N245" s="61" t="s">
        <v>2389</v>
      </c>
      <c r="O245" s="61" t="s">
        <v>2388</v>
      </c>
      <c r="P245" s="62" t="s">
        <v>2511</v>
      </c>
      <c r="Q245" s="82"/>
      <c r="R245" s="82"/>
      <c r="S245" s="82"/>
      <c r="T245" s="82"/>
      <c r="U245" s="82"/>
      <c r="V245" s="138" t="s">
        <v>3198</v>
      </c>
      <c r="W245" s="57" t="s">
        <v>3199</v>
      </c>
      <c r="X245" s="126" t="s">
        <v>2511</v>
      </c>
      <c r="Y245" s="126" t="s">
        <v>2511</v>
      </c>
      <c r="Z245" s="57" t="s">
        <v>3200</v>
      </c>
      <c r="AA245" s="57" t="s">
        <v>3201</v>
      </c>
      <c r="AB245" s="57" t="s">
        <v>900</v>
      </c>
      <c r="AC245" s="57" t="s">
        <v>2631</v>
      </c>
      <c r="AD245" s="70"/>
      <c r="AE245" s="70"/>
      <c r="AF245" s="67" t="str">
        <f t="shared" ref="AF245:AF263" si="58">IF(AND(OR($AS245="Int PU",$AS245="Int PD"),OR(AND($AZ245&lt;&gt;"",$AZ245&lt;&gt;"0"),AND($BA245&lt;&gt;"",$BA245&lt;&gt;"0"))),"INVALID",IF(OR($AQ245=$F245,$AS245="Int PD"),"PULL_DOWN",IF(OR($AS245="Int PU",AND($AE245="YES",OR($AZ245="",$AZ245="0"),OR($BA245="",$BA245="0"),OR($AR245="Input",$AR245="Bidirectional"))),"PULL_UP","NORMAL")))</f>
        <v>NORMAL</v>
      </c>
      <c r="AG245" s="67" t="str">
        <f t="shared" si="57"/>
        <v>NORMAL</v>
      </c>
      <c r="AH245" s="67" t="str">
        <f t="shared" ref="AH245:AH263" si="59">IF(OR($AQ245=$F245,$AR245="Output"),"DISABLE","ENABLE")</f>
        <v>ENABLE</v>
      </c>
      <c r="AI245" s="71" t="str">
        <f t="shared" ref="AI245:AI263" si="60">IF($AQ245&lt;&gt;$G245,"N/A",IF($AS245="Drive 1", "1", IF($AS245="Drive 0", "0", "")))</f>
        <v>N/A</v>
      </c>
      <c r="AJ245" s="189" t="b">
        <v>1</v>
      </c>
      <c r="AK245" s="189" t="b">
        <v>1</v>
      </c>
      <c r="AL245" s="189" t="b">
        <v>1</v>
      </c>
      <c r="AM245" s="189" t="b">
        <v>1</v>
      </c>
      <c r="AN245" s="189" t="b">
        <v>1</v>
      </c>
      <c r="AO245" s="189" t="b">
        <v>1</v>
      </c>
      <c r="AP245" s="69" t="str">
        <f t="shared" ref="AP245:AP263" si="61">IF(AND($AJ245:$AO245), "VALID", "INVALID")</f>
        <v>VALID</v>
      </c>
      <c r="AQ245" s="196" t="s">
        <v>74</v>
      </c>
      <c r="AR245" s="2" t="s">
        <v>860</v>
      </c>
      <c r="AS245" s="193"/>
      <c r="AT245" s="3"/>
      <c r="AU245" s="3"/>
      <c r="AV245" s="22"/>
      <c r="AW245" s="72"/>
      <c r="AX245" s="72"/>
      <c r="AY245" s="72"/>
      <c r="AZ245" s="4"/>
      <c r="BA245" s="4"/>
      <c r="BB245" s="13" t="s">
        <v>114</v>
      </c>
      <c r="BC245" s="139"/>
      <c r="BD245" s="17" t="s">
        <v>75</v>
      </c>
      <c r="BE245" s="333" t="s">
        <v>5642</v>
      </c>
    </row>
    <row r="246" spans="1:57" ht="12.95" customHeight="1">
      <c r="A246" s="247" t="s">
        <v>5438</v>
      </c>
      <c r="B246" s="251">
        <v>90</v>
      </c>
      <c r="C246" s="239" t="s">
        <v>75</v>
      </c>
      <c r="D246" s="239" t="s">
        <v>3202</v>
      </c>
      <c r="E246" s="58"/>
      <c r="F246" s="59" t="s">
        <v>224</v>
      </c>
      <c r="G246" s="191" t="s">
        <v>2511</v>
      </c>
      <c r="H246" s="192" t="s">
        <v>75</v>
      </c>
      <c r="I246" s="61" t="s">
        <v>2408</v>
      </c>
      <c r="J246" s="61"/>
      <c r="K246" s="62" t="s">
        <v>2511</v>
      </c>
      <c r="L246" s="60" t="s">
        <v>2511</v>
      </c>
      <c r="M246" s="61" t="s">
        <v>2389</v>
      </c>
      <c r="N246" s="61" t="s">
        <v>2389</v>
      </c>
      <c r="O246" s="61" t="s">
        <v>2523</v>
      </c>
      <c r="P246" s="62" t="s">
        <v>2511</v>
      </c>
      <c r="Q246" s="82"/>
      <c r="R246" s="82"/>
      <c r="S246" s="82"/>
      <c r="T246" s="82"/>
      <c r="U246" s="82"/>
      <c r="V246" s="138" t="s">
        <v>3203</v>
      </c>
      <c r="W246" s="57" t="s">
        <v>3199</v>
      </c>
      <c r="X246" s="126" t="s">
        <v>2511</v>
      </c>
      <c r="Y246" s="126" t="s">
        <v>2511</v>
      </c>
      <c r="Z246" s="57" t="s">
        <v>3200</v>
      </c>
      <c r="AA246" s="57" t="s">
        <v>3201</v>
      </c>
      <c r="AB246" s="57" t="s">
        <v>900</v>
      </c>
      <c r="AC246" s="57" t="s">
        <v>2631</v>
      </c>
      <c r="AD246" s="70"/>
      <c r="AE246" s="70"/>
      <c r="AF246" s="67" t="str">
        <f t="shared" si="58"/>
        <v>NORMAL</v>
      </c>
      <c r="AG246" s="67" t="str">
        <f t="shared" si="57"/>
        <v>NORMAL</v>
      </c>
      <c r="AH246" s="67" t="str">
        <f t="shared" si="59"/>
        <v>ENABLE</v>
      </c>
      <c r="AI246" s="71" t="str">
        <f t="shared" si="60"/>
        <v>N/A</v>
      </c>
      <c r="AJ246" s="189" t="b">
        <v>1</v>
      </c>
      <c r="AK246" s="189" t="b">
        <v>1</v>
      </c>
      <c r="AL246" s="189" t="b">
        <v>1</v>
      </c>
      <c r="AM246" s="189" t="b">
        <v>1</v>
      </c>
      <c r="AN246" s="189" t="b">
        <v>1</v>
      </c>
      <c r="AO246" s="189" t="b">
        <v>1</v>
      </c>
      <c r="AP246" s="69" t="str">
        <f t="shared" si="61"/>
        <v>VALID</v>
      </c>
      <c r="AQ246" s="196" t="s">
        <v>75</v>
      </c>
      <c r="AR246" s="194" t="s">
        <v>860</v>
      </c>
      <c r="AS246" s="193"/>
      <c r="AT246" s="72"/>
      <c r="AU246" s="72"/>
      <c r="AV246" s="10"/>
      <c r="AW246" s="10"/>
      <c r="AX246" s="10"/>
      <c r="AY246" s="10"/>
      <c r="AZ246" s="193"/>
      <c r="BA246" s="193"/>
      <c r="BB246" s="8"/>
      <c r="BC246" s="140"/>
      <c r="BD246" s="11" t="s">
        <v>74</v>
      </c>
      <c r="BE246" s="335"/>
    </row>
    <row r="247" spans="1:57" ht="12.95" customHeight="1">
      <c r="A247" s="247" t="s">
        <v>2231</v>
      </c>
      <c r="B247" s="251">
        <v>88</v>
      </c>
      <c r="C247" s="239" t="s">
        <v>746</v>
      </c>
      <c r="D247" s="239" t="s">
        <v>3204</v>
      </c>
      <c r="E247" s="58"/>
      <c r="F247" s="59" t="s">
        <v>807</v>
      </c>
      <c r="G247" s="191" t="s">
        <v>2420</v>
      </c>
      <c r="H247" s="192" t="s">
        <v>746</v>
      </c>
      <c r="I247" s="61" t="s">
        <v>2511</v>
      </c>
      <c r="J247" s="61" t="s">
        <v>2511</v>
      </c>
      <c r="K247" s="62" t="s">
        <v>2511</v>
      </c>
      <c r="L247" s="60" t="s">
        <v>2389</v>
      </c>
      <c r="M247" s="61" t="s">
        <v>2523</v>
      </c>
      <c r="N247" s="61" t="s">
        <v>2511</v>
      </c>
      <c r="O247" s="61" t="s">
        <v>2511</v>
      </c>
      <c r="P247" s="62" t="s">
        <v>2511</v>
      </c>
      <c r="Q247" s="58" t="s">
        <v>857</v>
      </c>
      <c r="R247" s="58" t="s">
        <v>126</v>
      </c>
      <c r="S247" s="58" t="s">
        <v>112</v>
      </c>
      <c r="T247" s="58" t="s">
        <v>113</v>
      </c>
      <c r="U247" s="63" t="s">
        <v>126</v>
      </c>
      <c r="V247" s="138" t="s">
        <v>3205</v>
      </c>
      <c r="W247" s="57" t="s">
        <v>3199</v>
      </c>
      <c r="X247" s="126" t="s">
        <v>3206</v>
      </c>
      <c r="Y247" s="126" t="s">
        <v>2511</v>
      </c>
      <c r="Z247" s="57" t="s">
        <v>2817</v>
      </c>
      <c r="AA247" s="57" t="s">
        <v>2818</v>
      </c>
      <c r="AB247" s="57" t="s">
        <v>2393</v>
      </c>
      <c r="AC247" s="57" t="s">
        <v>2516</v>
      </c>
      <c r="AD247" s="65" t="str">
        <f>IF(OR($AQ247="",$AQ247=$F247),$U247,IF($AQ247=$G247,SUBSTITUTE(SUBSTITUTE($AQ247,"GPIO3_","GPIO_"),".0",""),IF($AQ247=$H247,$Q247,IF($AQ247=$I247,$R247,IF($AQ247=$J247,$S247,IF($AQ247=$K247,$T247,"INVALID"))))))</f>
        <v>DP</v>
      </c>
      <c r="AE247" s="70"/>
      <c r="AF247" s="67" t="str">
        <f t="shared" si="58"/>
        <v>NORMAL</v>
      </c>
      <c r="AG247" s="67" t="str">
        <f t="shared" si="57"/>
        <v>TRISTATE</v>
      </c>
      <c r="AH247" s="67" t="str">
        <f t="shared" si="59"/>
        <v>ENABLE</v>
      </c>
      <c r="AI247" s="71" t="str">
        <f t="shared" si="60"/>
        <v>N/A</v>
      </c>
      <c r="AJ247" s="189" t="b">
        <v>1</v>
      </c>
      <c r="AK247" s="189" t="b">
        <v>1</v>
      </c>
      <c r="AL247" s="189" t="b">
        <v>1</v>
      </c>
      <c r="AM247" s="189" t="b">
        <v>1</v>
      </c>
      <c r="AN247" s="189" t="b">
        <v>1</v>
      </c>
      <c r="AO247" s="189" t="b">
        <v>1</v>
      </c>
      <c r="AP247" s="69" t="str">
        <f t="shared" si="61"/>
        <v>VALID</v>
      </c>
      <c r="AQ247" s="196" t="s">
        <v>746</v>
      </c>
      <c r="AR247" s="194" t="s">
        <v>862</v>
      </c>
      <c r="AS247" s="193"/>
      <c r="AT247" s="193" t="s">
        <v>117</v>
      </c>
      <c r="AU247" s="72"/>
      <c r="AV247" s="72"/>
      <c r="AW247" s="193" t="s">
        <v>136</v>
      </c>
      <c r="AX247" s="193" t="s">
        <v>136</v>
      </c>
      <c r="AY247" s="10"/>
      <c r="AZ247" s="193"/>
      <c r="BA247" s="193"/>
      <c r="BB247" s="8"/>
      <c r="BC247" s="140"/>
      <c r="BD247" s="11" t="s">
        <v>746</v>
      </c>
      <c r="BE247" s="312" t="s">
        <v>5643</v>
      </c>
    </row>
    <row r="248" spans="1:57" ht="12.95" customHeight="1">
      <c r="A248" s="247" t="s">
        <v>5449</v>
      </c>
      <c r="B248" s="251">
        <v>100</v>
      </c>
      <c r="C248" s="239" t="s">
        <v>293</v>
      </c>
      <c r="D248" s="239" t="s">
        <v>3207</v>
      </c>
      <c r="E248" s="58"/>
      <c r="F248" s="59" t="s">
        <v>509</v>
      </c>
      <c r="G248" s="191" t="s">
        <v>2511</v>
      </c>
      <c r="H248" s="192" t="s">
        <v>293</v>
      </c>
      <c r="I248" s="61" t="s">
        <v>2409</v>
      </c>
      <c r="J248" s="61" t="s">
        <v>2511</v>
      </c>
      <c r="K248" s="62" t="s">
        <v>2511</v>
      </c>
      <c r="L248" s="60" t="s">
        <v>2511</v>
      </c>
      <c r="M248" s="61" t="s">
        <v>2389</v>
      </c>
      <c r="N248" s="61" t="s">
        <v>2389</v>
      </c>
      <c r="O248" s="61" t="s">
        <v>2511</v>
      </c>
      <c r="P248" s="62" t="s">
        <v>2511</v>
      </c>
      <c r="Q248" s="82"/>
      <c r="R248" s="82"/>
      <c r="S248" s="82"/>
      <c r="T248" s="82"/>
      <c r="U248" s="82"/>
      <c r="V248" s="138" t="s">
        <v>3208</v>
      </c>
      <c r="W248" s="57" t="s">
        <v>3199</v>
      </c>
      <c r="X248" s="126" t="s">
        <v>2511</v>
      </c>
      <c r="Y248" s="126" t="s">
        <v>2511</v>
      </c>
      <c r="Z248" s="57" t="s">
        <v>3200</v>
      </c>
      <c r="AA248" s="57" t="s">
        <v>3201</v>
      </c>
      <c r="AB248" s="57" t="s">
        <v>900</v>
      </c>
      <c r="AC248" s="57" t="s">
        <v>2631</v>
      </c>
      <c r="AD248" s="70"/>
      <c r="AE248" s="70"/>
      <c r="AF248" s="67" t="str">
        <f t="shared" si="58"/>
        <v>NORMAL</v>
      </c>
      <c r="AG248" s="67" t="str">
        <f t="shared" si="57"/>
        <v>NORMAL</v>
      </c>
      <c r="AH248" s="67" t="str">
        <f t="shared" si="59"/>
        <v>ENABLE</v>
      </c>
      <c r="AI248" s="71" t="str">
        <f t="shared" si="60"/>
        <v>N/A</v>
      </c>
      <c r="AJ248" s="189" t="b">
        <v>1</v>
      </c>
      <c r="AK248" s="189" t="b">
        <v>1</v>
      </c>
      <c r="AL248" s="189" t="b">
        <v>1</v>
      </c>
      <c r="AM248" s="189" t="b">
        <v>1</v>
      </c>
      <c r="AN248" s="189" t="b">
        <v>1</v>
      </c>
      <c r="AO248" s="189" t="b">
        <v>1</v>
      </c>
      <c r="AP248" s="69" t="str">
        <f t="shared" si="61"/>
        <v>VALID</v>
      </c>
      <c r="AQ248" s="196" t="s">
        <v>293</v>
      </c>
      <c r="AR248" s="194" t="s">
        <v>860</v>
      </c>
      <c r="AS248" s="193"/>
      <c r="AT248" s="72"/>
      <c r="AU248" s="72"/>
      <c r="AV248" s="72"/>
      <c r="AW248" s="72"/>
      <c r="AX248" s="10"/>
      <c r="AY248" s="10"/>
      <c r="AZ248" s="193"/>
      <c r="BA248" s="193"/>
      <c r="BB248" s="8"/>
      <c r="BC248" s="140"/>
      <c r="BD248" s="15" t="s">
        <v>294</v>
      </c>
      <c r="BE248" s="339" t="s">
        <v>5644</v>
      </c>
    </row>
    <row r="249" spans="1:57" ht="12.95" customHeight="1">
      <c r="A249" s="247" t="s">
        <v>5448</v>
      </c>
      <c r="B249" s="251">
        <v>98</v>
      </c>
      <c r="C249" s="239" t="s">
        <v>294</v>
      </c>
      <c r="D249" s="239" t="s">
        <v>3196</v>
      </c>
      <c r="E249" s="58"/>
      <c r="F249" s="59" t="s">
        <v>510</v>
      </c>
      <c r="G249" s="191" t="s">
        <v>2511</v>
      </c>
      <c r="H249" s="192" t="s">
        <v>294</v>
      </c>
      <c r="I249" s="61" t="s">
        <v>2410</v>
      </c>
      <c r="J249" s="61" t="s">
        <v>2511</v>
      </c>
      <c r="K249" s="62" t="s">
        <v>2511</v>
      </c>
      <c r="L249" s="60" t="s">
        <v>2511</v>
      </c>
      <c r="M249" s="61" t="s">
        <v>2389</v>
      </c>
      <c r="N249" s="61" t="s">
        <v>2389</v>
      </c>
      <c r="O249" s="61" t="s">
        <v>2511</v>
      </c>
      <c r="P249" s="62" t="s">
        <v>2511</v>
      </c>
      <c r="Q249" s="82"/>
      <c r="R249" s="82"/>
      <c r="S249" s="82"/>
      <c r="T249" s="82"/>
      <c r="U249" s="82"/>
      <c r="V249" s="138" t="s">
        <v>3209</v>
      </c>
      <c r="W249" s="57" t="s">
        <v>3199</v>
      </c>
      <c r="X249" s="126" t="s">
        <v>2511</v>
      </c>
      <c r="Y249" s="126" t="s">
        <v>2511</v>
      </c>
      <c r="Z249" s="57" t="s">
        <v>3200</v>
      </c>
      <c r="AA249" s="57" t="s">
        <v>3201</v>
      </c>
      <c r="AB249" s="57" t="s">
        <v>900</v>
      </c>
      <c r="AC249" s="57" t="s">
        <v>2631</v>
      </c>
      <c r="AD249" s="70"/>
      <c r="AE249" s="70"/>
      <c r="AF249" s="67" t="str">
        <f t="shared" si="58"/>
        <v>NORMAL</v>
      </c>
      <c r="AG249" s="67" t="str">
        <f t="shared" si="57"/>
        <v>NORMAL</v>
      </c>
      <c r="AH249" s="67" t="str">
        <f t="shared" si="59"/>
        <v>ENABLE</v>
      </c>
      <c r="AI249" s="71" t="str">
        <f t="shared" si="60"/>
        <v>N/A</v>
      </c>
      <c r="AJ249" s="189" t="b">
        <v>1</v>
      </c>
      <c r="AK249" s="189" t="b">
        <v>1</v>
      </c>
      <c r="AL249" s="189" t="b">
        <v>1</v>
      </c>
      <c r="AM249" s="189" t="b">
        <v>1</v>
      </c>
      <c r="AN249" s="189" t="b">
        <v>1</v>
      </c>
      <c r="AO249" s="189" t="b">
        <v>1</v>
      </c>
      <c r="AP249" s="69" t="str">
        <f t="shared" si="61"/>
        <v>VALID</v>
      </c>
      <c r="AQ249" s="195" t="s">
        <v>294</v>
      </c>
      <c r="AR249" s="194" t="s">
        <v>860</v>
      </c>
      <c r="AS249" s="193"/>
      <c r="AT249" s="72"/>
      <c r="AU249" s="72"/>
      <c r="AV249" s="72"/>
      <c r="AW249" s="72"/>
      <c r="AX249" s="10"/>
      <c r="AY249" s="10"/>
      <c r="AZ249" s="193"/>
      <c r="BA249" s="193"/>
      <c r="BB249" s="8"/>
      <c r="BC249" s="140"/>
      <c r="BD249" s="223" t="s">
        <v>293</v>
      </c>
      <c r="BE249" s="340"/>
    </row>
    <row r="250" spans="1:57" ht="12.95" customHeight="1">
      <c r="A250" s="247" t="s">
        <v>2232</v>
      </c>
      <c r="B250" s="251">
        <v>96</v>
      </c>
      <c r="C250" s="239" t="s">
        <v>747</v>
      </c>
      <c r="D250" s="239" t="s">
        <v>3210</v>
      </c>
      <c r="E250" s="58"/>
      <c r="F250" s="59" t="s">
        <v>808</v>
      </c>
      <c r="G250" s="191" t="s">
        <v>2421</v>
      </c>
      <c r="H250" s="192" t="s">
        <v>747</v>
      </c>
      <c r="I250" s="61" t="s">
        <v>2511</v>
      </c>
      <c r="J250" s="61" t="s">
        <v>2511</v>
      </c>
      <c r="K250" s="62" t="s">
        <v>2511</v>
      </c>
      <c r="L250" s="60" t="s">
        <v>2389</v>
      </c>
      <c r="M250" s="61" t="s">
        <v>2523</v>
      </c>
      <c r="N250" s="61" t="s">
        <v>2511</v>
      </c>
      <c r="O250" s="61" t="s">
        <v>2511</v>
      </c>
      <c r="P250" s="62" t="s">
        <v>2511</v>
      </c>
      <c r="Q250" s="202" t="s">
        <v>857</v>
      </c>
      <c r="R250" s="202" t="s">
        <v>126</v>
      </c>
      <c r="S250" s="202" t="s">
        <v>112</v>
      </c>
      <c r="T250" s="202" t="s">
        <v>113</v>
      </c>
      <c r="U250" s="202" t="s">
        <v>126</v>
      </c>
      <c r="V250" s="138" t="s">
        <v>3211</v>
      </c>
      <c r="W250" s="57" t="s">
        <v>3199</v>
      </c>
      <c r="X250" s="126" t="s">
        <v>3212</v>
      </c>
      <c r="Y250" s="126" t="s">
        <v>2511</v>
      </c>
      <c r="Z250" s="57" t="s">
        <v>2817</v>
      </c>
      <c r="AA250" s="57" t="s">
        <v>2818</v>
      </c>
      <c r="AB250" s="57" t="s">
        <v>2393</v>
      </c>
      <c r="AC250" s="57" t="s">
        <v>2516</v>
      </c>
      <c r="AD250" s="65" t="str">
        <f t="shared" ref="AD250:AD263" si="62">IF(OR($AQ250="",$AQ250=$F250),$U250,IF($AQ250=$G250,SUBSTITUTE(SUBSTITUTE($AQ250,"GPIO3_","GPIO_"),".0",""),IF($AQ250=$H250,$Q250,IF($AQ250=$I250,$R250,IF($AQ250=$J250,$S250,IF($AQ250=$K250,$T250,"INVALID"))))))</f>
        <v>DP</v>
      </c>
      <c r="AE250" s="70"/>
      <c r="AF250" s="67" t="str">
        <f t="shared" si="58"/>
        <v>NORMAL</v>
      </c>
      <c r="AG250" s="67" t="str">
        <f t="shared" si="57"/>
        <v>TRISTATE</v>
      </c>
      <c r="AH250" s="67" t="str">
        <f t="shared" si="59"/>
        <v>ENABLE</v>
      </c>
      <c r="AI250" s="71" t="str">
        <f t="shared" si="60"/>
        <v>N/A</v>
      </c>
      <c r="AJ250" s="189" t="b">
        <v>1</v>
      </c>
      <c r="AK250" s="189" t="b">
        <v>1</v>
      </c>
      <c r="AL250" s="189" t="b">
        <v>1</v>
      </c>
      <c r="AM250" s="189" t="b">
        <v>1</v>
      </c>
      <c r="AN250" s="189" t="b">
        <v>1</v>
      </c>
      <c r="AO250" s="189" t="b">
        <v>1</v>
      </c>
      <c r="AP250" s="69" t="str">
        <f t="shared" si="61"/>
        <v>VALID</v>
      </c>
      <c r="AQ250" s="195" t="s">
        <v>747</v>
      </c>
      <c r="AR250" s="170" t="s">
        <v>862</v>
      </c>
      <c r="AS250" s="9"/>
      <c r="AT250" s="9" t="s">
        <v>117</v>
      </c>
      <c r="AU250" s="10"/>
      <c r="AV250" s="10"/>
      <c r="AW250" s="9" t="s">
        <v>136</v>
      </c>
      <c r="AX250" s="9" t="s">
        <v>136</v>
      </c>
      <c r="AY250" s="10"/>
      <c r="AZ250" s="9"/>
      <c r="BA250" s="9"/>
      <c r="BB250" s="14"/>
      <c r="BC250" s="141"/>
      <c r="BD250" s="1" t="s">
        <v>747</v>
      </c>
      <c r="BE250" s="312" t="s">
        <v>5645</v>
      </c>
    </row>
    <row r="251" spans="1:57" ht="12.95" hidden="1" customHeight="1">
      <c r="A251" s="248" t="e">
        <v>#N/A</v>
      </c>
      <c r="B251" s="252" t="e">
        <v>#N/A</v>
      </c>
      <c r="C251" s="263" t="s">
        <v>1052</v>
      </c>
      <c r="D251" s="239" t="s">
        <v>3213</v>
      </c>
      <c r="E251" s="58"/>
      <c r="F251" s="59" t="s">
        <v>1791</v>
      </c>
      <c r="G251" s="191" t="s">
        <v>2511</v>
      </c>
      <c r="H251" s="192" t="s">
        <v>1052</v>
      </c>
      <c r="I251" s="61" t="s">
        <v>2411</v>
      </c>
      <c r="J251" s="61" t="s">
        <v>2511</v>
      </c>
      <c r="K251" s="62" t="s">
        <v>2511</v>
      </c>
      <c r="L251" s="60" t="s">
        <v>2511</v>
      </c>
      <c r="M251" s="61" t="s">
        <v>2389</v>
      </c>
      <c r="N251" s="61" t="s">
        <v>2389</v>
      </c>
      <c r="O251" s="61" t="s">
        <v>2511</v>
      </c>
      <c r="P251" s="62" t="s">
        <v>2511</v>
      </c>
      <c r="Q251" s="82"/>
      <c r="R251" s="82"/>
      <c r="S251" s="82"/>
      <c r="T251" s="82"/>
      <c r="U251" s="82"/>
      <c r="V251" s="138" t="s">
        <v>3214</v>
      </c>
      <c r="W251" s="57" t="s">
        <v>3199</v>
      </c>
      <c r="X251" s="126" t="s">
        <v>2511</v>
      </c>
      <c r="Y251" s="126" t="s">
        <v>2511</v>
      </c>
      <c r="Z251" s="57" t="s">
        <v>3200</v>
      </c>
      <c r="AA251" s="57" t="s">
        <v>3201</v>
      </c>
      <c r="AB251" s="57" t="s">
        <v>900</v>
      </c>
      <c r="AC251" s="57" t="s">
        <v>2631</v>
      </c>
      <c r="AD251" s="70"/>
      <c r="AE251" s="70"/>
      <c r="AF251" s="67" t="str">
        <f t="shared" si="58"/>
        <v>PULL_DOWN</v>
      </c>
      <c r="AG251" s="67" t="str">
        <f t="shared" si="57"/>
        <v>TRISTATE</v>
      </c>
      <c r="AH251" s="67" t="str">
        <f t="shared" si="59"/>
        <v>DISABLE</v>
      </c>
      <c r="AI251" s="71" t="str">
        <f t="shared" si="60"/>
        <v>N/A</v>
      </c>
      <c r="AJ251" s="189" t="b">
        <v>1</v>
      </c>
      <c r="AK251" s="189" t="b">
        <v>1</v>
      </c>
      <c r="AL251" s="189" t="b">
        <v>1</v>
      </c>
      <c r="AM251" s="189" t="b">
        <v>1</v>
      </c>
      <c r="AN251" s="189" t="b">
        <v>1</v>
      </c>
      <c r="AO251" s="189" t="b">
        <v>1</v>
      </c>
      <c r="AP251" s="69" t="str">
        <f t="shared" si="61"/>
        <v>VALID</v>
      </c>
      <c r="AQ251" s="196" t="s">
        <v>1791</v>
      </c>
      <c r="AR251" s="194" t="s">
        <v>79</v>
      </c>
      <c r="AS251" s="193"/>
      <c r="AT251" s="72"/>
      <c r="AU251" s="72"/>
      <c r="AV251" s="72"/>
      <c r="AW251" s="72"/>
      <c r="AX251" s="72"/>
      <c r="AY251" s="72"/>
      <c r="AZ251" s="193"/>
      <c r="BA251" s="193"/>
      <c r="BB251" s="222" t="s">
        <v>114</v>
      </c>
      <c r="BC251" s="142"/>
      <c r="BD251" s="147" t="s">
        <v>83</v>
      </c>
      <c r="BE251" s="147" t="s">
        <v>83</v>
      </c>
    </row>
    <row r="252" spans="1:57" ht="12.95" hidden="1" customHeight="1">
      <c r="A252" s="248" t="e">
        <v>#N/A</v>
      </c>
      <c r="B252" s="252" t="e">
        <v>#N/A</v>
      </c>
      <c r="C252" s="263" t="s">
        <v>1053</v>
      </c>
      <c r="D252" s="239" t="s">
        <v>3215</v>
      </c>
      <c r="E252" s="58"/>
      <c r="F252" s="59" t="s">
        <v>1790</v>
      </c>
      <c r="G252" s="191" t="s">
        <v>2511</v>
      </c>
      <c r="H252" s="192" t="s">
        <v>1053</v>
      </c>
      <c r="I252" s="61" t="s">
        <v>2412</v>
      </c>
      <c r="J252" s="61" t="s">
        <v>2511</v>
      </c>
      <c r="K252" s="62" t="s">
        <v>2511</v>
      </c>
      <c r="L252" s="60" t="s">
        <v>2511</v>
      </c>
      <c r="M252" s="61" t="s">
        <v>2389</v>
      </c>
      <c r="N252" s="61" t="s">
        <v>2389</v>
      </c>
      <c r="O252" s="61" t="s">
        <v>2511</v>
      </c>
      <c r="P252" s="62" t="s">
        <v>2511</v>
      </c>
      <c r="Q252" s="82"/>
      <c r="R252" s="82"/>
      <c r="S252" s="82"/>
      <c r="T252" s="82"/>
      <c r="U252" s="82"/>
      <c r="V252" s="138" t="s">
        <v>3216</v>
      </c>
      <c r="W252" s="57" t="s">
        <v>3199</v>
      </c>
      <c r="X252" s="126" t="s">
        <v>2511</v>
      </c>
      <c r="Y252" s="126" t="s">
        <v>2511</v>
      </c>
      <c r="Z252" s="57" t="s">
        <v>3200</v>
      </c>
      <c r="AA252" s="57" t="s">
        <v>3201</v>
      </c>
      <c r="AB252" s="57" t="s">
        <v>900</v>
      </c>
      <c r="AC252" s="57" t="s">
        <v>2631</v>
      </c>
      <c r="AD252" s="70"/>
      <c r="AE252" s="70"/>
      <c r="AF252" s="67" t="str">
        <f t="shared" si="58"/>
        <v>PULL_DOWN</v>
      </c>
      <c r="AG252" s="67" t="str">
        <f t="shared" si="57"/>
        <v>TRISTATE</v>
      </c>
      <c r="AH252" s="67" t="str">
        <f t="shared" si="59"/>
        <v>DISABLE</v>
      </c>
      <c r="AI252" s="71" t="str">
        <f t="shared" si="60"/>
        <v>N/A</v>
      </c>
      <c r="AJ252" s="189" t="b">
        <v>1</v>
      </c>
      <c r="AK252" s="189" t="b">
        <v>1</v>
      </c>
      <c r="AL252" s="189" t="b">
        <v>1</v>
      </c>
      <c r="AM252" s="189" t="b">
        <v>1</v>
      </c>
      <c r="AN252" s="189" t="b">
        <v>1</v>
      </c>
      <c r="AO252" s="189" t="b">
        <v>1</v>
      </c>
      <c r="AP252" s="69" t="str">
        <f t="shared" si="61"/>
        <v>VALID</v>
      </c>
      <c r="AQ252" s="196" t="s">
        <v>1790</v>
      </c>
      <c r="AR252" s="179" t="s">
        <v>79</v>
      </c>
      <c r="AS252" s="180"/>
      <c r="AT252" s="22"/>
      <c r="AU252" s="22"/>
      <c r="AV252" s="22"/>
      <c r="AW252" s="22"/>
      <c r="AX252" s="22"/>
      <c r="AY252" s="22"/>
      <c r="AZ252" s="180"/>
      <c r="BA252" s="180"/>
      <c r="BB252" s="182" t="s">
        <v>114</v>
      </c>
      <c r="BC252" s="183"/>
      <c r="BD252" s="147" t="s">
        <v>83</v>
      </c>
      <c r="BE252" s="147" t="s">
        <v>83</v>
      </c>
    </row>
    <row r="253" spans="1:57" ht="12.95" hidden="1" customHeight="1">
      <c r="A253" s="248" t="e">
        <v>#N/A</v>
      </c>
      <c r="B253" s="252" t="e">
        <v>#N/A</v>
      </c>
      <c r="C253" s="263" t="s">
        <v>1054</v>
      </c>
      <c r="D253" s="239" t="s">
        <v>3217</v>
      </c>
      <c r="E253" s="58"/>
      <c r="F253" s="59" t="s">
        <v>1789</v>
      </c>
      <c r="G253" s="191" t="s">
        <v>2422</v>
      </c>
      <c r="H253" s="192" t="s">
        <v>1054</v>
      </c>
      <c r="I253" s="61"/>
      <c r="J253" s="61" t="s">
        <v>2511</v>
      </c>
      <c r="K253" s="62" t="s">
        <v>2511</v>
      </c>
      <c r="L253" s="60" t="s">
        <v>2389</v>
      </c>
      <c r="M253" s="61" t="s">
        <v>2523</v>
      </c>
      <c r="N253" s="61" t="s">
        <v>2523</v>
      </c>
      <c r="O253" s="61" t="s">
        <v>2511</v>
      </c>
      <c r="P253" s="62" t="s">
        <v>2511</v>
      </c>
      <c r="Q253" s="58" t="s">
        <v>857</v>
      </c>
      <c r="R253" s="58" t="s">
        <v>2491</v>
      </c>
      <c r="S253" s="58" t="s">
        <v>112</v>
      </c>
      <c r="T253" s="58" t="s">
        <v>113</v>
      </c>
      <c r="U253" s="63" t="s">
        <v>112</v>
      </c>
      <c r="V253" s="138" t="s">
        <v>3218</v>
      </c>
      <c r="W253" s="57" t="s">
        <v>3199</v>
      </c>
      <c r="X253" s="126" t="s">
        <v>3219</v>
      </c>
      <c r="Y253" s="126" t="s">
        <v>2511</v>
      </c>
      <c r="Z253" s="57" t="s">
        <v>2817</v>
      </c>
      <c r="AA253" s="57" t="s">
        <v>2818</v>
      </c>
      <c r="AB253" s="57" t="s">
        <v>2393</v>
      </c>
      <c r="AC253" s="57" t="s">
        <v>2516</v>
      </c>
      <c r="AD253" s="65" t="str">
        <f t="shared" si="62"/>
        <v>RSVD2</v>
      </c>
      <c r="AE253" s="70"/>
      <c r="AF253" s="67" t="str">
        <f t="shared" si="58"/>
        <v>PULL_DOWN</v>
      </c>
      <c r="AG253" s="67" t="str">
        <f t="shared" si="57"/>
        <v>TRISTATE</v>
      </c>
      <c r="AH253" s="67" t="str">
        <f t="shared" si="59"/>
        <v>DISABLE</v>
      </c>
      <c r="AI253" s="71" t="str">
        <f t="shared" si="60"/>
        <v>N/A</v>
      </c>
      <c r="AJ253" s="189" t="b">
        <v>1</v>
      </c>
      <c r="AK253" s="189" t="b">
        <v>1</v>
      </c>
      <c r="AL253" s="189" t="b">
        <v>1</v>
      </c>
      <c r="AM253" s="189" t="b">
        <v>1</v>
      </c>
      <c r="AN253" s="189" t="b">
        <v>1</v>
      </c>
      <c r="AO253" s="189" t="b">
        <v>1</v>
      </c>
      <c r="AP253" s="69" t="str">
        <f t="shared" si="61"/>
        <v>VALID</v>
      </c>
      <c r="AQ253" s="196" t="s">
        <v>1789</v>
      </c>
      <c r="AR253" s="194" t="s">
        <v>79</v>
      </c>
      <c r="AS253" s="193"/>
      <c r="AT253" s="193" t="s">
        <v>117</v>
      </c>
      <c r="AU253" s="72"/>
      <c r="AV253" s="10"/>
      <c r="AW253" s="193" t="s">
        <v>136</v>
      </c>
      <c r="AX253" s="10"/>
      <c r="AY253" s="10"/>
      <c r="AZ253" s="193"/>
      <c r="BA253" s="193"/>
      <c r="BB253" s="8"/>
      <c r="BC253" s="140"/>
      <c r="BD253" s="147" t="s">
        <v>83</v>
      </c>
      <c r="BE253" s="147" t="s">
        <v>83</v>
      </c>
    </row>
    <row r="254" spans="1:57" ht="12.95" customHeight="1">
      <c r="A254" s="320" t="s">
        <v>5453</v>
      </c>
      <c r="B254" s="251">
        <v>189</v>
      </c>
      <c r="C254" s="239" t="s">
        <v>1055</v>
      </c>
      <c r="D254" s="239" t="s">
        <v>3220</v>
      </c>
      <c r="E254" s="58"/>
      <c r="F254" s="59" t="s">
        <v>1788</v>
      </c>
      <c r="G254" s="191" t="s">
        <v>2511</v>
      </c>
      <c r="H254" s="192" t="s">
        <v>1055</v>
      </c>
      <c r="I254" s="61" t="s">
        <v>2413</v>
      </c>
      <c r="J254" s="61" t="s">
        <v>2511</v>
      </c>
      <c r="K254" s="62" t="s">
        <v>2511</v>
      </c>
      <c r="L254" s="60" t="s">
        <v>2511</v>
      </c>
      <c r="M254" s="61" t="s">
        <v>2389</v>
      </c>
      <c r="N254" s="61" t="s">
        <v>2389</v>
      </c>
      <c r="O254" s="61" t="s">
        <v>2511</v>
      </c>
      <c r="P254" s="62" t="s">
        <v>2511</v>
      </c>
      <c r="Q254" s="82"/>
      <c r="R254" s="82"/>
      <c r="S254" s="82"/>
      <c r="T254" s="82"/>
      <c r="U254" s="82"/>
      <c r="V254" s="138" t="s">
        <v>3221</v>
      </c>
      <c r="W254" s="57" t="s">
        <v>3199</v>
      </c>
      <c r="X254" s="126" t="s">
        <v>2511</v>
      </c>
      <c r="Y254" s="126" t="s">
        <v>2511</v>
      </c>
      <c r="Z254" s="57" t="s">
        <v>3200</v>
      </c>
      <c r="AA254" s="57" t="s">
        <v>3201</v>
      </c>
      <c r="AB254" s="57" t="s">
        <v>900</v>
      </c>
      <c r="AC254" s="57" t="s">
        <v>2631</v>
      </c>
      <c r="AD254" s="70"/>
      <c r="AE254" s="70"/>
      <c r="AF254" s="67" t="str">
        <f t="shared" si="58"/>
        <v>NORMAL</v>
      </c>
      <c r="AG254" s="67" t="str">
        <f t="shared" si="57"/>
        <v>NORMAL</v>
      </c>
      <c r="AH254" s="67" t="str">
        <f t="shared" si="59"/>
        <v>ENABLE</v>
      </c>
      <c r="AI254" s="71" t="str">
        <f t="shared" si="60"/>
        <v>N/A</v>
      </c>
      <c r="AJ254" s="189" t="b">
        <v>1</v>
      </c>
      <c r="AK254" s="189" t="b">
        <v>1</v>
      </c>
      <c r="AL254" s="189" t="b">
        <v>1</v>
      </c>
      <c r="AM254" s="189" t="b">
        <v>1</v>
      </c>
      <c r="AN254" s="189" t="b">
        <v>1</v>
      </c>
      <c r="AO254" s="189" t="b">
        <v>1</v>
      </c>
      <c r="AP254" s="69" t="str">
        <f t="shared" si="61"/>
        <v>VALID</v>
      </c>
      <c r="AQ254" s="196" t="s">
        <v>2413</v>
      </c>
      <c r="AR254" s="194" t="s">
        <v>860</v>
      </c>
      <c r="AS254" s="193"/>
      <c r="AT254" s="72"/>
      <c r="AU254" s="72"/>
      <c r="AV254" s="72"/>
      <c r="AW254" s="72"/>
      <c r="AX254" s="193" t="s">
        <v>136</v>
      </c>
      <c r="AY254" s="10"/>
      <c r="AZ254" s="193" t="s">
        <v>5544</v>
      </c>
      <c r="BA254" s="193"/>
      <c r="BB254" s="8"/>
      <c r="BC254" s="140"/>
      <c r="BD254" s="1" t="s">
        <v>2413</v>
      </c>
      <c r="BE254" s="333" t="s">
        <v>5646</v>
      </c>
    </row>
    <row r="255" spans="1:57" ht="12.95" customHeight="1">
      <c r="A255" s="320" t="s">
        <v>5454</v>
      </c>
      <c r="B255" s="251">
        <v>191</v>
      </c>
      <c r="C255" s="239" t="s">
        <v>1056</v>
      </c>
      <c r="D255" s="239" t="s">
        <v>3222</v>
      </c>
      <c r="E255" s="58"/>
      <c r="F255" s="59" t="s">
        <v>1787</v>
      </c>
      <c r="G255" s="191" t="s">
        <v>2511</v>
      </c>
      <c r="H255" s="192" t="s">
        <v>1056</v>
      </c>
      <c r="I255" s="61" t="s">
        <v>2414</v>
      </c>
      <c r="J255" s="61" t="s">
        <v>2511</v>
      </c>
      <c r="K255" s="62" t="s">
        <v>2511</v>
      </c>
      <c r="L255" s="60" t="s">
        <v>2511</v>
      </c>
      <c r="M255" s="61" t="s">
        <v>2389</v>
      </c>
      <c r="N255" s="61" t="s">
        <v>2389</v>
      </c>
      <c r="O255" s="61" t="s">
        <v>2511</v>
      </c>
      <c r="P255" s="62" t="s">
        <v>2511</v>
      </c>
      <c r="Q255" s="82"/>
      <c r="R255" s="82"/>
      <c r="S255" s="82"/>
      <c r="T255" s="82"/>
      <c r="U255" s="82"/>
      <c r="V255" s="138" t="s">
        <v>3223</v>
      </c>
      <c r="W255" s="57" t="s">
        <v>3199</v>
      </c>
      <c r="X255" s="126" t="s">
        <v>2511</v>
      </c>
      <c r="Y255" s="126" t="s">
        <v>2511</v>
      </c>
      <c r="Z255" s="57" t="s">
        <v>3200</v>
      </c>
      <c r="AA255" s="57" t="s">
        <v>3201</v>
      </c>
      <c r="AB255" s="57" t="s">
        <v>900</v>
      </c>
      <c r="AC255" s="57" t="s">
        <v>2631</v>
      </c>
      <c r="AD255" s="70"/>
      <c r="AE255" s="70"/>
      <c r="AF255" s="67" t="str">
        <f t="shared" si="58"/>
        <v>NORMAL</v>
      </c>
      <c r="AG255" s="67" t="str">
        <f t="shared" si="57"/>
        <v>NORMAL</v>
      </c>
      <c r="AH255" s="67" t="str">
        <f t="shared" si="59"/>
        <v>ENABLE</v>
      </c>
      <c r="AI255" s="71" t="str">
        <f t="shared" si="60"/>
        <v>N/A</v>
      </c>
      <c r="AJ255" s="189" t="b">
        <v>1</v>
      </c>
      <c r="AK255" s="189" t="b">
        <v>1</v>
      </c>
      <c r="AL255" s="189" t="b">
        <v>1</v>
      </c>
      <c r="AM255" s="189" t="b">
        <v>1</v>
      </c>
      <c r="AN255" s="189" t="b">
        <v>1</v>
      </c>
      <c r="AO255" s="189" t="b">
        <v>1</v>
      </c>
      <c r="AP255" s="69" t="str">
        <f t="shared" si="61"/>
        <v>VALID</v>
      </c>
      <c r="AQ255" s="196" t="s">
        <v>2414</v>
      </c>
      <c r="AR255" s="194" t="s">
        <v>860</v>
      </c>
      <c r="AS255" s="193"/>
      <c r="AT255" s="72"/>
      <c r="AU255" s="72"/>
      <c r="AV255" s="72"/>
      <c r="AW255" s="72"/>
      <c r="AX255" s="10"/>
      <c r="AY255" s="10"/>
      <c r="AZ255" s="193" t="s">
        <v>5544</v>
      </c>
      <c r="BA255" s="193"/>
      <c r="BB255" s="8"/>
      <c r="BC255" s="140"/>
      <c r="BD255" s="1" t="s">
        <v>2414</v>
      </c>
      <c r="BE255" s="335"/>
    </row>
    <row r="256" spans="1:57" ht="12.95" hidden="1" customHeight="1">
      <c r="A256" s="248" t="e">
        <v>#N/A</v>
      </c>
      <c r="B256" s="252" t="e">
        <v>#N/A</v>
      </c>
      <c r="C256" s="263" t="s">
        <v>1057</v>
      </c>
      <c r="D256" s="239" t="s">
        <v>3224</v>
      </c>
      <c r="E256" s="58"/>
      <c r="F256" s="59" t="s">
        <v>1786</v>
      </c>
      <c r="G256" s="191" t="s">
        <v>2383</v>
      </c>
      <c r="H256" s="192" t="s">
        <v>1057</v>
      </c>
      <c r="I256" s="61"/>
      <c r="J256" s="61" t="s">
        <v>2511</v>
      </c>
      <c r="K256" s="62" t="s">
        <v>2511</v>
      </c>
      <c r="L256" s="60" t="s">
        <v>2389</v>
      </c>
      <c r="M256" s="61" t="s">
        <v>2523</v>
      </c>
      <c r="N256" s="61" t="s">
        <v>2523</v>
      </c>
      <c r="O256" s="61" t="s">
        <v>2511</v>
      </c>
      <c r="P256" s="62" t="s">
        <v>2511</v>
      </c>
      <c r="Q256" s="58" t="s">
        <v>857</v>
      </c>
      <c r="R256" s="58" t="s">
        <v>2490</v>
      </c>
      <c r="S256" s="58" t="s">
        <v>112</v>
      </c>
      <c r="T256" s="58" t="s">
        <v>113</v>
      </c>
      <c r="U256" s="63" t="s">
        <v>112</v>
      </c>
      <c r="V256" s="138" t="s">
        <v>3225</v>
      </c>
      <c r="W256" s="57" t="s">
        <v>3199</v>
      </c>
      <c r="X256" s="126" t="s">
        <v>3226</v>
      </c>
      <c r="Y256" s="126" t="s">
        <v>2511</v>
      </c>
      <c r="Z256" s="57" t="s">
        <v>2817</v>
      </c>
      <c r="AA256" s="57" t="s">
        <v>2818</v>
      </c>
      <c r="AB256" s="57" t="s">
        <v>2393</v>
      </c>
      <c r="AC256" s="57" t="s">
        <v>2516</v>
      </c>
      <c r="AD256" s="65" t="str">
        <f t="shared" si="62"/>
        <v>RSVD2</v>
      </c>
      <c r="AE256" s="70"/>
      <c r="AF256" s="67" t="str">
        <f t="shared" si="58"/>
        <v>PULL_DOWN</v>
      </c>
      <c r="AG256" s="67" t="str">
        <f t="shared" si="57"/>
        <v>TRISTATE</v>
      </c>
      <c r="AH256" s="67" t="str">
        <f t="shared" si="59"/>
        <v>DISABLE</v>
      </c>
      <c r="AI256" s="71" t="str">
        <f t="shared" si="60"/>
        <v>N/A</v>
      </c>
      <c r="AJ256" s="189" t="b">
        <v>1</v>
      </c>
      <c r="AK256" s="189" t="b">
        <v>1</v>
      </c>
      <c r="AL256" s="189" t="b">
        <v>1</v>
      </c>
      <c r="AM256" s="189" t="b">
        <v>1</v>
      </c>
      <c r="AN256" s="189" t="b">
        <v>1</v>
      </c>
      <c r="AO256" s="189" t="b">
        <v>1</v>
      </c>
      <c r="AP256" s="69" t="str">
        <f t="shared" si="61"/>
        <v>VALID</v>
      </c>
      <c r="AQ256" s="195" t="s">
        <v>1786</v>
      </c>
      <c r="AR256" s="194" t="s">
        <v>79</v>
      </c>
      <c r="AS256" s="193"/>
      <c r="AT256" s="193" t="s">
        <v>117</v>
      </c>
      <c r="AU256" s="72"/>
      <c r="AV256" s="72"/>
      <c r="AW256" s="193" t="s">
        <v>136</v>
      </c>
      <c r="AX256" s="10"/>
      <c r="AY256" s="10"/>
      <c r="AZ256" s="193"/>
      <c r="BA256" s="193"/>
      <c r="BB256" s="8"/>
      <c r="BC256" s="140"/>
      <c r="BD256" s="147" t="s">
        <v>83</v>
      </c>
      <c r="BE256" s="147" t="s">
        <v>83</v>
      </c>
    </row>
    <row r="257" spans="1:57" ht="12.75" customHeight="1">
      <c r="A257" s="250" t="s">
        <v>43</v>
      </c>
      <c r="B257" s="253">
        <v>94</v>
      </c>
      <c r="C257" s="285" t="s">
        <v>43</v>
      </c>
      <c r="D257" s="239" t="s">
        <v>3227</v>
      </c>
      <c r="E257" s="58"/>
      <c r="F257" s="59" t="s">
        <v>185</v>
      </c>
      <c r="G257" s="191" t="s">
        <v>3228</v>
      </c>
      <c r="H257" s="192" t="s">
        <v>43</v>
      </c>
      <c r="I257" s="61" t="s">
        <v>2511</v>
      </c>
      <c r="J257" s="61" t="s">
        <v>2511</v>
      </c>
      <c r="K257" s="62" t="s">
        <v>2511</v>
      </c>
      <c r="L257" s="60" t="s">
        <v>2389</v>
      </c>
      <c r="M257" s="61" t="s">
        <v>2389</v>
      </c>
      <c r="N257" s="61" t="s">
        <v>2511</v>
      </c>
      <c r="O257" s="61" t="s">
        <v>2511</v>
      </c>
      <c r="P257" s="62" t="s">
        <v>2511</v>
      </c>
      <c r="Q257" s="202" t="s">
        <v>213</v>
      </c>
      <c r="R257" s="202" t="s">
        <v>126</v>
      </c>
      <c r="S257" s="202" t="s">
        <v>112</v>
      </c>
      <c r="T257" s="202" t="s">
        <v>113</v>
      </c>
      <c r="U257" s="202" t="s">
        <v>126</v>
      </c>
      <c r="V257" s="138" t="s">
        <v>3229</v>
      </c>
      <c r="W257" s="57" t="s">
        <v>3199</v>
      </c>
      <c r="X257" s="126" t="s">
        <v>3230</v>
      </c>
      <c r="Y257" s="126" t="s">
        <v>2511</v>
      </c>
      <c r="Z257" s="57" t="s">
        <v>2817</v>
      </c>
      <c r="AA257" s="57" t="s">
        <v>2818</v>
      </c>
      <c r="AB257" s="57" t="s">
        <v>2393</v>
      </c>
      <c r="AC257" s="57" t="s">
        <v>2631</v>
      </c>
      <c r="AD257" s="65" t="str">
        <f t="shared" si="62"/>
        <v>HDMI</v>
      </c>
      <c r="AE257" s="70"/>
      <c r="AF257" s="67" t="str">
        <f t="shared" si="58"/>
        <v>NORMAL</v>
      </c>
      <c r="AG257" s="67" t="str">
        <f t="shared" si="57"/>
        <v>NORMAL</v>
      </c>
      <c r="AH257" s="67" t="str">
        <f t="shared" si="59"/>
        <v>ENABLE</v>
      </c>
      <c r="AI257" s="71" t="str">
        <f t="shared" si="60"/>
        <v>N/A</v>
      </c>
      <c r="AJ257" s="189" t="b">
        <v>1</v>
      </c>
      <c r="AK257" s="189" t="b">
        <v>1</v>
      </c>
      <c r="AL257" s="189" t="b">
        <v>1</v>
      </c>
      <c r="AM257" s="189" t="b">
        <v>1</v>
      </c>
      <c r="AN257" s="189" t="b">
        <v>1</v>
      </c>
      <c r="AO257" s="189" t="b">
        <v>1</v>
      </c>
      <c r="AP257" s="69" t="str">
        <f t="shared" si="61"/>
        <v>VALID</v>
      </c>
      <c r="AQ257" s="195" t="s">
        <v>43</v>
      </c>
      <c r="AR257" s="194" t="s">
        <v>860</v>
      </c>
      <c r="AS257" s="193"/>
      <c r="AT257" s="193" t="s">
        <v>863</v>
      </c>
      <c r="AU257" s="72"/>
      <c r="AV257" s="72"/>
      <c r="AW257" s="193" t="s">
        <v>872</v>
      </c>
      <c r="AX257" s="193" t="s">
        <v>136</v>
      </c>
      <c r="AY257" s="72"/>
      <c r="AZ257" s="193"/>
      <c r="BA257" s="193"/>
      <c r="BB257" s="193"/>
      <c r="BC257" s="140"/>
      <c r="BD257" s="8" t="s">
        <v>43</v>
      </c>
      <c r="BE257" s="144" t="s">
        <v>2234</v>
      </c>
    </row>
    <row r="258" spans="1:57" ht="12.95" hidden="1" customHeight="1">
      <c r="A258" s="248" t="e">
        <v>#N/A</v>
      </c>
      <c r="B258" s="252" t="e">
        <v>#N/A</v>
      </c>
      <c r="C258" s="263" t="s">
        <v>1058</v>
      </c>
      <c r="D258" s="239" t="s">
        <v>3231</v>
      </c>
      <c r="E258" s="58"/>
      <c r="F258" s="59" t="s">
        <v>1785</v>
      </c>
      <c r="G258" s="191" t="s">
        <v>911</v>
      </c>
      <c r="H258" s="192" t="s">
        <v>2511</v>
      </c>
      <c r="I258" s="61" t="s">
        <v>3232</v>
      </c>
      <c r="J258" s="61" t="s">
        <v>2511</v>
      </c>
      <c r="K258" s="62" t="s">
        <v>2511</v>
      </c>
      <c r="L258" s="60" t="s">
        <v>2389</v>
      </c>
      <c r="M258" s="61" t="s">
        <v>2511</v>
      </c>
      <c r="N258" s="61" t="s">
        <v>2388</v>
      </c>
      <c r="O258" s="61" t="s">
        <v>2511</v>
      </c>
      <c r="P258" s="62" t="s">
        <v>2511</v>
      </c>
      <c r="Q258" s="58" t="s">
        <v>552</v>
      </c>
      <c r="R258" s="58" t="s">
        <v>856</v>
      </c>
      <c r="S258" s="58" t="s">
        <v>112</v>
      </c>
      <c r="T258" s="58" t="s">
        <v>113</v>
      </c>
      <c r="U258" s="58" t="s">
        <v>552</v>
      </c>
      <c r="V258" s="138" t="s">
        <v>3233</v>
      </c>
      <c r="W258" s="57" t="s">
        <v>3199</v>
      </c>
      <c r="X258" s="126" t="s">
        <v>2511</v>
      </c>
      <c r="Y258" s="126" t="s">
        <v>2511</v>
      </c>
      <c r="Z258" s="57" t="s">
        <v>2514</v>
      </c>
      <c r="AA258" s="57" t="s">
        <v>2515</v>
      </c>
      <c r="AB258" s="57" t="s">
        <v>2393</v>
      </c>
      <c r="AC258" s="57" t="s">
        <v>2516</v>
      </c>
      <c r="AD258" s="65" t="str">
        <f t="shared" si="62"/>
        <v>RSVD0</v>
      </c>
      <c r="AE258" s="70"/>
      <c r="AF258" s="67" t="str">
        <f t="shared" si="58"/>
        <v>PULL_DOWN</v>
      </c>
      <c r="AG258" s="67" t="str">
        <f t="shared" si="57"/>
        <v>TRISTATE</v>
      </c>
      <c r="AH258" s="67" t="str">
        <f t="shared" si="59"/>
        <v>DISABLE</v>
      </c>
      <c r="AI258" s="71" t="str">
        <f t="shared" si="60"/>
        <v>N/A</v>
      </c>
      <c r="AJ258" s="189" t="b">
        <v>1</v>
      </c>
      <c r="AK258" s="189" t="b">
        <v>1</v>
      </c>
      <c r="AL258" s="189" t="b">
        <v>1</v>
      </c>
      <c r="AM258" s="189" t="b">
        <v>1</v>
      </c>
      <c r="AN258" s="189" t="b">
        <v>1</v>
      </c>
      <c r="AO258" s="189" t="b">
        <v>1</v>
      </c>
      <c r="AP258" s="69" t="str">
        <f t="shared" si="61"/>
        <v>VALID</v>
      </c>
      <c r="AQ258" s="196" t="s">
        <v>1785</v>
      </c>
      <c r="AR258" s="179" t="s">
        <v>79</v>
      </c>
      <c r="AS258" s="180"/>
      <c r="AT258" s="22"/>
      <c r="AU258" s="22"/>
      <c r="AV258" s="22"/>
      <c r="AW258" s="22"/>
      <c r="AX258" s="193" t="s">
        <v>136</v>
      </c>
      <c r="AY258" s="22"/>
      <c r="AZ258" s="180"/>
      <c r="BA258" s="180"/>
      <c r="BB258" s="182" t="s">
        <v>114</v>
      </c>
      <c r="BC258" s="183"/>
      <c r="BD258" s="147" t="s">
        <v>83</v>
      </c>
      <c r="BE258" s="147" t="s">
        <v>83</v>
      </c>
    </row>
    <row r="259" spans="1:57" ht="12.95" hidden="1" customHeight="1">
      <c r="A259" s="248" t="e">
        <v>#N/A</v>
      </c>
      <c r="B259" s="252" t="e">
        <v>#N/A</v>
      </c>
      <c r="C259" s="263" t="s">
        <v>1059</v>
      </c>
      <c r="D259" s="239" t="s">
        <v>3234</v>
      </c>
      <c r="E259" s="58"/>
      <c r="F259" s="59" t="s">
        <v>1784</v>
      </c>
      <c r="G259" s="191" t="s">
        <v>2212</v>
      </c>
      <c r="H259" s="192" t="s">
        <v>2511</v>
      </c>
      <c r="I259" s="61" t="s">
        <v>3235</v>
      </c>
      <c r="J259" s="61" t="s">
        <v>2511</v>
      </c>
      <c r="K259" s="62" t="s">
        <v>2511</v>
      </c>
      <c r="L259" s="60" t="s">
        <v>2389</v>
      </c>
      <c r="M259" s="61" t="s">
        <v>2511</v>
      </c>
      <c r="N259" s="61" t="s">
        <v>2388</v>
      </c>
      <c r="O259" s="61" t="s">
        <v>2511</v>
      </c>
      <c r="P259" s="62" t="s">
        <v>2511</v>
      </c>
      <c r="Q259" s="58" t="s">
        <v>552</v>
      </c>
      <c r="R259" s="58" t="s">
        <v>856</v>
      </c>
      <c r="S259" s="58" t="s">
        <v>112</v>
      </c>
      <c r="T259" s="58" t="s">
        <v>113</v>
      </c>
      <c r="U259" s="58" t="s">
        <v>552</v>
      </c>
      <c r="V259" s="138" t="s">
        <v>3236</v>
      </c>
      <c r="W259" s="57" t="s">
        <v>3199</v>
      </c>
      <c r="X259" s="126" t="s">
        <v>2511</v>
      </c>
      <c r="Y259" s="126" t="s">
        <v>2511</v>
      </c>
      <c r="Z259" s="57" t="s">
        <v>2514</v>
      </c>
      <c r="AA259" s="57" t="s">
        <v>2515</v>
      </c>
      <c r="AB259" s="57" t="s">
        <v>2393</v>
      </c>
      <c r="AC259" s="57" t="s">
        <v>2516</v>
      </c>
      <c r="AD259" s="65" t="str">
        <f t="shared" si="62"/>
        <v>RSVD0</v>
      </c>
      <c r="AE259" s="70"/>
      <c r="AF259" s="67" t="str">
        <f t="shared" si="58"/>
        <v>PULL_DOWN</v>
      </c>
      <c r="AG259" s="67" t="str">
        <f t="shared" si="57"/>
        <v>TRISTATE</v>
      </c>
      <c r="AH259" s="67" t="str">
        <f t="shared" si="59"/>
        <v>DISABLE</v>
      </c>
      <c r="AI259" s="71" t="str">
        <f t="shared" si="60"/>
        <v>N/A</v>
      </c>
      <c r="AJ259" s="189" t="b">
        <v>1</v>
      </c>
      <c r="AK259" s="189" t="b">
        <v>1</v>
      </c>
      <c r="AL259" s="189" t="b">
        <v>1</v>
      </c>
      <c r="AM259" s="189" t="b">
        <v>1</v>
      </c>
      <c r="AN259" s="189" t="b">
        <v>1</v>
      </c>
      <c r="AO259" s="189" t="b">
        <v>1</v>
      </c>
      <c r="AP259" s="69" t="str">
        <f t="shared" si="61"/>
        <v>VALID</v>
      </c>
      <c r="AQ259" s="196" t="s">
        <v>1784</v>
      </c>
      <c r="AR259" s="194" t="s">
        <v>79</v>
      </c>
      <c r="AS259" s="193"/>
      <c r="AT259" s="72"/>
      <c r="AU259" s="72"/>
      <c r="AV259" s="10"/>
      <c r="AW259" s="10"/>
      <c r="AX259" s="193" t="s">
        <v>136</v>
      </c>
      <c r="AY259" s="10"/>
      <c r="AZ259" s="193"/>
      <c r="BA259" s="193"/>
      <c r="BB259" s="8"/>
      <c r="BC259" s="140"/>
      <c r="BD259" s="147" t="s">
        <v>83</v>
      </c>
      <c r="BE259" s="147" t="s">
        <v>83</v>
      </c>
    </row>
    <row r="260" spans="1:57" ht="12.95" hidden="1" customHeight="1">
      <c r="A260" s="248" t="e">
        <v>#N/A</v>
      </c>
      <c r="B260" s="252" t="e">
        <v>#N/A</v>
      </c>
      <c r="C260" s="263" t="s">
        <v>1060</v>
      </c>
      <c r="D260" s="239" t="s">
        <v>3238</v>
      </c>
      <c r="E260" s="58"/>
      <c r="F260" s="59" t="s">
        <v>1783</v>
      </c>
      <c r="G260" s="191" t="s">
        <v>2213</v>
      </c>
      <c r="H260" s="192" t="s">
        <v>2511</v>
      </c>
      <c r="I260" s="61" t="s">
        <v>3239</v>
      </c>
      <c r="J260" s="61"/>
      <c r="K260" s="62" t="s">
        <v>2511</v>
      </c>
      <c r="L260" s="60" t="s">
        <v>2389</v>
      </c>
      <c r="M260" s="61" t="s">
        <v>2511</v>
      </c>
      <c r="N260" s="61" t="s">
        <v>2388</v>
      </c>
      <c r="O260" s="61" t="s">
        <v>2523</v>
      </c>
      <c r="P260" s="62" t="s">
        <v>2511</v>
      </c>
      <c r="Q260" s="58" t="s">
        <v>552</v>
      </c>
      <c r="R260" s="58" t="s">
        <v>855</v>
      </c>
      <c r="S260" s="58" t="s">
        <v>1858</v>
      </c>
      <c r="T260" s="58" t="s">
        <v>113</v>
      </c>
      <c r="U260" s="58" t="s">
        <v>552</v>
      </c>
      <c r="V260" s="138" t="s">
        <v>3240</v>
      </c>
      <c r="W260" s="57" t="s">
        <v>3199</v>
      </c>
      <c r="X260" s="126" t="s">
        <v>3241</v>
      </c>
      <c r="Y260" s="126" t="s">
        <v>2511</v>
      </c>
      <c r="Z260" s="57" t="s">
        <v>2514</v>
      </c>
      <c r="AA260" s="57" t="s">
        <v>2753</v>
      </c>
      <c r="AB260" s="57" t="s">
        <v>2393</v>
      </c>
      <c r="AC260" s="57" t="s">
        <v>2516</v>
      </c>
      <c r="AD260" s="65" t="str">
        <f t="shared" si="62"/>
        <v>RSVD0</v>
      </c>
      <c r="AE260" s="70"/>
      <c r="AF260" s="67" t="str">
        <f t="shared" si="58"/>
        <v>PULL_DOWN</v>
      </c>
      <c r="AG260" s="67" t="str">
        <f t="shared" si="57"/>
        <v>TRISTATE</v>
      </c>
      <c r="AH260" s="67" t="str">
        <f t="shared" si="59"/>
        <v>DISABLE</v>
      </c>
      <c r="AI260" s="71" t="str">
        <f t="shared" si="60"/>
        <v>N/A</v>
      </c>
      <c r="AJ260" s="189" t="b">
        <v>1</v>
      </c>
      <c r="AK260" s="189" t="b">
        <v>1</v>
      </c>
      <c r="AL260" s="189" t="b">
        <v>1</v>
      </c>
      <c r="AM260" s="189" t="b">
        <v>1</v>
      </c>
      <c r="AN260" s="189" t="b">
        <v>1</v>
      </c>
      <c r="AO260" s="189" t="b">
        <v>1</v>
      </c>
      <c r="AP260" s="69" t="str">
        <f t="shared" si="61"/>
        <v>VALID</v>
      </c>
      <c r="AQ260" s="196" t="s">
        <v>1783</v>
      </c>
      <c r="AR260" s="194" t="s">
        <v>79</v>
      </c>
      <c r="AS260" s="193"/>
      <c r="AT260" s="193" t="s">
        <v>117</v>
      </c>
      <c r="AU260" s="72"/>
      <c r="AV260" s="72"/>
      <c r="AW260" s="10"/>
      <c r="AX260" s="193" t="s">
        <v>136</v>
      </c>
      <c r="AY260" s="10"/>
      <c r="AZ260" s="193"/>
      <c r="BA260" s="193"/>
      <c r="BB260" s="8"/>
      <c r="BC260" s="140"/>
      <c r="BD260" s="147" t="s">
        <v>83</v>
      </c>
      <c r="BE260" s="147" t="s">
        <v>83</v>
      </c>
    </row>
    <row r="261" spans="1:57" ht="12.95" hidden="1" customHeight="1">
      <c r="A261" s="248" t="e">
        <v>#N/A</v>
      </c>
      <c r="B261" s="252" t="e">
        <v>#N/A</v>
      </c>
      <c r="C261" s="263" t="s">
        <v>1061</v>
      </c>
      <c r="D261" s="239" t="s">
        <v>3242</v>
      </c>
      <c r="E261" s="58"/>
      <c r="F261" s="59" t="s">
        <v>1782</v>
      </c>
      <c r="G261" s="191" t="s">
        <v>916</v>
      </c>
      <c r="H261" s="192" t="s">
        <v>2511</v>
      </c>
      <c r="I261" s="61" t="s">
        <v>3243</v>
      </c>
      <c r="J261" s="61" t="s">
        <v>2511</v>
      </c>
      <c r="K261" s="62"/>
      <c r="L261" s="60" t="s">
        <v>2389</v>
      </c>
      <c r="M261" s="61" t="s">
        <v>2511</v>
      </c>
      <c r="N261" s="61" t="s">
        <v>2388</v>
      </c>
      <c r="O261" s="61" t="s">
        <v>2511</v>
      </c>
      <c r="P261" s="62" t="s">
        <v>2519</v>
      </c>
      <c r="Q261" s="58" t="s">
        <v>552</v>
      </c>
      <c r="R261" s="58" t="s">
        <v>855</v>
      </c>
      <c r="S261" s="58" t="s">
        <v>112</v>
      </c>
      <c r="T261" s="58" t="s">
        <v>113</v>
      </c>
      <c r="U261" s="58" t="s">
        <v>552</v>
      </c>
      <c r="V261" s="138" t="s">
        <v>3244</v>
      </c>
      <c r="W261" s="57" t="s">
        <v>3199</v>
      </c>
      <c r="X261" s="126" t="s">
        <v>2511</v>
      </c>
      <c r="Y261" s="126" t="s">
        <v>2511</v>
      </c>
      <c r="Z261" s="57" t="s">
        <v>2514</v>
      </c>
      <c r="AA261" s="57" t="s">
        <v>2515</v>
      </c>
      <c r="AB261" s="57" t="s">
        <v>2393</v>
      </c>
      <c r="AC261" s="57" t="s">
        <v>2516</v>
      </c>
      <c r="AD261" s="65" t="str">
        <f t="shared" si="62"/>
        <v>RSVD0</v>
      </c>
      <c r="AE261" s="70"/>
      <c r="AF261" s="67" t="str">
        <f t="shared" si="58"/>
        <v>PULL_DOWN</v>
      </c>
      <c r="AG261" s="67" t="str">
        <f t="shared" si="57"/>
        <v>TRISTATE</v>
      </c>
      <c r="AH261" s="67" t="str">
        <f t="shared" si="59"/>
        <v>DISABLE</v>
      </c>
      <c r="AI261" s="71" t="str">
        <f t="shared" si="60"/>
        <v>N/A</v>
      </c>
      <c r="AJ261" s="189" t="b">
        <v>1</v>
      </c>
      <c r="AK261" s="189" t="b">
        <v>1</v>
      </c>
      <c r="AL261" s="189" t="b">
        <v>1</v>
      </c>
      <c r="AM261" s="189" t="b">
        <v>1</v>
      </c>
      <c r="AN261" s="189" t="b">
        <v>1</v>
      </c>
      <c r="AO261" s="189" t="b">
        <v>1</v>
      </c>
      <c r="AP261" s="69" t="str">
        <f t="shared" si="61"/>
        <v>VALID</v>
      </c>
      <c r="AQ261" s="196" t="s">
        <v>1782</v>
      </c>
      <c r="AR261" s="194" t="s">
        <v>79</v>
      </c>
      <c r="AS261" s="193"/>
      <c r="AT261" s="72"/>
      <c r="AU261" s="72"/>
      <c r="AV261" s="72"/>
      <c r="AW261" s="10"/>
      <c r="AX261" s="193" t="s">
        <v>136</v>
      </c>
      <c r="AY261" s="10"/>
      <c r="AZ261" s="193"/>
      <c r="BA261" s="193"/>
      <c r="BB261" s="8"/>
      <c r="BC261" s="140"/>
      <c r="BD261" s="147" t="s">
        <v>83</v>
      </c>
      <c r="BE261" s="147" t="s">
        <v>83</v>
      </c>
    </row>
    <row r="262" spans="1:57" ht="12.95" customHeight="1">
      <c r="A262" s="320" t="s">
        <v>2555</v>
      </c>
      <c r="B262" s="253">
        <v>228</v>
      </c>
      <c r="C262" s="239" t="s">
        <v>1062</v>
      </c>
      <c r="D262" s="239" t="s">
        <v>3245</v>
      </c>
      <c r="E262" s="58"/>
      <c r="F262" s="59" t="s">
        <v>1781</v>
      </c>
      <c r="G262" s="191" t="s">
        <v>2415</v>
      </c>
      <c r="H262" s="192" t="s">
        <v>2511</v>
      </c>
      <c r="I262" s="61" t="s">
        <v>3246</v>
      </c>
      <c r="J262" s="61" t="s">
        <v>959</v>
      </c>
      <c r="K262" s="62" t="s">
        <v>2511</v>
      </c>
      <c r="L262" s="60" t="s">
        <v>2389</v>
      </c>
      <c r="M262" s="61" t="s">
        <v>2511</v>
      </c>
      <c r="N262" s="61" t="s">
        <v>2523</v>
      </c>
      <c r="O262" s="61" t="s">
        <v>2388</v>
      </c>
      <c r="P262" s="62" t="s">
        <v>2511</v>
      </c>
      <c r="Q262" s="58" t="s">
        <v>552</v>
      </c>
      <c r="R262" s="58" t="s">
        <v>66</v>
      </c>
      <c r="S262" s="58" t="s">
        <v>2425</v>
      </c>
      <c r="T262" s="58" t="s">
        <v>113</v>
      </c>
      <c r="U262" s="58" t="s">
        <v>552</v>
      </c>
      <c r="V262" s="138" t="s">
        <v>3247</v>
      </c>
      <c r="W262" s="57" t="s">
        <v>3199</v>
      </c>
      <c r="X262" s="126" t="s">
        <v>3248</v>
      </c>
      <c r="Y262" s="126" t="s">
        <v>2511</v>
      </c>
      <c r="Z262" s="57" t="s">
        <v>2514</v>
      </c>
      <c r="AA262" s="57" t="s">
        <v>2753</v>
      </c>
      <c r="AB262" s="57" t="s">
        <v>2393</v>
      </c>
      <c r="AC262" s="57" t="s">
        <v>2516</v>
      </c>
      <c r="AD262" s="65" t="str">
        <f t="shared" si="62"/>
        <v>GP</v>
      </c>
      <c r="AE262" s="70"/>
      <c r="AF262" s="67" t="str">
        <f t="shared" si="58"/>
        <v>PULL_UP</v>
      </c>
      <c r="AG262" s="67" t="str">
        <f t="shared" si="57"/>
        <v>NORMAL</v>
      </c>
      <c r="AH262" s="67" t="str">
        <f t="shared" si="59"/>
        <v>DISABLE</v>
      </c>
      <c r="AI262" s="71" t="str">
        <f t="shared" si="60"/>
        <v>N/A</v>
      </c>
      <c r="AJ262" s="189" t="b">
        <v>1</v>
      </c>
      <c r="AK262" s="189" t="b">
        <v>1</v>
      </c>
      <c r="AL262" s="189" t="b">
        <v>1</v>
      </c>
      <c r="AM262" s="189" t="b">
        <v>1</v>
      </c>
      <c r="AN262" s="189" t="b">
        <v>1</v>
      </c>
      <c r="AO262" s="189" t="b">
        <v>1</v>
      </c>
      <c r="AP262" s="69" t="str">
        <f t="shared" si="61"/>
        <v>VALID</v>
      </c>
      <c r="AQ262" s="195" t="s">
        <v>959</v>
      </c>
      <c r="AR262" s="194" t="s">
        <v>861</v>
      </c>
      <c r="AS262" s="193" t="s">
        <v>873</v>
      </c>
      <c r="AT262" s="193" t="s">
        <v>117</v>
      </c>
      <c r="AU262" s="72"/>
      <c r="AV262" s="72"/>
      <c r="AW262" s="10"/>
      <c r="AX262" s="193" t="s">
        <v>136</v>
      </c>
      <c r="AY262" s="10"/>
      <c r="AZ262" s="193"/>
      <c r="BA262" s="193"/>
      <c r="BB262" s="8"/>
      <c r="BC262" s="140"/>
      <c r="BD262" s="1" t="s">
        <v>5647</v>
      </c>
      <c r="BE262" s="311" t="s">
        <v>5648</v>
      </c>
    </row>
    <row r="263" spans="1:57" ht="12.95" hidden="1" customHeight="1">
      <c r="A263" s="248" t="e">
        <v>#N/A</v>
      </c>
      <c r="B263" s="252" t="e">
        <v>#N/A</v>
      </c>
      <c r="C263" s="263" t="s">
        <v>1063</v>
      </c>
      <c r="D263" s="239" t="s">
        <v>3249</v>
      </c>
      <c r="E263" s="58"/>
      <c r="F263" s="59" t="s">
        <v>1780</v>
      </c>
      <c r="G263" s="191" t="s">
        <v>917</v>
      </c>
      <c r="H263" s="192" t="s">
        <v>2511</v>
      </c>
      <c r="I263" s="61" t="s">
        <v>3250</v>
      </c>
      <c r="J263" s="61" t="s">
        <v>2511</v>
      </c>
      <c r="K263" s="62" t="s">
        <v>2511</v>
      </c>
      <c r="L263" s="60" t="s">
        <v>2389</v>
      </c>
      <c r="M263" s="61" t="s">
        <v>2511</v>
      </c>
      <c r="N263" s="61" t="s">
        <v>2523</v>
      </c>
      <c r="O263" s="61" t="s">
        <v>2511</v>
      </c>
      <c r="P263" s="62" t="s">
        <v>2511</v>
      </c>
      <c r="Q263" s="58" t="s">
        <v>552</v>
      </c>
      <c r="R263" s="202" t="s">
        <v>66</v>
      </c>
      <c r="S263" s="202" t="s">
        <v>112</v>
      </c>
      <c r="T263" s="202" t="s">
        <v>113</v>
      </c>
      <c r="U263" s="58" t="s">
        <v>552</v>
      </c>
      <c r="V263" s="138" t="s">
        <v>3251</v>
      </c>
      <c r="W263" s="57" t="s">
        <v>3199</v>
      </c>
      <c r="X263" s="126" t="s">
        <v>3252</v>
      </c>
      <c r="Y263" s="126" t="s">
        <v>2511</v>
      </c>
      <c r="Z263" s="57" t="s">
        <v>2514</v>
      </c>
      <c r="AA263" s="57" t="s">
        <v>2753</v>
      </c>
      <c r="AB263" s="57" t="s">
        <v>2393</v>
      </c>
      <c r="AC263" s="57" t="s">
        <v>2516</v>
      </c>
      <c r="AD263" s="65" t="str">
        <f t="shared" si="62"/>
        <v>RSVD0</v>
      </c>
      <c r="AE263" s="70"/>
      <c r="AF263" s="67" t="str">
        <f t="shared" si="58"/>
        <v>PULL_DOWN</v>
      </c>
      <c r="AG263" s="67" t="str">
        <f t="shared" si="57"/>
        <v>TRISTATE</v>
      </c>
      <c r="AH263" s="67" t="str">
        <f t="shared" si="59"/>
        <v>DISABLE</v>
      </c>
      <c r="AI263" s="71" t="str">
        <f t="shared" si="60"/>
        <v>N/A</v>
      </c>
      <c r="AJ263" s="189" t="b">
        <v>1</v>
      </c>
      <c r="AK263" s="189" t="b">
        <v>1</v>
      </c>
      <c r="AL263" s="189" t="b">
        <v>1</v>
      </c>
      <c r="AM263" s="189" t="b">
        <v>1</v>
      </c>
      <c r="AN263" s="189" t="b">
        <v>1</v>
      </c>
      <c r="AO263" s="189" t="b">
        <v>1</v>
      </c>
      <c r="AP263" s="69" t="str">
        <f t="shared" si="61"/>
        <v>VALID</v>
      </c>
      <c r="AQ263" s="195" t="s">
        <v>1780</v>
      </c>
      <c r="AR263" s="194" t="s">
        <v>79</v>
      </c>
      <c r="AS263" s="193"/>
      <c r="AT263" s="193" t="s">
        <v>117</v>
      </c>
      <c r="AU263" s="72"/>
      <c r="AV263" s="72"/>
      <c r="AW263" s="10"/>
      <c r="AX263" s="193" t="s">
        <v>136</v>
      </c>
      <c r="AY263" s="10"/>
      <c r="AZ263" s="193"/>
      <c r="BA263" s="193"/>
      <c r="BB263" s="8"/>
      <c r="BC263" s="140"/>
      <c r="BD263" s="147" t="s">
        <v>83</v>
      </c>
      <c r="BE263" s="147" t="s">
        <v>83</v>
      </c>
    </row>
    <row r="264" spans="1:57" s="91" customFormat="1" ht="15.75">
      <c r="A264" s="357"/>
      <c r="B264" s="358"/>
      <c r="C264" s="268" t="s">
        <v>188</v>
      </c>
      <c r="D264" s="268"/>
      <c r="E264" s="86"/>
      <c r="F264" s="86"/>
      <c r="G264" s="87"/>
      <c r="H264" s="87"/>
      <c r="I264" s="87"/>
      <c r="J264" s="87"/>
      <c r="K264" s="87"/>
      <c r="L264" s="86"/>
      <c r="M264" s="86"/>
      <c r="N264" s="86"/>
      <c r="O264" s="86"/>
      <c r="P264" s="86"/>
      <c r="Q264" s="86"/>
      <c r="R264" s="86"/>
      <c r="S264" s="86"/>
      <c r="T264" s="86"/>
      <c r="U264" s="86"/>
      <c r="V264" s="86"/>
      <c r="W264" s="86"/>
      <c r="X264" s="129"/>
      <c r="Y264" s="129"/>
      <c r="Z264" s="88"/>
      <c r="AA264" s="88"/>
      <c r="AB264" s="88"/>
      <c r="AC264" s="88"/>
      <c r="AD264" s="88"/>
      <c r="AE264" s="88"/>
      <c r="AF264" s="88"/>
      <c r="AG264" s="88"/>
      <c r="AH264" s="88"/>
      <c r="AI264" s="88"/>
      <c r="AJ264" s="88"/>
      <c r="AK264" s="88"/>
      <c r="AL264" s="88"/>
      <c r="AM264" s="88"/>
      <c r="AN264" s="88"/>
      <c r="AO264" s="88"/>
      <c r="AP264" s="88"/>
      <c r="AQ264" s="89"/>
      <c r="AR264" s="89"/>
      <c r="AS264" s="90"/>
      <c r="AT264" s="90"/>
      <c r="AU264" s="90"/>
      <c r="AV264" s="90"/>
      <c r="AW264" s="90"/>
      <c r="AX264" s="90"/>
      <c r="AY264" s="90"/>
      <c r="AZ264" s="90"/>
      <c r="BA264" s="90"/>
      <c r="BB264" s="90"/>
      <c r="BC264" s="101"/>
      <c r="BD264" s="90"/>
      <c r="BE264" s="232"/>
    </row>
    <row r="265" spans="1:57" s="91" customFormat="1" ht="18" customHeight="1">
      <c r="A265" s="359"/>
      <c r="B265" s="360"/>
      <c r="C265" s="268" t="s">
        <v>1064</v>
      </c>
      <c r="D265" s="268"/>
      <c r="E265" s="86"/>
      <c r="F265" s="86"/>
      <c r="G265" s="87"/>
      <c r="H265" s="87"/>
      <c r="I265" s="87"/>
      <c r="J265" s="87"/>
      <c r="K265" s="87"/>
      <c r="L265" s="86"/>
      <c r="M265" s="86"/>
      <c r="N265" s="86"/>
      <c r="O265" s="86"/>
      <c r="P265" s="86"/>
      <c r="Q265" s="86"/>
      <c r="R265" s="86"/>
      <c r="S265" s="86"/>
      <c r="T265" s="86"/>
      <c r="U265" s="86"/>
      <c r="V265" s="86"/>
      <c r="W265" s="86"/>
      <c r="X265" s="129"/>
      <c r="Y265" s="129"/>
      <c r="Z265" s="88"/>
      <c r="AA265" s="88"/>
      <c r="AB265" s="88"/>
      <c r="AC265" s="88"/>
      <c r="AD265" s="88"/>
      <c r="AE265" s="88"/>
      <c r="AF265" s="88"/>
      <c r="AG265" s="88"/>
      <c r="AH265" s="88"/>
      <c r="AI265" s="88"/>
      <c r="AJ265" s="88"/>
      <c r="AK265" s="88"/>
      <c r="AL265" s="88"/>
      <c r="AM265" s="88"/>
      <c r="AN265" s="88"/>
      <c r="AO265" s="88"/>
      <c r="AP265" s="88"/>
      <c r="AQ265" s="89"/>
      <c r="AR265" s="100"/>
      <c r="AS265" s="101"/>
      <c r="AT265" s="101"/>
      <c r="AU265" s="101"/>
      <c r="AV265" s="101"/>
      <c r="AW265" s="101"/>
      <c r="AX265" s="101"/>
      <c r="AY265" s="101"/>
      <c r="AZ265" s="101"/>
      <c r="BA265" s="101"/>
      <c r="BB265" s="101"/>
      <c r="BC265" s="175" t="s">
        <v>268</v>
      </c>
      <c r="BD265" s="101"/>
      <c r="BE265" s="261" t="s">
        <v>1064</v>
      </c>
    </row>
    <row r="266" spans="1:57" s="81" customFormat="1" ht="12.95" customHeight="1">
      <c r="A266" s="247" t="s">
        <v>3253</v>
      </c>
      <c r="B266" s="251">
        <v>10</v>
      </c>
      <c r="C266" s="267" t="s">
        <v>189</v>
      </c>
      <c r="D266" s="239" t="s">
        <v>3255</v>
      </c>
      <c r="E266" s="58"/>
      <c r="F266" s="59" t="s">
        <v>190</v>
      </c>
      <c r="G266" s="191" t="s">
        <v>2511</v>
      </c>
      <c r="H266" s="192" t="s">
        <v>189</v>
      </c>
      <c r="I266" s="61" t="s">
        <v>2511</v>
      </c>
      <c r="J266" s="61" t="s">
        <v>2511</v>
      </c>
      <c r="K266" s="62" t="s">
        <v>2511</v>
      </c>
      <c r="L266" s="60" t="s">
        <v>2511</v>
      </c>
      <c r="M266" s="61" t="s">
        <v>2523</v>
      </c>
      <c r="N266" s="61" t="s">
        <v>2511</v>
      </c>
      <c r="O266" s="61" t="s">
        <v>2511</v>
      </c>
      <c r="P266" s="62" t="s">
        <v>2511</v>
      </c>
      <c r="Q266" s="82"/>
      <c r="R266" s="82"/>
      <c r="S266" s="82"/>
      <c r="T266" s="82"/>
      <c r="U266" s="82"/>
      <c r="V266" s="138" t="s">
        <v>3256</v>
      </c>
      <c r="W266" s="57" t="s">
        <v>3257</v>
      </c>
      <c r="X266" s="126" t="s">
        <v>2511</v>
      </c>
      <c r="Y266" s="126" t="s">
        <v>2511</v>
      </c>
      <c r="Z266" s="57"/>
      <c r="AA266" s="57" t="s">
        <v>3258</v>
      </c>
      <c r="AB266" s="57"/>
      <c r="AC266" s="137" t="s">
        <v>2631</v>
      </c>
      <c r="AD266" s="96"/>
      <c r="AE266" s="80"/>
      <c r="AF266" s="80"/>
      <c r="AG266" s="80"/>
      <c r="AH266" s="83"/>
      <c r="AI266" s="83"/>
      <c r="AJ266" s="84"/>
      <c r="AK266" s="84"/>
      <c r="AL266" s="84"/>
      <c r="AM266" s="84"/>
      <c r="AN266" s="84"/>
      <c r="AO266" s="84"/>
      <c r="AP266" s="84"/>
      <c r="AQ266" s="104" t="s">
        <v>189</v>
      </c>
      <c r="AR266" s="72"/>
      <c r="AS266" s="72"/>
      <c r="AT266" s="72"/>
      <c r="AU266" s="72"/>
      <c r="AV266" s="72"/>
      <c r="AW266" s="72"/>
      <c r="AX266" s="72"/>
      <c r="AY266" s="72"/>
      <c r="AZ266" s="72"/>
      <c r="BA266" s="72"/>
      <c r="BB266" s="16"/>
      <c r="BC266" s="72"/>
      <c r="BD266" s="316" t="s">
        <v>189</v>
      </c>
      <c r="BE266" s="260" t="s">
        <v>189</v>
      </c>
    </row>
    <row r="267" spans="1:57" s="81" customFormat="1" ht="12.95" customHeight="1">
      <c r="A267" s="247" t="s">
        <v>3259</v>
      </c>
      <c r="B267" s="251">
        <v>12</v>
      </c>
      <c r="C267" s="267" t="s">
        <v>191</v>
      </c>
      <c r="D267" s="239" t="s">
        <v>3260</v>
      </c>
      <c r="E267" s="58"/>
      <c r="F267" s="59" t="s">
        <v>192</v>
      </c>
      <c r="G267" s="191" t="s">
        <v>2511</v>
      </c>
      <c r="H267" s="192" t="s">
        <v>191</v>
      </c>
      <c r="I267" s="61" t="s">
        <v>2511</v>
      </c>
      <c r="J267" s="61" t="s">
        <v>2511</v>
      </c>
      <c r="K267" s="62" t="s">
        <v>2511</v>
      </c>
      <c r="L267" s="60" t="s">
        <v>2511</v>
      </c>
      <c r="M267" s="61" t="s">
        <v>2523</v>
      </c>
      <c r="N267" s="61" t="s">
        <v>2511</v>
      </c>
      <c r="O267" s="61" t="s">
        <v>2511</v>
      </c>
      <c r="P267" s="62" t="s">
        <v>2511</v>
      </c>
      <c r="Q267" s="82"/>
      <c r="R267" s="82"/>
      <c r="S267" s="82"/>
      <c r="T267" s="82"/>
      <c r="U267" s="82"/>
      <c r="V267" s="138" t="s">
        <v>3261</v>
      </c>
      <c r="W267" s="57" t="s">
        <v>3257</v>
      </c>
      <c r="X267" s="126" t="s">
        <v>2511</v>
      </c>
      <c r="Y267" s="126" t="s">
        <v>2511</v>
      </c>
      <c r="Z267" s="57"/>
      <c r="AA267" s="57" t="s">
        <v>3258</v>
      </c>
      <c r="AB267" s="57"/>
      <c r="AC267" s="138" t="s">
        <v>2631</v>
      </c>
      <c r="AD267" s="96"/>
      <c r="AE267" s="80"/>
      <c r="AF267" s="80"/>
      <c r="AG267" s="80"/>
      <c r="AH267" s="83"/>
      <c r="AI267" s="83"/>
      <c r="AJ267" s="84"/>
      <c r="AK267" s="84"/>
      <c r="AL267" s="84"/>
      <c r="AM267" s="84"/>
      <c r="AN267" s="84"/>
      <c r="AO267" s="84"/>
      <c r="AP267" s="84"/>
      <c r="AQ267" s="95" t="s">
        <v>191</v>
      </c>
      <c r="AR267" s="72"/>
      <c r="AS267" s="72"/>
      <c r="AT267" s="72"/>
      <c r="AU267" s="72"/>
      <c r="AV267" s="72"/>
      <c r="AW267" s="72"/>
      <c r="AX267" s="72"/>
      <c r="AY267" s="72"/>
      <c r="AZ267" s="72"/>
      <c r="BA267" s="72"/>
      <c r="BB267" s="16"/>
      <c r="BC267" s="72"/>
      <c r="BD267" s="317" t="s">
        <v>191</v>
      </c>
      <c r="BE267" s="260" t="s">
        <v>191</v>
      </c>
    </row>
    <row r="268" spans="1:57" s="81" customFormat="1" ht="12.95" customHeight="1">
      <c r="A268" s="247" t="s">
        <v>3262</v>
      </c>
      <c r="B268" s="251">
        <v>4</v>
      </c>
      <c r="C268" s="267" t="s">
        <v>193</v>
      </c>
      <c r="D268" s="239" t="s">
        <v>3263</v>
      </c>
      <c r="E268" s="58"/>
      <c r="F268" s="59" t="s">
        <v>194</v>
      </c>
      <c r="G268" s="191" t="s">
        <v>2511</v>
      </c>
      <c r="H268" s="192" t="s">
        <v>193</v>
      </c>
      <c r="I268" s="61" t="s">
        <v>2511</v>
      </c>
      <c r="J268" s="61" t="s">
        <v>2511</v>
      </c>
      <c r="K268" s="62" t="s">
        <v>2511</v>
      </c>
      <c r="L268" s="60" t="s">
        <v>2511</v>
      </c>
      <c r="M268" s="61" t="s">
        <v>2523</v>
      </c>
      <c r="N268" s="61" t="s">
        <v>2511</v>
      </c>
      <c r="O268" s="61" t="s">
        <v>2511</v>
      </c>
      <c r="P268" s="62" t="s">
        <v>2511</v>
      </c>
      <c r="Q268" s="82"/>
      <c r="R268" s="82"/>
      <c r="S268" s="82"/>
      <c r="T268" s="82"/>
      <c r="U268" s="82"/>
      <c r="V268" s="138" t="s">
        <v>3264</v>
      </c>
      <c r="W268" s="57" t="s">
        <v>3257</v>
      </c>
      <c r="X268" s="126" t="s">
        <v>2511</v>
      </c>
      <c r="Y268" s="126" t="s">
        <v>2511</v>
      </c>
      <c r="Z268" s="57"/>
      <c r="AA268" s="57" t="s">
        <v>3258</v>
      </c>
      <c r="AB268" s="57"/>
      <c r="AC268" s="138" t="s">
        <v>2631</v>
      </c>
      <c r="AD268" s="96"/>
      <c r="AE268" s="80"/>
      <c r="AF268" s="80"/>
      <c r="AG268" s="80"/>
      <c r="AH268" s="83"/>
      <c r="AI268" s="83"/>
      <c r="AJ268" s="84"/>
      <c r="AK268" s="84"/>
      <c r="AL268" s="84"/>
      <c r="AM268" s="84"/>
      <c r="AN268" s="84"/>
      <c r="AO268" s="84"/>
      <c r="AP268" s="84"/>
      <c r="AQ268" s="95" t="s">
        <v>193</v>
      </c>
      <c r="AR268" s="72"/>
      <c r="AS268" s="72"/>
      <c r="AT268" s="72"/>
      <c r="AU268" s="72"/>
      <c r="AV268" s="72"/>
      <c r="AW268" s="72"/>
      <c r="AX268" s="72"/>
      <c r="AY268" s="72"/>
      <c r="AZ268" s="72"/>
      <c r="BA268" s="72"/>
      <c r="BB268" s="16"/>
      <c r="BC268" s="72"/>
      <c r="BD268" s="317" t="s">
        <v>193</v>
      </c>
      <c r="BE268" s="260" t="s">
        <v>193</v>
      </c>
    </row>
    <row r="269" spans="1:57" s="81" customFormat="1" ht="12.95" customHeight="1">
      <c r="A269" s="247" t="s">
        <v>3265</v>
      </c>
      <c r="B269" s="251">
        <v>6</v>
      </c>
      <c r="C269" s="267" t="s">
        <v>195</v>
      </c>
      <c r="D269" s="239" t="s">
        <v>3266</v>
      </c>
      <c r="E269" s="58"/>
      <c r="F269" s="59" t="s">
        <v>196</v>
      </c>
      <c r="G269" s="191" t="s">
        <v>2511</v>
      </c>
      <c r="H269" s="192" t="s">
        <v>195</v>
      </c>
      <c r="I269" s="61" t="s">
        <v>2511</v>
      </c>
      <c r="J269" s="61" t="s">
        <v>2511</v>
      </c>
      <c r="K269" s="62" t="s">
        <v>2511</v>
      </c>
      <c r="L269" s="60" t="s">
        <v>2511</v>
      </c>
      <c r="M269" s="61" t="s">
        <v>2523</v>
      </c>
      <c r="N269" s="61" t="s">
        <v>2511</v>
      </c>
      <c r="O269" s="61" t="s">
        <v>2511</v>
      </c>
      <c r="P269" s="62" t="s">
        <v>2511</v>
      </c>
      <c r="Q269" s="82"/>
      <c r="R269" s="82"/>
      <c r="S269" s="82"/>
      <c r="T269" s="82"/>
      <c r="U269" s="82"/>
      <c r="V269" s="138" t="s">
        <v>3267</v>
      </c>
      <c r="W269" s="57" t="s">
        <v>3257</v>
      </c>
      <c r="X269" s="126" t="s">
        <v>2511</v>
      </c>
      <c r="Y269" s="126" t="s">
        <v>2511</v>
      </c>
      <c r="Z269" s="57"/>
      <c r="AA269" s="57" t="s">
        <v>3258</v>
      </c>
      <c r="AB269" s="57"/>
      <c r="AC269" s="138" t="s">
        <v>2631</v>
      </c>
      <c r="AD269" s="96"/>
      <c r="AE269" s="80"/>
      <c r="AF269" s="80"/>
      <c r="AG269" s="80"/>
      <c r="AH269" s="83"/>
      <c r="AI269" s="83"/>
      <c r="AJ269" s="84"/>
      <c r="AK269" s="84"/>
      <c r="AL269" s="84"/>
      <c r="AM269" s="84"/>
      <c r="AN269" s="84"/>
      <c r="AO269" s="84"/>
      <c r="AP269" s="84"/>
      <c r="AQ269" s="95" t="s">
        <v>195</v>
      </c>
      <c r="AR269" s="72"/>
      <c r="AS269" s="72"/>
      <c r="AT269" s="72"/>
      <c r="AU269" s="72"/>
      <c r="AV269" s="72"/>
      <c r="AW269" s="72"/>
      <c r="AX269" s="72"/>
      <c r="AY269" s="72"/>
      <c r="AZ269" s="72"/>
      <c r="BA269" s="72"/>
      <c r="BB269" s="16"/>
      <c r="BC269" s="72"/>
      <c r="BD269" s="317" t="s">
        <v>195</v>
      </c>
      <c r="BE269" s="260" t="s">
        <v>195</v>
      </c>
    </row>
    <row r="270" spans="1:57" s="81" customFormat="1" ht="12.95" customHeight="1">
      <c r="A270" s="247" t="s">
        <v>3268</v>
      </c>
      <c r="B270" s="251">
        <v>16</v>
      </c>
      <c r="C270" s="267" t="s">
        <v>197</v>
      </c>
      <c r="D270" s="239" t="s">
        <v>3269</v>
      </c>
      <c r="E270" s="58"/>
      <c r="F270" s="59" t="s">
        <v>198</v>
      </c>
      <c r="G270" s="191" t="s">
        <v>2511</v>
      </c>
      <c r="H270" s="192" t="s">
        <v>197</v>
      </c>
      <c r="I270" s="61" t="s">
        <v>2511</v>
      </c>
      <c r="J270" s="61" t="s">
        <v>2511</v>
      </c>
      <c r="K270" s="62" t="s">
        <v>2511</v>
      </c>
      <c r="L270" s="60" t="s">
        <v>2511</v>
      </c>
      <c r="M270" s="61" t="s">
        <v>2523</v>
      </c>
      <c r="N270" s="61" t="s">
        <v>2511</v>
      </c>
      <c r="O270" s="61" t="s">
        <v>2511</v>
      </c>
      <c r="P270" s="62" t="s">
        <v>2511</v>
      </c>
      <c r="Q270" s="82"/>
      <c r="R270" s="82"/>
      <c r="S270" s="82"/>
      <c r="T270" s="82"/>
      <c r="U270" s="82"/>
      <c r="V270" s="138" t="s">
        <v>3270</v>
      </c>
      <c r="W270" s="57" t="s">
        <v>3257</v>
      </c>
      <c r="X270" s="126" t="s">
        <v>2511</v>
      </c>
      <c r="Y270" s="126" t="s">
        <v>2511</v>
      </c>
      <c r="Z270" s="57"/>
      <c r="AA270" s="57" t="s">
        <v>3258</v>
      </c>
      <c r="AB270" s="57"/>
      <c r="AC270" s="138" t="s">
        <v>2631</v>
      </c>
      <c r="AD270" s="96"/>
      <c r="AE270" s="80"/>
      <c r="AF270" s="80"/>
      <c r="AG270" s="80"/>
      <c r="AH270" s="83"/>
      <c r="AI270" s="83"/>
      <c r="AJ270" s="84"/>
      <c r="AK270" s="84"/>
      <c r="AL270" s="84"/>
      <c r="AM270" s="84"/>
      <c r="AN270" s="84"/>
      <c r="AO270" s="84"/>
      <c r="AP270" s="84"/>
      <c r="AQ270" s="95" t="s">
        <v>197</v>
      </c>
      <c r="AR270" s="72"/>
      <c r="AS270" s="72"/>
      <c r="AT270" s="72"/>
      <c r="AU270" s="72"/>
      <c r="AV270" s="72"/>
      <c r="AW270" s="72"/>
      <c r="AX270" s="72"/>
      <c r="AY270" s="72"/>
      <c r="AZ270" s="72"/>
      <c r="BA270" s="72"/>
      <c r="BB270" s="16"/>
      <c r="BC270" s="72"/>
      <c r="BD270" s="317" t="s">
        <v>197</v>
      </c>
      <c r="BE270" s="260" t="s">
        <v>197</v>
      </c>
    </row>
    <row r="271" spans="1:57" s="81" customFormat="1" ht="12.95" customHeight="1">
      <c r="A271" s="247" t="s">
        <v>3271</v>
      </c>
      <c r="B271" s="251">
        <v>18</v>
      </c>
      <c r="C271" s="267" t="s">
        <v>199</v>
      </c>
      <c r="D271" s="239" t="s">
        <v>3272</v>
      </c>
      <c r="E271" s="58"/>
      <c r="F271" s="59" t="s">
        <v>200</v>
      </c>
      <c r="G271" s="191" t="s">
        <v>2511</v>
      </c>
      <c r="H271" s="192" t="s">
        <v>199</v>
      </c>
      <c r="I271" s="61" t="s">
        <v>2511</v>
      </c>
      <c r="J271" s="61" t="s">
        <v>2511</v>
      </c>
      <c r="K271" s="62" t="s">
        <v>2511</v>
      </c>
      <c r="L271" s="60" t="s">
        <v>2511</v>
      </c>
      <c r="M271" s="61" t="s">
        <v>2523</v>
      </c>
      <c r="N271" s="61" t="s">
        <v>2511</v>
      </c>
      <c r="O271" s="61" t="s">
        <v>2511</v>
      </c>
      <c r="P271" s="62" t="s">
        <v>2511</v>
      </c>
      <c r="Q271" s="82"/>
      <c r="R271" s="82"/>
      <c r="S271" s="82"/>
      <c r="T271" s="82"/>
      <c r="U271" s="82"/>
      <c r="V271" s="138" t="s">
        <v>3273</v>
      </c>
      <c r="W271" s="57" t="s">
        <v>3257</v>
      </c>
      <c r="X271" s="126" t="s">
        <v>2511</v>
      </c>
      <c r="Y271" s="126" t="s">
        <v>2511</v>
      </c>
      <c r="Z271" s="57"/>
      <c r="AA271" s="57" t="s">
        <v>3258</v>
      </c>
      <c r="AB271" s="57"/>
      <c r="AC271" s="138" t="s">
        <v>2631</v>
      </c>
      <c r="AD271" s="96"/>
      <c r="AE271" s="80"/>
      <c r="AF271" s="80"/>
      <c r="AG271" s="80"/>
      <c r="AH271" s="83"/>
      <c r="AI271" s="83"/>
      <c r="AJ271" s="84"/>
      <c r="AK271" s="84"/>
      <c r="AL271" s="84"/>
      <c r="AM271" s="84"/>
      <c r="AN271" s="84"/>
      <c r="AO271" s="84"/>
      <c r="AP271" s="84"/>
      <c r="AQ271" s="95" t="s">
        <v>199</v>
      </c>
      <c r="AR271" s="72"/>
      <c r="AS271" s="72"/>
      <c r="AT271" s="72"/>
      <c r="AU271" s="72"/>
      <c r="AV271" s="72"/>
      <c r="AW271" s="72"/>
      <c r="AX271" s="72"/>
      <c r="AY271" s="72"/>
      <c r="AZ271" s="72"/>
      <c r="BA271" s="72"/>
      <c r="BB271" s="16"/>
      <c r="BC271" s="72"/>
      <c r="BD271" s="318" t="s">
        <v>199</v>
      </c>
      <c r="BE271" s="260" t="s">
        <v>199</v>
      </c>
    </row>
    <row r="272" spans="1:57" s="81" customFormat="1" ht="12.95" customHeight="1">
      <c r="A272" s="247" t="s">
        <v>3274</v>
      </c>
      <c r="B272" s="251">
        <v>9</v>
      </c>
      <c r="C272" s="267" t="s">
        <v>297</v>
      </c>
      <c r="D272" s="239" t="s">
        <v>3276</v>
      </c>
      <c r="E272" s="58"/>
      <c r="F272" s="59" t="s">
        <v>512</v>
      </c>
      <c r="G272" s="191" t="s">
        <v>2511</v>
      </c>
      <c r="H272" s="192" t="s">
        <v>297</v>
      </c>
      <c r="I272" s="61" t="s">
        <v>2511</v>
      </c>
      <c r="J272" s="61" t="s">
        <v>2511</v>
      </c>
      <c r="K272" s="62" t="s">
        <v>2511</v>
      </c>
      <c r="L272" s="60" t="s">
        <v>2511</v>
      </c>
      <c r="M272" s="61" t="s">
        <v>2523</v>
      </c>
      <c r="N272" s="61" t="s">
        <v>2511</v>
      </c>
      <c r="O272" s="61" t="s">
        <v>2511</v>
      </c>
      <c r="P272" s="62" t="s">
        <v>2511</v>
      </c>
      <c r="Q272" s="82"/>
      <c r="R272" s="82"/>
      <c r="S272" s="82"/>
      <c r="T272" s="82"/>
      <c r="U272" s="82"/>
      <c r="V272" s="138" t="s">
        <v>3277</v>
      </c>
      <c r="W272" s="57" t="s">
        <v>3257</v>
      </c>
      <c r="X272" s="126" t="s">
        <v>2511</v>
      </c>
      <c r="Y272" s="126" t="s">
        <v>2511</v>
      </c>
      <c r="Z272" s="57"/>
      <c r="AA272" s="57" t="s">
        <v>3258</v>
      </c>
      <c r="AB272" s="57"/>
      <c r="AC272" s="138" t="s">
        <v>2631</v>
      </c>
      <c r="AD272" s="96"/>
      <c r="AE272" s="80"/>
      <c r="AF272" s="80"/>
      <c r="AG272" s="80"/>
      <c r="AH272" s="83"/>
      <c r="AI272" s="83"/>
      <c r="AJ272" s="84"/>
      <c r="AK272" s="84"/>
      <c r="AL272" s="84"/>
      <c r="AM272" s="84"/>
      <c r="AN272" s="84"/>
      <c r="AO272" s="84"/>
      <c r="AP272" s="84"/>
      <c r="AQ272" s="104" t="s">
        <v>297</v>
      </c>
      <c r="AR272" s="72"/>
      <c r="AS272" s="72"/>
      <c r="AT272" s="72"/>
      <c r="AU272" s="72"/>
      <c r="AV272" s="72"/>
      <c r="AW272" s="72"/>
      <c r="AX272" s="72"/>
      <c r="AY272" s="72"/>
      <c r="AZ272" s="72"/>
      <c r="BA272" s="72"/>
      <c r="BB272" s="16"/>
      <c r="BC272" s="72"/>
      <c r="BD272" s="316" t="s">
        <v>297</v>
      </c>
      <c r="BE272" s="260" t="s">
        <v>297</v>
      </c>
    </row>
    <row r="273" spans="1:57" s="81" customFormat="1" ht="12.95" customHeight="1">
      <c r="A273" s="247" t="s">
        <v>3278</v>
      </c>
      <c r="B273" s="251">
        <v>11</v>
      </c>
      <c r="C273" s="267" t="s">
        <v>298</v>
      </c>
      <c r="D273" s="239" t="s">
        <v>3280</v>
      </c>
      <c r="E273" s="58"/>
      <c r="F273" s="59" t="s">
        <v>513</v>
      </c>
      <c r="G273" s="191" t="s">
        <v>2511</v>
      </c>
      <c r="H273" s="192" t="s">
        <v>298</v>
      </c>
      <c r="I273" s="61" t="s">
        <v>2511</v>
      </c>
      <c r="J273" s="61" t="s">
        <v>2511</v>
      </c>
      <c r="K273" s="62" t="s">
        <v>2511</v>
      </c>
      <c r="L273" s="60" t="s">
        <v>2511</v>
      </c>
      <c r="M273" s="61" t="s">
        <v>2523</v>
      </c>
      <c r="N273" s="61" t="s">
        <v>2511</v>
      </c>
      <c r="O273" s="61" t="s">
        <v>2511</v>
      </c>
      <c r="P273" s="62" t="s">
        <v>2511</v>
      </c>
      <c r="Q273" s="82"/>
      <c r="R273" s="82"/>
      <c r="S273" s="82"/>
      <c r="T273" s="82"/>
      <c r="U273" s="82"/>
      <c r="V273" s="138" t="s">
        <v>3281</v>
      </c>
      <c r="W273" s="57" t="s">
        <v>3257</v>
      </c>
      <c r="X273" s="126" t="s">
        <v>2511</v>
      </c>
      <c r="Y273" s="126" t="s">
        <v>2511</v>
      </c>
      <c r="Z273" s="57"/>
      <c r="AA273" s="57" t="s">
        <v>3258</v>
      </c>
      <c r="AB273" s="57"/>
      <c r="AC273" s="138" t="s">
        <v>2631</v>
      </c>
      <c r="AD273" s="96"/>
      <c r="AE273" s="80"/>
      <c r="AF273" s="80"/>
      <c r="AG273" s="80"/>
      <c r="AH273" s="83"/>
      <c r="AI273" s="83"/>
      <c r="AJ273" s="84"/>
      <c r="AK273" s="84"/>
      <c r="AL273" s="84"/>
      <c r="AM273" s="84"/>
      <c r="AN273" s="84"/>
      <c r="AO273" s="84"/>
      <c r="AP273" s="84"/>
      <c r="AQ273" s="95" t="s">
        <v>298</v>
      </c>
      <c r="AR273" s="72"/>
      <c r="AS273" s="72"/>
      <c r="AT273" s="72"/>
      <c r="AU273" s="72"/>
      <c r="AV273" s="72"/>
      <c r="AW273" s="72"/>
      <c r="AX273" s="72"/>
      <c r="AY273" s="72"/>
      <c r="AZ273" s="72"/>
      <c r="BA273" s="72"/>
      <c r="BB273" s="16"/>
      <c r="BC273" s="72"/>
      <c r="BD273" s="317" t="s">
        <v>298</v>
      </c>
      <c r="BE273" s="260" t="s">
        <v>298</v>
      </c>
    </row>
    <row r="274" spans="1:57" s="81" customFormat="1" ht="12.95" customHeight="1">
      <c r="A274" s="247" t="s">
        <v>3282</v>
      </c>
      <c r="B274" s="251">
        <v>3</v>
      </c>
      <c r="C274" s="267" t="s">
        <v>201</v>
      </c>
      <c r="D274" s="239" t="s">
        <v>3284</v>
      </c>
      <c r="E274" s="58"/>
      <c r="F274" s="59" t="s">
        <v>202</v>
      </c>
      <c r="G274" s="191" t="s">
        <v>2511</v>
      </c>
      <c r="H274" s="192" t="s">
        <v>201</v>
      </c>
      <c r="I274" s="61" t="s">
        <v>2511</v>
      </c>
      <c r="J274" s="61" t="s">
        <v>2511</v>
      </c>
      <c r="K274" s="62" t="s">
        <v>2511</v>
      </c>
      <c r="L274" s="60" t="s">
        <v>2511</v>
      </c>
      <c r="M274" s="61" t="s">
        <v>2523</v>
      </c>
      <c r="N274" s="61" t="s">
        <v>2511</v>
      </c>
      <c r="O274" s="61" t="s">
        <v>2511</v>
      </c>
      <c r="P274" s="62" t="s">
        <v>2511</v>
      </c>
      <c r="Q274" s="82"/>
      <c r="R274" s="82"/>
      <c r="S274" s="82"/>
      <c r="T274" s="82"/>
      <c r="U274" s="82"/>
      <c r="V274" s="138" t="s">
        <v>3285</v>
      </c>
      <c r="W274" s="57" t="s">
        <v>3257</v>
      </c>
      <c r="X274" s="126" t="s">
        <v>2511</v>
      </c>
      <c r="Y274" s="126" t="s">
        <v>2511</v>
      </c>
      <c r="Z274" s="57"/>
      <c r="AA274" s="57" t="s">
        <v>3258</v>
      </c>
      <c r="AB274" s="57"/>
      <c r="AC274" s="138" t="s">
        <v>2631</v>
      </c>
      <c r="AD274" s="96"/>
      <c r="AE274" s="80"/>
      <c r="AF274" s="80"/>
      <c r="AG274" s="80"/>
      <c r="AH274" s="83"/>
      <c r="AI274" s="83"/>
      <c r="AJ274" s="84"/>
      <c r="AK274" s="84"/>
      <c r="AL274" s="84"/>
      <c r="AM274" s="84"/>
      <c r="AN274" s="84"/>
      <c r="AO274" s="84"/>
      <c r="AP274" s="84"/>
      <c r="AQ274" s="95" t="s">
        <v>201</v>
      </c>
      <c r="AR274" s="72"/>
      <c r="AS274" s="72"/>
      <c r="AT274" s="72"/>
      <c r="AU274" s="72"/>
      <c r="AV274" s="72"/>
      <c r="AW274" s="72"/>
      <c r="AX274" s="72"/>
      <c r="AY274" s="72"/>
      <c r="AZ274" s="72"/>
      <c r="BA274" s="72"/>
      <c r="BB274" s="16"/>
      <c r="BC274" s="72"/>
      <c r="BD274" s="317" t="s">
        <v>201</v>
      </c>
      <c r="BE274" s="260" t="s">
        <v>201</v>
      </c>
    </row>
    <row r="275" spans="1:57" s="81" customFormat="1" ht="12.95" customHeight="1">
      <c r="A275" s="247" t="s">
        <v>3286</v>
      </c>
      <c r="B275" s="251">
        <v>5</v>
      </c>
      <c r="C275" s="267" t="s">
        <v>203</v>
      </c>
      <c r="D275" s="239" t="s">
        <v>3288</v>
      </c>
      <c r="E275" s="58"/>
      <c r="F275" s="59" t="s">
        <v>204</v>
      </c>
      <c r="G275" s="191" t="s">
        <v>2511</v>
      </c>
      <c r="H275" s="192" t="s">
        <v>203</v>
      </c>
      <c r="I275" s="61" t="s">
        <v>2511</v>
      </c>
      <c r="J275" s="61" t="s">
        <v>2511</v>
      </c>
      <c r="K275" s="62" t="s">
        <v>2511</v>
      </c>
      <c r="L275" s="60" t="s">
        <v>2511</v>
      </c>
      <c r="M275" s="61" t="s">
        <v>2523</v>
      </c>
      <c r="N275" s="61" t="s">
        <v>2511</v>
      </c>
      <c r="O275" s="61" t="s">
        <v>2511</v>
      </c>
      <c r="P275" s="62" t="s">
        <v>2511</v>
      </c>
      <c r="Q275" s="82"/>
      <c r="R275" s="82"/>
      <c r="S275" s="82"/>
      <c r="T275" s="82"/>
      <c r="U275" s="82"/>
      <c r="V275" s="138" t="s">
        <v>3289</v>
      </c>
      <c r="W275" s="57" t="s">
        <v>3257</v>
      </c>
      <c r="X275" s="126" t="s">
        <v>2511</v>
      </c>
      <c r="Y275" s="126" t="s">
        <v>2511</v>
      </c>
      <c r="Z275" s="57"/>
      <c r="AA275" s="57" t="s">
        <v>3258</v>
      </c>
      <c r="AB275" s="57"/>
      <c r="AC275" s="138" t="s">
        <v>2631</v>
      </c>
      <c r="AD275" s="96"/>
      <c r="AE275" s="80"/>
      <c r="AF275" s="80"/>
      <c r="AG275" s="80"/>
      <c r="AH275" s="83"/>
      <c r="AI275" s="83"/>
      <c r="AJ275" s="84"/>
      <c r="AK275" s="84"/>
      <c r="AL275" s="84"/>
      <c r="AM275" s="84"/>
      <c r="AN275" s="84"/>
      <c r="AO275" s="84"/>
      <c r="AP275" s="84"/>
      <c r="AQ275" s="95" t="s">
        <v>203</v>
      </c>
      <c r="AR275" s="72"/>
      <c r="AS275" s="72"/>
      <c r="AT275" s="72"/>
      <c r="AU275" s="72"/>
      <c r="AV275" s="72"/>
      <c r="AW275" s="72"/>
      <c r="AX275" s="72"/>
      <c r="AY275" s="72"/>
      <c r="AZ275" s="72"/>
      <c r="BA275" s="72"/>
      <c r="BB275" s="16"/>
      <c r="BC275" s="72"/>
      <c r="BD275" s="317" t="s">
        <v>203</v>
      </c>
      <c r="BE275" s="260" t="s">
        <v>203</v>
      </c>
    </row>
    <row r="276" spans="1:57" s="81" customFormat="1" ht="12.95" customHeight="1">
      <c r="A276" s="247" t="s">
        <v>3290</v>
      </c>
      <c r="B276" s="251">
        <v>15</v>
      </c>
      <c r="C276" s="267" t="s">
        <v>205</v>
      </c>
      <c r="D276" s="239" t="s">
        <v>3292</v>
      </c>
      <c r="E276" s="58"/>
      <c r="F276" s="59" t="s">
        <v>206</v>
      </c>
      <c r="G276" s="191" t="s">
        <v>2511</v>
      </c>
      <c r="H276" s="192" t="s">
        <v>205</v>
      </c>
      <c r="I276" s="61" t="s">
        <v>2511</v>
      </c>
      <c r="J276" s="61" t="s">
        <v>2511</v>
      </c>
      <c r="K276" s="62" t="s">
        <v>2511</v>
      </c>
      <c r="L276" s="60" t="s">
        <v>2511</v>
      </c>
      <c r="M276" s="61" t="s">
        <v>2523</v>
      </c>
      <c r="N276" s="61" t="s">
        <v>2511</v>
      </c>
      <c r="O276" s="61" t="s">
        <v>2511</v>
      </c>
      <c r="P276" s="62" t="s">
        <v>2511</v>
      </c>
      <c r="Q276" s="82"/>
      <c r="R276" s="82"/>
      <c r="S276" s="82"/>
      <c r="T276" s="82"/>
      <c r="U276" s="82"/>
      <c r="V276" s="138" t="s">
        <v>3293</v>
      </c>
      <c r="W276" s="57" t="s">
        <v>3257</v>
      </c>
      <c r="X276" s="126" t="s">
        <v>2511</v>
      </c>
      <c r="Y276" s="126" t="s">
        <v>2511</v>
      </c>
      <c r="Z276" s="57"/>
      <c r="AA276" s="57" t="s">
        <v>3258</v>
      </c>
      <c r="AB276" s="57"/>
      <c r="AC276" s="138" t="s">
        <v>2631</v>
      </c>
      <c r="AD276" s="96"/>
      <c r="AE276" s="80"/>
      <c r="AF276" s="80"/>
      <c r="AG276" s="80"/>
      <c r="AH276" s="83"/>
      <c r="AI276" s="83"/>
      <c r="AJ276" s="84"/>
      <c r="AK276" s="84"/>
      <c r="AL276" s="84"/>
      <c r="AM276" s="84"/>
      <c r="AN276" s="84"/>
      <c r="AO276" s="84"/>
      <c r="AP276" s="84"/>
      <c r="AQ276" s="95" t="s">
        <v>205</v>
      </c>
      <c r="AR276" s="72"/>
      <c r="AS276" s="72"/>
      <c r="AT276" s="72"/>
      <c r="AU276" s="72"/>
      <c r="AV276" s="72"/>
      <c r="AW276" s="72"/>
      <c r="AX276" s="72"/>
      <c r="AY276" s="72"/>
      <c r="AZ276" s="72"/>
      <c r="BA276" s="72"/>
      <c r="BB276" s="16"/>
      <c r="BC276" s="72"/>
      <c r="BD276" s="317" t="s">
        <v>205</v>
      </c>
      <c r="BE276" s="260" t="s">
        <v>205</v>
      </c>
    </row>
    <row r="277" spans="1:57" s="81" customFormat="1" ht="12.95" customHeight="1">
      <c r="A277" s="247" t="s">
        <v>3294</v>
      </c>
      <c r="B277" s="251">
        <v>17</v>
      </c>
      <c r="C277" s="267" t="s">
        <v>207</v>
      </c>
      <c r="D277" s="239" t="s">
        <v>3296</v>
      </c>
      <c r="E277" s="58"/>
      <c r="F277" s="59" t="s">
        <v>208</v>
      </c>
      <c r="G277" s="191" t="s">
        <v>2511</v>
      </c>
      <c r="H277" s="192" t="s">
        <v>207</v>
      </c>
      <c r="I277" s="61" t="s">
        <v>2511</v>
      </c>
      <c r="J277" s="61" t="s">
        <v>2511</v>
      </c>
      <c r="K277" s="62" t="s">
        <v>2511</v>
      </c>
      <c r="L277" s="60" t="s">
        <v>2511</v>
      </c>
      <c r="M277" s="61" t="s">
        <v>2523</v>
      </c>
      <c r="N277" s="61" t="s">
        <v>2511</v>
      </c>
      <c r="O277" s="61" t="s">
        <v>2511</v>
      </c>
      <c r="P277" s="62" t="s">
        <v>2511</v>
      </c>
      <c r="Q277" s="82"/>
      <c r="R277" s="82"/>
      <c r="S277" s="82"/>
      <c r="T277" s="82"/>
      <c r="U277" s="82"/>
      <c r="V277" s="138" t="s">
        <v>3297</v>
      </c>
      <c r="W277" s="57" t="s">
        <v>3257</v>
      </c>
      <c r="X277" s="126" t="s">
        <v>2511</v>
      </c>
      <c r="Y277" s="126" t="s">
        <v>2511</v>
      </c>
      <c r="Z277" s="57"/>
      <c r="AA277" s="57" t="s">
        <v>3258</v>
      </c>
      <c r="AB277" s="57"/>
      <c r="AC277" s="138" t="s">
        <v>2631</v>
      </c>
      <c r="AD277" s="96"/>
      <c r="AE277" s="80"/>
      <c r="AF277" s="80"/>
      <c r="AG277" s="80"/>
      <c r="AH277" s="83"/>
      <c r="AI277" s="83"/>
      <c r="AJ277" s="84"/>
      <c r="AK277" s="84"/>
      <c r="AL277" s="84"/>
      <c r="AM277" s="84"/>
      <c r="AN277" s="84"/>
      <c r="AO277" s="84"/>
      <c r="AP277" s="84"/>
      <c r="AQ277" s="95" t="s">
        <v>207</v>
      </c>
      <c r="AR277" s="72"/>
      <c r="AS277" s="72"/>
      <c r="AT277" s="72"/>
      <c r="AU277" s="72"/>
      <c r="AV277" s="72"/>
      <c r="AW277" s="72"/>
      <c r="AX277" s="72"/>
      <c r="AY277" s="72"/>
      <c r="AZ277" s="72"/>
      <c r="BA277" s="72"/>
      <c r="BB277" s="16"/>
      <c r="BC277" s="72"/>
      <c r="BD277" s="318" t="s">
        <v>207</v>
      </c>
      <c r="BE277" s="260" t="s">
        <v>207</v>
      </c>
    </row>
    <row r="278" spans="1:57" s="81" customFormat="1" ht="12.95" customHeight="1">
      <c r="A278" s="247" t="s">
        <v>3298</v>
      </c>
      <c r="B278" s="251">
        <v>28</v>
      </c>
      <c r="C278" s="267" t="s">
        <v>319</v>
      </c>
      <c r="D278" s="239" t="s">
        <v>3299</v>
      </c>
      <c r="E278" s="58"/>
      <c r="F278" s="59" t="s">
        <v>514</v>
      </c>
      <c r="G278" s="191" t="s">
        <v>2511</v>
      </c>
      <c r="H278" s="192" t="s">
        <v>319</v>
      </c>
      <c r="I278" s="61" t="s">
        <v>2511</v>
      </c>
      <c r="J278" s="61" t="s">
        <v>2511</v>
      </c>
      <c r="K278" s="62" t="s">
        <v>2511</v>
      </c>
      <c r="L278" s="60" t="s">
        <v>2511</v>
      </c>
      <c r="M278" s="61" t="s">
        <v>2523</v>
      </c>
      <c r="N278" s="61" t="s">
        <v>2511</v>
      </c>
      <c r="O278" s="61" t="s">
        <v>2511</v>
      </c>
      <c r="P278" s="62" t="s">
        <v>2511</v>
      </c>
      <c r="Q278" s="82"/>
      <c r="R278" s="82"/>
      <c r="S278" s="82"/>
      <c r="T278" s="82"/>
      <c r="U278" s="82"/>
      <c r="V278" s="138" t="s">
        <v>3300</v>
      </c>
      <c r="W278" s="57" t="s">
        <v>3257</v>
      </c>
      <c r="X278" s="126" t="s">
        <v>2511</v>
      </c>
      <c r="Y278" s="126" t="s">
        <v>2511</v>
      </c>
      <c r="Z278" s="57"/>
      <c r="AA278" s="57" t="s">
        <v>3258</v>
      </c>
      <c r="AB278" s="57"/>
      <c r="AC278" s="138" t="s">
        <v>2631</v>
      </c>
      <c r="AD278" s="96"/>
      <c r="AE278" s="80"/>
      <c r="AF278" s="80"/>
      <c r="AG278" s="80"/>
      <c r="AH278" s="83"/>
      <c r="AI278" s="83"/>
      <c r="AJ278" s="84"/>
      <c r="AK278" s="84"/>
      <c r="AL278" s="84"/>
      <c r="AM278" s="84"/>
      <c r="AN278" s="84"/>
      <c r="AO278" s="84"/>
      <c r="AP278" s="84"/>
      <c r="AQ278" s="104" t="s">
        <v>319</v>
      </c>
      <c r="AR278" s="72"/>
      <c r="AS278" s="72"/>
      <c r="AT278" s="72"/>
      <c r="AU278" s="72"/>
      <c r="AV278" s="72"/>
      <c r="AW278" s="72"/>
      <c r="AX278" s="72"/>
      <c r="AY278" s="72"/>
      <c r="AZ278" s="72"/>
      <c r="BA278" s="72"/>
      <c r="BB278" s="16"/>
      <c r="BC278" s="72"/>
      <c r="BD278" s="316" t="s">
        <v>319</v>
      </c>
      <c r="BE278" s="260" t="s">
        <v>319</v>
      </c>
    </row>
    <row r="279" spans="1:57" s="81" customFormat="1" ht="12.95" customHeight="1">
      <c r="A279" s="247" t="s">
        <v>3301</v>
      </c>
      <c r="B279" s="251">
        <v>30</v>
      </c>
      <c r="C279" s="267" t="s">
        <v>320</v>
      </c>
      <c r="D279" s="239" t="s">
        <v>3302</v>
      </c>
      <c r="E279" s="58"/>
      <c r="F279" s="59" t="s">
        <v>515</v>
      </c>
      <c r="G279" s="191" t="s">
        <v>2511</v>
      </c>
      <c r="H279" s="192" t="s">
        <v>320</v>
      </c>
      <c r="I279" s="61" t="s">
        <v>2511</v>
      </c>
      <c r="J279" s="61" t="s">
        <v>2511</v>
      </c>
      <c r="K279" s="62" t="s">
        <v>2511</v>
      </c>
      <c r="L279" s="60" t="s">
        <v>2511</v>
      </c>
      <c r="M279" s="61" t="s">
        <v>2523</v>
      </c>
      <c r="N279" s="61" t="s">
        <v>2511</v>
      </c>
      <c r="O279" s="61" t="s">
        <v>2511</v>
      </c>
      <c r="P279" s="62" t="s">
        <v>2511</v>
      </c>
      <c r="Q279" s="82"/>
      <c r="R279" s="82"/>
      <c r="S279" s="82"/>
      <c r="T279" s="82"/>
      <c r="U279" s="82"/>
      <c r="V279" s="138" t="s">
        <v>3303</v>
      </c>
      <c r="W279" s="57" t="s">
        <v>3257</v>
      </c>
      <c r="X279" s="126" t="s">
        <v>2511</v>
      </c>
      <c r="Y279" s="126" t="s">
        <v>2511</v>
      </c>
      <c r="Z279" s="57"/>
      <c r="AA279" s="57" t="s">
        <v>3258</v>
      </c>
      <c r="AB279" s="57"/>
      <c r="AC279" s="138" t="s">
        <v>2631</v>
      </c>
      <c r="AD279" s="96"/>
      <c r="AE279" s="80"/>
      <c r="AF279" s="80"/>
      <c r="AG279" s="80"/>
      <c r="AH279" s="83"/>
      <c r="AI279" s="83"/>
      <c r="AJ279" s="84"/>
      <c r="AK279" s="84"/>
      <c r="AL279" s="84"/>
      <c r="AM279" s="84"/>
      <c r="AN279" s="84"/>
      <c r="AO279" s="84"/>
      <c r="AP279" s="84"/>
      <c r="AQ279" s="95" t="s">
        <v>320</v>
      </c>
      <c r="AR279" s="72"/>
      <c r="AS279" s="72"/>
      <c r="AT279" s="72"/>
      <c r="AU279" s="72"/>
      <c r="AV279" s="72"/>
      <c r="AW279" s="72"/>
      <c r="AX279" s="72"/>
      <c r="AY279" s="72"/>
      <c r="AZ279" s="72"/>
      <c r="BA279" s="72"/>
      <c r="BB279" s="16"/>
      <c r="BC279" s="72"/>
      <c r="BD279" s="317" t="s">
        <v>320</v>
      </c>
      <c r="BE279" s="260" t="s">
        <v>320</v>
      </c>
    </row>
    <row r="280" spans="1:57" s="81" customFormat="1" ht="12.95" customHeight="1">
      <c r="A280" s="247" t="s">
        <v>3304</v>
      </c>
      <c r="B280" s="251">
        <v>22</v>
      </c>
      <c r="C280" s="267" t="s">
        <v>321</v>
      </c>
      <c r="D280" s="239" t="s">
        <v>3306</v>
      </c>
      <c r="E280" s="58"/>
      <c r="F280" s="59" t="s">
        <v>516</v>
      </c>
      <c r="G280" s="191" t="s">
        <v>2511</v>
      </c>
      <c r="H280" s="192" t="s">
        <v>321</v>
      </c>
      <c r="I280" s="61" t="s">
        <v>2511</v>
      </c>
      <c r="J280" s="61" t="s">
        <v>2511</v>
      </c>
      <c r="K280" s="62" t="s">
        <v>2511</v>
      </c>
      <c r="L280" s="60" t="s">
        <v>2511</v>
      </c>
      <c r="M280" s="61" t="s">
        <v>2523</v>
      </c>
      <c r="N280" s="61" t="s">
        <v>2511</v>
      </c>
      <c r="O280" s="61" t="s">
        <v>2511</v>
      </c>
      <c r="P280" s="62" t="s">
        <v>2511</v>
      </c>
      <c r="Q280" s="82"/>
      <c r="R280" s="82"/>
      <c r="S280" s="82"/>
      <c r="T280" s="82"/>
      <c r="U280" s="82"/>
      <c r="V280" s="138" t="s">
        <v>3307</v>
      </c>
      <c r="W280" s="57" t="s">
        <v>3257</v>
      </c>
      <c r="X280" s="126" t="s">
        <v>2511</v>
      </c>
      <c r="Y280" s="126" t="s">
        <v>2511</v>
      </c>
      <c r="Z280" s="57"/>
      <c r="AA280" s="57" t="s">
        <v>3258</v>
      </c>
      <c r="AB280" s="57"/>
      <c r="AC280" s="138" t="s">
        <v>2631</v>
      </c>
      <c r="AD280" s="96"/>
      <c r="AE280" s="80"/>
      <c r="AF280" s="80"/>
      <c r="AG280" s="80"/>
      <c r="AH280" s="83"/>
      <c r="AI280" s="83"/>
      <c r="AJ280" s="84"/>
      <c r="AK280" s="84"/>
      <c r="AL280" s="84"/>
      <c r="AM280" s="84"/>
      <c r="AN280" s="84"/>
      <c r="AO280" s="84"/>
      <c r="AP280" s="84"/>
      <c r="AQ280" s="95" t="s">
        <v>321</v>
      </c>
      <c r="AR280" s="72"/>
      <c r="AS280" s="72"/>
      <c r="AT280" s="72"/>
      <c r="AU280" s="72"/>
      <c r="AV280" s="72"/>
      <c r="AW280" s="72"/>
      <c r="AX280" s="72"/>
      <c r="AY280" s="72"/>
      <c r="AZ280" s="72"/>
      <c r="BA280" s="72"/>
      <c r="BB280" s="16"/>
      <c r="BC280" s="72"/>
      <c r="BD280" s="317" t="s">
        <v>321</v>
      </c>
      <c r="BE280" s="260" t="s">
        <v>321</v>
      </c>
    </row>
    <row r="281" spans="1:57" s="81" customFormat="1" ht="12.95" customHeight="1">
      <c r="A281" s="247" t="s">
        <v>3308</v>
      </c>
      <c r="B281" s="251">
        <v>24</v>
      </c>
      <c r="C281" s="267" t="s">
        <v>322</v>
      </c>
      <c r="D281" s="239" t="s">
        <v>3310</v>
      </c>
      <c r="E281" s="58"/>
      <c r="F281" s="59" t="s">
        <v>517</v>
      </c>
      <c r="G281" s="191" t="s">
        <v>2511</v>
      </c>
      <c r="H281" s="192" t="s">
        <v>322</v>
      </c>
      <c r="I281" s="61" t="s">
        <v>2511</v>
      </c>
      <c r="J281" s="61" t="s">
        <v>2511</v>
      </c>
      <c r="K281" s="62" t="s">
        <v>2511</v>
      </c>
      <c r="L281" s="60" t="s">
        <v>2511</v>
      </c>
      <c r="M281" s="61" t="s">
        <v>2523</v>
      </c>
      <c r="N281" s="61" t="s">
        <v>2511</v>
      </c>
      <c r="O281" s="61" t="s">
        <v>2511</v>
      </c>
      <c r="P281" s="62" t="s">
        <v>2511</v>
      </c>
      <c r="Q281" s="82"/>
      <c r="R281" s="82"/>
      <c r="S281" s="82"/>
      <c r="T281" s="82"/>
      <c r="U281" s="82"/>
      <c r="V281" s="138" t="s">
        <v>3311</v>
      </c>
      <c r="W281" s="57" t="s">
        <v>3257</v>
      </c>
      <c r="X281" s="126" t="s">
        <v>2511</v>
      </c>
      <c r="Y281" s="126" t="s">
        <v>2511</v>
      </c>
      <c r="Z281" s="57"/>
      <c r="AA281" s="57" t="s">
        <v>3258</v>
      </c>
      <c r="AB281" s="57"/>
      <c r="AC281" s="138" t="s">
        <v>2631</v>
      </c>
      <c r="AD281" s="96"/>
      <c r="AE281" s="80"/>
      <c r="AF281" s="80"/>
      <c r="AG281" s="80"/>
      <c r="AH281" s="83"/>
      <c r="AI281" s="83"/>
      <c r="AJ281" s="84"/>
      <c r="AK281" s="84"/>
      <c r="AL281" s="84"/>
      <c r="AM281" s="84"/>
      <c r="AN281" s="84"/>
      <c r="AO281" s="84"/>
      <c r="AP281" s="84"/>
      <c r="AQ281" s="95" t="s">
        <v>322</v>
      </c>
      <c r="AR281" s="72"/>
      <c r="AS281" s="72"/>
      <c r="AT281" s="72"/>
      <c r="AU281" s="72"/>
      <c r="AV281" s="72"/>
      <c r="AW281" s="72"/>
      <c r="AX281" s="72"/>
      <c r="AY281" s="72"/>
      <c r="AZ281" s="72"/>
      <c r="BA281" s="72"/>
      <c r="BB281" s="16"/>
      <c r="BC281" s="72"/>
      <c r="BD281" s="317" t="s">
        <v>322</v>
      </c>
      <c r="BE281" s="260" t="s">
        <v>322</v>
      </c>
    </row>
    <row r="282" spans="1:57" s="81" customFormat="1" ht="12.95" customHeight="1">
      <c r="A282" s="247" t="s">
        <v>3312</v>
      </c>
      <c r="B282" s="251">
        <v>34</v>
      </c>
      <c r="C282" s="267" t="s">
        <v>323</v>
      </c>
      <c r="D282" s="239" t="s">
        <v>3313</v>
      </c>
      <c r="E282" s="58"/>
      <c r="F282" s="59" t="s">
        <v>518</v>
      </c>
      <c r="G282" s="191" t="s">
        <v>2511</v>
      </c>
      <c r="H282" s="192" t="s">
        <v>323</v>
      </c>
      <c r="I282" s="61" t="s">
        <v>2511</v>
      </c>
      <c r="J282" s="61" t="s">
        <v>2511</v>
      </c>
      <c r="K282" s="62" t="s">
        <v>2511</v>
      </c>
      <c r="L282" s="60" t="s">
        <v>2511</v>
      </c>
      <c r="M282" s="61" t="s">
        <v>2523</v>
      </c>
      <c r="N282" s="61" t="s">
        <v>2511</v>
      </c>
      <c r="O282" s="61" t="s">
        <v>2511</v>
      </c>
      <c r="P282" s="62" t="s">
        <v>2511</v>
      </c>
      <c r="Q282" s="82"/>
      <c r="R282" s="82"/>
      <c r="S282" s="82"/>
      <c r="T282" s="82"/>
      <c r="U282" s="82"/>
      <c r="V282" s="138" t="s">
        <v>3314</v>
      </c>
      <c r="W282" s="57" t="s">
        <v>3257</v>
      </c>
      <c r="X282" s="126" t="s">
        <v>2511</v>
      </c>
      <c r="Y282" s="126" t="s">
        <v>2511</v>
      </c>
      <c r="Z282" s="57"/>
      <c r="AA282" s="57" t="s">
        <v>3258</v>
      </c>
      <c r="AB282" s="57"/>
      <c r="AC282" s="138" t="s">
        <v>2631</v>
      </c>
      <c r="AD282" s="96"/>
      <c r="AE282" s="80"/>
      <c r="AF282" s="80"/>
      <c r="AG282" s="80"/>
      <c r="AH282" s="83"/>
      <c r="AI282" s="83"/>
      <c r="AJ282" s="84"/>
      <c r="AK282" s="84"/>
      <c r="AL282" s="84"/>
      <c r="AM282" s="84"/>
      <c r="AN282" s="84"/>
      <c r="AO282" s="84"/>
      <c r="AP282" s="84"/>
      <c r="AQ282" s="95" t="s">
        <v>323</v>
      </c>
      <c r="AR282" s="72"/>
      <c r="AS282" s="72"/>
      <c r="AT282" s="72"/>
      <c r="AU282" s="72"/>
      <c r="AV282" s="72"/>
      <c r="AW282" s="72"/>
      <c r="AX282" s="72"/>
      <c r="AY282" s="72"/>
      <c r="AZ282" s="72"/>
      <c r="BA282" s="72"/>
      <c r="BB282" s="16"/>
      <c r="BC282" s="72"/>
      <c r="BD282" s="317" t="s">
        <v>323</v>
      </c>
      <c r="BE282" s="260" t="s">
        <v>323</v>
      </c>
    </row>
    <row r="283" spans="1:57" s="81" customFormat="1" ht="12.75" customHeight="1">
      <c r="A283" s="247" t="s">
        <v>3315</v>
      </c>
      <c r="B283" s="251">
        <v>36</v>
      </c>
      <c r="C283" s="267" t="s">
        <v>324</v>
      </c>
      <c r="D283" s="239" t="s">
        <v>3317</v>
      </c>
      <c r="E283" s="58"/>
      <c r="F283" s="59" t="s">
        <v>519</v>
      </c>
      <c r="G283" s="191" t="s">
        <v>2511</v>
      </c>
      <c r="H283" s="192" t="s">
        <v>324</v>
      </c>
      <c r="I283" s="61" t="s">
        <v>2511</v>
      </c>
      <c r="J283" s="61" t="s">
        <v>2511</v>
      </c>
      <c r="K283" s="62" t="s">
        <v>2511</v>
      </c>
      <c r="L283" s="60" t="s">
        <v>2511</v>
      </c>
      <c r="M283" s="61" t="s">
        <v>2523</v>
      </c>
      <c r="N283" s="61" t="s">
        <v>2511</v>
      </c>
      <c r="O283" s="61" t="s">
        <v>2511</v>
      </c>
      <c r="P283" s="62" t="s">
        <v>2511</v>
      </c>
      <c r="Q283" s="82"/>
      <c r="R283" s="82"/>
      <c r="S283" s="82"/>
      <c r="T283" s="82"/>
      <c r="U283" s="82"/>
      <c r="V283" s="138" t="s">
        <v>3318</v>
      </c>
      <c r="W283" s="57" t="s">
        <v>3257</v>
      </c>
      <c r="X283" s="126" t="s">
        <v>2511</v>
      </c>
      <c r="Y283" s="126" t="s">
        <v>2511</v>
      </c>
      <c r="Z283" s="57"/>
      <c r="AA283" s="57" t="s">
        <v>3258</v>
      </c>
      <c r="AB283" s="57"/>
      <c r="AC283" s="138" t="s">
        <v>2631</v>
      </c>
      <c r="AD283" s="96"/>
      <c r="AE283" s="80"/>
      <c r="AF283" s="80"/>
      <c r="AG283" s="80"/>
      <c r="AH283" s="83"/>
      <c r="AI283" s="83"/>
      <c r="AJ283" s="84"/>
      <c r="AK283" s="84"/>
      <c r="AL283" s="84"/>
      <c r="AM283" s="84"/>
      <c r="AN283" s="84"/>
      <c r="AO283" s="84"/>
      <c r="AP283" s="84"/>
      <c r="AQ283" s="95" t="s">
        <v>324</v>
      </c>
      <c r="AR283" s="72"/>
      <c r="AS283" s="72"/>
      <c r="AT283" s="72"/>
      <c r="AU283" s="72"/>
      <c r="AV283" s="72"/>
      <c r="AW283" s="72"/>
      <c r="AX283" s="72"/>
      <c r="AY283" s="72"/>
      <c r="AZ283" s="72"/>
      <c r="BA283" s="72"/>
      <c r="BB283" s="16"/>
      <c r="BC283" s="72"/>
      <c r="BD283" s="318" t="s">
        <v>324</v>
      </c>
      <c r="BE283" s="260" t="s">
        <v>324</v>
      </c>
    </row>
    <row r="284" spans="1:57" s="81" customFormat="1" ht="12.95" customHeight="1">
      <c r="A284" s="247" t="s">
        <v>3319</v>
      </c>
      <c r="B284" s="251">
        <v>27</v>
      </c>
      <c r="C284" s="267" t="s">
        <v>296</v>
      </c>
      <c r="D284" s="239" t="s">
        <v>3321</v>
      </c>
      <c r="E284" s="58"/>
      <c r="F284" s="59" t="s">
        <v>520</v>
      </c>
      <c r="G284" s="191" t="s">
        <v>2511</v>
      </c>
      <c r="H284" s="192" t="s">
        <v>296</v>
      </c>
      <c r="I284" s="61" t="s">
        <v>2511</v>
      </c>
      <c r="J284" s="61" t="s">
        <v>2511</v>
      </c>
      <c r="K284" s="62" t="s">
        <v>2511</v>
      </c>
      <c r="L284" s="60" t="s">
        <v>2511</v>
      </c>
      <c r="M284" s="61" t="s">
        <v>2523</v>
      </c>
      <c r="N284" s="61" t="s">
        <v>2511</v>
      </c>
      <c r="O284" s="61" t="s">
        <v>2511</v>
      </c>
      <c r="P284" s="62" t="s">
        <v>2511</v>
      </c>
      <c r="Q284" s="82"/>
      <c r="R284" s="82"/>
      <c r="S284" s="82"/>
      <c r="T284" s="82"/>
      <c r="U284" s="82"/>
      <c r="V284" s="138" t="s">
        <v>3322</v>
      </c>
      <c r="W284" s="57" t="s">
        <v>3257</v>
      </c>
      <c r="X284" s="126" t="s">
        <v>2511</v>
      </c>
      <c r="Y284" s="126" t="s">
        <v>2511</v>
      </c>
      <c r="Z284" s="57"/>
      <c r="AA284" s="57" t="s">
        <v>3258</v>
      </c>
      <c r="AB284" s="57"/>
      <c r="AC284" s="138" t="s">
        <v>2631</v>
      </c>
      <c r="AD284" s="96"/>
      <c r="AE284" s="80"/>
      <c r="AF284" s="80"/>
      <c r="AG284" s="80"/>
      <c r="AH284" s="83"/>
      <c r="AI284" s="83"/>
      <c r="AJ284" s="84"/>
      <c r="AK284" s="84"/>
      <c r="AL284" s="84"/>
      <c r="AM284" s="84"/>
      <c r="AN284" s="84"/>
      <c r="AO284" s="84"/>
      <c r="AP284" s="84"/>
      <c r="AQ284" s="104" t="s">
        <v>296</v>
      </c>
      <c r="AR284" s="72"/>
      <c r="AS284" s="72"/>
      <c r="AT284" s="72"/>
      <c r="AU284" s="72"/>
      <c r="AV284" s="72"/>
      <c r="AW284" s="72"/>
      <c r="AX284" s="72"/>
      <c r="AY284" s="72"/>
      <c r="AZ284" s="72"/>
      <c r="BA284" s="72"/>
      <c r="BB284" s="16"/>
      <c r="BC284" s="72"/>
      <c r="BD284" s="316" t="s">
        <v>296</v>
      </c>
      <c r="BE284" s="260" t="s">
        <v>296</v>
      </c>
    </row>
    <row r="285" spans="1:57" s="81" customFormat="1" ht="12.95" customHeight="1">
      <c r="A285" s="247" t="s">
        <v>3323</v>
      </c>
      <c r="B285" s="251">
        <v>29</v>
      </c>
      <c r="C285" s="267" t="s">
        <v>295</v>
      </c>
      <c r="D285" s="239" t="s">
        <v>3324</v>
      </c>
      <c r="E285" s="58"/>
      <c r="F285" s="59" t="s">
        <v>521</v>
      </c>
      <c r="G285" s="191" t="s">
        <v>2511</v>
      </c>
      <c r="H285" s="192" t="s">
        <v>295</v>
      </c>
      <c r="I285" s="61" t="s">
        <v>2511</v>
      </c>
      <c r="J285" s="61" t="s">
        <v>2511</v>
      </c>
      <c r="K285" s="62" t="s">
        <v>2511</v>
      </c>
      <c r="L285" s="60" t="s">
        <v>2511</v>
      </c>
      <c r="M285" s="61" t="s">
        <v>2523</v>
      </c>
      <c r="N285" s="61" t="s">
        <v>2511</v>
      </c>
      <c r="O285" s="61" t="s">
        <v>2511</v>
      </c>
      <c r="P285" s="62" t="s">
        <v>2511</v>
      </c>
      <c r="Q285" s="82"/>
      <c r="R285" s="82"/>
      <c r="S285" s="82"/>
      <c r="T285" s="82"/>
      <c r="U285" s="82"/>
      <c r="V285" s="138" t="s">
        <v>3325</v>
      </c>
      <c r="W285" s="57" t="s">
        <v>3257</v>
      </c>
      <c r="X285" s="126" t="s">
        <v>2511</v>
      </c>
      <c r="Y285" s="126" t="s">
        <v>2511</v>
      </c>
      <c r="Z285" s="57"/>
      <c r="AA285" s="57" t="s">
        <v>3258</v>
      </c>
      <c r="AB285" s="57"/>
      <c r="AC285" s="138" t="s">
        <v>2631</v>
      </c>
      <c r="AD285" s="96"/>
      <c r="AE285" s="80"/>
      <c r="AF285" s="80"/>
      <c r="AG285" s="80"/>
      <c r="AH285" s="83"/>
      <c r="AI285" s="83"/>
      <c r="AJ285" s="84"/>
      <c r="AK285" s="84"/>
      <c r="AL285" s="84"/>
      <c r="AM285" s="84"/>
      <c r="AN285" s="84"/>
      <c r="AO285" s="84"/>
      <c r="AP285" s="84"/>
      <c r="AQ285" s="95" t="s">
        <v>295</v>
      </c>
      <c r="AR285" s="72"/>
      <c r="AS285" s="72"/>
      <c r="AT285" s="72"/>
      <c r="AU285" s="72"/>
      <c r="AV285" s="72"/>
      <c r="AW285" s="72"/>
      <c r="AX285" s="72"/>
      <c r="AY285" s="72"/>
      <c r="AZ285" s="72"/>
      <c r="BA285" s="72"/>
      <c r="BB285" s="16"/>
      <c r="BC285" s="72"/>
      <c r="BD285" s="317" t="s">
        <v>295</v>
      </c>
      <c r="BE285" s="260" t="s">
        <v>295</v>
      </c>
    </row>
    <row r="286" spans="1:57" s="81" customFormat="1" ht="12.95" customHeight="1">
      <c r="A286" s="247" t="s">
        <v>3326</v>
      </c>
      <c r="B286" s="251">
        <v>21</v>
      </c>
      <c r="C286" s="267" t="s">
        <v>325</v>
      </c>
      <c r="D286" s="239" t="s">
        <v>3327</v>
      </c>
      <c r="E286" s="58"/>
      <c r="F286" s="59" t="s">
        <v>522</v>
      </c>
      <c r="G286" s="191" t="s">
        <v>2511</v>
      </c>
      <c r="H286" s="192" t="s">
        <v>325</v>
      </c>
      <c r="I286" s="61" t="s">
        <v>2511</v>
      </c>
      <c r="J286" s="61" t="s">
        <v>2511</v>
      </c>
      <c r="K286" s="62" t="s">
        <v>2511</v>
      </c>
      <c r="L286" s="60" t="s">
        <v>2511</v>
      </c>
      <c r="M286" s="61" t="s">
        <v>2523</v>
      </c>
      <c r="N286" s="61" t="s">
        <v>2511</v>
      </c>
      <c r="O286" s="61" t="s">
        <v>2511</v>
      </c>
      <c r="P286" s="62" t="s">
        <v>2511</v>
      </c>
      <c r="Q286" s="82"/>
      <c r="R286" s="82"/>
      <c r="S286" s="82"/>
      <c r="T286" s="82"/>
      <c r="U286" s="82"/>
      <c r="V286" s="138" t="s">
        <v>3328</v>
      </c>
      <c r="W286" s="57" t="s">
        <v>3257</v>
      </c>
      <c r="X286" s="126" t="s">
        <v>2511</v>
      </c>
      <c r="Y286" s="126" t="s">
        <v>2511</v>
      </c>
      <c r="Z286" s="57"/>
      <c r="AA286" s="57" t="s">
        <v>3258</v>
      </c>
      <c r="AB286" s="57"/>
      <c r="AC286" s="138" t="s">
        <v>2631</v>
      </c>
      <c r="AD286" s="96"/>
      <c r="AE286" s="80"/>
      <c r="AF286" s="80"/>
      <c r="AG286" s="80"/>
      <c r="AH286" s="83"/>
      <c r="AI286" s="83"/>
      <c r="AJ286" s="84"/>
      <c r="AK286" s="84"/>
      <c r="AL286" s="84"/>
      <c r="AM286" s="84"/>
      <c r="AN286" s="84"/>
      <c r="AO286" s="84"/>
      <c r="AP286" s="84"/>
      <c r="AQ286" s="95" t="s">
        <v>325</v>
      </c>
      <c r="AR286" s="72"/>
      <c r="AS286" s="72"/>
      <c r="AT286" s="72"/>
      <c r="AU286" s="72"/>
      <c r="AV286" s="72"/>
      <c r="AW286" s="72"/>
      <c r="AX286" s="72"/>
      <c r="AY286" s="72"/>
      <c r="AZ286" s="72"/>
      <c r="BA286" s="72"/>
      <c r="BB286" s="16"/>
      <c r="BC286" s="72"/>
      <c r="BD286" s="317" t="s">
        <v>325</v>
      </c>
      <c r="BE286" s="260" t="s">
        <v>325</v>
      </c>
    </row>
    <row r="287" spans="1:57" s="81" customFormat="1" ht="12.95" customHeight="1">
      <c r="A287" s="247" t="s">
        <v>3329</v>
      </c>
      <c r="B287" s="251">
        <v>23</v>
      </c>
      <c r="C287" s="267" t="s">
        <v>326</v>
      </c>
      <c r="D287" s="239" t="s">
        <v>3330</v>
      </c>
      <c r="E287" s="58"/>
      <c r="F287" s="59" t="s">
        <v>523</v>
      </c>
      <c r="G287" s="191" t="s">
        <v>2511</v>
      </c>
      <c r="H287" s="192" t="s">
        <v>326</v>
      </c>
      <c r="I287" s="61" t="s">
        <v>2511</v>
      </c>
      <c r="J287" s="61" t="s">
        <v>2511</v>
      </c>
      <c r="K287" s="62" t="s">
        <v>2511</v>
      </c>
      <c r="L287" s="60" t="s">
        <v>2511</v>
      </c>
      <c r="M287" s="61" t="s">
        <v>2523</v>
      </c>
      <c r="N287" s="61" t="s">
        <v>2511</v>
      </c>
      <c r="O287" s="61" t="s">
        <v>2511</v>
      </c>
      <c r="P287" s="62" t="s">
        <v>2511</v>
      </c>
      <c r="Q287" s="82"/>
      <c r="R287" s="82"/>
      <c r="S287" s="82"/>
      <c r="T287" s="82"/>
      <c r="U287" s="82"/>
      <c r="V287" s="138" t="s">
        <v>3331</v>
      </c>
      <c r="W287" s="57" t="s">
        <v>3257</v>
      </c>
      <c r="X287" s="126" t="s">
        <v>2511</v>
      </c>
      <c r="Y287" s="126" t="s">
        <v>2511</v>
      </c>
      <c r="Z287" s="57"/>
      <c r="AA287" s="57" t="s">
        <v>3258</v>
      </c>
      <c r="AB287" s="57"/>
      <c r="AC287" s="138" t="s">
        <v>2631</v>
      </c>
      <c r="AD287" s="96"/>
      <c r="AE287" s="80"/>
      <c r="AF287" s="80"/>
      <c r="AG287" s="80"/>
      <c r="AH287" s="83"/>
      <c r="AI287" s="83"/>
      <c r="AJ287" s="84"/>
      <c r="AK287" s="84"/>
      <c r="AL287" s="84"/>
      <c r="AM287" s="84"/>
      <c r="AN287" s="84"/>
      <c r="AO287" s="84"/>
      <c r="AP287" s="84"/>
      <c r="AQ287" s="95" t="s">
        <v>326</v>
      </c>
      <c r="AR287" s="72"/>
      <c r="AS287" s="72"/>
      <c r="AT287" s="72"/>
      <c r="AU287" s="72"/>
      <c r="AV287" s="72"/>
      <c r="AW287" s="72"/>
      <c r="AX287" s="72"/>
      <c r="AY287" s="72"/>
      <c r="AZ287" s="72"/>
      <c r="BA287" s="72"/>
      <c r="BB287" s="16"/>
      <c r="BC287" s="72"/>
      <c r="BD287" s="317" t="s">
        <v>326</v>
      </c>
      <c r="BE287" s="260" t="s">
        <v>326</v>
      </c>
    </row>
    <row r="288" spans="1:57" s="81" customFormat="1" ht="12.95" customHeight="1">
      <c r="A288" s="247" t="s">
        <v>3332</v>
      </c>
      <c r="B288" s="251">
        <v>33</v>
      </c>
      <c r="C288" s="267" t="s">
        <v>327</v>
      </c>
      <c r="D288" s="239" t="s">
        <v>3334</v>
      </c>
      <c r="E288" s="58"/>
      <c r="F288" s="59" t="s">
        <v>524</v>
      </c>
      <c r="G288" s="191" t="s">
        <v>2511</v>
      </c>
      <c r="H288" s="192" t="s">
        <v>327</v>
      </c>
      <c r="I288" s="61" t="s">
        <v>2511</v>
      </c>
      <c r="J288" s="61" t="s">
        <v>2511</v>
      </c>
      <c r="K288" s="62" t="s">
        <v>2511</v>
      </c>
      <c r="L288" s="60" t="s">
        <v>2511</v>
      </c>
      <c r="M288" s="61" t="s">
        <v>2523</v>
      </c>
      <c r="N288" s="61" t="s">
        <v>2511</v>
      </c>
      <c r="O288" s="61" t="s">
        <v>2511</v>
      </c>
      <c r="P288" s="62" t="s">
        <v>2511</v>
      </c>
      <c r="Q288" s="82"/>
      <c r="R288" s="82"/>
      <c r="S288" s="82"/>
      <c r="T288" s="82"/>
      <c r="U288" s="82"/>
      <c r="V288" s="138" t="s">
        <v>3335</v>
      </c>
      <c r="W288" s="57" t="s">
        <v>3257</v>
      </c>
      <c r="X288" s="126" t="s">
        <v>2511</v>
      </c>
      <c r="Y288" s="126" t="s">
        <v>2511</v>
      </c>
      <c r="Z288" s="57"/>
      <c r="AA288" s="57" t="s">
        <v>3258</v>
      </c>
      <c r="AB288" s="57"/>
      <c r="AC288" s="138" t="s">
        <v>2631</v>
      </c>
      <c r="AD288" s="96"/>
      <c r="AE288" s="80"/>
      <c r="AF288" s="80"/>
      <c r="AG288" s="80"/>
      <c r="AH288" s="83"/>
      <c r="AI288" s="83"/>
      <c r="AJ288" s="84"/>
      <c r="AK288" s="84"/>
      <c r="AL288" s="84"/>
      <c r="AM288" s="84"/>
      <c r="AN288" s="84"/>
      <c r="AO288" s="84"/>
      <c r="AP288" s="84"/>
      <c r="AQ288" s="95" t="s">
        <v>327</v>
      </c>
      <c r="AR288" s="72"/>
      <c r="AS288" s="72"/>
      <c r="AT288" s="72"/>
      <c r="AU288" s="72"/>
      <c r="AV288" s="72"/>
      <c r="AW288" s="72"/>
      <c r="AX288" s="72"/>
      <c r="AY288" s="72"/>
      <c r="AZ288" s="72"/>
      <c r="BA288" s="72"/>
      <c r="BB288" s="16"/>
      <c r="BC288" s="72"/>
      <c r="BD288" s="317" t="s">
        <v>327</v>
      </c>
      <c r="BE288" s="260" t="s">
        <v>327</v>
      </c>
    </row>
    <row r="289" spans="1:57" s="81" customFormat="1" ht="12.95" customHeight="1">
      <c r="A289" s="247" t="s">
        <v>3336</v>
      </c>
      <c r="B289" s="251">
        <v>35</v>
      </c>
      <c r="C289" s="267" t="s">
        <v>328</v>
      </c>
      <c r="D289" s="239" t="s">
        <v>3338</v>
      </c>
      <c r="E289" s="58"/>
      <c r="F289" s="59" t="s">
        <v>525</v>
      </c>
      <c r="G289" s="191" t="s">
        <v>2511</v>
      </c>
      <c r="H289" s="192" t="s">
        <v>328</v>
      </c>
      <c r="I289" s="61" t="s">
        <v>2511</v>
      </c>
      <c r="J289" s="61" t="s">
        <v>2511</v>
      </c>
      <c r="K289" s="62" t="s">
        <v>2511</v>
      </c>
      <c r="L289" s="60" t="s">
        <v>2511</v>
      </c>
      <c r="M289" s="61" t="s">
        <v>2523</v>
      </c>
      <c r="N289" s="61" t="s">
        <v>2511</v>
      </c>
      <c r="O289" s="61" t="s">
        <v>2511</v>
      </c>
      <c r="P289" s="62" t="s">
        <v>2511</v>
      </c>
      <c r="Q289" s="82"/>
      <c r="R289" s="82"/>
      <c r="S289" s="82"/>
      <c r="T289" s="82"/>
      <c r="U289" s="82"/>
      <c r="V289" s="138" t="s">
        <v>3339</v>
      </c>
      <c r="W289" s="57" t="s">
        <v>3257</v>
      </c>
      <c r="X289" s="126" t="s">
        <v>2511</v>
      </c>
      <c r="Y289" s="126" t="s">
        <v>2511</v>
      </c>
      <c r="Z289" s="57"/>
      <c r="AA289" s="57" t="s">
        <v>3258</v>
      </c>
      <c r="AB289" s="57"/>
      <c r="AC289" s="138" t="s">
        <v>2631</v>
      </c>
      <c r="AD289" s="96"/>
      <c r="AE289" s="80"/>
      <c r="AF289" s="80"/>
      <c r="AG289" s="80"/>
      <c r="AH289" s="83"/>
      <c r="AI289" s="83"/>
      <c r="AJ289" s="84"/>
      <c r="AK289" s="84"/>
      <c r="AL289" s="84"/>
      <c r="AM289" s="84"/>
      <c r="AN289" s="84"/>
      <c r="AO289" s="84"/>
      <c r="AP289" s="84"/>
      <c r="AQ289" s="95" t="s">
        <v>328</v>
      </c>
      <c r="AR289" s="72"/>
      <c r="AS289" s="72"/>
      <c r="AT289" s="72"/>
      <c r="AU289" s="72"/>
      <c r="AV289" s="72"/>
      <c r="AW289" s="72"/>
      <c r="AX289" s="72"/>
      <c r="AY289" s="72"/>
      <c r="AZ289" s="72"/>
      <c r="BA289" s="72"/>
      <c r="BB289" s="16"/>
      <c r="BC289" s="72"/>
      <c r="BD289" s="318" t="s">
        <v>328</v>
      </c>
      <c r="BE289" s="260" t="s">
        <v>328</v>
      </c>
    </row>
    <row r="290" spans="1:57" s="81" customFormat="1" ht="12.95" customHeight="1">
      <c r="A290" s="247" t="s">
        <v>3340</v>
      </c>
      <c r="B290" s="251">
        <v>52</v>
      </c>
      <c r="C290" s="267" t="s">
        <v>209</v>
      </c>
      <c r="D290" s="239" t="s">
        <v>3341</v>
      </c>
      <c r="E290" s="58"/>
      <c r="F290" s="59" t="s">
        <v>2243</v>
      </c>
      <c r="G290" s="191" t="s">
        <v>2511</v>
      </c>
      <c r="H290" s="192" t="s">
        <v>209</v>
      </c>
      <c r="I290" s="61" t="s">
        <v>2511</v>
      </c>
      <c r="J290" s="61" t="s">
        <v>2511</v>
      </c>
      <c r="K290" s="62" t="s">
        <v>2511</v>
      </c>
      <c r="L290" s="60" t="s">
        <v>2511</v>
      </c>
      <c r="M290" s="61" t="s">
        <v>2523</v>
      </c>
      <c r="N290" s="61" t="s">
        <v>2511</v>
      </c>
      <c r="O290" s="61" t="s">
        <v>2511</v>
      </c>
      <c r="P290" s="62" t="s">
        <v>2511</v>
      </c>
      <c r="Q290" s="82"/>
      <c r="R290" s="82"/>
      <c r="S290" s="82"/>
      <c r="T290" s="82"/>
      <c r="U290" s="82"/>
      <c r="V290" s="138" t="s">
        <v>3342</v>
      </c>
      <c r="W290" s="57" t="s">
        <v>3257</v>
      </c>
      <c r="X290" s="126" t="s">
        <v>2511</v>
      </c>
      <c r="Y290" s="126" t="s">
        <v>2511</v>
      </c>
      <c r="Z290" s="57"/>
      <c r="AA290" s="57" t="s">
        <v>3258</v>
      </c>
      <c r="AB290" s="57"/>
      <c r="AC290" s="138" t="s">
        <v>2631</v>
      </c>
      <c r="AD290" s="96"/>
      <c r="AE290" s="80"/>
      <c r="AF290" s="80"/>
      <c r="AG290" s="80"/>
      <c r="AH290" s="83"/>
      <c r="AI290" s="83"/>
      <c r="AJ290" s="84"/>
      <c r="AK290" s="84"/>
      <c r="AL290" s="84"/>
      <c r="AM290" s="84"/>
      <c r="AN290" s="84"/>
      <c r="AO290" s="84"/>
      <c r="AP290" s="84"/>
      <c r="AQ290" s="95" t="s">
        <v>209</v>
      </c>
      <c r="AR290" s="72"/>
      <c r="AS290" s="72"/>
      <c r="AT290" s="72"/>
      <c r="AU290" s="72"/>
      <c r="AV290" s="72"/>
      <c r="AW290" s="72"/>
      <c r="AX290" s="72"/>
      <c r="AY290" s="72"/>
      <c r="AZ290" s="72"/>
      <c r="BA290" s="72"/>
      <c r="BB290" s="16"/>
      <c r="BC290" s="22"/>
      <c r="BD290" s="316" t="s">
        <v>209</v>
      </c>
      <c r="BE290" s="260" t="s">
        <v>209</v>
      </c>
    </row>
    <row r="291" spans="1:57" s="81" customFormat="1" ht="12.95" customHeight="1">
      <c r="A291" s="247" t="s">
        <v>3343</v>
      </c>
      <c r="B291" s="251">
        <v>54</v>
      </c>
      <c r="C291" s="267" t="s">
        <v>210</v>
      </c>
      <c r="D291" s="239" t="s">
        <v>3344</v>
      </c>
      <c r="E291" s="58"/>
      <c r="F291" s="59" t="s">
        <v>2244</v>
      </c>
      <c r="G291" s="191" t="s">
        <v>2511</v>
      </c>
      <c r="H291" s="192" t="s">
        <v>210</v>
      </c>
      <c r="I291" s="61" t="s">
        <v>2511</v>
      </c>
      <c r="J291" s="61" t="s">
        <v>2511</v>
      </c>
      <c r="K291" s="62" t="s">
        <v>2511</v>
      </c>
      <c r="L291" s="60" t="s">
        <v>2511</v>
      </c>
      <c r="M291" s="61" t="s">
        <v>2523</v>
      </c>
      <c r="N291" s="61" t="s">
        <v>2511</v>
      </c>
      <c r="O291" s="61" t="s">
        <v>2511</v>
      </c>
      <c r="P291" s="62" t="s">
        <v>2511</v>
      </c>
      <c r="Q291" s="82"/>
      <c r="R291" s="82"/>
      <c r="S291" s="82"/>
      <c r="T291" s="82"/>
      <c r="U291" s="82"/>
      <c r="V291" s="138" t="s">
        <v>3345</v>
      </c>
      <c r="W291" s="57" t="s">
        <v>3257</v>
      </c>
      <c r="X291" s="126" t="s">
        <v>2511</v>
      </c>
      <c r="Y291" s="126" t="s">
        <v>2511</v>
      </c>
      <c r="Z291" s="57"/>
      <c r="AA291" s="57" t="s">
        <v>3258</v>
      </c>
      <c r="AB291" s="57"/>
      <c r="AC291" s="138" t="s">
        <v>2631</v>
      </c>
      <c r="AD291" s="96"/>
      <c r="AE291" s="80"/>
      <c r="AF291" s="80"/>
      <c r="AG291" s="80"/>
      <c r="AH291" s="83"/>
      <c r="AI291" s="83"/>
      <c r="AJ291" s="84"/>
      <c r="AK291" s="84"/>
      <c r="AL291" s="84"/>
      <c r="AM291" s="84"/>
      <c r="AN291" s="84"/>
      <c r="AO291" s="84"/>
      <c r="AP291" s="84"/>
      <c r="AQ291" s="95" t="s">
        <v>210</v>
      </c>
      <c r="AR291" s="72"/>
      <c r="AS291" s="72"/>
      <c r="AT291" s="72"/>
      <c r="AU291" s="72"/>
      <c r="AV291" s="72"/>
      <c r="AW291" s="72"/>
      <c r="AX291" s="72"/>
      <c r="AY291" s="72"/>
      <c r="AZ291" s="72"/>
      <c r="BA291" s="72"/>
      <c r="BB291" s="16"/>
      <c r="BC291" s="72"/>
      <c r="BD291" s="317" t="s">
        <v>210</v>
      </c>
      <c r="BE291" s="260" t="s">
        <v>210</v>
      </c>
    </row>
    <row r="292" spans="1:57" s="81" customFormat="1" ht="12.95" customHeight="1">
      <c r="A292" s="247" t="s">
        <v>3346</v>
      </c>
      <c r="B292" s="251">
        <v>46</v>
      </c>
      <c r="C292" s="267" t="s">
        <v>211</v>
      </c>
      <c r="D292" s="239" t="s">
        <v>3347</v>
      </c>
      <c r="E292" s="58"/>
      <c r="F292" s="59" t="s">
        <v>2245</v>
      </c>
      <c r="G292" s="191" t="s">
        <v>2511</v>
      </c>
      <c r="H292" s="192" t="s">
        <v>211</v>
      </c>
      <c r="I292" s="61" t="s">
        <v>2511</v>
      </c>
      <c r="J292" s="61" t="s">
        <v>2511</v>
      </c>
      <c r="K292" s="62" t="s">
        <v>2511</v>
      </c>
      <c r="L292" s="60" t="s">
        <v>2511</v>
      </c>
      <c r="M292" s="61" t="s">
        <v>2523</v>
      </c>
      <c r="N292" s="61" t="s">
        <v>2511</v>
      </c>
      <c r="O292" s="61" t="s">
        <v>2511</v>
      </c>
      <c r="P292" s="62" t="s">
        <v>2511</v>
      </c>
      <c r="Q292" s="82"/>
      <c r="R292" s="82"/>
      <c r="S292" s="82"/>
      <c r="T292" s="82"/>
      <c r="U292" s="82"/>
      <c r="V292" s="138" t="s">
        <v>3348</v>
      </c>
      <c r="W292" s="57" t="s">
        <v>3257</v>
      </c>
      <c r="X292" s="126" t="s">
        <v>2511</v>
      </c>
      <c r="Y292" s="126" t="s">
        <v>2511</v>
      </c>
      <c r="Z292" s="57"/>
      <c r="AA292" s="57" t="s">
        <v>3258</v>
      </c>
      <c r="AB292" s="57"/>
      <c r="AC292" s="138" t="s">
        <v>2631</v>
      </c>
      <c r="AD292" s="96"/>
      <c r="AE292" s="80"/>
      <c r="AF292" s="80"/>
      <c r="AG292" s="80"/>
      <c r="AH292" s="83"/>
      <c r="AI292" s="83"/>
      <c r="AJ292" s="84"/>
      <c r="AK292" s="84"/>
      <c r="AL292" s="84"/>
      <c r="AM292" s="84"/>
      <c r="AN292" s="84"/>
      <c r="AO292" s="84"/>
      <c r="AP292" s="84"/>
      <c r="AQ292" s="95" t="s">
        <v>211</v>
      </c>
      <c r="AR292" s="72"/>
      <c r="AS292" s="72"/>
      <c r="AT292" s="72"/>
      <c r="AU292" s="72"/>
      <c r="AV292" s="72"/>
      <c r="AW292" s="72"/>
      <c r="AX292" s="72"/>
      <c r="AY292" s="72"/>
      <c r="AZ292" s="72"/>
      <c r="BA292" s="72"/>
      <c r="BB292" s="16"/>
      <c r="BC292" s="72"/>
      <c r="BD292" s="317" t="s">
        <v>211</v>
      </c>
      <c r="BE292" s="260" t="s">
        <v>211</v>
      </c>
    </row>
    <row r="293" spans="1:57" s="81" customFormat="1" ht="12.95" customHeight="1">
      <c r="A293" s="247" t="s">
        <v>3349</v>
      </c>
      <c r="B293" s="251">
        <v>48</v>
      </c>
      <c r="C293" s="267" t="s">
        <v>212</v>
      </c>
      <c r="D293" s="239" t="s">
        <v>3350</v>
      </c>
      <c r="E293" s="58"/>
      <c r="F293" s="59" t="s">
        <v>2242</v>
      </c>
      <c r="G293" s="191" t="s">
        <v>2511</v>
      </c>
      <c r="H293" s="192" t="s">
        <v>212</v>
      </c>
      <c r="I293" s="61" t="s">
        <v>2511</v>
      </c>
      <c r="J293" s="61" t="s">
        <v>2511</v>
      </c>
      <c r="K293" s="62" t="s">
        <v>2511</v>
      </c>
      <c r="L293" s="60" t="s">
        <v>2511</v>
      </c>
      <c r="M293" s="61" t="s">
        <v>2523</v>
      </c>
      <c r="N293" s="61" t="s">
        <v>2511</v>
      </c>
      <c r="O293" s="61" t="s">
        <v>2511</v>
      </c>
      <c r="P293" s="62" t="s">
        <v>2511</v>
      </c>
      <c r="Q293" s="82"/>
      <c r="R293" s="82"/>
      <c r="S293" s="82"/>
      <c r="T293" s="82"/>
      <c r="U293" s="82"/>
      <c r="V293" s="138" t="s">
        <v>3351</v>
      </c>
      <c r="W293" s="57" t="s">
        <v>3257</v>
      </c>
      <c r="X293" s="126" t="s">
        <v>2511</v>
      </c>
      <c r="Y293" s="126" t="s">
        <v>2511</v>
      </c>
      <c r="Z293" s="57"/>
      <c r="AA293" s="57" t="s">
        <v>3258</v>
      </c>
      <c r="AB293" s="57"/>
      <c r="AC293" s="138" t="s">
        <v>2631</v>
      </c>
      <c r="AD293" s="96"/>
      <c r="AE293" s="80"/>
      <c r="AF293" s="80"/>
      <c r="AG293" s="80"/>
      <c r="AH293" s="83"/>
      <c r="AI293" s="83"/>
      <c r="AJ293" s="84"/>
      <c r="AK293" s="84"/>
      <c r="AL293" s="84"/>
      <c r="AM293" s="84"/>
      <c r="AN293" s="84"/>
      <c r="AO293" s="84"/>
      <c r="AP293" s="84"/>
      <c r="AQ293" s="95" t="s">
        <v>212</v>
      </c>
      <c r="AR293" s="72"/>
      <c r="AS293" s="72"/>
      <c r="AT293" s="72"/>
      <c r="AU293" s="72"/>
      <c r="AV293" s="72"/>
      <c r="AW293" s="72"/>
      <c r="AX293" s="72"/>
      <c r="AY293" s="72"/>
      <c r="AZ293" s="72"/>
      <c r="BA293" s="72"/>
      <c r="BB293" s="16"/>
      <c r="BC293" s="72"/>
      <c r="BD293" s="317" t="s">
        <v>212</v>
      </c>
      <c r="BE293" s="260" t="s">
        <v>212</v>
      </c>
    </row>
    <row r="294" spans="1:57" s="81" customFormat="1" ht="12.95" customHeight="1">
      <c r="A294" s="247" t="s">
        <v>3352</v>
      </c>
      <c r="B294" s="251">
        <v>58</v>
      </c>
      <c r="C294" s="267" t="s">
        <v>299</v>
      </c>
      <c r="D294" s="239" t="s">
        <v>3353</v>
      </c>
      <c r="E294" s="58"/>
      <c r="F294" s="59" t="s">
        <v>2246</v>
      </c>
      <c r="G294" s="191" t="s">
        <v>2511</v>
      </c>
      <c r="H294" s="192" t="s">
        <v>299</v>
      </c>
      <c r="I294" s="61" t="s">
        <v>2511</v>
      </c>
      <c r="J294" s="61" t="s">
        <v>2511</v>
      </c>
      <c r="K294" s="62" t="s">
        <v>2511</v>
      </c>
      <c r="L294" s="60" t="s">
        <v>2511</v>
      </c>
      <c r="M294" s="61" t="s">
        <v>2523</v>
      </c>
      <c r="N294" s="61" t="s">
        <v>2511</v>
      </c>
      <c r="O294" s="61" t="s">
        <v>2511</v>
      </c>
      <c r="P294" s="62" t="s">
        <v>2511</v>
      </c>
      <c r="Q294" s="82"/>
      <c r="R294" s="82"/>
      <c r="S294" s="82"/>
      <c r="T294" s="82"/>
      <c r="U294" s="82"/>
      <c r="V294" s="138" t="s">
        <v>3354</v>
      </c>
      <c r="W294" s="57" t="s">
        <v>3257</v>
      </c>
      <c r="X294" s="126" t="s">
        <v>2511</v>
      </c>
      <c r="Y294" s="126" t="s">
        <v>2511</v>
      </c>
      <c r="Z294" s="57"/>
      <c r="AA294" s="57" t="s">
        <v>3258</v>
      </c>
      <c r="AB294" s="57"/>
      <c r="AC294" s="138" t="s">
        <v>2631</v>
      </c>
      <c r="AD294" s="96"/>
      <c r="AE294" s="80"/>
      <c r="AF294" s="80"/>
      <c r="AG294" s="80"/>
      <c r="AH294" s="83"/>
      <c r="AI294" s="83"/>
      <c r="AJ294" s="84"/>
      <c r="AK294" s="84"/>
      <c r="AL294" s="84"/>
      <c r="AM294" s="84"/>
      <c r="AN294" s="84"/>
      <c r="AO294" s="84"/>
      <c r="AP294" s="84"/>
      <c r="AQ294" s="95" t="s">
        <v>299</v>
      </c>
      <c r="AR294" s="72"/>
      <c r="AS294" s="72"/>
      <c r="AT294" s="72"/>
      <c r="AU294" s="72"/>
      <c r="AV294" s="72"/>
      <c r="AW294" s="72"/>
      <c r="AX294" s="72"/>
      <c r="AY294" s="72"/>
      <c r="AZ294" s="72"/>
      <c r="BA294" s="72"/>
      <c r="BB294" s="16"/>
      <c r="BC294" s="72"/>
      <c r="BD294" s="317" t="s">
        <v>299</v>
      </c>
      <c r="BE294" s="260" t="s">
        <v>299</v>
      </c>
    </row>
    <row r="295" spans="1:57" s="81" customFormat="1" ht="12.95" customHeight="1">
      <c r="A295" s="247" t="s">
        <v>3355</v>
      </c>
      <c r="B295" s="251">
        <v>60</v>
      </c>
      <c r="C295" s="267" t="s">
        <v>300</v>
      </c>
      <c r="D295" s="239" t="s">
        <v>3356</v>
      </c>
      <c r="E295" s="58"/>
      <c r="F295" s="59" t="s">
        <v>2247</v>
      </c>
      <c r="G295" s="191" t="s">
        <v>2511</v>
      </c>
      <c r="H295" s="192" t="s">
        <v>300</v>
      </c>
      <c r="I295" s="61" t="s">
        <v>2511</v>
      </c>
      <c r="J295" s="61" t="s">
        <v>2511</v>
      </c>
      <c r="K295" s="62" t="s">
        <v>2511</v>
      </c>
      <c r="L295" s="60" t="s">
        <v>2511</v>
      </c>
      <c r="M295" s="61" t="s">
        <v>2523</v>
      </c>
      <c r="N295" s="61" t="s">
        <v>2511</v>
      </c>
      <c r="O295" s="61" t="s">
        <v>2511</v>
      </c>
      <c r="P295" s="62" t="s">
        <v>2511</v>
      </c>
      <c r="Q295" s="82"/>
      <c r="R295" s="82"/>
      <c r="S295" s="82"/>
      <c r="T295" s="82"/>
      <c r="U295" s="82"/>
      <c r="V295" s="138" t="s">
        <v>3357</v>
      </c>
      <c r="W295" s="57" t="s">
        <v>3257</v>
      </c>
      <c r="X295" s="126" t="s">
        <v>2511</v>
      </c>
      <c r="Y295" s="126" t="s">
        <v>2511</v>
      </c>
      <c r="Z295" s="57"/>
      <c r="AA295" s="57" t="s">
        <v>3258</v>
      </c>
      <c r="AB295" s="57"/>
      <c r="AC295" s="138" t="s">
        <v>2631</v>
      </c>
      <c r="AD295" s="96"/>
      <c r="AE295" s="80"/>
      <c r="AF295" s="80"/>
      <c r="AG295" s="80"/>
      <c r="AH295" s="83"/>
      <c r="AI295" s="83"/>
      <c r="AJ295" s="84"/>
      <c r="AK295" s="84"/>
      <c r="AL295" s="84"/>
      <c r="AM295" s="84"/>
      <c r="AN295" s="84"/>
      <c r="AO295" s="84"/>
      <c r="AP295" s="84"/>
      <c r="AQ295" s="95" t="s">
        <v>300</v>
      </c>
      <c r="AR295" s="72"/>
      <c r="AS295" s="72"/>
      <c r="AT295" s="72"/>
      <c r="AU295" s="72"/>
      <c r="AV295" s="72"/>
      <c r="AW295" s="72"/>
      <c r="AX295" s="72"/>
      <c r="AY295" s="72"/>
      <c r="AZ295" s="72"/>
      <c r="BA295" s="72"/>
      <c r="BB295" s="16"/>
      <c r="BC295" s="72"/>
      <c r="BD295" s="318" t="s">
        <v>300</v>
      </c>
      <c r="BE295" s="260" t="s">
        <v>300</v>
      </c>
    </row>
    <row r="296" spans="1:57" s="81" customFormat="1" ht="12.95" hidden="1" customHeight="1">
      <c r="A296" s="248" t="e">
        <v>#N/A</v>
      </c>
      <c r="B296" s="252" t="e">
        <v>#N/A</v>
      </c>
      <c r="C296" s="269" t="s">
        <v>301</v>
      </c>
      <c r="D296" s="239" t="s">
        <v>3359</v>
      </c>
      <c r="E296" s="58"/>
      <c r="F296" s="59" t="s">
        <v>526</v>
      </c>
      <c r="G296" s="191" t="s">
        <v>2511</v>
      </c>
      <c r="H296" s="192" t="s">
        <v>301</v>
      </c>
      <c r="I296" s="61" t="s">
        <v>2511</v>
      </c>
      <c r="J296" s="61" t="s">
        <v>2511</v>
      </c>
      <c r="K296" s="62" t="s">
        <v>2511</v>
      </c>
      <c r="L296" s="60" t="s">
        <v>2511</v>
      </c>
      <c r="M296" s="61" t="s">
        <v>2523</v>
      </c>
      <c r="N296" s="61" t="s">
        <v>2511</v>
      </c>
      <c r="O296" s="61" t="s">
        <v>2511</v>
      </c>
      <c r="P296" s="62" t="s">
        <v>2511</v>
      </c>
      <c r="Q296" s="82"/>
      <c r="R296" s="82"/>
      <c r="S296" s="82"/>
      <c r="T296" s="82"/>
      <c r="U296" s="82"/>
      <c r="V296" s="138" t="s">
        <v>3360</v>
      </c>
      <c r="W296" s="57" t="s">
        <v>3257</v>
      </c>
      <c r="X296" s="126" t="s">
        <v>2511</v>
      </c>
      <c r="Y296" s="126" t="s">
        <v>2511</v>
      </c>
      <c r="Z296" s="57"/>
      <c r="AA296" s="57" t="s">
        <v>3258</v>
      </c>
      <c r="AB296" s="57"/>
      <c r="AC296" s="138" t="s">
        <v>2631</v>
      </c>
      <c r="AD296" s="96"/>
      <c r="AE296" s="80"/>
      <c r="AF296" s="80"/>
      <c r="AG296" s="80"/>
      <c r="AH296" s="83"/>
      <c r="AI296" s="83"/>
      <c r="AJ296" s="84"/>
      <c r="AK296" s="84"/>
      <c r="AL296" s="84"/>
      <c r="AM296" s="84"/>
      <c r="AN296" s="84"/>
      <c r="AO296" s="84"/>
      <c r="AP296" s="84"/>
      <c r="AQ296" s="95" t="s">
        <v>301</v>
      </c>
      <c r="AR296" s="72"/>
      <c r="AS296" s="72"/>
      <c r="AT296" s="72"/>
      <c r="AU296" s="72"/>
      <c r="AV296" s="72"/>
      <c r="AW296" s="72"/>
      <c r="AX296" s="72"/>
      <c r="AY296" s="72"/>
      <c r="AZ296" s="72"/>
      <c r="BA296" s="72"/>
      <c r="BB296" s="16"/>
      <c r="BC296" s="22"/>
      <c r="BD296" s="147" t="s">
        <v>83</v>
      </c>
      <c r="BE296" s="147" t="s">
        <v>83</v>
      </c>
    </row>
    <row r="297" spans="1:57" s="81" customFormat="1" ht="12.95" hidden="1" customHeight="1">
      <c r="A297" s="248" t="e">
        <v>#N/A</v>
      </c>
      <c r="B297" s="252" t="e">
        <v>#N/A</v>
      </c>
      <c r="C297" s="269" t="s">
        <v>302</v>
      </c>
      <c r="D297" s="239" t="s">
        <v>3362</v>
      </c>
      <c r="E297" s="58"/>
      <c r="F297" s="59" t="s">
        <v>527</v>
      </c>
      <c r="G297" s="191" t="s">
        <v>2511</v>
      </c>
      <c r="H297" s="192" t="s">
        <v>302</v>
      </c>
      <c r="I297" s="61" t="s">
        <v>2511</v>
      </c>
      <c r="J297" s="61" t="s">
        <v>2511</v>
      </c>
      <c r="K297" s="62" t="s">
        <v>2511</v>
      </c>
      <c r="L297" s="60" t="s">
        <v>2511</v>
      </c>
      <c r="M297" s="61" t="s">
        <v>2523</v>
      </c>
      <c r="N297" s="61" t="s">
        <v>2511</v>
      </c>
      <c r="O297" s="61" t="s">
        <v>2511</v>
      </c>
      <c r="P297" s="62" t="s">
        <v>2511</v>
      </c>
      <c r="Q297" s="82"/>
      <c r="R297" s="82"/>
      <c r="S297" s="82"/>
      <c r="T297" s="82"/>
      <c r="U297" s="82"/>
      <c r="V297" s="138" t="s">
        <v>3363</v>
      </c>
      <c r="W297" s="57" t="s">
        <v>3257</v>
      </c>
      <c r="X297" s="126" t="s">
        <v>2511</v>
      </c>
      <c r="Y297" s="126" t="s">
        <v>2511</v>
      </c>
      <c r="Z297" s="57"/>
      <c r="AA297" s="57" t="s">
        <v>3258</v>
      </c>
      <c r="AB297" s="57"/>
      <c r="AC297" s="138" t="s">
        <v>2631</v>
      </c>
      <c r="AD297" s="96"/>
      <c r="AE297" s="80"/>
      <c r="AF297" s="80"/>
      <c r="AG297" s="80"/>
      <c r="AH297" s="83"/>
      <c r="AI297" s="83"/>
      <c r="AJ297" s="84"/>
      <c r="AK297" s="84"/>
      <c r="AL297" s="84"/>
      <c r="AM297" s="84"/>
      <c r="AN297" s="84"/>
      <c r="AO297" s="84"/>
      <c r="AP297" s="84"/>
      <c r="AQ297" s="95" t="s">
        <v>302</v>
      </c>
      <c r="AR297" s="72"/>
      <c r="AS297" s="72"/>
      <c r="AT297" s="72"/>
      <c r="AU297" s="72"/>
      <c r="AV297" s="72"/>
      <c r="AW297" s="72"/>
      <c r="AX297" s="72"/>
      <c r="AY297" s="72"/>
      <c r="AZ297" s="72"/>
      <c r="BA297" s="72"/>
      <c r="BB297" s="16"/>
      <c r="BC297" s="72"/>
      <c r="BD297" s="147" t="s">
        <v>83</v>
      </c>
      <c r="BE297" s="147" t="s">
        <v>83</v>
      </c>
    </row>
    <row r="298" spans="1:57" s="81" customFormat="1" ht="12.95" customHeight="1">
      <c r="A298" s="247" t="s">
        <v>5426</v>
      </c>
      <c r="B298" s="251">
        <v>40</v>
      </c>
      <c r="C298" s="267" t="s">
        <v>303</v>
      </c>
      <c r="D298" s="239" t="s">
        <v>3365</v>
      </c>
      <c r="E298" s="58"/>
      <c r="F298" s="59" t="s">
        <v>2248</v>
      </c>
      <c r="G298" s="191" t="s">
        <v>2511</v>
      </c>
      <c r="H298" s="192" t="s">
        <v>303</v>
      </c>
      <c r="I298" s="61" t="s">
        <v>2511</v>
      </c>
      <c r="J298" s="61" t="s">
        <v>2511</v>
      </c>
      <c r="K298" s="62" t="s">
        <v>2511</v>
      </c>
      <c r="L298" s="60" t="s">
        <v>2511</v>
      </c>
      <c r="M298" s="61" t="s">
        <v>2523</v>
      </c>
      <c r="N298" s="61" t="s">
        <v>2511</v>
      </c>
      <c r="O298" s="61" t="s">
        <v>2511</v>
      </c>
      <c r="P298" s="62" t="s">
        <v>2511</v>
      </c>
      <c r="Q298" s="82"/>
      <c r="R298" s="82"/>
      <c r="S298" s="82"/>
      <c r="T298" s="82"/>
      <c r="U298" s="82"/>
      <c r="V298" s="138" t="s">
        <v>3366</v>
      </c>
      <c r="W298" s="57" t="s">
        <v>3257</v>
      </c>
      <c r="X298" s="126" t="s">
        <v>2511</v>
      </c>
      <c r="Y298" s="126" t="s">
        <v>2511</v>
      </c>
      <c r="Z298" s="57"/>
      <c r="AA298" s="57" t="s">
        <v>3258</v>
      </c>
      <c r="AB298" s="57"/>
      <c r="AC298" s="138" t="s">
        <v>2631</v>
      </c>
      <c r="AD298" s="96"/>
      <c r="AE298" s="80"/>
      <c r="AF298" s="80"/>
      <c r="AG298" s="80"/>
      <c r="AH298" s="83"/>
      <c r="AI298" s="83"/>
      <c r="AJ298" s="84"/>
      <c r="AK298" s="84"/>
      <c r="AL298" s="84"/>
      <c r="AM298" s="84"/>
      <c r="AN298" s="84"/>
      <c r="AO298" s="84"/>
      <c r="AP298" s="84"/>
      <c r="AQ298" s="95" t="s">
        <v>303</v>
      </c>
      <c r="AR298" s="72"/>
      <c r="AS298" s="72"/>
      <c r="AT298" s="72"/>
      <c r="AU298" s="72"/>
      <c r="AV298" s="72"/>
      <c r="AW298" s="72"/>
      <c r="AX298" s="72"/>
      <c r="AY298" s="72"/>
      <c r="AZ298" s="72"/>
      <c r="BA298" s="72"/>
      <c r="BB298" s="16"/>
      <c r="BC298" s="72"/>
      <c r="BD298" s="317" t="s">
        <v>5649</v>
      </c>
      <c r="BE298" s="260" t="s">
        <v>303</v>
      </c>
    </row>
    <row r="299" spans="1:57" s="81" customFormat="1" ht="12.95" customHeight="1">
      <c r="A299" s="247" t="s">
        <v>5427</v>
      </c>
      <c r="B299" s="251">
        <v>42</v>
      </c>
      <c r="C299" s="267" t="s">
        <v>304</v>
      </c>
      <c r="D299" s="239" t="s">
        <v>3368</v>
      </c>
      <c r="E299" s="58"/>
      <c r="F299" s="59" t="s">
        <v>2249</v>
      </c>
      <c r="G299" s="191" t="s">
        <v>2511</v>
      </c>
      <c r="H299" s="192" t="s">
        <v>304</v>
      </c>
      <c r="I299" s="61" t="s">
        <v>2511</v>
      </c>
      <c r="J299" s="61" t="s">
        <v>2511</v>
      </c>
      <c r="K299" s="62" t="s">
        <v>2511</v>
      </c>
      <c r="L299" s="60" t="s">
        <v>2511</v>
      </c>
      <c r="M299" s="61" t="s">
        <v>2523</v>
      </c>
      <c r="N299" s="61" t="s">
        <v>2511</v>
      </c>
      <c r="O299" s="61" t="s">
        <v>2511</v>
      </c>
      <c r="P299" s="62" t="s">
        <v>2511</v>
      </c>
      <c r="Q299" s="82"/>
      <c r="R299" s="82"/>
      <c r="S299" s="82"/>
      <c r="T299" s="82"/>
      <c r="U299" s="82"/>
      <c r="V299" s="138" t="s">
        <v>3369</v>
      </c>
      <c r="W299" s="57" t="s">
        <v>3257</v>
      </c>
      <c r="X299" s="126" t="s">
        <v>2511</v>
      </c>
      <c r="Y299" s="126" t="s">
        <v>2511</v>
      </c>
      <c r="Z299" s="57"/>
      <c r="AA299" s="57" t="s">
        <v>3258</v>
      </c>
      <c r="AB299" s="57"/>
      <c r="AC299" s="138" t="s">
        <v>2631</v>
      </c>
      <c r="AD299" s="96"/>
      <c r="AE299" s="80"/>
      <c r="AF299" s="80"/>
      <c r="AG299" s="80"/>
      <c r="AH299" s="83"/>
      <c r="AI299" s="83"/>
      <c r="AJ299" s="84"/>
      <c r="AK299" s="84"/>
      <c r="AL299" s="84"/>
      <c r="AM299" s="84"/>
      <c r="AN299" s="84"/>
      <c r="AO299" s="84"/>
      <c r="AP299" s="84"/>
      <c r="AQ299" s="95" t="s">
        <v>304</v>
      </c>
      <c r="AR299" s="72"/>
      <c r="AS299" s="72"/>
      <c r="AT299" s="72"/>
      <c r="AU299" s="72"/>
      <c r="AV299" s="72"/>
      <c r="AW299" s="72"/>
      <c r="AX299" s="72"/>
      <c r="AY299" s="72"/>
      <c r="AZ299" s="72"/>
      <c r="BA299" s="72"/>
      <c r="BB299" s="16"/>
      <c r="BC299" s="72"/>
      <c r="BD299" s="317" t="s">
        <v>5650</v>
      </c>
      <c r="BE299" s="260" t="s">
        <v>304</v>
      </c>
    </row>
    <row r="300" spans="1:57" s="81" customFormat="1" ht="12.95" customHeight="1">
      <c r="A300" s="247" t="s">
        <v>5428</v>
      </c>
      <c r="B300" s="251">
        <v>64</v>
      </c>
      <c r="C300" s="267" t="s">
        <v>305</v>
      </c>
      <c r="D300" s="239" t="s">
        <v>3371</v>
      </c>
      <c r="E300" s="58"/>
      <c r="F300" s="59" t="s">
        <v>2250</v>
      </c>
      <c r="G300" s="191" t="s">
        <v>2511</v>
      </c>
      <c r="H300" s="192" t="s">
        <v>305</v>
      </c>
      <c r="I300" s="61" t="s">
        <v>2511</v>
      </c>
      <c r="J300" s="61" t="s">
        <v>2511</v>
      </c>
      <c r="K300" s="62" t="s">
        <v>2511</v>
      </c>
      <c r="L300" s="60" t="s">
        <v>2511</v>
      </c>
      <c r="M300" s="61" t="s">
        <v>2523</v>
      </c>
      <c r="N300" s="61" t="s">
        <v>2511</v>
      </c>
      <c r="O300" s="61" t="s">
        <v>2511</v>
      </c>
      <c r="P300" s="62" t="s">
        <v>2511</v>
      </c>
      <c r="Q300" s="82"/>
      <c r="R300" s="82"/>
      <c r="S300" s="82"/>
      <c r="T300" s="82"/>
      <c r="U300" s="82"/>
      <c r="V300" s="138" t="s">
        <v>3372</v>
      </c>
      <c r="W300" s="57" t="s">
        <v>3257</v>
      </c>
      <c r="X300" s="126" t="s">
        <v>2511</v>
      </c>
      <c r="Y300" s="126" t="s">
        <v>2511</v>
      </c>
      <c r="Z300" s="57"/>
      <c r="AA300" s="57" t="s">
        <v>3258</v>
      </c>
      <c r="AB300" s="57"/>
      <c r="AC300" s="138" t="s">
        <v>2631</v>
      </c>
      <c r="AD300" s="96"/>
      <c r="AE300" s="80"/>
      <c r="AF300" s="80"/>
      <c r="AG300" s="80"/>
      <c r="AH300" s="83"/>
      <c r="AI300" s="83"/>
      <c r="AJ300" s="84"/>
      <c r="AK300" s="84"/>
      <c r="AL300" s="84"/>
      <c r="AM300" s="84"/>
      <c r="AN300" s="84"/>
      <c r="AO300" s="84"/>
      <c r="AP300" s="84"/>
      <c r="AQ300" s="95" t="s">
        <v>305</v>
      </c>
      <c r="AR300" s="72"/>
      <c r="AS300" s="72"/>
      <c r="AT300" s="72"/>
      <c r="AU300" s="72"/>
      <c r="AV300" s="72"/>
      <c r="AW300" s="72"/>
      <c r="AX300" s="72"/>
      <c r="AY300" s="72"/>
      <c r="AZ300" s="72"/>
      <c r="BA300" s="72"/>
      <c r="BB300" s="16"/>
      <c r="BC300" s="72"/>
      <c r="BD300" s="317" t="s">
        <v>5651</v>
      </c>
      <c r="BE300" s="260" t="s">
        <v>305</v>
      </c>
    </row>
    <row r="301" spans="1:57" s="81" customFormat="1" ht="12.95" customHeight="1">
      <c r="A301" s="247" t="s">
        <v>5429</v>
      </c>
      <c r="B301" s="251">
        <v>66</v>
      </c>
      <c r="C301" s="267" t="s">
        <v>306</v>
      </c>
      <c r="D301" s="239" t="s">
        <v>3374</v>
      </c>
      <c r="E301" s="58"/>
      <c r="F301" s="59" t="s">
        <v>2251</v>
      </c>
      <c r="G301" s="191" t="s">
        <v>2511</v>
      </c>
      <c r="H301" s="192" t="s">
        <v>306</v>
      </c>
      <c r="I301" s="61" t="s">
        <v>2511</v>
      </c>
      <c r="J301" s="61" t="s">
        <v>2511</v>
      </c>
      <c r="K301" s="62" t="s">
        <v>2511</v>
      </c>
      <c r="L301" s="60" t="s">
        <v>2511</v>
      </c>
      <c r="M301" s="61" t="s">
        <v>2523</v>
      </c>
      <c r="N301" s="61" t="s">
        <v>2511</v>
      </c>
      <c r="O301" s="61" t="s">
        <v>2511</v>
      </c>
      <c r="P301" s="62" t="s">
        <v>2511</v>
      </c>
      <c r="Q301" s="82"/>
      <c r="R301" s="82"/>
      <c r="S301" s="82"/>
      <c r="T301" s="82"/>
      <c r="U301" s="82"/>
      <c r="V301" s="138" t="s">
        <v>3375</v>
      </c>
      <c r="W301" s="57" t="s">
        <v>3257</v>
      </c>
      <c r="X301" s="126" t="s">
        <v>2511</v>
      </c>
      <c r="Y301" s="126" t="s">
        <v>2511</v>
      </c>
      <c r="Z301" s="57"/>
      <c r="AA301" s="57" t="s">
        <v>3258</v>
      </c>
      <c r="AB301" s="57"/>
      <c r="AC301" s="138" t="s">
        <v>2631</v>
      </c>
      <c r="AD301" s="96"/>
      <c r="AE301" s="80"/>
      <c r="AF301" s="80"/>
      <c r="AG301" s="80"/>
      <c r="AH301" s="83"/>
      <c r="AI301" s="83"/>
      <c r="AJ301" s="84"/>
      <c r="AK301" s="84"/>
      <c r="AL301" s="84"/>
      <c r="AM301" s="84"/>
      <c r="AN301" s="84"/>
      <c r="AO301" s="84"/>
      <c r="AP301" s="84"/>
      <c r="AQ301" s="95" t="s">
        <v>306</v>
      </c>
      <c r="AR301" s="72"/>
      <c r="AS301" s="72"/>
      <c r="AT301" s="72"/>
      <c r="AU301" s="72"/>
      <c r="AV301" s="72"/>
      <c r="AW301" s="72"/>
      <c r="AX301" s="72"/>
      <c r="AY301" s="72"/>
      <c r="AZ301" s="72"/>
      <c r="BA301" s="72"/>
      <c r="BB301" s="16"/>
      <c r="BC301" s="72"/>
      <c r="BD301" s="318" t="s">
        <v>5652</v>
      </c>
      <c r="BE301" s="260" t="s">
        <v>306</v>
      </c>
    </row>
    <row r="302" spans="1:57" s="81" customFormat="1" ht="12.95" customHeight="1">
      <c r="A302" s="247" t="s">
        <v>5516</v>
      </c>
      <c r="B302" s="251">
        <v>76</v>
      </c>
      <c r="C302" s="267" t="s">
        <v>1065</v>
      </c>
      <c r="D302" s="239" t="s">
        <v>3376</v>
      </c>
      <c r="E302" s="58"/>
      <c r="F302" s="59" t="s">
        <v>2252</v>
      </c>
      <c r="G302" s="191" t="s">
        <v>2511</v>
      </c>
      <c r="H302" s="192" t="s">
        <v>1065</v>
      </c>
      <c r="I302" s="61" t="s">
        <v>2511</v>
      </c>
      <c r="J302" s="61" t="s">
        <v>2511</v>
      </c>
      <c r="K302" s="62" t="s">
        <v>2511</v>
      </c>
      <c r="L302" s="60" t="s">
        <v>2511</v>
      </c>
      <c r="M302" s="61" t="s">
        <v>2523</v>
      </c>
      <c r="N302" s="61" t="s">
        <v>2511</v>
      </c>
      <c r="O302" s="61" t="s">
        <v>2511</v>
      </c>
      <c r="P302" s="62" t="s">
        <v>2511</v>
      </c>
      <c r="Q302" s="82"/>
      <c r="R302" s="82"/>
      <c r="S302" s="82"/>
      <c r="T302" s="82"/>
      <c r="U302" s="82"/>
      <c r="V302" s="138" t="s">
        <v>3377</v>
      </c>
      <c r="W302" s="57" t="s">
        <v>3257</v>
      </c>
      <c r="X302" s="126" t="s">
        <v>2511</v>
      </c>
      <c r="Y302" s="126" t="s">
        <v>2511</v>
      </c>
      <c r="Z302" s="57"/>
      <c r="AA302" s="57" t="s">
        <v>3258</v>
      </c>
      <c r="AB302" s="57"/>
      <c r="AC302" s="138" t="s">
        <v>2631</v>
      </c>
      <c r="AD302" s="96"/>
      <c r="AE302" s="80"/>
      <c r="AF302" s="80"/>
      <c r="AG302" s="80"/>
      <c r="AH302" s="83"/>
      <c r="AI302" s="83"/>
      <c r="AJ302" s="84"/>
      <c r="AK302" s="84"/>
      <c r="AL302" s="84"/>
      <c r="AM302" s="84"/>
      <c r="AN302" s="84"/>
      <c r="AO302" s="84"/>
      <c r="AP302" s="84"/>
      <c r="AQ302" s="95" t="s">
        <v>1065</v>
      </c>
      <c r="AR302" s="72"/>
      <c r="AS302" s="72"/>
      <c r="AT302" s="72"/>
      <c r="AU302" s="72"/>
      <c r="AV302" s="72"/>
      <c r="AW302" s="72"/>
      <c r="AX302" s="72"/>
      <c r="AY302" s="72"/>
      <c r="AZ302" s="72"/>
      <c r="BA302" s="72"/>
      <c r="BB302" s="16"/>
      <c r="BC302" s="22"/>
      <c r="BD302" s="316" t="s">
        <v>1065</v>
      </c>
      <c r="BE302" s="260" t="s">
        <v>1065</v>
      </c>
    </row>
    <row r="303" spans="1:57" s="81" customFormat="1" ht="12.95" customHeight="1">
      <c r="A303" s="247" t="s">
        <v>5517</v>
      </c>
      <c r="B303" s="251">
        <v>78</v>
      </c>
      <c r="C303" s="267" t="s">
        <v>1066</v>
      </c>
      <c r="D303" s="239" t="s">
        <v>3378</v>
      </c>
      <c r="E303" s="58"/>
      <c r="F303" s="59" t="s">
        <v>2253</v>
      </c>
      <c r="G303" s="191" t="s">
        <v>2511</v>
      </c>
      <c r="H303" s="192" t="s">
        <v>1066</v>
      </c>
      <c r="I303" s="61" t="s">
        <v>2511</v>
      </c>
      <c r="J303" s="61" t="s">
        <v>2511</v>
      </c>
      <c r="K303" s="62" t="s">
        <v>2511</v>
      </c>
      <c r="L303" s="60" t="s">
        <v>2511</v>
      </c>
      <c r="M303" s="61" t="s">
        <v>2523</v>
      </c>
      <c r="N303" s="61" t="s">
        <v>2511</v>
      </c>
      <c r="O303" s="61" t="s">
        <v>2511</v>
      </c>
      <c r="P303" s="62" t="s">
        <v>2511</v>
      </c>
      <c r="Q303" s="82"/>
      <c r="R303" s="82"/>
      <c r="S303" s="82"/>
      <c r="T303" s="82"/>
      <c r="U303" s="82"/>
      <c r="V303" s="138" t="s">
        <v>3379</v>
      </c>
      <c r="W303" s="57" t="s">
        <v>3257</v>
      </c>
      <c r="X303" s="126" t="s">
        <v>2511</v>
      </c>
      <c r="Y303" s="126" t="s">
        <v>2511</v>
      </c>
      <c r="Z303" s="57"/>
      <c r="AA303" s="57" t="s">
        <v>3258</v>
      </c>
      <c r="AB303" s="57"/>
      <c r="AC303" s="138" t="s">
        <v>2631</v>
      </c>
      <c r="AD303" s="96"/>
      <c r="AE303" s="80"/>
      <c r="AF303" s="80"/>
      <c r="AG303" s="80"/>
      <c r="AH303" s="83"/>
      <c r="AI303" s="83"/>
      <c r="AJ303" s="84"/>
      <c r="AK303" s="84"/>
      <c r="AL303" s="84"/>
      <c r="AM303" s="84"/>
      <c r="AN303" s="84"/>
      <c r="AO303" s="84"/>
      <c r="AP303" s="84"/>
      <c r="AQ303" s="95" t="s">
        <v>1066</v>
      </c>
      <c r="AR303" s="72"/>
      <c r="AS303" s="72"/>
      <c r="AT303" s="72"/>
      <c r="AU303" s="72"/>
      <c r="AV303" s="72"/>
      <c r="AW303" s="72"/>
      <c r="AX303" s="72"/>
      <c r="AY303" s="72"/>
      <c r="AZ303" s="72"/>
      <c r="BA303" s="72"/>
      <c r="BB303" s="16"/>
      <c r="BC303" s="72"/>
      <c r="BD303" s="317" t="s">
        <v>1066</v>
      </c>
      <c r="BE303" s="260" t="s">
        <v>1066</v>
      </c>
    </row>
    <row r="304" spans="1:57" s="81" customFormat="1" ht="12.95" customHeight="1">
      <c r="A304" s="247" t="s">
        <v>5518</v>
      </c>
      <c r="B304" s="251">
        <v>70</v>
      </c>
      <c r="C304" s="267" t="s">
        <v>1067</v>
      </c>
      <c r="D304" s="239" t="s">
        <v>3380</v>
      </c>
      <c r="E304" s="58"/>
      <c r="F304" s="59" t="s">
        <v>2254</v>
      </c>
      <c r="G304" s="191" t="s">
        <v>2511</v>
      </c>
      <c r="H304" s="192" t="s">
        <v>1067</v>
      </c>
      <c r="I304" s="61" t="s">
        <v>2511</v>
      </c>
      <c r="J304" s="61" t="s">
        <v>2511</v>
      </c>
      <c r="K304" s="62" t="s">
        <v>2511</v>
      </c>
      <c r="L304" s="60" t="s">
        <v>2511</v>
      </c>
      <c r="M304" s="61" t="s">
        <v>2523</v>
      </c>
      <c r="N304" s="61" t="s">
        <v>2511</v>
      </c>
      <c r="O304" s="61" t="s">
        <v>2511</v>
      </c>
      <c r="P304" s="62" t="s">
        <v>2511</v>
      </c>
      <c r="Q304" s="82"/>
      <c r="R304" s="82"/>
      <c r="S304" s="82"/>
      <c r="T304" s="82"/>
      <c r="U304" s="82"/>
      <c r="V304" s="138" t="s">
        <v>3381</v>
      </c>
      <c r="W304" s="57" t="s">
        <v>3257</v>
      </c>
      <c r="X304" s="126" t="s">
        <v>2511</v>
      </c>
      <c r="Y304" s="126" t="s">
        <v>2511</v>
      </c>
      <c r="Z304" s="57"/>
      <c r="AA304" s="57" t="s">
        <v>3258</v>
      </c>
      <c r="AB304" s="57"/>
      <c r="AC304" s="138" t="s">
        <v>2631</v>
      </c>
      <c r="AD304" s="96"/>
      <c r="AE304" s="80"/>
      <c r="AF304" s="80"/>
      <c r="AG304" s="80"/>
      <c r="AH304" s="83"/>
      <c r="AI304" s="83"/>
      <c r="AJ304" s="84"/>
      <c r="AK304" s="84"/>
      <c r="AL304" s="84"/>
      <c r="AM304" s="84"/>
      <c r="AN304" s="84"/>
      <c r="AO304" s="84"/>
      <c r="AP304" s="84"/>
      <c r="AQ304" s="95" t="s">
        <v>1067</v>
      </c>
      <c r="AR304" s="72"/>
      <c r="AS304" s="72"/>
      <c r="AT304" s="72"/>
      <c r="AU304" s="72"/>
      <c r="AV304" s="72"/>
      <c r="AW304" s="72"/>
      <c r="AX304" s="72"/>
      <c r="AY304" s="72"/>
      <c r="AZ304" s="72"/>
      <c r="BA304" s="72"/>
      <c r="BB304" s="16"/>
      <c r="BC304" s="72"/>
      <c r="BD304" s="317" t="s">
        <v>1067</v>
      </c>
      <c r="BE304" s="260" t="s">
        <v>1067</v>
      </c>
    </row>
    <row r="305" spans="1:57" s="81" customFormat="1" ht="12.95" customHeight="1">
      <c r="A305" s="247" t="s">
        <v>5519</v>
      </c>
      <c r="B305" s="251">
        <v>72</v>
      </c>
      <c r="C305" s="267" t="s">
        <v>1068</v>
      </c>
      <c r="D305" s="239" t="s">
        <v>3382</v>
      </c>
      <c r="E305" s="58"/>
      <c r="F305" s="59" t="s">
        <v>2255</v>
      </c>
      <c r="G305" s="191" t="s">
        <v>2511</v>
      </c>
      <c r="H305" s="192" t="s">
        <v>1068</v>
      </c>
      <c r="I305" s="61" t="s">
        <v>2511</v>
      </c>
      <c r="J305" s="61" t="s">
        <v>2511</v>
      </c>
      <c r="K305" s="62" t="s">
        <v>2511</v>
      </c>
      <c r="L305" s="60" t="s">
        <v>2511</v>
      </c>
      <c r="M305" s="61" t="s">
        <v>2523</v>
      </c>
      <c r="N305" s="61" t="s">
        <v>2511</v>
      </c>
      <c r="O305" s="61" t="s">
        <v>2511</v>
      </c>
      <c r="P305" s="62" t="s">
        <v>2511</v>
      </c>
      <c r="Q305" s="82"/>
      <c r="R305" s="82"/>
      <c r="S305" s="82"/>
      <c r="T305" s="82"/>
      <c r="U305" s="82"/>
      <c r="V305" s="138" t="s">
        <v>3383</v>
      </c>
      <c r="W305" s="57" t="s">
        <v>3257</v>
      </c>
      <c r="X305" s="126" t="s">
        <v>2511</v>
      </c>
      <c r="Y305" s="126" t="s">
        <v>2511</v>
      </c>
      <c r="Z305" s="57"/>
      <c r="AA305" s="57" t="s">
        <v>3258</v>
      </c>
      <c r="AB305" s="57"/>
      <c r="AC305" s="138" t="s">
        <v>2631</v>
      </c>
      <c r="AD305" s="96"/>
      <c r="AE305" s="80"/>
      <c r="AF305" s="80"/>
      <c r="AG305" s="80"/>
      <c r="AH305" s="83"/>
      <c r="AI305" s="83"/>
      <c r="AJ305" s="84"/>
      <c r="AK305" s="84"/>
      <c r="AL305" s="84"/>
      <c r="AM305" s="84"/>
      <c r="AN305" s="84"/>
      <c r="AO305" s="84"/>
      <c r="AP305" s="84"/>
      <c r="AQ305" s="95" t="s">
        <v>1068</v>
      </c>
      <c r="AR305" s="72"/>
      <c r="AS305" s="72"/>
      <c r="AT305" s="72"/>
      <c r="AU305" s="72"/>
      <c r="AV305" s="72"/>
      <c r="AW305" s="72"/>
      <c r="AX305" s="72"/>
      <c r="AY305" s="72"/>
      <c r="AZ305" s="72"/>
      <c r="BA305" s="72"/>
      <c r="BB305" s="16"/>
      <c r="BC305" s="72"/>
      <c r="BD305" s="317" t="s">
        <v>1068</v>
      </c>
      <c r="BE305" s="260" t="s">
        <v>1068</v>
      </c>
    </row>
    <row r="306" spans="1:57" s="81" customFormat="1" ht="12.95" customHeight="1">
      <c r="A306" s="247" t="s">
        <v>5520</v>
      </c>
      <c r="B306" s="251">
        <v>82</v>
      </c>
      <c r="C306" s="267" t="s">
        <v>1069</v>
      </c>
      <c r="D306" s="239" t="s">
        <v>3384</v>
      </c>
      <c r="E306" s="58"/>
      <c r="F306" s="59" t="s">
        <v>2256</v>
      </c>
      <c r="G306" s="191" t="s">
        <v>2511</v>
      </c>
      <c r="H306" s="192" t="s">
        <v>1069</v>
      </c>
      <c r="I306" s="61" t="s">
        <v>2511</v>
      </c>
      <c r="J306" s="61" t="s">
        <v>2511</v>
      </c>
      <c r="K306" s="62" t="s">
        <v>2511</v>
      </c>
      <c r="L306" s="60" t="s">
        <v>2511</v>
      </c>
      <c r="M306" s="61" t="s">
        <v>2523</v>
      </c>
      <c r="N306" s="61" t="s">
        <v>2511</v>
      </c>
      <c r="O306" s="61" t="s">
        <v>2511</v>
      </c>
      <c r="P306" s="62" t="s">
        <v>2511</v>
      </c>
      <c r="Q306" s="82"/>
      <c r="R306" s="82"/>
      <c r="S306" s="82"/>
      <c r="T306" s="82"/>
      <c r="U306" s="82"/>
      <c r="V306" s="138" t="s">
        <v>3385</v>
      </c>
      <c r="W306" s="57" t="s">
        <v>3257</v>
      </c>
      <c r="X306" s="126" t="s">
        <v>2511</v>
      </c>
      <c r="Y306" s="126" t="s">
        <v>2511</v>
      </c>
      <c r="Z306" s="57"/>
      <c r="AA306" s="57" t="s">
        <v>3258</v>
      </c>
      <c r="AB306" s="57"/>
      <c r="AC306" s="138" t="s">
        <v>2631</v>
      </c>
      <c r="AD306" s="96"/>
      <c r="AE306" s="80"/>
      <c r="AF306" s="80"/>
      <c r="AG306" s="80"/>
      <c r="AH306" s="83"/>
      <c r="AI306" s="83"/>
      <c r="AJ306" s="84"/>
      <c r="AK306" s="84"/>
      <c r="AL306" s="84"/>
      <c r="AM306" s="84"/>
      <c r="AN306" s="84"/>
      <c r="AO306" s="84"/>
      <c r="AP306" s="84"/>
      <c r="AQ306" s="95" t="s">
        <v>1069</v>
      </c>
      <c r="AR306" s="72"/>
      <c r="AS306" s="72"/>
      <c r="AT306" s="72"/>
      <c r="AU306" s="72"/>
      <c r="AV306" s="72"/>
      <c r="AW306" s="72"/>
      <c r="AX306" s="72"/>
      <c r="AY306" s="72"/>
      <c r="AZ306" s="72"/>
      <c r="BA306" s="72"/>
      <c r="BB306" s="16"/>
      <c r="BC306" s="72"/>
      <c r="BD306" s="317" t="s">
        <v>1069</v>
      </c>
      <c r="BE306" s="260" t="s">
        <v>1069</v>
      </c>
    </row>
    <row r="307" spans="1:57" s="81" customFormat="1" ht="12.95" customHeight="1">
      <c r="A307" s="247" t="s">
        <v>5521</v>
      </c>
      <c r="B307" s="251">
        <v>84</v>
      </c>
      <c r="C307" s="267" t="s">
        <v>1070</v>
      </c>
      <c r="D307" s="239" t="s">
        <v>3386</v>
      </c>
      <c r="E307" s="58"/>
      <c r="F307" s="59" t="s">
        <v>2257</v>
      </c>
      <c r="G307" s="191" t="s">
        <v>2511</v>
      </c>
      <c r="H307" s="192" t="s">
        <v>1070</v>
      </c>
      <c r="I307" s="61" t="s">
        <v>2511</v>
      </c>
      <c r="J307" s="61" t="s">
        <v>2511</v>
      </c>
      <c r="K307" s="62" t="s">
        <v>2511</v>
      </c>
      <c r="L307" s="60" t="s">
        <v>2511</v>
      </c>
      <c r="M307" s="61" t="s">
        <v>2523</v>
      </c>
      <c r="N307" s="61" t="s">
        <v>2511</v>
      </c>
      <c r="O307" s="61" t="s">
        <v>2511</v>
      </c>
      <c r="P307" s="62" t="s">
        <v>2511</v>
      </c>
      <c r="Q307" s="82"/>
      <c r="R307" s="82"/>
      <c r="S307" s="82"/>
      <c r="T307" s="82"/>
      <c r="U307" s="82"/>
      <c r="V307" s="138" t="s">
        <v>3387</v>
      </c>
      <c r="W307" s="57" t="s">
        <v>3257</v>
      </c>
      <c r="X307" s="126" t="s">
        <v>2511</v>
      </c>
      <c r="Y307" s="126" t="s">
        <v>2511</v>
      </c>
      <c r="Z307" s="57"/>
      <c r="AA307" s="57" t="s">
        <v>3258</v>
      </c>
      <c r="AB307" s="57"/>
      <c r="AC307" s="138" t="s">
        <v>2631</v>
      </c>
      <c r="AD307" s="96"/>
      <c r="AE307" s="80"/>
      <c r="AF307" s="80"/>
      <c r="AG307" s="80"/>
      <c r="AH307" s="83"/>
      <c r="AI307" s="83"/>
      <c r="AJ307" s="84"/>
      <c r="AK307" s="84"/>
      <c r="AL307" s="84"/>
      <c r="AM307" s="84"/>
      <c r="AN307" s="84"/>
      <c r="AO307" s="84"/>
      <c r="AP307" s="84"/>
      <c r="AQ307" s="95" t="s">
        <v>1070</v>
      </c>
      <c r="AR307" s="72"/>
      <c r="AS307" s="72"/>
      <c r="AT307" s="72"/>
      <c r="AU307" s="72"/>
      <c r="AV307" s="72"/>
      <c r="AW307" s="72"/>
      <c r="AX307" s="72"/>
      <c r="AY307" s="72"/>
      <c r="AZ307" s="72"/>
      <c r="BA307" s="72"/>
      <c r="BB307" s="16"/>
      <c r="BC307" s="72"/>
      <c r="BD307" s="318" t="s">
        <v>1070</v>
      </c>
      <c r="BE307" s="260" t="s">
        <v>1070</v>
      </c>
    </row>
    <row r="308" spans="1:57" s="81" customFormat="1" ht="12.95" hidden="1" customHeight="1">
      <c r="A308" s="248" t="e">
        <v>#N/A</v>
      </c>
      <c r="B308" s="252" t="e">
        <v>#N/A</v>
      </c>
      <c r="C308" s="269" t="s">
        <v>1071</v>
      </c>
      <c r="D308" s="239" t="s">
        <v>3388</v>
      </c>
      <c r="E308" s="58"/>
      <c r="F308" s="59" t="s">
        <v>2258</v>
      </c>
      <c r="G308" s="191" t="s">
        <v>2511</v>
      </c>
      <c r="H308" s="192" t="s">
        <v>1071</v>
      </c>
      <c r="I308" s="61" t="s">
        <v>2511</v>
      </c>
      <c r="J308" s="61" t="s">
        <v>2511</v>
      </c>
      <c r="K308" s="62" t="s">
        <v>2511</v>
      </c>
      <c r="L308" s="60" t="s">
        <v>2511</v>
      </c>
      <c r="M308" s="61" t="s">
        <v>2523</v>
      </c>
      <c r="N308" s="61" t="s">
        <v>2511</v>
      </c>
      <c r="O308" s="61" t="s">
        <v>2511</v>
      </c>
      <c r="P308" s="62" t="s">
        <v>2511</v>
      </c>
      <c r="Q308" s="82"/>
      <c r="R308" s="82"/>
      <c r="S308" s="82"/>
      <c r="T308" s="82"/>
      <c r="U308" s="82"/>
      <c r="V308" s="138" t="s">
        <v>3389</v>
      </c>
      <c r="W308" s="57" t="s">
        <v>3257</v>
      </c>
      <c r="X308" s="126" t="s">
        <v>2511</v>
      </c>
      <c r="Y308" s="126" t="s">
        <v>2511</v>
      </c>
      <c r="Z308" s="57"/>
      <c r="AA308" s="57" t="s">
        <v>3258</v>
      </c>
      <c r="AB308" s="57"/>
      <c r="AC308" s="138" t="s">
        <v>2631</v>
      </c>
      <c r="AD308" s="96"/>
      <c r="AE308" s="80"/>
      <c r="AF308" s="80"/>
      <c r="AG308" s="80"/>
      <c r="AH308" s="83"/>
      <c r="AI308" s="83"/>
      <c r="AJ308" s="84"/>
      <c r="AK308" s="84"/>
      <c r="AL308" s="84"/>
      <c r="AM308" s="84"/>
      <c r="AN308" s="84"/>
      <c r="AO308" s="84"/>
      <c r="AP308" s="84"/>
      <c r="AQ308" s="95" t="s">
        <v>1071</v>
      </c>
      <c r="AR308" s="72"/>
      <c r="AS308" s="72"/>
      <c r="AT308" s="72"/>
      <c r="AU308" s="72"/>
      <c r="AV308" s="72"/>
      <c r="AW308" s="72"/>
      <c r="AX308" s="72"/>
      <c r="AY308" s="72"/>
      <c r="AZ308" s="72"/>
      <c r="BA308" s="72"/>
      <c r="BB308" s="16"/>
      <c r="BC308" s="22"/>
      <c r="BD308" s="147" t="s">
        <v>83</v>
      </c>
      <c r="BE308" s="147" t="s">
        <v>83</v>
      </c>
    </row>
    <row r="309" spans="1:57" s="81" customFormat="1" ht="12.95" hidden="1" customHeight="1">
      <c r="A309" s="248" t="e">
        <v>#N/A</v>
      </c>
      <c r="B309" s="252" t="e">
        <v>#N/A</v>
      </c>
      <c r="C309" s="269" t="s">
        <v>1072</v>
      </c>
      <c r="D309" s="239" t="s">
        <v>3390</v>
      </c>
      <c r="E309" s="58"/>
      <c r="F309" s="59" t="s">
        <v>2259</v>
      </c>
      <c r="G309" s="191" t="s">
        <v>2511</v>
      </c>
      <c r="H309" s="192" t="s">
        <v>1072</v>
      </c>
      <c r="I309" s="61" t="s">
        <v>2511</v>
      </c>
      <c r="J309" s="61" t="s">
        <v>2511</v>
      </c>
      <c r="K309" s="62" t="s">
        <v>2511</v>
      </c>
      <c r="L309" s="60" t="s">
        <v>2511</v>
      </c>
      <c r="M309" s="61" t="s">
        <v>2523</v>
      </c>
      <c r="N309" s="61" t="s">
        <v>2511</v>
      </c>
      <c r="O309" s="61" t="s">
        <v>2511</v>
      </c>
      <c r="P309" s="62" t="s">
        <v>2511</v>
      </c>
      <c r="Q309" s="82"/>
      <c r="R309" s="82"/>
      <c r="S309" s="82"/>
      <c r="T309" s="82"/>
      <c r="U309" s="82"/>
      <c r="V309" s="138" t="s">
        <v>3391</v>
      </c>
      <c r="W309" s="57" t="s">
        <v>3257</v>
      </c>
      <c r="X309" s="126" t="s">
        <v>2511</v>
      </c>
      <c r="Y309" s="126" t="s">
        <v>2511</v>
      </c>
      <c r="Z309" s="57"/>
      <c r="AA309" s="57" t="s">
        <v>3258</v>
      </c>
      <c r="AB309" s="57"/>
      <c r="AC309" s="138" t="s">
        <v>2631</v>
      </c>
      <c r="AD309" s="96"/>
      <c r="AE309" s="80"/>
      <c r="AF309" s="80"/>
      <c r="AG309" s="80"/>
      <c r="AH309" s="83"/>
      <c r="AI309" s="83"/>
      <c r="AJ309" s="84"/>
      <c r="AK309" s="84"/>
      <c r="AL309" s="84"/>
      <c r="AM309" s="84"/>
      <c r="AN309" s="84"/>
      <c r="AO309" s="84"/>
      <c r="AP309" s="84"/>
      <c r="AQ309" s="95" t="s">
        <v>1072</v>
      </c>
      <c r="AR309" s="72"/>
      <c r="AS309" s="72"/>
      <c r="AT309" s="72"/>
      <c r="AU309" s="72"/>
      <c r="AV309" s="72"/>
      <c r="AW309" s="72"/>
      <c r="AX309" s="72"/>
      <c r="AY309" s="72"/>
      <c r="AZ309" s="72"/>
      <c r="BA309" s="72"/>
      <c r="BB309" s="16"/>
      <c r="BC309" s="72"/>
      <c r="BD309" s="147" t="s">
        <v>83</v>
      </c>
      <c r="BE309" s="147" t="s">
        <v>83</v>
      </c>
    </row>
    <row r="310" spans="1:57" s="81" customFormat="1" ht="12.95" hidden="1" customHeight="1">
      <c r="A310" s="248" t="e">
        <v>#N/A</v>
      </c>
      <c r="B310" s="252" t="e">
        <v>#N/A</v>
      </c>
      <c r="C310" s="269" t="s">
        <v>1073</v>
      </c>
      <c r="D310" s="239" t="s">
        <v>3393</v>
      </c>
      <c r="E310" s="58"/>
      <c r="F310" s="59" t="s">
        <v>2260</v>
      </c>
      <c r="G310" s="191" t="s">
        <v>2511</v>
      </c>
      <c r="H310" s="192" t="s">
        <v>1073</v>
      </c>
      <c r="I310" s="61" t="s">
        <v>2511</v>
      </c>
      <c r="J310" s="61" t="s">
        <v>2511</v>
      </c>
      <c r="K310" s="62" t="s">
        <v>2511</v>
      </c>
      <c r="L310" s="60" t="s">
        <v>2511</v>
      </c>
      <c r="M310" s="61" t="s">
        <v>2523</v>
      </c>
      <c r="N310" s="61" t="s">
        <v>2511</v>
      </c>
      <c r="O310" s="61" t="s">
        <v>2511</v>
      </c>
      <c r="P310" s="62" t="s">
        <v>2511</v>
      </c>
      <c r="Q310" s="82"/>
      <c r="R310" s="82"/>
      <c r="S310" s="82"/>
      <c r="T310" s="82"/>
      <c r="U310" s="82"/>
      <c r="V310" s="138" t="s">
        <v>3394</v>
      </c>
      <c r="W310" s="57" t="s">
        <v>3257</v>
      </c>
      <c r="X310" s="126" t="s">
        <v>2511</v>
      </c>
      <c r="Y310" s="126" t="s">
        <v>2511</v>
      </c>
      <c r="Z310" s="57"/>
      <c r="AA310" s="57" t="s">
        <v>3258</v>
      </c>
      <c r="AB310" s="57"/>
      <c r="AC310" s="138" t="s">
        <v>2631</v>
      </c>
      <c r="AD310" s="96"/>
      <c r="AE310" s="80"/>
      <c r="AF310" s="80"/>
      <c r="AG310" s="80"/>
      <c r="AH310" s="83"/>
      <c r="AI310" s="83"/>
      <c r="AJ310" s="84"/>
      <c r="AK310" s="84"/>
      <c r="AL310" s="84"/>
      <c r="AM310" s="84"/>
      <c r="AN310" s="84"/>
      <c r="AO310" s="84"/>
      <c r="AP310" s="84"/>
      <c r="AQ310" s="95" t="s">
        <v>1073</v>
      </c>
      <c r="AR310" s="72"/>
      <c r="AS310" s="72"/>
      <c r="AT310" s="72"/>
      <c r="AU310" s="72"/>
      <c r="AV310" s="72"/>
      <c r="AW310" s="72"/>
      <c r="AX310" s="72"/>
      <c r="AY310" s="72"/>
      <c r="AZ310" s="72"/>
      <c r="BA310" s="72"/>
      <c r="BB310" s="16"/>
      <c r="BC310" s="72"/>
      <c r="BD310" s="147" t="s">
        <v>83</v>
      </c>
      <c r="BE310" s="147" t="s">
        <v>83</v>
      </c>
    </row>
    <row r="311" spans="1:57" s="81" customFormat="1" ht="12.95" hidden="1" customHeight="1">
      <c r="A311" s="248" t="e">
        <v>#N/A</v>
      </c>
      <c r="B311" s="252" t="e">
        <v>#N/A</v>
      </c>
      <c r="C311" s="269" t="s">
        <v>1074</v>
      </c>
      <c r="D311" s="239" t="s">
        <v>3396</v>
      </c>
      <c r="E311" s="58"/>
      <c r="F311" s="59" t="s">
        <v>2261</v>
      </c>
      <c r="G311" s="191" t="s">
        <v>2511</v>
      </c>
      <c r="H311" s="192" t="s">
        <v>1074</v>
      </c>
      <c r="I311" s="61" t="s">
        <v>2511</v>
      </c>
      <c r="J311" s="61" t="s">
        <v>2511</v>
      </c>
      <c r="K311" s="62" t="s">
        <v>2511</v>
      </c>
      <c r="L311" s="60" t="s">
        <v>2511</v>
      </c>
      <c r="M311" s="61" t="s">
        <v>2523</v>
      </c>
      <c r="N311" s="61" t="s">
        <v>2511</v>
      </c>
      <c r="O311" s="61" t="s">
        <v>2511</v>
      </c>
      <c r="P311" s="62" t="s">
        <v>2511</v>
      </c>
      <c r="Q311" s="82"/>
      <c r="R311" s="82"/>
      <c r="S311" s="82"/>
      <c r="T311" s="82"/>
      <c r="U311" s="82"/>
      <c r="V311" s="138" t="s">
        <v>3397</v>
      </c>
      <c r="W311" s="57" t="s">
        <v>3257</v>
      </c>
      <c r="X311" s="126" t="s">
        <v>2511</v>
      </c>
      <c r="Y311" s="126" t="s">
        <v>2511</v>
      </c>
      <c r="Z311" s="57"/>
      <c r="AA311" s="57" t="s">
        <v>3258</v>
      </c>
      <c r="AB311" s="57"/>
      <c r="AC311" s="138" t="s">
        <v>2631</v>
      </c>
      <c r="AD311" s="96"/>
      <c r="AE311" s="80"/>
      <c r="AF311" s="80"/>
      <c r="AG311" s="80"/>
      <c r="AH311" s="83"/>
      <c r="AI311" s="83"/>
      <c r="AJ311" s="84"/>
      <c r="AK311" s="84"/>
      <c r="AL311" s="84"/>
      <c r="AM311" s="84"/>
      <c r="AN311" s="84"/>
      <c r="AO311" s="84"/>
      <c r="AP311" s="84"/>
      <c r="AQ311" s="95" t="s">
        <v>1074</v>
      </c>
      <c r="AR311" s="72"/>
      <c r="AS311" s="72"/>
      <c r="AT311" s="72"/>
      <c r="AU311" s="72"/>
      <c r="AV311" s="72"/>
      <c r="AW311" s="72"/>
      <c r="AX311" s="72"/>
      <c r="AY311" s="72"/>
      <c r="AZ311" s="72"/>
      <c r="BA311" s="72"/>
      <c r="BB311" s="16"/>
      <c r="BC311" s="72"/>
      <c r="BD311" s="147" t="s">
        <v>83</v>
      </c>
      <c r="BE311" s="147" t="s">
        <v>83</v>
      </c>
    </row>
    <row r="312" spans="1:57" s="81" customFormat="1" ht="12.95" hidden="1" customHeight="1">
      <c r="A312" s="248" t="e">
        <v>#N/A</v>
      </c>
      <c r="B312" s="252" t="e">
        <v>#N/A</v>
      </c>
      <c r="C312" s="269" t="s">
        <v>1075</v>
      </c>
      <c r="D312" s="239" t="s">
        <v>3398</v>
      </c>
      <c r="E312" s="58"/>
      <c r="F312" s="59" t="s">
        <v>2328</v>
      </c>
      <c r="G312" s="191" t="s">
        <v>2511</v>
      </c>
      <c r="H312" s="192" t="s">
        <v>1075</v>
      </c>
      <c r="I312" s="61" t="s">
        <v>2511</v>
      </c>
      <c r="J312" s="61" t="s">
        <v>2511</v>
      </c>
      <c r="K312" s="62" t="s">
        <v>2511</v>
      </c>
      <c r="L312" s="60" t="s">
        <v>2511</v>
      </c>
      <c r="M312" s="61" t="s">
        <v>2523</v>
      </c>
      <c r="N312" s="61" t="s">
        <v>2511</v>
      </c>
      <c r="O312" s="61" t="s">
        <v>2511</v>
      </c>
      <c r="P312" s="62" t="s">
        <v>2511</v>
      </c>
      <c r="Q312" s="82"/>
      <c r="R312" s="82"/>
      <c r="S312" s="82"/>
      <c r="T312" s="82"/>
      <c r="U312" s="82"/>
      <c r="V312" s="138" t="s">
        <v>3399</v>
      </c>
      <c r="W312" s="57" t="s">
        <v>3257</v>
      </c>
      <c r="X312" s="126" t="s">
        <v>2511</v>
      </c>
      <c r="Y312" s="126" t="s">
        <v>2511</v>
      </c>
      <c r="Z312" s="57"/>
      <c r="AA312" s="57" t="s">
        <v>3258</v>
      </c>
      <c r="AB312" s="57"/>
      <c r="AC312" s="138" t="s">
        <v>2631</v>
      </c>
      <c r="AD312" s="96"/>
      <c r="AE312" s="80"/>
      <c r="AF312" s="80"/>
      <c r="AG312" s="80"/>
      <c r="AH312" s="83"/>
      <c r="AI312" s="83"/>
      <c r="AJ312" s="84"/>
      <c r="AK312" s="84"/>
      <c r="AL312" s="84"/>
      <c r="AM312" s="84"/>
      <c r="AN312" s="84"/>
      <c r="AO312" s="84"/>
      <c r="AP312" s="84"/>
      <c r="AQ312" s="95" t="s">
        <v>1075</v>
      </c>
      <c r="AR312" s="72"/>
      <c r="AS312" s="72"/>
      <c r="AT312" s="72"/>
      <c r="AU312" s="72"/>
      <c r="AV312" s="72"/>
      <c r="AW312" s="72"/>
      <c r="AX312" s="72"/>
      <c r="AY312" s="72"/>
      <c r="AZ312" s="72"/>
      <c r="BA312" s="72"/>
      <c r="BB312" s="16"/>
      <c r="BC312" s="72"/>
      <c r="BD312" s="147" t="s">
        <v>83</v>
      </c>
      <c r="BE312" s="147" t="s">
        <v>83</v>
      </c>
    </row>
    <row r="313" spans="1:57" s="81" customFormat="1" ht="12.95" hidden="1" customHeight="1">
      <c r="A313" s="248" t="e">
        <v>#N/A</v>
      </c>
      <c r="B313" s="252" t="e">
        <v>#N/A</v>
      </c>
      <c r="C313" s="269" t="s">
        <v>1076</v>
      </c>
      <c r="D313" s="239" t="s">
        <v>3401</v>
      </c>
      <c r="E313" s="58"/>
      <c r="F313" s="59" t="s">
        <v>2329</v>
      </c>
      <c r="G313" s="191" t="s">
        <v>2511</v>
      </c>
      <c r="H313" s="192" t="s">
        <v>1076</v>
      </c>
      <c r="I313" s="61" t="s">
        <v>2511</v>
      </c>
      <c r="J313" s="61" t="s">
        <v>2511</v>
      </c>
      <c r="K313" s="62" t="s">
        <v>2511</v>
      </c>
      <c r="L313" s="60" t="s">
        <v>2511</v>
      </c>
      <c r="M313" s="61" t="s">
        <v>2523</v>
      </c>
      <c r="N313" s="61" t="s">
        <v>2511</v>
      </c>
      <c r="O313" s="61" t="s">
        <v>2511</v>
      </c>
      <c r="P313" s="62" t="s">
        <v>2511</v>
      </c>
      <c r="Q313" s="82"/>
      <c r="R313" s="82"/>
      <c r="S313" s="82"/>
      <c r="T313" s="82"/>
      <c r="U313" s="82"/>
      <c r="V313" s="138" t="s">
        <v>3402</v>
      </c>
      <c r="W313" s="57" t="s">
        <v>3257</v>
      </c>
      <c r="X313" s="126" t="s">
        <v>2511</v>
      </c>
      <c r="Y313" s="126" t="s">
        <v>2511</v>
      </c>
      <c r="Z313" s="57"/>
      <c r="AA313" s="57" t="s">
        <v>3258</v>
      </c>
      <c r="AB313" s="57"/>
      <c r="AC313" s="138" t="s">
        <v>2631</v>
      </c>
      <c r="AD313" s="96"/>
      <c r="AE313" s="80"/>
      <c r="AF313" s="80"/>
      <c r="AG313" s="80"/>
      <c r="AH313" s="83"/>
      <c r="AI313" s="83"/>
      <c r="AJ313" s="84"/>
      <c r="AK313" s="84"/>
      <c r="AL313" s="84"/>
      <c r="AM313" s="84"/>
      <c r="AN313" s="84"/>
      <c r="AO313" s="84"/>
      <c r="AP313" s="84"/>
      <c r="AQ313" s="95" t="s">
        <v>1076</v>
      </c>
      <c r="AR313" s="72"/>
      <c r="AS313" s="72"/>
      <c r="AT313" s="72"/>
      <c r="AU313" s="72"/>
      <c r="AV313" s="72"/>
      <c r="AW313" s="72"/>
      <c r="AX313" s="72"/>
      <c r="AY313" s="72"/>
      <c r="AZ313" s="72"/>
      <c r="BA313" s="72"/>
      <c r="BB313" s="16"/>
      <c r="BC313" s="72"/>
      <c r="BD313" s="147" t="s">
        <v>83</v>
      </c>
      <c r="BE313" s="147" t="s">
        <v>83</v>
      </c>
    </row>
    <row r="314" spans="1:57" s="91" customFormat="1" ht="18" customHeight="1">
      <c r="A314" s="353"/>
      <c r="B314" s="354"/>
      <c r="C314" s="268" t="s">
        <v>748</v>
      </c>
      <c r="D314" s="268"/>
      <c r="E314" s="86"/>
      <c r="F314" s="86"/>
      <c r="G314" s="87"/>
      <c r="H314" s="87"/>
      <c r="I314" s="87"/>
      <c r="J314" s="87"/>
      <c r="K314" s="87"/>
      <c r="L314" s="86"/>
      <c r="M314" s="86"/>
      <c r="N314" s="86"/>
      <c r="O314" s="86"/>
      <c r="P314" s="86"/>
      <c r="Q314" s="86"/>
      <c r="R314" s="86"/>
      <c r="S314" s="86"/>
      <c r="T314" s="86"/>
      <c r="U314" s="86"/>
      <c r="V314" s="86"/>
      <c r="W314" s="86"/>
      <c r="X314" s="129"/>
      <c r="Y314" s="129"/>
      <c r="Z314" s="88"/>
      <c r="AA314" s="88"/>
      <c r="AB314" s="88"/>
      <c r="AC314" s="88"/>
      <c r="AD314" s="88"/>
      <c r="AE314" s="88"/>
      <c r="AF314" s="88"/>
      <c r="AG314" s="88"/>
      <c r="AH314" s="88"/>
      <c r="AI314" s="88"/>
      <c r="AJ314" s="88"/>
      <c r="AK314" s="88"/>
      <c r="AL314" s="88"/>
      <c r="AM314" s="88"/>
      <c r="AN314" s="88"/>
      <c r="AO314" s="88"/>
      <c r="AP314" s="88"/>
      <c r="AQ314" s="89"/>
      <c r="AR314" s="100"/>
      <c r="AS314" s="101"/>
      <c r="AT314" s="101"/>
      <c r="AU314" s="101"/>
      <c r="AV314" s="101"/>
      <c r="AW314" s="101"/>
      <c r="AX314" s="101"/>
      <c r="AY314" s="101"/>
      <c r="AZ314" s="101"/>
      <c r="BA314" s="101"/>
      <c r="BB314" s="101"/>
      <c r="BC314" s="175" t="s">
        <v>956</v>
      </c>
      <c r="BD314" s="101"/>
      <c r="BE314" s="100" t="s">
        <v>748</v>
      </c>
    </row>
    <row r="315" spans="1:57" s="81" customFormat="1" ht="12.95" customHeight="1">
      <c r="A315" s="247" t="s">
        <v>5431</v>
      </c>
      <c r="B315" s="251">
        <v>41</v>
      </c>
      <c r="C315" s="267" t="s">
        <v>749</v>
      </c>
      <c r="D315" s="239" t="s">
        <v>3361</v>
      </c>
      <c r="E315" s="58"/>
      <c r="F315" s="59" t="s">
        <v>809</v>
      </c>
      <c r="G315" s="191" t="s">
        <v>2511</v>
      </c>
      <c r="H315" s="192" t="s">
        <v>749</v>
      </c>
      <c r="I315" s="61" t="s">
        <v>2511</v>
      </c>
      <c r="J315" s="61" t="s">
        <v>2511</v>
      </c>
      <c r="K315" s="62" t="s">
        <v>2511</v>
      </c>
      <c r="L315" s="60" t="s">
        <v>2511</v>
      </c>
      <c r="M315" s="61" t="s">
        <v>2388</v>
      </c>
      <c r="N315" s="61" t="s">
        <v>2511</v>
      </c>
      <c r="O315" s="61" t="s">
        <v>2511</v>
      </c>
      <c r="P315" s="62" t="s">
        <v>2511</v>
      </c>
      <c r="Q315" s="82"/>
      <c r="R315" s="82"/>
      <c r="S315" s="82"/>
      <c r="T315" s="82"/>
      <c r="U315" s="82"/>
      <c r="V315" s="138" t="s">
        <v>3403</v>
      </c>
      <c r="W315" s="57" t="s">
        <v>3404</v>
      </c>
      <c r="X315" s="126" t="s">
        <v>2511</v>
      </c>
      <c r="Y315" s="126" t="s">
        <v>2511</v>
      </c>
      <c r="Z315" s="57"/>
      <c r="AA315" s="57" t="s">
        <v>3405</v>
      </c>
      <c r="AB315" s="137"/>
      <c r="AC315" s="137" t="s">
        <v>2631</v>
      </c>
      <c r="AD315" s="92"/>
      <c r="AE315" s="93"/>
      <c r="AF315" s="93"/>
      <c r="AG315" s="93"/>
      <c r="AH315" s="94"/>
      <c r="AI315" s="83"/>
      <c r="AJ315" s="84"/>
      <c r="AK315" s="84"/>
      <c r="AL315" s="84"/>
      <c r="AM315" s="84"/>
      <c r="AN315" s="84"/>
      <c r="AO315" s="84"/>
      <c r="AP315" s="84"/>
      <c r="AQ315" s="95" t="s">
        <v>749</v>
      </c>
      <c r="AR315" s="72"/>
      <c r="AS315" s="72"/>
      <c r="AT315" s="72"/>
      <c r="AU315" s="72"/>
      <c r="AV315" s="72"/>
      <c r="AW315" s="72"/>
      <c r="AX315" s="72"/>
      <c r="AY315" s="72"/>
      <c r="AZ315" s="72"/>
      <c r="BA315" s="72"/>
      <c r="BB315" s="16"/>
      <c r="BC315" s="22"/>
      <c r="BD315" s="317" t="s">
        <v>5653</v>
      </c>
      <c r="BE315" s="333" t="s">
        <v>5669</v>
      </c>
    </row>
    <row r="316" spans="1:57" s="81" customFormat="1" ht="12.95" customHeight="1">
      <c r="A316" s="247" t="s">
        <v>5430</v>
      </c>
      <c r="B316" s="251">
        <v>39</v>
      </c>
      <c r="C316" s="267" t="s">
        <v>750</v>
      </c>
      <c r="D316" s="239" t="s">
        <v>3406</v>
      </c>
      <c r="E316" s="58"/>
      <c r="F316" s="59" t="s">
        <v>810</v>
      </c>
      <c r="G316" s="191" t="s">
        <v>2511</v>
      </c>
      <c r="H316" s="192" t="s">
        <v>750</v>
      </c>
      <c r="I316" s="61" t="s">
        <v>2511</v>
      </c>
      <c r="J316" s="61" t="s">
        <v>2511</v>
      </c>
      <c r="K316" s="62" t="s">
        <v>2511</v>
      </c>
      <c r="L316" s="60" t="s">
        <v>2511</v>
      </c>
      <c r="M316" s="61" t="s">
        <v>2388</v>
      </c>
      <c r="N316" s="61" t="s">
        <v>2511</v>
      </c>
      <c r="O316" s="61" t="s">
        <v>2511</v>
      </c>
      <c r="P316" s="62" t="s">
        <v>2511</v>
      </c>
      <c r="Q316" s="82"/>
      <c r="R316" s="82"/>
      <c r="S316" s="82"/>
      <c r="T316" s="82"/>
      <c r="U316" s="82"/>
      <c r="V316" s="138" t="s">
        <v>3407</v>
      </c>
      <c r="W316" s="57" t="s">
        <v>3404</v>
      </c>
      <c r="X316" s="126" t="s">
        <v>2511</v>
      </c>
      <c r="Y316" s="126" t="s">
        <v>2511</v>
      </c>
      <c r="Z316" s="57"/>
      <c r="AA316" s="57" t="s">
        <v>3405</v>
      </c>
      <c r="AB316" s="138"/>
      <c r="AC316" s="138" t="s">
        <v>2631</v>
      </c>
      <c r="AD316" s="96"/>
      <c r="AE316" s="80"/>
      <c r="AF316" s="80"/>
      <c r="AG316" s="80"/>
      <c r="AH316" s="83"/>
      <c r="AI316" s="83"/>
      <c r="AJ316" s="84"/>
      <c r="AK316" s="84"/>
      <c r="AL316" s="84"/>
      <c r="AM316" s="84"/>
      <c r="AN316" s="84"/>
      <c r="AO316" s="84"/>
      <c r="AP316" s="84"/>
      <c r="AQ316" s="95" t="s">
        <v>750</v>
      </c>
      <c r="AR316" s="72"/>
      <c r="AS316" s="72"/>
      <c r="AT316" s="72"/>
      <c r="AU316" s="72"/>
      <c r="AV316" s="72"/>
      <c r="AW316" s="72"/>
      <c r="AX316" s="72"/>
      <c r="AY316" s="72"/>
      <c r="AZ316" s="72"/>
      <c r="BA316" s="72"/>
      <c r="BB316" s="16"/>
      <c r="BC316" s="72"/>
      <c r="BD316" s="317" t="s">
        <v>5654</v>
      </c>
      <c r="BE316" s="334"/>
    </row>
    <row r="317" spans="1:57" s="81" customFormat="1" ht="12.95" customHeight="1">
      <c r="A317" s="247" t="s">
        <v>5433</v>
      </c>
      <c r="B317" s="251">
        <v>47</v>
      </c>
      <c r="C317" s="267" t="s">
        <v>751</v>
      </c>
      <c r="D317" s="239" t="s">
        <v>3364</v>
      </c>
      <c r="E317" s="58"/>
      <c r="F317" s="59" t="s">
        <v>811</v>
      </c>
      <c r="G317" s="191" t="s">
        <v>2511</v>
      </c>
      <c r="H317" s="192" t="s">
        <v>751</v>
      </c>
      <c r="I317" s="61" t="s">
        <v>2511</v>
      </c>
      <c r="J317" s="61" t="s">
        <v>2511</v>
      </c>
      <c r="K317" s="62" t="s">
        <v>2511</v>
      </c>
      <c r="L317" s="60" t="s">
        <v>2511</v>
      </c>
      <c r="M317" s="61" t="s">
        <v>2388</v>
      </c>
      <c r="N317" s="61" t="s">
        <v>2511</v>
      </c>
      <c r="O317" s="61" t="s">
        <v>2511</v>
      </c>
      <c r="P317" s="62" t="s">
        <v>2511</v>
      </c>
      <c r="Q317" s="82"/>
      <c r="R317" s="82"/>
      <c r="S317" s="82"/>
      <c r="T317" s="82"/>
      <c r="U317" s="82"/>
      <c r="V317" s="138" t="s">
        <v>3408</v>
      </c>
      <c r="W317" s="57" t="s">
        <v>3404</v>
      </c>
      <c r="X317" s="126" t="s">
        <v>2511</v>
      </c>
      <c r="Y317" s="126" t="s">
        <v>2511</v>
      </c>
      <c r="Z317" s="57"/>
      <c r="AA317" s="57" t="s">
        <v>3405</v>
      </c>
      <c r="AB317" s="138"/>
      <c r="AC317" s="138" t="s">
        <v>2631</v>
      </c>
      <c r="AD317" s="96"/>
      <c r="AE317" s="80"/>
      <c r="AF317" s="80"/>
      <c r="AG317" s="80"/>
      <c r="AH317" s="83"/>
      <c r="AI317" s="83"/>
      <c r="AJ317" s="84"/>
      <c r="AK317" s="84"/>
      <c r="AL317" s="84"/>
      <c r="AM317" s="84"/>
      <c r="AN317" s="84"/>
      <c r="AO317" s="84"/>
      <c r="AP317" s="84"/>
      <c r="AQ317" s="95" t="s">
        <v>751</v>
      </c>
      <c r="AR317" s="72"/>
      <c r="AS317" s="72"/>
      <c r="AT317" s="72"/>
      <c r="AU317" s="72"/>
      <c r="AV317" s="72"/>
      <c r="AW317" s="72"/>
      <c r="AX317" s="72"/>
      <c r="AY317" s="72"/>
      <c r="AZ317" s="72"/>
      <c r="BA317" s="72"/>
      <c r="BB317" s="16"/>
      <c r="BC317" s="72"/>
      <c r="BD317" s="317" t="s">
        <v>5655</v>
      </c>
      <c r="BE317" s="334"/>
    </row>
    <row r="318" spans="1:57" s="81" customFormat="1" ht="12.95" customHeight="1">
      <c r="A318" s="247" t="s">
        <v>5432</v>
      </c>
      <c r="B318" s="251">
        <v>45</v>
      </c>
      <c r="C318" s="267" t="s">
        <v>752</v>
      </c>
      <c r="D318" s="239" t="s">
        <v>3409</v>
      </c>
      <c r="E318" s="58"/>
      <c r="F318" s="59" t="s">
        <v>812</v>
      </c>
      <c r="G318" s="191" t="s">
        <v>2511</v>
      </c>
      <c r="H318" s="192" t="s">
        <v>752</v>
      </c>
      <c r="I318" s="61" t="s">
        <v>2511</v>
      </c>
      <c r="J318" s="61" t="s">
        <v>2511</v>
      </c>
      <c r="K318" s="62" t="s">
        <v>2511</v>
      </c>
      <c r="L318" s="60" t="s">
        <v>2511</v>
      </c>
      <c r="M318" s="61" t="s">
        <v>2388</v>
      </c>
      <c r="N318" s="61" t="s">
        <v>2511</v>
      </c>
      <c r="O318" s="61" t="s">
        <v>2511</v>
      </c>
      <c r="P318" s="62" t="s">
        <v>2511</v>
      </c>
      <c r="Q318" s="82"/>
      <c r="R318" s="82"/>
      <c r="S318" s="82"/>
      <c r="T318" s="82"/>
      <c r="U318" s="82"/>
      <c r="V318" s="138" t="s">
        <v>3410</v>
      </c>
      <c r="W318" s="57" t="s">
        <v>3404</v>
      </c>
      <c r="X318" s="126" t="s">
        <v>2511</v>
      </c>
      <c r="Y318" s="126" t="s">
        <v>2511</v>
      </c>
      <c r="Z318" s="57"/>
      <c r="AA318" s="57" t="s">
        <v>3405</v>
      </c>
      <c r="AB318" s="138"/>
      <c r="AC318" s="138" t="s">
        <v>2631</v>
      </c>
      <c r="AD318" s="96"/>
      <c r="AE318" s="80"/>
      <c r="AF318" s="80"/>
      <c r="AG318" s="80"/>
      <c r="AH318" s="83"/>
      <c r="AI318" s="83"/>
      <c r="AJ318" s="84"/>
      <c r="AK318" s="84"/>
      <c r="AL318" s="84"/>
      <c r="AM318" s="84"/>
      <c r="AN318" s="84"/>
      <c r="AO318" s="84"/>
      <c r="AP318" s="84"/>
      <c r="AQ318" s="95" t="s">
        <v>752</v>
      </c>
      <c r="AR318" s="72"/>
      <c r="AS318" s="72"/>
      <c r="AT318" s="72"/>
      <c r="AU318" s="72"/>
      <c r="AV318" s="72"/>
      <c r="AW318" s="72"/>
      <c r="AX318" s="72"/>
      <c r="AY318" s="72"/>
      <c r="AZ318" s="72"/>
      <c r="BA318" s="72"/>
      <c r="BB318" s="16"/>
      <c r="BC318" s="72"/>
      <c r="BD318" s="317" t="s">
        <v>5656</v>
      </c>
      <c r="BE318" s="334"/>
    </row>
    <row r="319" spans="1:57" s="81" customFormat="1" ht="12.95" customHeight="1">
      <c r="A319" s="247" t="s">
        <v>5435</v>
      </c>
      <c r="B319" s="251">
        <v>53</v>
      </c>
      <c r="C319" s="267" t="s">
        <v>753</v>
      </c>
      <c r="D319" s="239" t="s">
        <v>3316</v>
      </c>
      <c r="E319" s="58"/>
      <c r="F319" s="59" t="s">
        <v>813</v>
      </c>
      <c r="G319" s="191" t="s">
        <v>2511</v>
      </c>
      <c r="H319" s="192" t="s">
        <v>753</v>
      </c>
      <c r="I319" s="61" t="s">
        <v>2511</v>
      </c>
      <c r="J319" s="61" t="s">
        <v>2511</v>
      </c>
      <c r="K319" s="62" t="s">
        <v>2511</v>
      </c>
      <c r="L319" s="60" t="s">
        <v>2511</v>
      </c>
      <c r="M319" s="61" t="s">
        <v>2388</v>
      </c>
      <c r="N319" s="61" t="s">
        <v>2511</v>
      </c>
      <c r="O319" s="61" t="s">
        <v>2511</v>
      </c>
      <c r="P319" s="62" t="s">
        <v>2511</v>
      </c>
      <c r="Q319" s="82"/>
      <c r="R319" s="82"/>
      <c r="S319" s="82"/>
      <c r="T319" s="82"/>
      <c r="U319" s="82"/>
      <c r="V319" s="138" t="s">
        <v>3411</v>
      </c>
      <c r="W319" s="57" t="s">
        <v>3404</v>
      </c>
      <c r="X319" s="126" t="s">
        <v>2511</v>
      </c>
      <c r="Y319" s="126" t="s">
        <v>2511</v>
      </c>
      <c r="Z319" s="57"/>
      <c r="AA319" s="57" t="s">
        <v>3405</v>
      </c>
      <c r="AB319" s="138"/>
      <c r="AC319" s="138" t="s">
        <v>2631</v>
      </c>
      <c r="AD319" s="96"/>
      <c r="AE319" s="80"/>
      <c r="AF319" s="80"/>
      <c r="AG319" s="80"/>
      <c r="AH319" s="83"/>
      <c r="AI319" s="83"/>
      <c r="AJ319" s="84"/>
      <c r="AK319" s="84"/>
      <c r="AL319" s="84"/>
      <c r="AM319" s="84"/>
      <c r="AN319" s="84"/>
      <c r="AO319" s="84"/>
      <c r="AP319" s="84"/>
      <c r="AQ319" s="95" t="s">
        <v>753</v>
      </c>
      <c r="AR319" s="72"/>
      <c r="AS319" s="72"/>
      <c r="AT319" s="72"/>
      <c r="AU319" s="72"/>
      <c r="AV319" s="72"/>
      <c r="AW319" s="72"/>
      <c r="AX319" s="72"/>
      <c r="AY319" s="72"/>
      <c r="AZ319" s="72"/>
      <c r="BA319" s="72"/>
      <c r="BB319" s="16"/>
      <c r="BC319" s="72"/>
      <c r="BD319" s="317" t="s">
        <v>5657</v>
      </c>
      <c r="BE319" s="334"/>
    </row>
    <row r="320" spans="1:57" s="81" customFormat="1" ht="12.95" customHeight="1">
      <c r="A320" s="247" t="s">
        <v>5434</v>
      </c>
      <c r="B320" s="251">
        <v>51</v>
      </c>
      <c r="C320" s="267" t="s">
        <v>754</v>
      </c>
      <c r="D320" s="239" t="s">
        <v>3367</v>
      </c>
      <c r="E320" s="58"/>
      <c r="F320" s="59" t="s">
        <v>814</v>
      </c>
      <c r="G320" s="191" t="s">
        <v>2511</v>
      </c>
      <c r="H320" s="192" t="s">
        <v>754</v>
      </c>
      <c r="I320" s="61" t="s">
        <v>2511</v>
      </c>
      <c r="J320" s="61" t="s">
        <v>2511</v>
      </c>
      <c r="K320" s="62" t="s">
        <v>2511</v>
      </c>
      <c r="L320" s="60" t="s">
        <v>2511</v>
      </c>
      <c r="M320" s="61" t="s">
        <v>2388</v>
      </c>
      <c r="N320" s="61" t="s">
        <v>2511</v>
      </c>
      <c r="O320" s="61" t="s">
        <v>2511</v>
      </c>
      <c r="P320" s="62" t="s">
        <v>2511</v>
      </c>
      <c r="Q320" s="82"/>
      <c r="R320" s="82"/>
      <c r="S320" s="82"/>
      <c r="T320" s="82"/>
      <c r="U320" s="82"/>
      <c r="V320" s="138" t="s">
        <v>3412</v>
      </c>
      <c r="W320" s="57" t="s">
        <v>3404</v>
      </c>
      <c r="X320" s="126" t="s">
        <v>2511</v>
      </c>
      <c r="Y320" s="126" t="s">
        <v>2511</v>
      </c>
      <c r="Z320" s="57"/>
      <c r="AA320" s="57" t="s">
        <v>3405</v>
      </c>
      <c r="AB320" s="138"/>
      <c r="AC320" s="138" t="s">
        <v>2631</v>
      </c>
      <c r="AD320" s="96"/>
      <c r="AE320" s="80"/>
      <c r="AF320" s="80"/>
      <c r="AG320" s="80"/>
      <c r="AH320" s="83"/>
      <c r="AI320" s="83"/>
      <c r="AJ320" s="84"/>
      <c r="AK320" s="84"/>
      <c r="AL320" s="84"/>
      <c r="AM320" s="84"/>
      <c r="AN320" s="84"/>
      <c r="AO320" s="84"/>
      <c r="AP320" s="84"/>
      <c r="AQ320" s="95" t="s">
        <v>754</v>
      </c>
      <c r="AR320" s="72"/>
      <c r="AS320" s="72"/>
      <c r="AT320" s="72"/>
      <c r="AU320" s="72"/>
      <c r="AV320" s="72"/>
      <c r="AW320" s="72"/>
      <c r="AX320" s="72"/>
      <c r="AY320" s="72"/>
      <c r="AZ320" s="72"/>
      <c r="BA320" s="72"/>
      <c r="BB320" s="16"/>
      <c r="BC320" s="72"/>
      <c r="BD320" s="317" t="s">
        <v>5658</v>
      </c>
      <c r="BE320" s="334"/>
    </row>
    <row r="321" spans="1:57" s="81" customFormat="1" ht="12.95" customHeight="1">
      <c r="A321" s="247" t="s">
        <v>5437</v>
      </c>
      <c r="B321" s="251">
        <v>59</v>
      </c>
      <c r="C321" s="267" t="s">
        <v>755</v>
      </c>
      <c r="D321" s="239" t="s">
        <v>3309</v>
      </c>
      <c r="E321" s="58"/>
      <c r="F321" s="59" t="s">
        <v>815</v>
      </c>
      <c r="G321" s="191" t="s">
        <v>2511</v>
      </c>
      <c r="H321" s="192" t="s">
        <v>755</v>
      </c>
      <c r="I321" s="61" t="s">
        <v>2511</v>
      </c>
      <c r="J321" s="61" t="s">
        <v>2511</v>
      </c>
      <c r="K321" s="62" t="s">
        <v>2511</v>
      </c>
      <c r="L321" s="60" t="s">
        <v>2511</v>
      </c>
      <c r="M321" s="61" t="s">
        <v>2388</v>
      </c>
      <c r="N321" s="61" t="s">
        <v>2511</v>
      </c>
      <c r="O321" s="61" t="s">
        <v>2511</v>
      </c>
      <c r="P321" s="62" t="s">
        <v>2511</v>
      </c>
      <c r="Q321" s="82"/>
      <c r="R321" s="82"/>
      <c r="S321" s="82"/>
      <c r="T321" s="82"/>
      <c r="U321" s="82"/>
      <c r="V321" s="138" t="s">
        <v>3413</v>
      </c>
      <c r="W321" s="57" t="s">
        <v>3404</v>
      </c>
      <c r="X321" s="126" t="s">
        <v>2511</v>
      </c>
      <c r="Y321" s="126" t="s">
        <v>2511</v>
      </c>
      <c r="Z321" s="57"/>
      <c r="AA321" s="57" t="s">
        <v>3405</v>
      </c>
      <c r="AB321" s="138"/>
      <c r="AC321" s="138" t="s">
        <v>2631</v>
      </c>
      <c r="AD321" s="96"/>
      <c r="AE321" s="80"/>
      <c r="AF321" s="80"/>
      <c r="AG321" s="80"/>
      <c r="AH321" s="83"/>
      <c r="AI321" s="83"/>
      <c r="AJ321" s="84"/>
      <c r="AK321" s="84"/>
      <c r="AL321" s="84"/>
      <c r="AM321" s="84"/>
      <c r="AN321" s="84"/>
      <c r="AO321" s="84"/>
      <c r="AP321" s="84"/>
      <c r="AQ321" s="95" t="s">
        <v>755</v>
      </c>
      <c r="AR321" s="72"/>
      <c r="AS321" s="72"/>
      <c r="AT321" s="72"/>
      <c r="AU321" s="72"/>
      <c r="AV321" s="72"/>
      <c r="AW321" s="72"/>
      <c r="AX321" s="72"/>
      <c r="AY321" s="72"/>
      <c r="AZ321" s="72"/>
      <c r="BA321" s="72"/>
      <c r="BB321" s="16"/>
      <c r="BC321" s="72"/>
      <c r="BD321" s="317" t="s">
        <v>5659</v>
      </c>
      <c r="BE321" s="334"/>
    </row>
    <row r="322" spans="1:57" s="81" customFormat="1" ht="12.95" customHeight="1">
      <c r="A322" s="247" t="s">
        <v>5436</v>
      </c>
      <c r="B322" s="251">
        <v>57</v>
      </c>
      <c r="C322" s="267" t="s">
        <v>756</v>
      </c>
      <c r="D322" s="239" t="s">
        <v>3305</v>
      </c>
      <c r="E322" s="58"/>
      <c r="F322" s="59" t="s">
        <v>816</v>
      </c>
      <c r="G322" s="191" t="s">
        <v>2511</v>
      </c>
      <c r="H322" s="192" t="s">
        <v>756</v>
      </c>
      <c r="I322" s="61" t="s">
        <v>2511</v>
      </c>
      <c r="J322" s="61" t="s">
        <v>2511</v>
      </c>
      <c r="K322" s="62" t="s">
        <v>2511</v>
      </c>
      <c r="L322" s="60" t="s">
        <v>2511</v>
      </c>
      <c r="M322" s="61" t="s">
        <v>2388</v>
      </c>
      <c r="N322" s="61" t="s">
        <v>2511</v>
      </c>
      <c r="O322" s="61" t="s">
        <v>2511</v>
      </c>
      <c r="P322" s="62" t="s">
        <v>2511</v>
      </c>
      <c r="Q322" s="82"/>
      <c r="R322" s="82"/>
      <c r="S322" s="82"/>
      <c r="T322" s="82"/>
      <c r="U322" s="82"/>
      <c r="V322" s="138" t="s">
        <v>3414</v>
      </c>
      <c r="W322" s="57" t="s">
        <v>3404</v>
      </c>
      <c r="X322" s="126" t="s">
        <v>2511</v>
      </c>
      <c r="Y322" s="126" t="s">
        <v>2511</v>
      </c>
      <c r="Z322" s="57"/>
      <c r="AA322" s="57" t="s">
        <v>3405</v>
      </c>
      <c r="AB322" s="138"/>
      <c r="AC322" s="138" t="s">
        <v>2631</v>
      </c>
      <c r="AD322" s="96"/>
      <c r="AE322" s="80"/>
      <c r="AF322" s="80"/>
      <c r="AG322" s="80"/>
      <c r="AH322" s="83"/>
      <c r="AI322" s="83"/>
      <c r="AJ322" s="84"/>
      <c r="AK322" s="84"/>
      <c r="AL322" s="84"/>
      <c r="AM322" s="84"/>
      <c r="AN322" s="84"/>
      <c r="AO322" s="84"/>
      <c r="AP322" s="84"/>
      <c r="AQ322" s="95" t="s">
        <v>756</v>
      </c>
      <c r="AR322" s="72"/>
      <c r="AS322" s="72"/>
      <c r="AT322" s="72"/>
      <c r="AU322" s="72"/>
      <c r="AV322" s="72"/>
      <c r="AW322" s="72"/>
      <c r="AX322" s="72"/>
      <c r="AY322" s="72"/>
      <c r="AZ322" s="72"/>
      <c r="BA322" s="72"/>
      <c r="BB322" s="16"/>
      <c r="BC322" s="72"/>
      <c r="BD322" s="317" t="s">
        <v>5660</v>
      </c>
      <c r="BE322" s="335"/>
    </row>
    <row r="323" spans="1:57" s="91" customFormat="1" ht="18" customHeight="1">
      <c r="A323" s="353"/>
      <c r="B323" s="354"/>
      <c r="C323" s="268" t="s">
        <v>757</v>
      </c>
      <c r="D323" s="268"/>
      <c r="E323" s="86"/>
      <c r="F323" s="86"/>
      <c r="G323" s="87"/>
      <c r="H323" s="87"/>
      <c r="I323" s="87"/>
      <c r="J323" s="87"/>
      <c r="K323" s="87"/>
      <c r="L323" s="86"/>
      <c r="M323" s="86"/>
      <c r="N323" s="86"/>
      <c r="O323" s="86"/>
      <c r="P323" s="86"/>
      <c r="Q323" s="86"/>
      <c r="R323" s="86"/>
      <c r="S323" s="86"/>
      <c r="T323" s="86"/>
      <c r="U323" s="86"/>
      <c r="V323" s="86"/>
      <c r="W323" s="86"/>
      <c r="X323" s="129"/>
      <c r="Y323" s="129"/>
      <c r="Z323" s="88"/>
      <c r="AA323" s="88"/>
      <c r="AB323" s="88"/>
      <c r="AC323" s="88"/>
      <c r="AD323" s="88"/>
      <c r="AE323" s="88"/>
      <c r="AF323" s="88"/>
      <c r="AG323" s="88"/>
      <c r="AH323" s="88"/>
      <c r="AI323" s="88"/>
      <c r="AJ323" s="88"/>
      <c r="AK323" s="88"/>
      <c r="AL323" s="88"/>
      <c r="AM323" s="88"/>
      <c r="AN323" s="88"/>
      <c r="AO323" s="88"/>
      <c r="AP323" s="88"/>
      <c r="AQ323" s="89"/>
      <c r="AR323" s="100"/>
      <c r="AS323" s="101"/>
      <c r="AT323" s="101"/>
      <c r="AU323" s="101"/>
      <c r="AV323" s="101"/>
      <c r="AW323" s="101"/>
      <c r="AX323" s="101"/>
      <c r="AY323" s="101"/>
      <c r="AZ323" s="101"/>
      <c r="BA323" s="101"/>
      <c r="BB323" s="101"/>
      <c r="BC323" s="175" t="s">
        <v>956</v>
      </c>
      <c r="BD323" s="90"/>
      <c r="BE323" s="100" t="s">
        <v>757</v>
      </c>
    </row>
    <row r="324" spans="1:57" s="81" customFormat="1" ht="12.95" customHeight="1">
      <c r="A324" s="247" t="s">
        <v>5440</v>
      </c>
      <c r="B324" s="251">
        <v>65</v>
      </c>
      <c r="C324" s="267" t="s">
        <v>758</v>
      </c>
      <c r="D324" s="239" t="s">
        <v>3415</v>
      </c>
      <c r="E324" s="58"/>
      <c r="F324" s="59" t="s">
        <v>817</v>
      </c>
      <c r="G324" s="191" t="s">
        <v>2511</v>
      </c>
      <c r="H324" s="192" t="s">
        <v>758</v>
      </c>
      <c r="I324" s="61" t="s">
        <v>2511</v>
      </c>
      <c r="J324" s="61" t="s">
        <v>2511</v>
      </c>
      <c r="K324" s="62" t="s">
        <v>2511</v>
      </c>
      <c r="L324" s="60" t="s">
        <v>2511</v>
      </c>
      <c r="M324" s="61" t="s">
        <v>2388</v>
      </c>
      <c r="N324" s="61" t="s">
        <v>2511</v>
      </c>
      <c r="O324" s="61" t="s">
        <v>2511</v>
      </c>
      <c r="P324" s="62" t="s">
        <v>2511</v>
      </c>
      <c r="Q324" s="82"/>
      <c r="R324" s="82"/>
      <c r="S324" s="82"/>
      <c r="T324" s="82"/>
      <c r="U324" s="82"/>
      <c r="V324" s="138" t="s">
        <v>3416</v>
      </c>
      <c r="W324" s="57" t="s">
        <v>3417</v>
      </c>
      <c r="X324" s="126" t="s">
        <v>2511</v>
      </c>
      <c r="Y324" s="126" t="s">
        <v>2511</v>
      </c>
      <c r="Z324" s="57"/>
      <c r="AA324" s="57" t="s">
        <v>3405</v>
      </c>
      <c r="AB324" s="137"/>
      <c r="AC324" s="137" t="s">
        <v>2631</v>
      </c>
      <c r="AD324" s="92"/>
      <c r="AE324" s="93"/>
      <c r="AF324" s="93"/>
      <c r="AG324" s="93"/>
      <c r="AH324" s="94"/>
      <c r="AI324" s="83"/>
      <c r="AJ324" s="84"/>
      <c r="AK324" s="84"/>
      <c r="AL324" s="84"/>
      <c r="AM324" s="84"/>
      <c r="AN324" s="84"/>
      <c r="AO324" s="84"/>
      <c r="AP324" s="84"/>
      <c r="AQ324" s="95" t="s">
        <v>817</v>
      </c>
      <c r="AR324" s="72"/>
      <c r="AS324" s="72"/>
      <c r="AT324" s="72"/>
      <c r="AU324" s="72"/>
      <c r="AV324" s="72"/>
      <c r="AW324" s="72"/>
      <c r="AX324" s="72"/>
      <c r="AY324" s="72"/>
      <c r="AZ324" s="72"/>
      <c r="BA324" s="72"/>
      <c r="BB324" s="16"/>
      <c r="BC324" s="22"/>
      <c r="BD324" s="317" t="s">
        <v>5661</v>
      </c>
      <c r="BE324" s="333" t="s">
        <v>5670</v>
      </c>
    </row>
    <row r="325" spans="1:57" s="81" customFormat="1" ht="12.95" customHeight="1">
      <c r="A325" s="247" t="s">
        <v>5441</v>
      </c>
      <c r="B325" s="251">
        <v>63</v>
      </c>
      <c r="C325" s="267" t="s">
        <v>759</v>
      </c>
      <c r="D325" s="239" t="s">
        <v>3287</v>
      </c>
      <c r="E325" s="58"/>
      <c r="F325" s="59" t="s">
        <v>818</v>
      </c>
      <c r="G325" s="191" t="s">
        <v>2511</v>
      </c>
      <c r="H325" s="192" t="s">
        <v>759</v>
      </c>
      <c r="I325" s="61" t="s">
        <v>2511</v>
      </c>
      <c r="J325" s="61" t="s">
        <v>2511</v>
      </c>
      <c r="K325" s="62" t="s">
        <v>2511</v>
      </c>
      <c r="L325" s="60" t="s">
        <v>2511</v>
      </c>
      <c r="M325" s="61" t="s">
        <v>2388</v>
      </c>
      <c r="N325" s="61" t="s">
        <v>2511</v>
      </c>
      <c r="O325" s="61" t="s">
        <v>2511</v>
      </c>
      <c r="P325" s="62" t="s">
        <v>2511</v>
      </c>
      <c r="Q325" s="82"/>
      <c r="R325" s="82"/>
      <c r="S325" s="82"/>
      <c r="T325" s="82"/>
      <c r="U325" s="82"/>
      <c r="V325" s="138" t="s">
        <v>3418</v>
      </c>
      <c r="W325" s="57" t="s">
        <v>3417</v>
      </c>
      <c r="X325" s="126" t="s">
        <v>2511</v>
      </c>
      <c r="Y325" s="126" t="s">
        <v>2511</v>
      </c>
      <c r="Z325" s="57"/>
      <c r="AA325" s="57" t="s">
        <v>3405</v>
      </c>
      <c r="AB325" s="138"/>
      <c r="AC325" s="138" t="s">
        <v>2631</v>
      </c>
      <c r="AD325" s="96"/>
      <c r="AE325" s="80"/>
      <c r="AF325" s="80"/>
      <c r="AG325" s="80"/>
      <c r="AH325" s="83"/>
      <c r="AI325" s="83"/>
      <c r="AJ325" s="84"/>
      <c r="AK325" s="84"/>
      <c r="AL325" s="84"/>
      <c r="AM325" s="84"/>
      <c r="AN325" s="84"/>
      <c r="AO325" s="84"/>
      <c r="AP325" s="84"/>
      <c r="AQ325" s="95" t="s">
        <v>818</v>
      </c>
      <c r="AR325" s="72"/>
      <c r="AS325" s="72"/>
      <c r="AT325" s="72"/>
      <c r="AU325" s="72"/>
      <c r="AV325" s="72"/>
      <c r="AW325" s="72"/>
      <c r="AX325" s="72"/>
      <c r="AY325" s="72"/>
      <c r="AZ325" s="72"/>
      <c r="BA325" s="72"/>
      <c r="BB325" s="16"/>
      <c r="BC325" s="72"/>
      <c r="BD325" s="317" t="s">
        <v>5662</v>
      </c>
      <c r="BE325" s="334"/>
    </row>
    <row r="326" spans="1:57" s="81" customFormat="1" ht="12.95" customHeight="1">
      <c r="A326" s="247" t="s">
        <v>5442</v>
      </c>
      <c r="B326" s="251">
        <v>71</v>
      </c>
      <c r="C326" s="267" t="s">
        <v>760</v>
      </c>
      <c r="D326" s="239" t="s">
        <v>3419</v>
      </c>
      <c r="E326" s="58"/>
      <c r="F326" s="59" t="s">
        <v>819</v>
      </c>
      <c r="G326" s="191" t="s">
        <v>2511</v>
      </c>
      <c r="H326" s="192" t="s">
        <v>760</v>
      </c>
      <c r="I326" s="61" t="s">
        <v>2511</v>
      </c>
      <c r="J326" s="61" t="s">
        <v>2511</v>
      </c>
      <c r="K326" s="62" t="s">
        <v>2511</v>
      </c>
      <c r="L326" s="60" t="s">
        <v>2511</v>
      </c>
      <c r="M326" s="61" t="s">
        <v>2388</v>
      </c>
      <c r="N326" s="61" t="s">
        <v>2511</v>
      </c>
      <c r="O326" s="61" t="s">
        <v>2511</v>
      </c>
      <c r="P326" s="62" t="s">
        <v>2511</v>
      </c>
      <c r="Q326" s="82"/>
      <c r="R326" s="82"/>
      <c r="S326" s="82"/>
      <c r="T326" s="82"/>
      <c r="U326" s="82"/>
      <c r="V326" s="138" t="s">
        <v>3420</v>
      </c>
      <c r="W326" s="57" t="s">
        <v>3417</v>
      </c>
      <c r="X326" s="126" t="s">
        <v>2511</v>
      </c>
      <c r="Y326" s="126" t="s">
        <v>2511</v>
      </c>
      <c r="Z326" s="57"/>
      <c r="AA326" s="57" t="s">
        <v>3405</v>
      </c>
      <c r="AB326" s="138"/>
      <c r="AC326" s="138" t="s">
        <v>2631</v>
      </c>
      <c r="AD326" s="96"/>
      <c r="AE326" s="80"/>
      <c r="AF326" s="80"/>
      <c r="AG326" s="80"/>
      <c r="AH326" s="83"/>
      <c r="AI326" s="83"/>
      <c r="AJ326" s="84"/>
      <c r="AK326" s="84"/>
      <c r="AL326" s="84"/>
      <c r="AM326" s="84"/>
      <c r="AN326" s="84"/>
      <c r="AO326" s="84"/>
      <c r="AP326" s="84"/>
      <c r="AQ326" s="95" t="s">
        <v>819</v>
      </c>
      <c r="AR326" s="72"/>
      <c r="AS326" s="72"/>
      <c r="AT326" s="72"/>
      <c r="AU326" s="72"/>
      <c r="AV326" s="72"/>
      <c r="AW326" s="72"/>
      <c r="AX326" s="72"/>
      <c r="AY326" s="72"/>
      <c r="AZ326" s="72"/>
      <c r="BA326" s="72"/>
      <c r="BB326" s="16"/>
      <c r="BC326" s="72"/>
      <c r="BD326" s="317" t="s">
        <v>5663</v>
      </c>
      <c r="BE326" s="334"/>
    </row>
    <row r="327" spans="1:57" s="81" customFormat="1" ht="12.95" customHeight="1">
      <c r="A327" s="247" t="s">
        <v>5443</v>
      </c>
      <c r="B327" s="251">
        <v>69</v>
      </c>
      <c r="C327" s="267" t="s">
        <v>761</v>
      </c>
      <c r="D327" s="239" t="s">
        <v>3421</v>
      </c>
      <c r="E327" s="58"/>
      <c r="F327" s="59" t="s">
        <v>820</v>
      </c>
      <c r="G327" s="191" t="s">
        <v>2511</v>
      </c>
      <c r="H327" s="192" t="s">
        <v>761</v>
      </c>
      <c r="I327" s="61" t="s">
        <v>2511</v>
      </c>
      <c r="J327" s="61" t="s">
        <v>2511</v>
      </c>
      <c r="K327" s="62" t="s">
        <v>2511</v>
      </c>
      <c r="L327" s="60" t="s">
        <v>2511</v>
      </c>
      <c r="M327" s="61" t="s">
        <v>2388</v>
      </c>
      <c r="N327" s="61" t="s">
        <v>2511</v>
      </c>
      <c r="O327" s="61" t="s">
        <v>2511</v>
      </c>
      <c r="P327" s="62" t="s">
        <v>2511</v>
      </c>
      <c r="Q327" s="82"/>
      <c r="R327" s="82"/>
      <c r="S327" s="82"/>
      <c r="T327" s="82"/>
      <c r="U327" s="82"/>
      <c r="V327" s="138" t="s">
        <v>3422</v>
      </c>
      <c r="W327" s="57" t="s">
        <v>3417</v>
      </c>
      <c r="X327" s="126" t="s">
        <v>2511</v>
      </c>
      <c r="Y327" s="126" t="s">
        <v>2511</v>
      </c>
      <c r="Z327" s="57"/>
      <c r="AA327" s="57" t="s">
        <v>3405</v>
      </c>
      <c r="AB327" s="138"/>
      <c r="AC327" s="138" t="s">
        <v>2631</v>
      </c>
      <c r="AD327" s="96"/>
      <c r="AE327" s="80"/>
      <c r="AF327" s="80"/>
      <c r="AG327" s="80"/>
      <c r="AH327" s="83"/>
      <c r="AI327" s="83"/>
      <c r="AJ327" s="84"/>
      <c r="AK327" s="84"/>
      <c r="AL327" s="84"/>
      <c r="AM327" s="84"/>
      <c r="AN327" s="84"/>
      <c r="AO327" s="84"/>
      <c r="AP327" s="84"/>
      <c r="AQ327" s="95" t="s">
        <v>820</v>
      </c>
      <c r="AR327" s="72"/>
      <c r="AS327" s="72"/>
      <c r="AT327" s="72"/>
      <c r="AU327" s="72"/>
      <c r="AV327" s="72"/>
      <c r="AW327" s="72"/>
      <c r="AX327" s="72"/>
      <c r="AY327" s="72"/>
      <c r="AZ327" s="72"/>
      <c r="BA327" s="72"/>
      <c r="BB327" s="16"/>
      <c r="BC327" s="72"/>
      <c r="BD327" s="317" t="s">
        <v>5664</v>
      </c>
      <c r="BE327" s="334"/>
    </row>
    <row r="328" spans="1:57" s="81" customFormat="1" ht="12.95" customHeight="1">
      <c r="A328" s="247" t="s">
        <v>5444</v>
      </c>
      <c r="B328" s="251">
        <v>77</v>
      </c>
      <c r="C328" s="267" t="s">
        <v>762</v>
      </c>
      <c r="D328" s="239" t="s">
        <v>3295</v>
      </c>
      <c r="E328" s="58"/>
      <c r="F328" s="59" t="s">
        <v>821</v>
      </c>
      <c r="G328" s="191" t="s">
        <v>2511</v>
      </c>
      <c r="H328" s="192" t="s">
        <v>762</v>
      </c>
      <c r="I328" s="61" t="s">
        <v>2511</v>
      </c>
      <c r="J328" s="61" t="s">
        <v>2511</v>
      </c>
      <c r="K328" s="62" t="s">
        <v>2511</v>
      </c>
      <c r="L328" s="60" t="s">
        <v>2511</v>
      </c>
      <c r="M328" s="61" t="s">
        <v>2388</v>
      </c>
      <c r="N328" s="61" t="s">
        <v>2511</v>
      </c>
      <c r="O328" s="61" t="s">
        <v>2511</v>
      </c>
      <c r="P328" s="62" t="s">
        <v>2511</v>
      </c>
      <c r="Q328" s="82"/>
      <c r="R328" s="82"/>
      <c r="S328" s="82"/>
      <c r="T328" s="82"/>
      <c r="U328" s="82"/>
      <c r="V328" s="138" t="s">
        <v>3423</v>
      </c>
      <c r="W328" s="57" t="s">
        <v>3417</v>
      </c>
      <c r="X328" s="126" t="s">
        <v>2511</v>
      </c>
      <c r="Y328" s="126" t="s">
        <v>2511</v>
      </c>
      <c r="Z328" s="57"/>
      <c r="AA328" s="57" t="s">
        <v>3405</v>
      </c>
      <c r="AB328" s="138"/>
      <c r="AC328" s="138" t="s">
        <v>2631</v>
      </c>
      <c r="AD328" s="96"/>
      <c r="AE328" s="80"/>
      <c r="AF328" s="80"/>
      <c r="AG328" s="80"/>
      <c r="AH328" s="83"/>
      <c r="AI328" s="83"/>
      <c r="AJ328" s="84"/>
      <c r="AK328" s="84"/>
      <c r="AL328" s="84"/>
      <c r="AM328" s="84"/>
      <c r="AN328" s="84"/>
      <c r="AO328" s="84"/>
      <c r="AP328" s="84"/>
      <c r="AQ328" s="95" t="s">
        <v>821</v>
      </c>
      <c r="AR328" s="72"/>
      <c r="AS328" s="72"/>
      <c r="AT328" s="72"/>
      <c r="AU328" s="72"/>
      <c r="AV328" s="72"/>
      <c r="AW328" s="72"/>
      <c r="AX328" s="72"/>
      <c r="AY328" s="72"/>
      <c r="AZ328" s="72"/>
      <c r="BA328" s="72"/>
      <c r="BB328" s="16"/>
      <c r="BC328" s="72"/>
      <c r="BD328" s="317" t="s">
        <v>5665</v>
      </c>
      <c r="BE328" s="334"/>
    </row>
    <row r="329" spans="1:57" s="81" customFormat="1" ht="12.95" customHeight="1">
      <c r="A329" s="247" t="s">
        <v>5445</v>
      </c>
      <c r="B329" s="251">
        <v>75</v>
      </c>
      <c r="C329" s="267" t="s">
        <v>763</v>
      </c>
      <c r="D329" s="239" t="s">
        <v>3424</v>
      </c>
      <c r="E329" s="58"/>
      <c r="F329" s="59" t="s">
        <v>822</v>
      </c>
      <c r="G329" s="191" t="s">
        <v>2511</v>
      </c>
      <c r="H329" s="192" t="s">
        <v>763</v>
      </c>
      <c r="I329" s="61" t="s">
        <v>2511</v>
      </c>
      <c r="J329" s="61" t="s">
        <v>2511</v>
      </c>
      <c r="K329" s="62" t="s">
        <v>2511</v>
      </c>
      <c r="L329" s="60" t="s">
        <v>2511</v>
      </c>
      <c r="M329" s="61" t="s">
        <v>2388</v>
      </c>
      <c r="N329" s="61" t="s">
        <v>2511</v>
      </c>
      <c r="O329" s="61" t="s">
        <v>2511</v>
      </c>
      <c r="P329" s="62" t="s">
        <v>2511</v>
      </c>
      <c r="Q329" s="82"/>
      <c r="R329" s="82"/>
      <c r="S329" s="82"/>
      <c r="T329" s="82"/>
      <c r="U329" s="82"/>
      <c r="V329" s="138" t="s">
        <v>3425</v>
      </c>
      <c r="W329" s="57" t="s">
        <v>3417</v>
      </c>
      <c r="X329" s="126" t="s">
        <v>2511</v>
      </c>
      <c r="Y329" s="126" t="s">
        <v>2511</v>
      </c>
      <c r="Z329" s="57"/>
      <c r="AA329" s="57" t="s">
        <v>3405</v>
      </c>
      <c r="AB329" s="138"/>
      <c r="AC329" s="138" t="s">
        <v>2631</v>
      </c>
      <c r="AD329" s="96"/>
      <c r="AE329" s="80"/>
      <c r="AF329" s="80"/>
      <c r="AG329" s="80"/>
      <c r="AH329" s="83"/>
      <c r="AI329" s="83"/>
      <c r="AJ329" s="84"/>
      <c r="AK329" s="84"/>
      <c r="AL329" s="84"/>
      <c r="AM329" s="84"/>
      <c r="AN329" s="84"/>
      <c r="AO329" s="84"/>
      <c r="AP329" s="84"/>
      <c r="AQ329" s="95" t="s">
        <v>822</v>
      </c>
      <c r="AR329" s="72"/>
      <c r="AS329" s="72"/>
      <c r="AT329" s="72"/>
      <c r="AU329" s="72"/>
      <c r="AV329" s="72"/>
      <c r="AW329" s="72"/>
      <c r="AX329" s="72"/>
      <c r="AY329" s="72"/>
      <c r="AZ329" s="72"/>
      <c r="BA329" s="72"/>
      <c r="BB329" s="16"/>
      <c r="BC329" s="72"/>
      <c r="BD329" s="317" t="s">
        <v>5666</v>
      </c>
      <c r="BE329" s="334"/>
    </row>
    <row r="330" spans="1:57" s="81" customFormat="1" ht="12.95" customHeight="1">
      <c r="A330" s="247" t="s">
        <v>5446</v>
      </c>
      <c r="B330" s="251">
        <v>83</v>
      </c>
      <c r="C330" s="267" t="s">
        <v>764</v>
      </c>
      <c r="D330" s="239" t="s">
        <v>3275</v>
      </c>
      <c r="E330" s="58"/>
      <c r="F330" s="59" t="s">
        <v>823</v>
      </c>
      <c r="G330" s="191" t="s">
        <v>2511</v>
      </c>
      <c r="H330" s="192" t="s">
        <v>764</v>
      </c>
      <c r="I330" s="61" t="s">
        <v>2511</v>
      </c>
      <c r="J330" s="61" t="s">
        <v>2511</v>
      </c>
      <c r="K330" s="62" t="s">
        <v>2511</v>
      </c>
      <c r="L330" s="60" t="s">
        <v>2511</v>
      </c>
      <c r="M330" s="61" t="s">
        <v>2388</v>
      </c>
      <c r="N330" s="61" t="s">
        <v>2511</v>
      </c>
      <c r="O330" s="61" t="s">
        <v>2511</v>
      </c>
      <c r="P330" s="62" t="s">
        <v>2511</v>
      </c>
      <c r="Q330" s="82"/>
      <c r="R330" s="82"/>
      <c r="S330" s="82"/>
      <c r="T330" s="82"/>
      <c r="U330" s="82"/>
      <c r="V330" s="138" t="s">
        <v>3426</v>
      </c>
      <c r="W330" s="57" t="s">
        <v>3417</v>
      </c>
      <c r="X330" s="126" t="s">
        <v>2511</v>
      </c>
      <c r="Y330" s="126" t="s">
        <v>2511</v>
      </c>
      <c r="Z330" s="57"/>
      <c r="AA330" s="57" t="s">
        <v>3405</v>
      </c>
      <c r="AB330" s="138"/>
      <c r="AC330" s="138" t="s">
        <v>2631</v>
      </c>
      <c r="AD330" s="96"/>
      <c r="AE330" s="80"/>
      <c r="AF330" s="80"/>
      <c r="AG330" s="80"/>
      <c r="AH330" s="83"/>
      <c r="AI330" s="83"/>
      <c r="AJ330" s="84"/>
      <c r="AK330" s="84"/>
      <c r="AL330" s="84"/>
      <c r="AM330" s="84"/>
      <c r="AN330" s="84"/>
      <c r="AO330" s="84"/>
      <c r="AP330" s="84"/>
      <c r="AQ330" s="95" t="s">
        <v>823</v>
      </c>
      <c r="AR330" s="72"/>
      <c r="AS330" s="72"/>
      <c r="AT330" s="72"/>
      <c r="AU330" s="72"/>
      <c r="AV330" s="72"/>
      <c r="AW330" s="72"/>
      <c r="AX330" s="72"/>
      <c r="AY330" s="72"/>
      <c r="AZ330" s="72"/>
      <c r="BA330" s="72"/>
      <c r="BB330" s="16"/>
      <c r="BC330" s="72"/>
      <c r="BD330" s="317" t="s">
        <v>5667</v>
      </c>
      <c r="BE330" s="334"/>
    </row>
    <row r="331" spans="1:57" s="81" customFormat="1" ht="12.95" customHeight="1">
      <c r="A331" s="247" t="s">
        <v>5447</v>
      </c>
      <c r="B331" s="251">
        <v>81</v>
      </c>
      <c r="C331" s="267" t="s">
        <v>765</v>
      </c>
      <c r="D331" s="239" t="s">
        <v>3291</v>
      </c>
      <c r="E331" s="58"/>
      <c r="F331" s="59" t="s">
        <v>824</v>
      </c>
      <c r="G331" s="191" t="s">
        <v>2511</v>
      </c>
      <c r="H331" s="192" t="s">
        <v>765</v>
      </c>
      <c r="I331" s="61" t="s">
        <v>2511</v>
      </c>
      <c r="J331" s="61" t="s">
        <v>2511</v>
      </c>
      <c r="K331" s="62" t="s">
        <v>2511</v>
      </c>
      <c r="L331" s="60" t="s">
        <v>2511</v>
      </c>
      <c r="M331" s="61" t="s">
        <v>2388</v>
      </c>
      <c r="N331" s="61" t="s">
        <v>2511</v>
      </c>
      <c r="O331" s="61" t="s">
        <v>2511</v>
      </c>
      <c r="P331" s="62" t="s">
        <v>2511</v>
      </c>
      <c r="Q331" s="82"/>
      <c r="R331" s="82"/>
      <c r="S331" s="82"/>
      <c r="T331" s="82"/>
      <c r="U331" s="82"/>
      <c r="V331" s="138" t="s">
        <v>3427</v>
      </c>
      <c r="W331" s="57" t="s">
        <v>3417</v>
      </c>
      <c r="X331" s="126" t="s">
        <v>2511</v>
      </c>
      <c r="Y331" s="126" t="s">
        <v>2511</v>
      </c>
      <c r="Z331" s="57"/>
      <c r="AA331" s="57" t="s">
        <v>3405</v>
      </c>
      <c r="AB331" s="138"/>
      <c r="AC331" s="138" t="s">
        <v>2631</v>
      </c>
      <c r="AD331" s="96"/>
      <c r="AE331" s="80"/>
      <c r="AF331" s="80"/>
      <c r="AG331" s="80"/>
      <c r="AH331" s="83"/>
      <c r="AI331" s="83"/>
      <c r="AJ331" s="84"/>
      <c r="AK331" s="84"/>
      <c r="AL331" s="84"/>
      <c r="AM331" s="84"/>
      <c r="AN331" s="84"/>
      <c r="AO331" s="84"/>
      <c r="AP331" s="84"/>
      <c r="AQ331" s="102" t="s">
        <v>824</v>
      </c>
      <c r="AR331" s="72"/>
      <c r="AS331" s="72"/>
      <c r="AT331" s="72"/>
      <c r="AU331" s="72"/>
      <c r="AV331" s="72"/>
      <c r="AW331" s="72"/>
      <c r="AX331" s="72"/>
      <c r="AY331" s="72"/>
      <c r="AZ331" s="72"/>
      <c r="BA331" s="72"/>
      <c r="BB331" s="16"/>
      <c r="BC331" s="72"/>
      <c r="BD331" s="317" t="s">
        <v>5668</v>
      </c>
      <c r="BE331" s="335"/>
    </row>
    <row r="332" spans="1:57" s="91" customFormat="1" ht="18" hidden="1" customHeight="1">
      <c r="A332" s="353"/>
      <c r="B332" s="354"/>
      <c r="C332" s="268" t="s">
        <v>1077</v>
      </c>
      <c r="D332" s="268"/>
      <c r="E332" s="86"/>
      <c r="F332" s="86"/>
      <c r="G332" s="87"/>
      <c r="H332" s="87"/>
      <c r="I332" s="87"/>
      <c r="J332" s="87"/>
      <c r="K332" s="87"/>
      <c r="L332" s="86"/>
      <c r="M332" s="86"/>
      <c r="N332" s="86"/>
      <c r="O332" s="86"/>
      <c r="P332" s="86"/>
      <c r="Q332" s="86"/>
      <c r="R332" s="86"/>
      <c r="S332" s="86"/>
      <c r="T332" s="86"/>
      <c r="U332" s="86"/>
      <c r="V332" s="86"/>
      <c r="W332" s="86"/>
      <c r="X332" s="129"/>
      <c r="Y332" s="129"/>
      <c r="Z332" s="88"/>
      <c r="AA332" s="88"/>
      <c r="AB332" s="88"/>
      <c r="AC332" s="88"/>
      <c r="AD332" s="88"/>
      <c r="AE332" s="88"/>
      <c r="AF332" s="88"/>
      <c r="AG332" s="88"/>
      <c r="AH332" s="88"/>
      <c r="AI332" s="88"/>
      <c r="AJ332" s="88"/>
      <c r="AK332" s="88"/>
      <c r="AL332" s="88"/>
      <c r="AM332" s="88"/>
      <c r="AN332" s="88"/>
      <c r="AO332" s="88"/>
      <c r="AP332" s="88"/>
      <c r="AQ332" s="89"/>
      <c r="AR332" s="100"/>
      <c r="AS332" s="101"/>
      <c r="AT332" s="101"/>
      <c r="AU332" s="101"/>
      <c r="AV332" s="101"/>
      <c r="AW332" s="101"/>
      <c r="AX332" s="101"/>
      <c r="AY332" s="101"/>
      <c r="AZ332" s="101"/>
      <c r="BA332" s="101"/>
      <c r="BB332" s="101"/>
      <c r="BC332" s="175" t="s">
        <v>5636</v>
      </c>
      <c r="BD332" s="101"/>
      <c r="BE332" s="100" t="s">
        <v>1077</v>
      </c>
    </row>
    <row r="333" spans="1:57" s="81" customFormat="1" ht="12.95" hidden="1" customHeight="1">
      <c r="A333" s="248" t="e">
        <v>#N/A</v>
      </c>
      <c r="B333" s="252" t="e">
        <v>#N/A</v>
      </c>
      <c r="C333" s="269" t="s">
        <v>1079</v>
      </c>
      <c r="D333" s="239" t="s">
        <v>3320</v>
      </c>
      <c r="E333" s="58"/>
      <c r="F333" s="59" t="s">
        <v>2330</v>
      </c>
      <c r="G333" s="191" t="s">
        <v>2511</v>
      </c>
      <c r="H333" s="192" t="s">
        <v>1079</v>
      </c>
      <c r="I333" s="61" t="s">
        <v>2511</v>
      </c>
      <c r="J333" s="61" t="s">
        <v>2511</v>
      </c>
      <c r="K333" s="62" t="s">
        <v>2511</v>
      </c>
      <c r="L333" s="60" t="s">
        <v>2511</v>
      </c>
      <c r="M333" s="61" t="s">
        <v>2388</v>
      </c>
      <c r="N333" s="61" t="s">
        <v>2511</v>
      </c>
      <c r="O333" s="61" t="s">
        <v>2511</v>
      </c>
      <c r="P333" s="62" t="s">
        <v>2511</v>
      </c>
      <c r="Q333" s="82"/>
      <c r="R333" s="82"/>
      <c r="S333" s="82"/>
      <c r="T333" s="82"/>
      <c r="U333" s="82"/>
      <c r="V333" s="138" t="s">
        <v>3428</v>
      </c>
      <c r="W333" s="57" t="s">
        <v>3429</v>
      </c>
      <c r="X333" s="126" t="s">
        <v>2511</v>
      </c>
      <c r="Y333" s="126" t="s">
        <v>2511</v>
      </c>
      <c r="Z333" s="57"/>
      <c r="AA333" s="57" t="s">
        <v>3405</v>
      </c>
      <c r="AB333" s="137"/>
      <c r="AC333" s="137" t="s">
        <v>2631</v>
      </c>
      <c r="AD333" s="92"/>
      <c r="AE333" s="93"/>
      <c r="AF333" s="93"/>
      <c r="AG333" s="93"/>
      <c r="AH333" s="94"/>
      <c r="AI333" s="83"/>
      <c r="AJ333" s="84"/>
      <c r="AK333" s="84"/>
      <c r="AL333" s="84"/>
      <c r="AM333" s="84"/>
      <c r="AN333" s="84"/>
      <c r="AO333" s="84"/>
      <c r="AP333" s="84"/>
      <c r="AQ333" s="95" t="s">
        <v>2330</v>
      </c>
      <c r="AR333" s="72"/>
      <c r="AS333" s="72"/>
      <c r="AT333" s="72"/>
      <c r="AU333" s="72"/>
      <c r="AV333" s="72"/>
      <c r="AW333" s="72"/>
      <c r="AX333" s="72"/>
      <c r="AY333" s="72"/>
      <c r="AZ333" s="72"/>
      <c r="BA333" s="72"/>
      <c r="BB333" s="16"/>
      <c r="BC333" s="22"/>
      <c r="BD333" s="147" t="s">
        <v>83</v>
      </c>
      <c r="BE333" s="147" t="s">
        <v>83</v>
      </c>
    </row>
    <row r="334" spans="1:57" s="81" customFormat="1" ht="12.95" hidden="1" customHeight="1">
      <c r="A334" s="248" t="e">
        <v>#N/A</v>
      </c>
      <c r="B334" s="252" t="e">
        <v>#N/A</v>
      </c>
      <c r="C334" s="269" t="s">
        <v>1080</v>
      </c>
      <c r="D334" s="239" t="s">
        <v>3333</v>
      </c>
      <c r="E334" s="58"/>
      <c r="F334" s="59" t="s">
        <v>2331</v>
      </c>
      <c r="G334" s="191" t="s">
        <v>2511</v>
      </c>
      <c r="H334" s="192" t="s">
        <v>1080</v>
      </c>
      <c r="I334" s="61" t="s">
        <v>2511</v>
      </c>
      <c r="J334" s="61" t="s">
        <v>2511</v>
      </c>
      <c r="K334" s="62" t="s">
        <v>2511</v>
      </c>
      <c r="L334" s="60" t="s">
        <v>2511</v>
      </c>
      <c r="M334" s="61" t="s">
        <v>2388</v>
      </c>
      <c r="N334" s="61" t="s">
        <v>2511</v>
      </c>
      <c r="O334" s="61" t="s">
        <v>2511</v>
      </c>
      <c r="P334" s="62" t="s">
        <v>2511</v>
      </c>
      <c r="Q334" s="82"/>
      <c r="R334" s="82"/>
      <c r="S334" s="82"/>
      <c r="T334" s="82"/>
      <c r="U334" s="82"/>
      <c r="V334" s="138" t="s">
        <v>3430</v>
      </c>
      <c r="W334" s="57" t="s">
        <v>3429</v>
      </c>
      <c r="X334" s="126" t="s">
        <v>2511</v>
      </c>
      <c r="Y334" s="126" t="s">
        <v>2511</v>
      </c>
      <c r="Z334" s="57"/>
      <c r="AA334" s="57" t="s">
        <v>3405</v>
      </c>
      <c r="AB334" s="138"/>
      <c r="AC334" s="138" t="s">
        <v>2631</v>
      </c>
      <c r="AD334" s="96"/>
      <c r="AE334" s="80"/>
      <c r="AF334" s="80"/>
      <c r="AG334" s="80"/>
      <c r="AH334" s="83"/>
      <c r="AI334" s="83"/>
      <c r="AJ334" s="84"/>
      <c r="AK334" s="84"/>
      <c r="AL334" s="84"/>
      <c r="AM334" s="84"/>
      <c r="AN334" s="84"/>
      <c r="AO334" s="84"/>
      <c r="AP334" s="84"/>
      <c r="AQ334" s="95" t="s">
        <v>2331</v>
      </c>
      <c r="AR334" s="72"/>
      <c r="AS334" s="72"/>
      <c r="AT334" s="72"/>
      <c r="AU334" s="72"/>
      <c r="AV334" s="72"/>
      <c r="AW334" s="72"/>
      <c r="AX334" s="72"/>
      <c r="AY334" s="72"/>
      <c r="AZ334" s="72"/>
      <c r="BA334" s="72"/>
      <c r="BB334" s="16"/>
      <c r="BC334" s="72"/>
      <c r="BD334" s="147" t="s">
        <v>83</v>
      </c>
      <c r="BE334" s="147" t="s">
        <v>83</v>
      </c>
    </row>
    <row r="335" spans="1:57" s="81" customFormat="1" ht="12.95" hidden="1" customHeight="1">
      <c r="A335" s="248" t="e">
        <v>#N/A</v>
      </c>
      <c r="B335" s="252" t="e">
        <v>#N/A</v>
      </c>
      <c r="C335" s="269" t="s">
        <v>1081</v>
      </c>
      <c r="D335" s="239" t="s">
        <v>3431</v>
      </c>
      <c r="E335" s="58"/>
      <c r="F335" s="59" t="s">
        <v>2332</v>
      </c>
      <c r="G335" s="191" t="s">
        <v>2511</v>
      </c>
      <c r="H335" s="192" t="s">
        <v>1081</v>
      </c>
      <c r="I335" s="61" t="s">
        <v>2511</v>
      </c>
      <c r="J335" s="61" t="s">
        <v>2511</v>
      </c>
      <c r="K335" s="62" t="s">
        <v>2511</v>
      </c>
      <c r="L335" s="60" t="s">
        <v>2511</v>
      </c>
      <c r="M335" s="61" t="s">
        <v>2388</v>
      </c>
      <c r="N335" s="61" t="s">
        <v>2511</v>
      </c>
      <c r="O335" s="61" t="s">
        <v>2511</v>
      </c>
      <c r="P335" s="62" t="s">
        <v>2511</v>
      </c>
      <c r="Q335" s="82"/>
      <c r="R335" s="82"/>
      <c r="S335" s="82"/>
      <c r="T335" s="82"/>
      <c r="U335" s="82"/>
      <c r="V335" s="138" t="s">
        <v>3432</v>
      </c>
      <c r="W335" s="57" t="s">
        <v>3429</v>
      </c>
      <c r="X335" s="126" t="s">
        <v>2511</v>
      </c>
      <c r="Y335" s="126" t="s">
        <v>2511</v>
      </c>
      <c r="Z335" s="57"/>
      <c r="AA335" s="57" t="s">
        <v>3405</v>
      </c>
      <c r="AB335" s="138"/>
      <c r="AC335" s="138" t="s">
        <v>2631</v>
      </c>
      <c r="AD335" s="96"/>
      <c r="AE335" s="80"/>
      <c r="AF335" s="80"/>
      <c r="AG335" s="80"/>
      <c r="AH335" s="83"/>
      <c r="AI335" s="83"/>
      <c r="AJ335" s="84"/>
      <c r="AK335" s="84"/>
      <c r="AL335" s="84"/>
      <c r="AM335" s="84"/>
      <c r="AN335" s="84"/>
      <c r="AO335" s="84"/>
      <c r="AP335" s="84"/>
      <c r="AQ335" s="95" t="s">
        <v>2332</v>
      </c>
      <c r="AR335" s="72"/>
      <c r="AS335" s="72"/>
      <c r="AT335" s="72"/>
      <c r="AU335" s="72"/>
      <c r="AV335" s="72"/>
      <c r="AW335" s="72"/>
      <c r="AX335" s="72"/>
      <c r="AY335" s="72"/>
      <c r="AZ335" s="72"/>
      <c r="BA335" s="72"/>
      <c r="BB335" s="16"/>
      <c r="BC335" s="72"/>
      <c r="BD335" s="147" t="s">
        <v>83</v>
      </c>
      <c r="BE335" s="147" t="s">
        <v>83</v>
      </c>
    </row>
    <row r="336" spans="1:57" s="81" customFormat="1" ht="12.95" hidden="1" customHeight="1">
      <c r="A336" s="248" t="e">
        <v>#N/A</v>
      </c>
      <c r="B336" s="252" t="e">
        <v>#N/A</v>
      </c>
      <c r="C336" s="269" t="s">
        <v>1082</v>
      </c>
      <c r="D336" s="239" t="s">
        <v>3337</v>
      </c>
      <c r="E336" s="58"/>
      <c r="F336" s="59" t="s">
        <v>2262</v>
      </c>
      <c r="G336" s="191" t="s">
        <v>2511</v>
      </c>
      <c r="H336" s="192" t="s">
        <v>1082</v>
      </c>
      <c r="I336" s="61" t="s">
        <v>2511</v>
      </c>
      <c r="J336" s="61" t="s">
        <v>2511</v>
      </c>
      <c r="K336" s="62" t="s">
        <v>2511</v>
      </c>
      <c r="L336" s="60" t="s">
        <v>2511</v>
      </c>
      <c r="M336" s="61" t="s">
        <v>2388</v>
      </c>
      <c r="N336" s="61" t="s">
        <v>2511</v>
      </c>
      <c r="O336" s="61" t="s">
        <v>2511</v>
      </c>
      <c r="P336" s="62" t="s">
        <v>2511</v>
      </c>
      <c r="Q336" s="82"/>
      <c r="R336" s="82"/>
      <c r="S336" s="82"/>
      <c r="T336" s="82"/>
      <c r="U336" s="82"/>
      <c r="V336" s="138" t="s">
        <v>3433</v>
      </c>
      <c r="W336" s="57" t="s">
        <v>3429</v>
      </c>
      <c r="X336" s="126" t="s">
        <v>2511</v>
      </c>
      <c r="Y336" s="126" t="s">
        <v>2511</v>
      </c>
      <c r="Z336" s="57"/>
      <c r="AA336" s="57" t="s">
        <v>3405</v>
      </c>
      <c r="AB336" s="138"/>
      <c r="AC336" s="138" t="s">
        <v>2631</v>
      </c>
      <c r="AD336" s="96"/>
      <c r="AE336" s="80"/>
      <c r="AF336" s="80"/>
      <c r="AG336" s="80"/>
      <c r="AH336" s="83"/>
      <c r="AI336" s="83"/>
      <c r="AJ336" s="84"/>
      <c r="AK336" s="84"/>
      <c r="AL336" s="84"/>
      <c r="AM336" s="84"/>
      <c r="AN336" s="84"/>
      <c r="AO336" s="84"/>
      <c r="AP336" s="84"/>
      <c r="AQ336" s="95" t="s">
        <v>2262</v>
      </c>
      <c r="AR336" s="72"/>
      <c r="AS336" s="72"/>
      <c r="AT336" s="72"/>
      <c r="AU336" s="72"/>
      <c r="AV336" s="72"/>
      <c r="AW336" s="72"/>
      <c r="AX336" s="72"/>
      <c r="AY336" s="72"/>
      <c r="AZ336" s="72"/>
      <c r="BA336" s="72"/>
      <c r="BB336" s="16"/>
      <c r="BC336" s="72"/>
      <c r="BD336" s="147" t="s">
        <v>83</v>
      </c>
      <c r="BE336" s="147" t="s">
        <v>83</v>
      </c>
    </row>
    <row r="337" spans="1:57" s="81" customFormat="1" ht="12.95" hidden="1" customHeight="1">
      <c r="A337" s="248" t="e">
        <v>#N/A</v>
      </c>
      <c r="B337" s="252" t="e">
        <v>#N/A</v>
      </c>
      <c r="C337" s="269" t="s">
        <v>1083</v>
      </c>
      <c r="D337" s="239" t="s">
        <v>3279</v>
      </c>
      <c r="E337" s="58"/>
      <c r="F337" s="59" t="s">
        <v>2263</v>
      </c>
      <c r="G337" s="191" t="s">
        <v>2511</v>
      </c>
      <c r="H337" s="192" t="s">
        <v>1083</v>
      </c>
      <c r="I337" s="61" t="s">
        <v>2511</v>
      </c>
      <c r="J337" s="61" t="s">
        <v>2511</v>
      </c>
      <c r="K337" s="62" t="s">
        <v>2511</v>
      </c>
      <c r="L337" s="60" t="s">
        <v>2511</v>
      </c>
      <c r="M337" s="61" t="s">
        <v>2388</v>
      </c>
      <c r="N337" s="61" t="s">
        <v>2511</v>
      </c>
      <c r="O337" s="61" t="s">
        <v>2511</v>
      </c>
      <c r="P337" s="62" t="s">
        <v>2511</v>
      </c>
      <c r="Q337" s="82"/>
      <c r="R337" s="82"/>
      <c r="S337" s="82"/>
      <c r="T337" s="82"/>
      <c r="U337" s="82"/>
      <c r="V337" s="138" t="s">
        <v>3434</v>
      </c>
      <c r="W337" s="57" t="s">
        <v>3429</v>
      </c>
      <c r="X337" s="126" t="s">
        <v>2511</v>
      </c>
      <c r="Y337" s="126" t="s">
        <v>2511</v>
      </c>
      <c r="Z337" s="57"/>
      <c r="AA337" s="57" t="s">
        <v>3405</v>
      </c>
      <c r="AB337" s="138"/>
      <c r="AC337" s="138" t="s">
        <v>2631</v>
      </c>
      <c r="AD337" s="96"/>
      <c r="AE337" s="80"/>
      <c r="AF337" s="80"/>
      <c r="AG337" s="80"/>
      <c r="AH337" s="83"/>
      <c r="AI337" s="83"/>
      <c r="AJ337" s="84"/>
      <c r="AK337" s="84"/>
      <c r="AL337" s="84"/>
      <c r="AM337" s="84"/>
      <c r="AN337" s="84"/>
      <c r="AO337" s="84"/>
      <c r="AP337" s="84"/>
      <c r="AQ337" s="95" t="s">
        <v>2263</v>
      </c>
      <c r="AR337" s="72"/>
      <c r="AS337" s="72"/>
      <c r="AT337" s="72"/>
      <c r="AU337" s="72"/>
      <c r="AV337" s="72"/>
      <c r="AW337" s="72"/>
      <c r="AX337" s="72"/>
      <c r="AY337" s="72"/>
      <c r="AZ337" s="72"/>
      <c r="BA337" s="72"/>
      <c r="BB337" s="16"/>
      <c r="BC337" s="72"/>
      <c r="BD337" s="147" t="s">
        <v>83</v>
      </c>
      <c r="BE337" s="147" t="s">
        <v>83</v>
      </c>
    </row>
    <row r="338" spans="1:57" s="81" customFormat="1" ht="12.95" hidden="1" customHeight="1">
      <c r="A338" s="248" t="e">
        <v>#N/A</v>
      </c>
      <c r="B338" s="252" t="e">
        <v>#N/A</v>
      </c>
      <c r="C338" s="269" t="s">
        <v>1084</v>
      </c>
      <c r="D338" s="239" t="s">
        <v>3435</v>
      </c>
      <c r="E338" s="58"/>
      <c r="F338" s="59" t="s">
        <v>2264</v>
      </c>
      <c r="G338" s="191" t="s">
        <v>2511</v>
      </c>
      <c r="H338" s="192" t="s">
        <v>1084</v>
      </c>
      <c r="I338" s="61" t="s">
        <v>2511</v>
      </c>
      <c r="J338" s="61" t="s">
        <v>2511</v>
      </c>
      <c r="K338" s="62" t="s">
        <v>2511</v>
      </c>
      <c r="L338" s="60" t="s">
        <v>2511</v>
      </c>
      <c r="M338" s="61" t="s">
        <v>2388</v>
      </c>
      <c r="N338" s="61" t="s">
        <v>2511</v>
      </c>
      <c r="O338" s="61" t="s">
        <v>2511</v>
      </c>
      <c r="P338" s="62" t="s">
        <v>2511</v>
      </c>
      <c r="Q338" s="82"/>
      <c r="R338" s="82"/>
      <c r="S338" s="82"/>
      <c r="T338" s="82"/>
      <c r="U338" s="82"/>
      <c r="V338" s="138" t="s">
        <v>3436</v>
      </c>
      <c r="W338" s="57" t="s">
        <v>3429</v>
      </c>
      <c r="X338" s="126" t="s">
        <v>2511</v>
      </c>
      <c r="Y338" s="126" t="s">
        <v>2511</v>
      </c>
      <c r="Z338" s="57"/>
      <c r="AA338" s="57" t="s">
        <v>3405</v>
      </c>
      <c r="AB338" s="138"/>
      <c r="AC338" s="138" t="s">
        <v>2631</v>
      </c>
      <c r="AD338" s="96"/>
      <c r="AE338" s="80"/>
      <c r="AF338" s="80"/>
      <c r="AG338" s="80"/>
      <c r="AH338" s="83"/>
      <c r="AI338" s="83"/>
      <c r="AJ338" s="84"/>
      <c r="AK338" s="84"/>
      <c r="AL338" s="84"/>
      <c r="AM338" s="84"/>
      <c r="AN338" s="84"/>
      <c r="AO338" s="84"/>
      <c r="AP338" s="84"/>
      <c r="AQ338" s="95" t="s">
        <v>2264</v>
      </c>
      <c r="AR338" s="72"/>
      <c r="AS338" s="72"/>
      <c r="AT338" s="72"/>
      <c r="AU338" s="72"/>
      <c r="AV338" s="72"/>
      <c r="AW338" s="72"/>
      <c r="AX338" s="72"/>
      <c r="AY338" s="72"/>
      <c r="AZ338" s="72"/>
      <c r="BA338" s="72"/>
      <c r="BB338" s="16"/>
      <c r="BC338" s="72"/>
      <c r="BD338" s="147" t="s">
        <v>83</v>
      </c>
      <c r="BE338" s="147" t="s">
        <v>83</v>
      </c>
    </row>
    <row r="339" spans="1:57" s="81" customFormat="1" ht="12.95" hidden="1" customHeight="1">
      <c r="A339" s="248" t="e">
        <v>#N/A</v>
      </c>
      <c r="B339" s="252" t="e">
        <v>#N/A</v>
      </c>
      <c r="C339" s="269" t="s">
        <v>1085</v>
      </c>
      <c r="D339" s="239" t="s">
        <v>3283</v>
      </c>
      <c r="E339" s="58"/>
      <c r="F339" s="59" t="s">
        <v>2265</v>
      </c>
      <c r="G339" s="191" t="s">
        <v>2511</v>
      </c>
      <c r="H339" s="192" t="s">
        <v>1085</v>
      </c>
      <c r="I339" s="61" t="s">
        <v>2511</v>
      </c>
      <c r="J339" s="61" t="s">
        <v>2511</v>
      </c>
      <c r="K339" s="62" t="s">
        <v>2511</v>
      </c>
      <c r="L339" s="60" t="s">
        <v>2511</v>
      </c>
      <c r="M339" s="61" t="s">
        <v>2388</v>
      </c>
      <c r="N339" s="61" t="s">
        <v>2511</v>
      </c>
      <c r="O339" s="61" t="s">
        <v>2511</v>
      </c>
      <c r="P339" s="62" t="s">
        <v>2511</v>
      </c>
      <c r="Q339" s="82"/>
      <c r="R339" s="82"/>
      <c r="S339" s="82"/>
      <c r="T339" s="82"/>
      <c r="U339" s="82"/>
      <c r="V339" s="138" t="s">
        <v>3437</v>
      </c>
      <c r="W339" s="57" t="s">
        <v>3429</v>
      </c>
      <c r="X339" s="126" t="s">
        <v>2511</v>
      </c>
      <c r="Y339" s="126" t="s">
        <v>2511</v>
      </c>
      <c r="Z339" s="57"/>
      <c r="AA339" s="57" t="s">
        <v>3405</v>
      </c>
      <c r="AB339" s="138"/>
      <c r="AC339" s="138" t="s">
        <v>2631</v>
      </c>
      <c r="AD339" s="96"/>
      <c r="AE339" s="80"/>
      <c r="AF339" s="80"/>
      <c r="AG339" s="80"/>
      <c r="AH339" s="83"/>
      <c r="AI339" s="83"/>
      <c r="AJ339" s="84"/>
      <c r="AK339" s="84"/>
      <c r="AL339" s="84"/>
      <c r="AM339" s="84"/>
      <c r="AN339" s="84"/>
      <c r="AO339" s="84"/>
      <c r="AP339" s="84"/>
      <c r="AQ339" s="95" t="s">
        <v>2265</v>
      </c>
      <c r="AR339" s="72"/>
      <c r="AS339" s="72"/>
      <c r="AT339" s="72"/>
      <c r="AU339" s="72"/>
      <c r="AV339" s="72"/>
      <c r="AW339" s="72"/>
      <c r="AX339" s="72"/>
      <c r="AY339" s="72"/>
      <c r="AZ339" s="72"/>
      <c r="BA339" s="72"/>
      <c r="BB339" s="16"/>
      <c r="BC339" s="72"/>
      <c r="BD339" s="147" t="s">
        <v>83</v>
      </c>
      <c r="BE339" s="147" t="s">
        <v>83</v>
      </c>
    </row>
    <row r="340" spans="1:57" s="81" customFormat="1" ht="12.95" hidden="1" customHeight="1">
      <c r="A340" s="248" t="e">
        <v>#N/A</v>
      </c>
      <c r="B340" s="252" t="e">
        <v>#N/A</v>
      </c>
      <c r="C340" s="269" t="s">
        <v>1086</v>
      </c>
      <c r="D340" s="239" t="s">
        <v>3254</v>
      </c>
      <c r="E340" s="58"/>
      <c r="F340" s="59" t="s">
        <v>2266</v>
      </c>
      <c r="G340" s="191" t="s">
        <v>2511</v>
      </c>
      <c r="H340" s="192" t="s">
        <v>1086</v>
      </c>
      <c r="I340" s="61" t="s">
        <v>2511</v>
      </c>
      <c r="J340" s="61" t="s">
        <v>2511</v>
      </c>
      <c r="K340" s="62" t="s">
        <v>2511</v>
      </c>
      <c r="L340" s="60" t="s">
        <v>2511</v>
      </c>
      <c r="M340" s="61" t="s">
        <v>2388</v>
      </c>
      <c r="N340" s="61" t="s">
        <v>2511</v>
      </c>
      <c r="O340" s="61" t="s">
        <v>2511</v>
      </c>
      <c r="P340" s="62" t="s">
        <v>2511</v>
      </c>
      <c r="Q340" s="82"/>
      <c r="R340" s="82"/>
      <c r="S340" s="82"/>
      <c r="T340" s="82"/>
      <c r="U340" s="82"/>
      <c r="V340" s="138" t="s">
        <v>3438</v>
      </c>
      <c r="W340" s="57" t="s">
        <v>3429</v>
      </c>
      <c r="X340" s="126" t="s">
        <v>2511</v>
      </c>
      <c r="Y340" s="126" t="s">
        <v>2511</v>
      </c>
      <c r="Z340" s="57"/>
      <c r="AA340" s="57" t="s">
        <v>3405</v>
      </c>
      <c r="AB340" s="138"/>
      <c r="AC340" s="138" t="s">
        <v>2631</v>
      </c>
      <c r="AD340" s="96"/>
      <c r="AE340" s="80"/>
      <c r="AF340" s="80"/>
      <c r="AG340" s="80"/>
      <c r="AH340" s="83"/>
      <c r="AI340" s="83"/>
      <c r="AJ340" s="84"/>
      <c r="AK340" s="84"/>
      <c r="AL340" s="84"/>
      <c r="AM340" s="84"/>
      <c r="AN340" s="84"/>
      <c r="AO340" s="84"/>
      <c r="AP340" s="84"/>
      <c r="AQ340" s="95" t="s">
        <v>2266</v>
      </c>
      <c r="AR340" s="72"/>
      <c r="AS340" s="72"/>
      <c r="AT340" s="72"/>
      <c r="AU340" s="72"/>
      <c r="AV340" s="72"/>
      <c r="AW340" s="72"/>
      <c r="AX340" s="72"/>
      <c r="AY340" s="72"/>
      <c r="AZ340" s="72"/>
      <c r="BA340" s="72"/>
      <c r="BB340" s="16"/>
      <c r="BC340" s="72"/>
      <c r="BD340" s="147" t="s">
        <v>83</v>
      </c>
      <c r="BE340" s="147" t="s">
        <v>83</v>
      </c>
    </row>
    <row r="341" spans="1:57" s="91" customFormat="1" ht="18" hidden="1" customHeight="1">
      <c r="A341" s="353"/>
      <c r="B341" s="354"/>
      <c r="C341" s="268" t="s">
        <v>1078</v>
      </c>
      <c r="D341" s="268"/>
      <c r="E341" s="86"/>
      <c r="F341" s="86"/>
      <c r="G341" s="87"/>
      <c r="H341" s="87"/>
      <c r="I341" s="87"/>
      <c r="J341" s="87"/>
      <c r="K341" s="87"/>
      <c r="L341" s="86"/>
      <c r="M341" s="86"/>
      <c r="N341" s="86"/>
      <c r="O341" s="86"/>
      <c r="P341" s="86"/>
      <c r="Q341" s="86"/>
      <c r="R341" s="86"/>
      <c r="S341" s="86"/>
      <c r="T341" s="86"/>
      <c r="U341" s="86"/>
      <c r="V341" s="86"/>
      <c r="W341" s="86"/>
      <c r="X341" s="129"/>
      <c r="Y341" s="129"/>
      <c r="Z341" s="88"/>
      <c r="AA341" s="88"/>
      <c r="AB341" s="88"/>
      <c r="AC341" s="88"/>
      <c r="AD341" s="88"/>
      <c r="AE341" s="88"/>
      <c r="AF341" s="88"/>
      <c r="AG341" s="88"/>
      <c r="AH341" s="88"/>
      <c r="AI341" s="88"/>
      <c r="AJ341" s="88"/>
      <c r="AK341" s="88"/>
      <c r="AL341" s="88"/>
      <c r="AM341" s="88"/>
      <c r="AN341" s="88"/>
      <c r="AO341" s="88"/>
      <c r="AP341" s="88"/>
      <c r="AQ341" s="89"/>
      <c r="AR341" s="100"/>
      <c r="AS341" s="101"/>
      <c r="AT341" s="101"/>
      <c r="AU341" s="101"/>
      <c r="AV341" s="101"/>
      <c r="AW341" s="101"/>
      <c r="AX341" s="101"/>
      <c r="AY341" s="101"/>
      <c r="AZ341" s="101"/>
      <c r="BA341" s="101"/>
      <c r="BB341" s="101"/>
      <c r="BC341" s="175" t="s">
        <v>5636</v>
      </c>
      <c r="BD341" s="90"/>
      <c r="BE341" s="233" t="s">
        <v>1078</v>
      </c>
    </row>
    <row r="342" spans="1:57" s="81" customFormat="1" ht="12.95" hidden="1" customHeight="1">
      <c r="A342" s="248" t="e">
        <v>#N/A</v>
      </c>
      <c r="B342" s="252" t="e">
        <v>#N/A</v>
      </c>
      <c r="C342" s="269" t="s">
        <v>1087</v>
      </c>
      <c r="D342" s="239" t="s">
        <v>3395</v>
      </c>
      <c r="E342" s="58"/>
      <c r="F342" s="59" t="s">
        <v>2223</v>
      </c>
      <c r="G342" s="191" t="s">
        <v>2511</v>
      </c>
      <c r="H342" s="192" t="s">
        <v>1087</v>
      </c>
      <c r="I342" s="61" t="s">
        <v>2511</v>
      </c>
      <c r="J342" s="61" t="s">
        <v>2511</v>
      </c>
      <c r="K342" s="62" t="s">
        <v>2511</v>
      </c>
      <c r="L342" s="60" t="s">
        <v>2511</v>
      </c>
      <c r="M342" s="61" t="s">
        <v>2388</v>
      </c>
      <c r="N342" s="61" t="s">
        <v>2511</v>
      </c>
      <c r="O342" s="61" t="s">
        <v>2511</v>
      </c>
      <c r="P342" s="62" t="s">
        <v>2511</v>
      </c>
      <c r="Q342" s="82"/>
      <c r="R342" s="82"/>
      <c r="S342" s="82"/>
      <c r="T342" s="82"/>
      <c r="U342" s="82"/>
      <c r="V342" s="138" t="s">
        <v>3439</v>
      </c>
      <c r="W342" s="57" t="s">
        <v>3440</v>
      </c>
      <c r="X342" s="126" t="s">
        <v>2511</v>
      </c>
      <c r="Y342" s="126" t="s">
        <v>2511</v>
      </c>
      <c r="Z342" s="57"/>
      <c r="AA342" s="57" t="s">
        <v>3405</v>
      </c>
      <c r="AB342" s="137"/>
      <c r="AC342" s="137" t="s">
        <v>2631</v>
      </c>
      <c r="AD342" s="92"/>
      <c r="AE342" s="93"/>
      <c r="AF342" s="93"/>
      <c r="AG342" s="93"/>
      <c r="AH342" s="94"/>
      <c r="AI342" s="83"/>
      <c r="AJ342" s="84"/>
      <c r="AK342" s="84"/>
      <c r="AL342" s="84"/>
      <c r="AM342" s="84"/>
      <c r="AN342" s="84"/>
      <c r="AO342" s="84"/>
      <c r="AP342" s="84"/>
      <c r="AQ342" s="95" t="s">
        <v>2223</v>
      </c>
      <c r="AR342" s="72"/>
      <c r="AS342" s="72"/>
      <c r="AT342" s="72"/>
      <c r="AU342" s="72"/>
      <c r="AV342" s="72"/>
      <c r="AW342" s="72"/>
      <c r="AX342" s="72"/>
      <c r="AY342" s="72"/>
      <c r="AZ342" s="72"/>
      <c r="BA342" s="72"/>
      <c r="BB342" s="16"/>
      <c r="BC342" s="22"/>
      <c r="BD342" s="147" t="s">
        <v>83</v>
      </c>
      <c r="BE342" s="147" t="s">
        <v>83</v>
      </c>
    </row>
    <row r="343" spans="1:57" s="81" customFormat="1" ht="12.95" hidden="1" customHeight="1">
      <c r="A343" s="248" t="e">
        <v>#N/A</v>
      </c>
      <c r="B343" s="252" t="e">
        <v>#N/A</v>
      </c>
      <c r="C343" s="269" t="s">
        <v>1088</v>
      </c>
      <c r="D343" s="239" t="s">
        <v>3392</v>
      </c>
      <c r="E343" s="58"/>
      <c r="F343" s="59" t="s">
        <v>2224</v>
      </c>
      <c r="G343" s="191" t="s">
        <v>2511</v>
      </c>
      <c r="H343" s="192" t="s">
        <v>1088</v>
      </c>
      <c r="I343" s="61" t="s">
        <v>2511</v>
      </c>
      <c r="J343" s="61" t="s">
        <v>2511</v>
      </c>
      <c r="K343" s="62" t="s">
        <v>2511</v>
      </c>
      <c r="L343" s="60" t="s">
        <v>2511</v>
      </c>
      <c r="M343" s="61" t="s">
        <v>2388</v>
      </c>
      <c r="N343" s="61" t="s">
        <v>2511</v>
      </c>
      <c r="O343" s="61" t="s">
        <v>2511</v>
      </c>
      <c r="P343" s="62" t="s">
        <v>2511</v>
      </c>
      <c r="Q343" s="82"/>
      <c r="R343" s="82"/>
      <c r="S343" s="82"/>
      <c r="T343" s="82"/>
      <c r="U343" s="82"/>
      <c r="V343" s="138" t="s">
        <v>3441</v>
      </c>
      <c r="W343" s="57" t="s">
        <v>3440</v>
      </c>
      <c r="X343" s="126" t="s">
        <v>2511</v>
      </c>
      <c r="Y343" s="126" t="s">
        <v>2511</v>
      </c>
      <c r="Z343" s="57"/>
      <c r="AA343" s="57" t="s">
        <v>3405</v>
      </c>
      <c r="AB343" s="138"/>
      <c r="AC343" s="138" t="s">
        <v>2631</v>
      </c>
      <c r="AD343" s="96"/>
      <c r="AE343" s="80"/>
      <c r="AF343" s="80"/>
      <c r="AG343" s="80"/>
      <c r="AH343" s="83"/>
      <c r="AI343" s="83"/>
      <c r="AJ343" s="84"/>
      <c r="AK343" s="84"/>
      <c r="AL343" s="84"/>
      <c r="AM343" s="84"/>
      <c r="AN343" s="84"/>
      <c r="AO343" s="84"/>
      <c r="AP343" s="84"/>
      <c r="AQ343" s="95" t="s">
        <v>2224</v>
      </c>
      <c r="AR343" s="72"/>
      <c r="AS343" s="72"/>
      <c r="AT343" s="72"/>
      <c r="AU343" s="72"/>
      <c r="AV343" s="72"/>
      <c r="AW343" s="72"/>
      <c r="AX343" s="72"/>
      <c r="AY343" s="72"/>
      <c r="AZ343" s="72"/>
      <c r="BA343" s="72"/>
      <c r="BB343" s="16"/>
      <c r="BC343" s="72"/>
      <c r="BD343" s="147" t="s">
        <v>83</v>
      </c>
      <c r="BE343" s="147" t="s">
        <v>83</v>
      </c>
    </row>
    <row r="344" spans="1:57" s="81" customFormat="1" ht="12.95" hidden="1" customHeight="1">
      <c r="A344" s="248" t="e">
        <v>#N/A</v>
      </c>
      <c r="B344" s="252" t="e">
        <v>#N/A</v>
      </c>
      <c r="C344" s="269" t="s">
        <v>1089</v>
      </c>
      <c r="D344" s="239" t="s">
        <v>3370</v>
      </c>
      <c r="E344" s="58"/>
      <c r="F344" s="59" t="s">
        <v>2225</v>
      </c>
      <c r="G344" s="191" t="s">
        <v>2511</v>
      </c>
      <c r="H344" s="192" t="s">
        <v>1089</v>
      </c>
      <c r="I344" s="61" t="s">
        <v>2511</v>
      </c>
      <c r="J344" s="61" t="s">
        <v>2511</v>
      </c>
      <c r="K344" s="62" t="s">
        <v>2511</v>
      </c>
      <c r="L344" s="60" t="s">
        <v>2511</v>
      </c>
      <c r="M344" s="61" t="s">
        <v>2388</v>
      </c>
      <c r="N344" s="61" t="s">
        <v>2511</v>
      </c>
      <c r="O344" s="61" t="s">
        <v>2511</v>
      </c>
      <c r="P344" s="62" t="s">
        <v>2511</v>
      </c>
      <c r="Q344" s="82"/>
      <c r="R344" s="82"/>
      <c r="S344" s="82"/>
      <c r="T344" s="82"/>
      <c r="U344" s="82"/>
      <c r="V344" s="138" t="s">
        <v>3442</v>
      </c>
      <c r="W344" s="57" t="s">
        <v>3440</v>
      </c>
      <c r="X344" s="126" t="s">
        <v>2511</v>
      </c>
      <c r="Y344" s="126" t="s">
        <v>2511</v>
      </c>
      <c r="Z344" s="57"/>
      <c r="AA344" s="57" t="s">
        <v>3405</v>
      </c>
      <c r="AB344" s="138"/>
      <c r="AC344" s="138" t="s">
        <v>2631</v>
      </c>
      <c r="AD344" s="96"/>
      <c r="AE344" s="80"/>
      <c r="AF344" s="80"/>
      <c r="AG344" s="80"/>
      <c r="AH344" s="83"/>
      <c r="AI344" s="83"/>
      <c r="AJ344" s="84"/>
      <c r="AK344" s="84"/>
      <c r="AL344" s="84"/>
      <c r="AM344" s="84"/>
      <c r="AN344" s="84"/>
      <c r="AO344" s="84"/>
      <c r="AP344" s="84"/>
      <c r="AQ344" s="95" t="s">
        <v>2225</v>
      </c>
      <c r="AR344" s="72"/>
      <c r="AS344" s="72"/>
      <c r="AT344" s="72"/>
      <c r="AU344" s="72"/>
      <c r="AV344" s="72"/>
      <c r="AW344" s="72"/>
      <c r="AX344" s="72"/>
      <c r="AY344" s="72"/>
      <c r="AZ344" s="72"/>
      <c r="BA344" s="72"/>
      <c r="BB344" s="16"/>
      <c r="BC344" s="72"/>
      <c r="BD344" s="147" t="s">
        <v>83</v>
      </c>
      <c r="BE344" s="147" t="s">
        <v>83</v>
      </c>
    </row>
    <row r="345" spans="1:57" s="81" customFormat="1" ht="12.95" hidden="1" customHeight="1">
      <c r="A345" s="248" t="e">
        <v>#N/A</v>
      </c>
      <c r="B345" s="252" t="e">
        <v>#N/A</v>
      </c>
      <c r="C345" s="269" t="s">
        <v>1090</v>
      </c>
      <c r="D345" s="239" t="s">
        <v>3358</v>
      </c>
      <c r="E345" s="58"/>
      <c r="F345" s="59" t="s">
        <v>2226</v>
      </c>
      <c r="G345" s="191" t="s">
        <v>2511</v>
      </c>
      <c r="H345" s="192" t="s">
        <v>1090</v>
      </c>
      <c r="I345" s="61" t="s">
        <v>2511</v>
      </c>
      <c r="J345" s="61" t="s">
        <v>2511</v>
      </c>
      <c r="K345" s="62" t="s">
        <v>2511</v>
      </c>
      <c r="L345" s="60" t="s">
        <v>2511</v>
      </c>
      <c r="M345" s="61" t="s">
        <v>2388</v>
      </c>
      <c r="N345" s="61" t="s">
        <v>2511</v>
      </c>
      <c r="O345" s="61" t="s">
        <v>2511</v>
      </c>
      <c r="P345" s="62" t="s">
        <v>2511</v>
      </c>
      <c r="Q345" s="82"/>
      <c r="R345" s="82"/>
      <c r="S345" s="82"/>
      <c r="T345" s="82"/>
      <c r="U345" s="82"/>
      <c r="V345" s="138" t="s">
        <v>3443</v>
      </c>
      <c r="W345" s="57" t="s">
        <v>3440</v>
      </c>
      <c r="X345" s="126" t="s">
        <v>2511</v>
      </c>
      <c r="Y345" s="126" t="s">
        <v>2511</v>
      </c>
      <c r="Z345" s="57"/>
      <c r="AA345" s="57" t="s">
        <v>3405</v>
      </c>
      <c r="AB345" s="138"/>
      <c r="AC345" s="138" t="s">
        <v>2631</v>
      </c>
      <c r="AD345" s="96"/>
      <c r="AE345" s="80"/>
      <c r="AF345" s="80"/>
      <c r="AG345" s="80"/>
      <c r="AH345" s="83"/>
      <c r="AI345" s="83"/>
      <c r="AJ345" s="84"/>
      <c r="AK345" s="84"/>
      <c r="AL345" s="84"/>
      <c r="AM345" s="84"/>
      <c r="AN345" s="84"/>
      <c r="AO345" s="84"/>
      <c r="AP345" s="84"/>
      <c r="AQ345" s="95" t="s">
        <v>2226</v>
      </c>
      <c r="AR345" s="72"/>
      <c r="AS345" s="72"/>
      <c r="AT345" s="72"/>
      <c r="AU345" s="72"/>
      <c r="AV345" s="72"/>
      <c r="AW345" s="72"/>
      <c r="AX345" s="72"/>
      <c r="AY345" s="72"/>
      <c r="AZ345" s="72"/>
      <c r="BA345" s="72"/>
      <c r="BB345" s="16"/>
      <c r="BC345" s="72"/>
      <c r="BD345" s="147" t="s">
        <v>83</v>
      </c>
      <c r="BE345" s="147" t="s">
        <v>83</v>
      </c>
    </row>
    <row r="346" spans="1:57" s="81" customFormat="1" ht="12.95" hidden="1" customHeight="1">
      <c r="A346" s="248" t="e">
        <v>#N/A</v>
      </c>
      <c r="B346" s="252" t="e">
        <v>#N/A</v>
      </c>
      <c r="C346" s="269" t="s">
        <v>1091</v>
      </c>
      <c r="D346" s="239" t="s">
        <v>3373</v>
      </c>
      <c r="E346" s="58"/>
      <c r="F346" s="59" t="s">
        <v>2227</v>
      </c>
      <c r="G346" s="191" t="s">
        <v>2511</v>
      </c>
      <c r="H346" s="192" t="s">
        <v>1091</v>
      </c>
      <c r="I346" s="61" t="s">
        <v>2511</v>
      </c>
      <c r="J346" s="61" t="s">
        <v>2511</v>
      </c>
      <c r="K346" s="62" t="s">
        <v>2511</v>
      </c>
      <c r="L346" s="60" t="s">
        <v>2511</v>
      </c>
      <c r="M346" s="61" t="s">
        <v>2388</v>
      </c>
      <c r="N346" s="61" t="s">
        <v>2511</v>
      </c>
      <c r="O346" s="61" t="s">
        <v>2511</v>
      </c>
      <c r="P346" s="62" t="s">
        <v>2511</v>
      </c>
      <c r="Q346" s="82"/>
      <c r="R346" s="82"/>
      <c r="S346" s="82"/>
      <c r="T346" s="82"/>
      <c r="U346" s="82"/>
      <c r="V346" s="138" t="s">
        <v>3444</v>
      </c>
      <c r="W346" s="57" t="s">
        <v>3440</v>
      </c>
      <c r="X346" s="126" t="s">
        <v>2511</v>
      </c>
      <c r="Y346" s="126" t="s">
        <v>2511</v>
      </c>
      <c r="Z346" s="57"/>
      <c r="AA346" s="57" t="s">
        <v>3405</v>
      </c>
      <c r="AB346" s="138"/>
      <c r="AC346" s="138" t="s">
        <v>2631</v>
      </c>
      <c r="AD346" s="96"/>
      <c r="AE346" s="80"/>
      <c r="AF346" s="80"/>
      <c r="AG346" s="80"/>
      <c r="AH346" s="83"/>
      <c r="AI346" s="83"/>
      <c r="AJ346" s="84"/>
      <c r="AK346" s="84"/>
      <c r="AL346" s="84"/>
      <c r="AM346" s="84"/>
      <c r="AN346" s="84"/>
      <c r="AO346" s="84"/>
      <c r="AP346" s="84"/>
      <c r="AQ346" s="95" t="s">
        <v>2227</v>
      </c>
      <c r="AR346" s="72"/>
      <c r="AS346" s="72"/>
      <c r="AT346" s="72"/>
      <c r="AU346" s="72"/>
      <c r="AV346" s="72"/>
      <c r="AW346" s="72"/>
      <c r="AX346" s="72"/>
      <c r="AY346" s="72"/>
      <c r="AZ346" s="72"/>
      <c r="BA346" s="72"/>
      <c r="BB346" s="16"/>
      <c r="BC346" s="72"/>
      <c r="BD346" s="147" t="s">
        <v>83</v>
      </c>
      <c r="BE346" s="147" t="s">
        <v>83</v>
      </c>
    </row>
    <row r="347" spans="1:57" s="81" customFormat="1" ht="12.95" hidden="1" customHeight="1">
      <c r="A347" s="248" t="e">
        <v>#N/A</v>
      </c>
      <c r="B347" s="252" t="e">
        <v>#N/A</v>
      </c>
      <c r="C347" s="269" t="s">
        <v>1092</v>
      </c>
      <c r="D347" s="239" t="s">
        <v>3445</v>
      </c>
      <c r="E347" s="58"/>
      <c r="F347" s="59" t="s">
        <v>2228</v>
      </c>
      <c r="G347" s="191" t="s">
        <v>2511</v>
      </c>
      <c r="H347" s="192" t="s">
        <v>1092</v>
      </c>
      <c r="I347" s="61" t="s">
        <v>2511</v>
      </c>
      <c r="J347" s="61" t="s">
        <v>2511</v>
      </c>
      <c r="K347" s="62" t="s">
        <v>2511</v>
      </c>
      <c r="L347" s="60" t="s">
        <v>2511</v>
      </c>
      <c r="M347" s="61" t="s">
        <v>2388</v>
      </c>
      <c r="N347" s="61" t="s">
        <v>2511</v>
      </c>
      <c r="O347" s="61" t="s">
        <v>2511</v>
      </c>
      <c r="P347" s="62" t="s">
        <v>2511</v>
      </c>
      <c r="Q347" s="82"/>
      <c r="R347" s="82"/>
      <c r="S347" s="82"/>
      <c r="T347" s="82"/>
      <c r="U347" s="82"/>
      <c r="V347" s="138" t="s">
        <v>3446</v>
      </c>
      <c r="W347" s="57" t="s">
        <v>3440</v>
      </c>
      <c r="X347" s="126" t="s">
        <v>2511</v>
      </c>
      <c r="Y347" s="126" t="s">
        <v>2511</v>
      </c>
      <c r="Z347" s="57"/>
      <c r="AA347" s="57" t="s">
        <v>3405</v>
      </c>
      <c r="AB347" s="138"/>
      <c r="AC347" s="138" t="s">
        <v>2631</v>
      </c>
      <c r="AD347" s="96"/>
      <c r="AE347" s="80"/>
      <c r="AF347" s="80"/>
      <c r="AG347" s="80"/>
      <c r="AH347" s="83"/>
      <c r="AI347" s="83"/>
      <c r="AJ347" s="84"/>
      <c r="AK347" s="84"/>
      <c r="AL347" s="84"/>
      <c r="AM347" s="84"/>
      <c r="AN347" s="84"/>
      <c r="AO347" s="84"/>
      <c r="AP347" s="84"/>
      <c r="AQ347" s="95" t="s">
        <v>2228</v>
      </c>
      <c r="AR347" s="72"/>
      <c r="AS347" s="72"/>
      <c r="AT347" s="72"/>
      <c r="AU347" s="72"/>
      <c r="AV347" s="72"/>
      <c r="AW347" s="72"/>
      <c r="AX347" s="72"/>
      <c r="AY347" s="72"/>
      <c r="AZ347" s="72"/>
      <c r="BA347" s="72"/>
      <c r="BB347" s="16"/>
      <c r="BC347" s="72"/>
      <c r="BD347" s="147" t="s">
        <v>83</v>
      </c>
      <c r="BE347" s="147" t="s">
        <v>83</v>
      </c>
    </row>
    <row r="348" spans="1:57" s="81" customFormat="1" ht="12.95" hidden="1" customHeight="1">
      <c r="A348" s="248" t="e">
        <v>#N/A</v>
      </c>
      <c r="B348" s="252" t="e">
        <v>#N/A</v>
      </c>
      <c r="C348" s="269" t="s">
        <v>1093</v>
      </c>
      <c r="D348" s="239" t="s">
        <v>3400</v>
      </c>
      <c r="E348" s="58"/>
      <c r="F348" s="59" t="s">
        <v>2229</v>
      </c>
      <c r="G348" s="191" t="s">
        <v>2511</v>
      </c>
      <c r="H348" s="192" t="s">
        <v>1093</v>
      </c>
      <c r="I348" s="61" t="s">
        <v>2511</v>
      </c>
      <c r="J348" s="61" t="s">
        <v>2511</v>
      </c>
      <c r="K348" s="62" t="s">
        <v>2511</v>
      </c>
      <c r="L348" s="60" t="s">
        <v>2511</v>
      </c>
      <c r="M348" s="61" t="s">
        <v>2388</v>
      </c>
      <c r="N348" s="61" t="s">
        <v>2511</v>
      </c>
      <c r="O348" s="61" t="s">
        <v>2511</v>
      </c>
      <c r="P348" s="62" t="s">
        <v>2511</v>
      </c>
      <c r="Q348" s="82"/>
      <c r="R348" s="82"/>
      <c r="S348" s="82"/>
      <c r="T348" s="82"/>
      <c r="U348" s="82"/>
      <c r="V348" s="138" t="s">
        <v>3447</v>
      </c>
      <c r="W348" s="57" t="s">
        <v>3440</v>
      </c>
      <c r="X348" s="126" t="s">
        <v>2511</v>
      </c>
      <c r="Y348" s="126" t="s">
        <v>2511</v>
      </c>
      <c r="Z348" s="57"/>
      <c r="AA348" s="57" t="s">
        <v>3405</v>
      </c>
      <c r="AB348" s="138"/>
      <c r="AC348" s="138" t="s">
        <v>2631</v>
      </c>
      <c r="AD348" s="96"/>
      <c r="AE348" s="80"/>
      <c r="AF348" s="80"/>
      <c r="AG348" s="80"/>
      <c r="AH348" s="83"/>
      <c r="AI348" s="83"/>
      <c r="AJ348" s="84"/>
      <c r="AK348" s="84"/>
      <c r="AL348" s="84"/>
      <c r="AM348" s="84"/>
      <c r="AN348" s="84"/>
      <c r="AO348" s="84"/>
      <c r="AP348" s="84"/>
      <c r="AQ348" s="95" t="s">
        <v>2229</v>
      </c>
      <c r="AR348" s="72"/>
      <c r="AS348" s="72"/>
      <c r="AT348" s="72"/>
      <c r="AU348" s="72"/>
      <c r="AV348" s="72"/>
      <c r="AW348" s="72"/>
      <c r="AX348" s="72"/>
      <c r="AY348" s="72"/>
      <c r="AZ348" s="72"/>
      <c r="BA348" s="72"/>
      <c r="BB348" s="16"/>
      <c r="BC348" s="72"/>
      <c r="BD348" s="147" t="s">
        <v>83</v>
      </c>
      <c r="BE348" s="147" t="s">
        <v>83</v>
      </c>
    </row>
    <row r="349" spans="1:57" s="81" customFormat="1" ht="12.95" hidden="1" customHeight="1">
      <c r="A349" s="248" t="e">
        <v>#N/A</v>
      </c>
      <c r="B349" s="252" t="e">
        <v>#N/A</v>
      </c>
      <c r="C349" s="269" t="s">
        <v>1094</v>
      </c>
      <c r="D349" s="239" t="s">
        <v>3448</v>
      </c>
      <c r="E349" s="58"/>
      <c r="F349" s="59" t="s">
        <v>2230</v>
      </c>
      <c r="G349" s="191" t="s">
        <v>2511</v>
      </c>
      <c r="H349" s="192" t="s">
        <v>1094</v>
      </c>
      <c r="I349" s="61" t="s">
        <v>2511</v>
      </c>
      <c r="J349" s="61" t="s">
        <v>2511</v>
      </c>
      <c r="K349" s="62" t="s">
        <v>2511</v>
      </c>
      <c r="L349" s="60" t="s">
        <v>2511</v>
      </c>
      <c r="M349" s="61" t="s">
        <v>2388</v>
      </c>
      <c r="N349" s="61" t="s">
        <v>2511</v>
      </c>
      <c r="O349" s="61" t="s">
        <v>2511</v>
      </c>
      <c r="P349" s="62" t="s">
        <v>2511</v>
      </c>
      <c r="Q349" s="82"/>
      <c r="R349" s="82"/>
      <c r="S349" s="82"/>
      <c r="T349" s="82"/>
      <c r="U349" s="82"/>
      <c r="V349" s="138" t="s">
        <v>3449</v>
      </c>
      <c r="W349" s="57" t="s">
        <v>3440</v>
      </c>
      <c r="X349" s="126" t="s">
        <v>2511</v>
      </c>
      <c r="Y349" s="126" t="s">
        <v>2511</v>
      </c>
      <c r="Z349" s="57"/>
      <c r="AA349" s="57" t="s">
        <v>3405</v>
      </c>
      <c r="AB349" s="138"/>
      <c r="AC349" s="138" t="s">
        <v>2631</v>
      </c>
      <c r="AD349" s="96"/>
      <c r="AE349" s="80"/>
      <c r="AF349" s="80"/>
      <c r="AG349" s="80"/>
      <c r="AH349" s="83"/>
      <c r="AI349" s="83"/>
      <c r="AJ349" s="84"/>
      <c r="AK349" s="84"/>
      <c r="AL349" s="84"/>
      <c r="AM349" s="84"/>
      <c r="AN349" s="84"/>
      <c r="AO349" s="84"/>
      <c r="AP349" s="84"/>
      <c r="AQ349" s="102" t="s">
        <v>2230</v>
      </c>
      <c r="AR349" s="72"/>
      <c r="AS349" s="72"/>
      <c r="AT349" s="72"/>
      <c r="AU349" s="72"/>
      <c r="AV349" s="72"/>
      <c r="AW349" s="72"/>
      <c r="AX349" s="72"/>
      <c r="AY349" s="72"/>
      <c r="AZ349" s="72"/>
      <c r="BA349" s="72"/>
      <c r="BB349" s="16"/>
      <c r="BC349" s="72"/>
      <c r="BD349" s="147" t="s">
        <v>83</v>
      </c>
      <c r="BE349" s="147" t="s">
        <v>83</v>
      </c>
    </row>
    <row r="350" spans="1:57" s="91" customFormat="1" ht="18" customHeight="1">
      <c r="A350" s="353"/>
      <c r="B350" s="354"/>
      <c r="C350" s="268" t="s">
        <v>229</v>
      </c>
      <c r="D350" s="268"/>
      <c r="E350" s="86"/>
      <c r="F350" s="86"/>
      <c r="G350" s="87"/>
      <c r="H350" s="87"/>
      <c r="I350" s="87"/>
      <c r="J350" s="87"/>
      <c r="K350" s="87"/>
      <c r="L350" s="86"/>
      <c r="M350" s="86"/>
      <c r="N350" s="86"/>
      <c r="O350" s="86"/>
      <c r="P350" s="86"/>
      <c r="Q350" s="86"/>
      <c r="R350" s="86"/>
      <c r="S350" s="86"/>
      <c r="T350" s="86"/>
      <c r="U350" s="86"/>
      <c r="V350" s="86"/>
      <c r="W350" s="86"/>
      <c r="X350" s="129"/>
      <c r="Y350" s="129"/>
      <c r="Z350" s="88"/>
      <c r="AA350" s="88"/>
      <c r="AB350" s="88"/>
      <c r="AC350" s="88"/>
      <c r="AD350" s="88"/>
      <c r="AE350" s="88"/>
      <c r="AF350" s="88"/>
      <c r="AG350" s="88"/>
      <c r="AH350" s="88"/>
      <c r="AI350" s="88"/>
      <c r="AJ350" s="88"/>
      <c r="AK350" s="88"/>
      <c r="AL350" s="88"/>
      <c r="AM350" s="88"/>
      <c r="AN350" s="88"/>
      <c r="AO350" s="88"/>
      <c r="AP350" s="88"/>
      <c r="AQ350" s="89"/>
      <c r="AR350" s="100"/>
      <c r="AS350" s="101"/>
      <c r="AT350" s="101"/>
      <c r="AU350" s="101"/>
      <c r="AV350" s="101"/>
      <c r="AW350" s="101"/>
      <c r="AX350" s="101"/>
      <c r="AY350" s="101"/>
      <c r="AZ350" s="101"/>
      <c r="BA350" s="101"/>
      <c r="BB350" s="101"/>
      <c r="BC350" s="175" t="s">
        <v>60</v>
      </c>
      <c r="BD350" s="101"/>
      <c r="BE350" s="100" t="s">
        <v>229</v>
      </c>
    </row>
    <row r="351" spans="1:57" s="81" customFormat="1" ht="12.95" customHeight="1">
      <c r="A351" s="247" t="s">
        <v>5506</v>
      </c>
      <c r="B351" s="251">
        <v>109</v>
      </c>
      <c r="C351" s="267" t="s">
        <v>225</v>
      </c>
      <c r="D351" s="239" t="s">
        <v>2811</v>
      </c>
      <c r="E351" s="58"/>
      <c r="F351" s="59" t="s">
        <v>258</v>
      </c>
      <c r="G351" s="191" t="s">
        <v>2511</v>
      </c>
      <c r="H351" s="192" t="s">
        <v>225</v>
      </c>
      <c r="I351" s="61"/>
      <c r="J351" s="61"/>
      <c r="K351" s="62" t="s">
        <v>2511</v>
      </c>
      <c r="L351" s="60" t="s">
        <v>2511</v>
      </c>
      <c r="M351" s="61" t="s">
        <v>2389</v>
      </c>
      <c r="N351" s="61" t="s">
        <v>2388</v>
      </c>
      <c r="O351" s="61" t="s">
        <v>2389</v>
      </c>
      <c r="P351" s="62" t="s">
        <v>2511</v>
      </c>
      <c r="Q351" s="82"/>
      <c r="R351" s="82"/>
      <c r="S351" s="82"/>
      <c r="T351" s="82"/>
      <c r="U351" s="82"/>
      <c r="V351" s="138" t="s">
        <v>3451</v>
      </c>
      <c r="W351" s="57" t="s">
        <v>3452</v>
      </c>
      <c r="X351" s="126" t="s">
        <v>2511</v>
      </c>
      <c r="Y351" s="126" t="s">
        <v>2511</v>
      </c>
      <c r="Z351" s="57"/>
      <c r="AA351" s="57" t="s">
        <v>3453</v>
      </c>
      <c r="AB351" s="137"/>
      <c r="AC351" s="137">
        <v>0</v>
      </c>
      <c r="AD351" s="93"/>
      <c r="AE351" s="93"/>
      <c r="AF351" s="93"/>
      <c r="AG351" s="93"/>
      <c r="AH351" s="94"/>
      <c r="AI351" s="83"/>
      <c r="AJ351" s="84"/>
      <c r="AK351" s="84"/>
      <c r="AL351" s="84"/>
      <c r="AM351" s="84"/>
      <c r="AN351" s="84"/>
      <c r="AO351" s="84"/>
      <c r="AP351" s="84"/>
      <c r="AQ351" s="105" t="s">
        <v>225</v>
      </c>
      <c r="AR351" s="72"/>
      <c r="AS351" s="72"/>
      <c r="AT351" s="72"/>
      <c r="AU351" s="72"/>
      <c r="AV351" s="72"/>
      <c r="AW351" s="72"/>
      <c r="AX351" s="72"/>
      <c r="AY351" s="72"/>
      <c r="AZ351" s="72"/>
      <c r="BA351" s="72"/>
      <c r="BB351" s="16"/>
      <c r="BC351" s="22"/>
      <c r="BD351" s="319" t="s">
        <v>225</v>
      </c>
      <c r="BE351" s="333" t="s">
        <v>5671</v>
      </c>
    </row>
    <row r="352" spans="1:57" s="81" customFormat="1" ht="12.95" customHeight="1">
      <c r="A352" s="247" t="s">
        <v>5507</v>
      </c>
      <c r="B352" s="251">
        <v>111</v>
      </c>
      <c r="C352" s="267" t="s">
        <v>226</v>
      </c>
      <c r="D352" s="239" t="s">
        <v>3455</v>
      </c>
      <c r="E352" s="58"/>
      <c r="F352" s="59" t="s">
        <v>259</v>
      </c>
      <c r="G352" s="191" t="s">
        <v>2511</v>
      </c>
      <c r="H352" s="192" t="s">
        <v>226</v>
      </c>
      <c r="I352" s="61"/>
      <c r="J352" s="61"/>
      <c r="K352" s="62" t="s">
        <v>2511</v>
      </c>
      <c r="L352" s="60" t="s">
        <v>2511</v>
      </c>
      <c r="M352" s="61" t="s">
        <v>2389</v>
      </c>
      <c r="N352" s="61" t="s">
        <v>2523</v>
      </c>
      <c r="O352" s="61" t="s">
        <v>2523</v>
      </c>
      <c r="P352" s="62" t="s">
        <v>2511</v>
      </c>
      <c r="Q352" s="82"/>
      <c r="R352" s="82"/>
      <c r="S352" s="82"/>
      <c r="T352" s="82"/>
      <c r="U352" s="82"/>
      <c r="V352" s="138" t="s">
        <v>3456</v>
      </c>
      <c r="W352" s="57" t="s">
        <v>3452</v>
      </c>
      <c r="X352" s="126" t="s">
        <v>2511</v>
      </c>
      <c r="Y352" s="126" t="s">
        <v>2511</v>
      </c>
      <c r="Z352" s="57"/>
      <c r="AA352" s="57" t="s">
        <v>3453</v>
      </c>
      <c r="AB352" s="138"/>
      <c r="AC352" s="138">
        <v>0</v>
      </c>
      <c r="AD352" s="80"/>
      <c r="AE352" s="80"/>
      <c r="AF352" s="80"/>
      <c r="AG352" s="80"/>
      <c r="AH352" s="83"/>
      <c r="AI352" s="83"/>
      <c r="AJ352" s="84"/>
      <c r="AK352" s="84"/>
      <c r="AL352" s="84"/>
      <c r="AM352" s="84"/>
      <c r="AN352" s="84"/>
      <c r="AO352" s="84"/>
      <c r="AP352" s="84"/>
      <c r="AQ352" s="103" t="s">
        <v>226</v>
      </c>
      <c r="AR352" s="72"/>
      <c r="AS352" s="72"/>
      <c r="AT352" s="72"/>
      <c r="AU352" s="72"/>
      <c r="AV352" s="72"/>
      <c r="AW352" s="72"/>
      <c r="AX352" s="72"/>
      <c r="AY352" s="72"/>
      <c r="AZ352" s="72"/>
      <c r="BA352" s="72"/>
      <c r="BB352" s="16"/>
      <c r="BC352" s="72"/>
      <c r="BD352" s="319" t="s">
        <v>226</v>
      </c>
      <c r="BE352" s="335"/>
    </row>
    <row r="353" spans="1:57" s="81" customFormat="1" ht="12.95" customHeight="1">
      <c r="A353" s="247" t="s">
        <v>5508</v>
      </c>
      <c r="B353" s="251">
        <v>115</v>
      </c>
      <c r="C353" s="267" t="s">
        <v>214</v>
      </c>
      <c r="D353" s="239" t="s">
        <v>3458</v>
      </c>
      <c r="E353" s="58"/>
      <c r="F353" s="59" t="s">
        <v>254</v>
      </c>
      <c r="G353" s="191" t="s">
        <v>2511</v>
      </c>
      <c r="H353" s="192" t="s">
        <v>214</v>
      </c>
      <c r="I353" s="61"/>
      <c r="J353" s="61"/>
      <c r="K353" s="62" t="s">
        <v>2511</v>
      </c>
      <c r="L353" s="60" t="s">
        <v>2511</v>
      </c>
      <c r="M353" s="61" t="s">
        <v>2389</v>
      </c>
      <c r="N353" s="61" t="s">
        <v>2388</v>
      </c>
      <c r="O353" s="61" t="s">
        <v>2389</v>
      </c>
      <c r="P353" s="62" t="s">
        <v>2511</v>
      </c>
      <c r="Q353" s="82"/>
      <c r="R353" s="82"/>
      <c r="S353" s="82"/>
      <c r="T353" s="82"/>
      <c r="U353" s="82"/>
      <c r="V353" s="138" t="s">
        <v>3459</v>
      </c>
      <c r="W353" s="57" t="s">
        <v>3452</v>
      </c>
      <c r="X353" s="126" t="s">
        <v>2511</v>
      </c>
      <c r="Y353" s="126" t="s">
        <v>2511</v>
      </c>
      <c r="Z353" s="57"/>
      <c r="AA353" s="57" t="s">
        <v>3453</v>
      </c>
      <c r="AB353" s="138"/>
      <c r="AC353" s="138">
        <v>0</v>
      </c>
      <c r="AD353" s="80"/>
      <c r="AE353" s="80"/>
      <c r="AF353" s="80"/>
      <c r="AG353" s="80"/>
      <c r="AH353" s="83"/>
      <c r="AI353" s="83"/>
      <c r="AJ353" s="84"/>
      <c r="AK353" s="84"/>
      <c r="AL353" s="84"/>
      <c r="AM353" s="84"/>
      <c r="AN353" s="84"/>
      <c r="AO353" s="84"/>
      <c r="AP353" s="84"/>
      <c r="AQ353" s="103" t="s">
        <v>214</v>
      </c>
      <c r="AR353" s="72"/>
      <c r="AS353" s="72"/>
      <c r="AT353" s="72"/>
      <c r="AU353" s="72"/>
      <c r="AV353" s="72"/>
      <c r="AW353" s="72"/>
      <c r="AX353" s="72"/>
      <c r="AY353" s="72"/>
      <c r="AZ353" s="72"/>
      <c r="BA353" s="72"/>
      <c r="BB353" s="16"/>
      <c r="BC353" s="72"/>
      <c r="BD353" s="319" t="s">
        <v>214</v>
      </c>
      <c r="BE353" s="333" t="s">
        <v>5672</v>
      </c>
    </row>
    <row r="354" spans="1:57" s="81" customFormat="1" ht="12.95" customHeight="1">
      <c r="A354" s="247" t="s">
        <v>5509</v>
      </c>
      <c r="B354" s="251">
        <v>117</v>
      </c>
      <c r="C354" s="267" t="s">
        <v>215</v>
      </c>
      <c r="D354" s="239" t="s">
        <v>96</v>
      </c>
      <c r="E354" s="58"/>
      <c r="F354" s="59" t="s">
        <v>255</v>
      </c>
      <c r="G354" s="191" t="s">
        <v>2511</v>
      </c>
      <c r="H354" s="192" t="s">
        <v>215</v>
      </c>
      <c r="I354" s="61"/>
      <c r="J354" s="61"/>
      <c r="K354" s="62" t="s">
        <v>2511</v>
      </c>
      <c r="L354" s="60" t="s">
        <v>2511</v>
      </c>
      <c r="M354" s="61" t="s">
        <v>2389</v>
      </c>
      <c r="N354" s="61" t="s">
        <v>2523</v>
      </c>
      <c r="O354" s="61" t="s">
        <v>2523</v>
      </c>
      <c r="P354" s="62" t="s">
        <v>2511</v>
      </c>
      <c r="Q354" s="82"/>
      <c r="R354" s="82"/>
      <c r="S354" s="82"/>
      <c r="T354" s="82"/>
      <c r="U354" s="82"/>
      <c r="V354" s="138" t="s">
        <v>3460</v>
      </c>
      <c r="W354" s="57" t="s">
        <v>3452</v>
      </c>
      <c r="X354" s="126" t="s">
        <v>2511</v>
      </c>
      <c r="Y354" s="126" t="s">
        <v>2511</v>
      </c>
      <c r="Z354" s="57"/>
      <c r="AA354" s="57" t="s">
        <v>3453</v>
      </c>
      <c r="AB354" s="138"/>
      <c r="AC354" s="138">
        <v>0</v>
      </c>
      <c r="AD354" s="80"/>
      <c r="AE354" s="80"/>
      <c r="AF354" s="80"/>
      <c r="AG354" s="80"/>
      <c r="AH354" s="83"/>
      <c r="AI354" s="83"/>
      <c r="AJ354" s="84"/>
      <c r="AK354" s="84"/>
      <c r="AL354" s="84"/>
      <c r="AM354" s="84"/>
      <c r="AN354" s="84"/>
      <c r="AO354" s="84"/>
      <c r="AP354" s="84"/>
      <c r="AQ354" s="103" t="s">
        <v>215</v>
      </c>
      <c r="AR354" s="72"/>
      <c r="AS354" s="72"/>
      <c r="AT354" s="72"/>
      <c r="AU354" s="72"/>
      <c r="AV354" s="72"/>
      <c r="AW354" s="72"/>
      <c r="AX354" s="72"/>
      <c r="AY354" s="72"/>
      <c r="AZ354" s="72"/>
      <c r="BA354" s="72"/>
      <c r="BB354" s="16"/>
      <c r="BC354" s="72"/>
      <c r="BD354" s="319" t="s">
        <v>215</v>
      </c>
      <c r="BE354" s="335" t="s">
        <v>80</v>
      </c>
    </row>
    <row r="355" spans="1:57" s="81" customFormat="1" ht="12.95" customHeight="1">
      <c r="A355" s="247" t="s">
        <v>5510</v>
      </c>
      <c r="B355" s="251">
        <v>121</v>
      </c>
      <c r="C355" s="267" t="s">
        <v>227</v>
      </c>
      <c r="D355" s="239" t="s">
        <v>2808</v>
      </c>
      <c r="E355" s="58"/>
      <c r="F355" s="59" t="s">
        <v>256</v>
      </c>
      <c r="G355" s="191" t="s">
        <v>2511</v>
      </c>
      <c r="H355" s="192" t="s">
        <v>227</v>
      </c>
      <c r="I355" s="61" t="s">
        <v>2511</v>
      </c>
      <c r="J355" s="61" t="s">
        <v>2511</v>
      </c>
      <c r="K355" s="62" t="s">
        <v>2511</v>
      </c>
      <c r="L355" s="60" t="s">
        <v>2511</v>
      </c>
      <c r="M355" s="61" t="s">
        <v>2389</v>
      </c>
      <c r="N355" s="61" t="s">
        <v>2511</v>
      </c>
      <c r="O355" s="61" t="s">
        <v>2511</v>
      </c>
      <c r="P355" s="62" t="s">
        <v>2511</v>
      </c>
      <c r="Q355" s="82"/>
      <c r="R355" s="82"/>
      <c r="S355" s="82"/>
      <c r="T355" s="82"/>
      <c r="U355" s="82"/>
      <c r="V355" s="138" t="s">
        <v>3462</v>
      </c>
      <c r="W355" s="57" t="s">
        <v>3452</v>
      </c>
      <c r="X355" s="126" t="s">
        <v>2511</v>
      </c>
      <c r="Y355" s="126" t="s">
        <v>2511</v>
      </c>
      <c r="Z355" s="57"/>
      <c r="AA355" s="57" t="s">
        <v>3453</v>
      </c>
      <c r="AB355" s="138"/>
      <c r="AC355" s="138">
        <v>0</v>
      </c>
      <c r="AD355" s="80"/>
      <c r="AE355" s="80"/>
      <c r="AF355" s="80"/>
      <c r="AG355" s="80"/>
      <c r="AH355" s="83"/>
      <c r="AI355" s="83"/>
      <c r="AJ355" s="84"/>
      <c r="AK355" s="84"/>
      <c r="AL355" s="84"/>
      <c r="AM355" s="84"/>
      <c r="AN355" s="84"/>
      <c r="AO355" s="84"/>
      <c r="AP355" s="84"/>
      <c r="AQ355" s="105" t="s">
        <v>227</v>
      </c>
      <c r="AR355" s="72"/>
      <c r="AS355" s="72"/>
      <c r="AT355" s="72"/>
      <c r="AU355" s="72"/>
      <c r="AV355" s="72"/>
      <c r="AW355" s="72"/>
      <c r="AX355" s="72"/>
      <c r="AY355" s="72"/>
      <c r="AZ355" s="72"/>
      <c r="BA355" s="72"/>
      <c r="BB355" s="16"/>
      <c r="BC355" s="72"/>
      <c r="BD355" s="319" t="s">
        <v>227</v>
      </c>
      <c r="BE355" s="333" t="s">
        <v>5673</v>
      </c>
    </row>
    <row r="356" spans="1:57" s="81" customFormat="1" ht="12.95" customHeight="1">
      <c r="A356" s="247" t="s">
        <v>5511</v>
      </c>
      <c r="B356" s="251">
        <v>123</v>
      </c>
      <c r="C356" s="267" t="s">
        <v>228</v>
      </c>
      <c r="D356" s="239" t="s">
        <v>2805</v>
      </c>
      <c r="E356" s="58"/>
      <c r="F356" s="59" t="s">
        <v>257</v>
      </c>
      <c r="G356" s="191" t="s">
        <v>2511</v>
      </c>
      <c r="H356" s="192" t="s">
        <v>228</v>
      </c>
      <c r="I356" s="61" t="s">
        <v>2511</v>
      </c>
      <c r="J356" s="61" t="s">
        <v>2511</v>
      </c>
      <c r="K356" s="62" t="s">
        <v>2511</v>
      </c>
      <c r="L356" s="60" t="s">
        <v>2511</v>
      </c>
      <c r="M356" s="61" t="s">
        <v>2389</v>
      </c>
      <c r="N356" s="61" t="s">
        <v>2511</v>
      </c>
      <c r="O356" s="61" t="s">
        <v>2511</v>
      </c>
      <c r="P356" s="62" t="s">
        <v>2511</v>
      </c>
      <c r="Q356" s="82"/>
      <c r="R356" s="82"/>
      <c r="S356" s="82"/>
      <c r="T356" s="82"/>
      <c r="U356" s="82"/>
      <c r="V356" s="138" t="s">
        <v>3463</v>
      </c>
      <c r="W356" s="57" t="s">
        <v>3452</v>
      </c>
      <c r="X356" s="126" t="s">
        <v>2511</v>
      </c>
      <c r="Y356" s="126" t="s">
        <v>2511</v>
      </c>
      <c r="Z356" s="57"/>
      <c r="AA356" s="57" t="s">
        <v>3453</v>
      </c>
      <c r="AB356" s="138"/>
      <c r="AC356" s="138">
        <v>0</v>
      </c>
      <c r="AD356" s="80"/>
      <c r="AE356" s="80"/>
      <c r="AF356" s="80"/>
      <c r="AG356" s="80"/>
      <c r="AH356" s="83"/>
      <c r="AI356" s="83"/>
      <c r="AJ356" s="84"/>
      <c r="AK356" s="84"/>
      <c r="AL356" s="84"/>
      <c r="AM356" s="84"/>
      <c r="AN356" s="84"/>
      <c r="AO356" s="84"/>
      <c r="AP356" s="84"/>
      <c r="AQ356" s="103" t="s">
        <v>228</v>
      </c>
      <c r="AR356" s="72"/>
      <c r="AS356" s="72"/>
      <c r="AT356" s="72"/>
      <c r="AU356" s="72"/>
      <c r="AV356" s="72"/>
      <c r="AW356" s="72"/>
      <c r="AX356" s="72"/>
      <c r="AY356" s="72"/>
      <c r="AZ356" s="72"/>
      <c r="BA356" s="72"/>
      <c r="BB356" s="16"/>
      <c r="BC356" s="72"/>
      <c r="BD356" s="319" t="s">
        <v>228</v>
      </c>
      <c r="BE356" s="335" t="s">
        <v>80</v>
      </c>
    </row>
    <row r="357" spans="1:57" s="81" customFormat="1" ht="12.95" hidden="1" customHeight="1">
      <c r="A357" s="248" t="e">
        <v>#N/A</v>
      </c>
      <c r="B357" s="252" t="e">
        <v>#N/A</v>
      </c>
      <c r="C357" s="269" t="s">
        <v>1096</v>
      </c>
      <c r="D357" s="239" t="s">
        <v>94</v>
      </c>
      <c r="E357" s="58"/>
      <c r="F357" s="59" t="s">
        <v>2267</v>
      </c>
      <c r="G357" s="191" t="s">
        <v>2511</v>
      </c>
      <c r="H357" s="192" t="s">
        <v>1096</v>
      </c>
      <c r="I357" s="61" t="s">
        <v>2511</v>
      </c>
      <c r="J357" s="61" t="s">
        <v>2511</v>
      </c>
      <c r="K357" s="62" t="s">
        <v>2511</v>
      </c>
      <c r="L357" s="60" t="s">
        <v>2511</v>
      </c>
      <c r="M357" s="61" t="s">
        <v>2389</v>
      </c>
      <c r="N357" s="61" t="s">
        <v>2511</v>
      </c>
      <c r="O357" s="61" t="s">
        <v>2511</v>
      </c>
      <c r="P357" s="62" t="s">
        <v>2511</v>
      </c>
      <c r="Q357" s="82"/>
      <c r="R357" s="82"/>
      <c r="S357" s="82"/>
      <c r="T357" s="82"/>
      <c r="U357" s="82"/>
      <c r="V357" s="138" t="s">
        <v>3465</v>
      </c>
      <c r="W357" s="57" t="s">
        <v>3452</v>
      </c>
      <c r="X357" s="126" t="s">
        <v>2511</v>
      </c>
      <c r="Y357" s="126" t="s">
        <v>2511</v>
      </c>
      <c r="Z357" s="57"/>
      <c r="AA357" s="57" t="s">
        <v>3453</v>
      </c>
      <c r="AB357" s="138"/>
      <c r="AC357" s="138">
        <v>0</v>
      </c>
      <c r="AD357" s="80"/>
      <c r="AE357" s="80"/>
      <c r="AF357" s="80"/>
      <c r="AG357" s="80"/>
      <c r="AH357" s="83"/>
      <c r="AI357" s="83"/>
      <c r="AJ357" s="84"/>
      <c r="AK357" s="84"/>
      <c r="AL357" s="84"/>
      <c r="AM357" s="84"/>
      <c r="AN357" s="84"/>
      <c r="AO357" s="84"/>
      <c r="AP357" s="84"/>
      <c r="AQ357" s="105" t="s">
        <v>1096</v>
      </c>
      <c r="AR357" s="72"/>
      <c r="AS357" s="72"/>
      <c r="AT357" s="72"/>
      <c r="AU357" s="72"/>
      <c r="AV357" s="72"/>
      <c r="AW357" s="72"/>
      <c r="AX357" s="72"/>
      <c r="AY357" s="72"/>
      <c r="AZ357" s="72"/>
      <c r="BA357" s="72"/>
      <c r="BB357" s="16"/>
      <c r="BC357" s="72"/>
      <c r="BD357" s="147" t="s">
        <v>83</v>
      </c>
      <c r="BE357" s="147" t="s">
        <v>83</v>
      </c>
    </row>
    <row r="358" spans="1:57" s="81" customFormat="1" ht="12.95" hidden="1" customHeight="1">
      <c r="A358" s="248" t="e">
        <v>#N/A</v>
      </c>
      <c r="B358" s="252" t="e">
        <v>#N/A</v>
      </c>
      <c r="C358" s="269" t="s">
        <v>1095</v>
      </c>
      <c r="D358" s="239" t="s">
        <v>3466</v>
      </c>
      <c r="E358" s="58"/>
      <c r="F358" s="59" t="s">
        <v>2333</v>
      </c>
      <c r="G358" s="191" t="s">
        <v>2511</v>
      </c>
      <c r="H358" s="192" t="s">
        <v>1095</v>
      </c>
      <c r="I358" s="61" t="s">
        <v>2511</v>
      </c>
      <c r="J358" s="61" t="s">
        <v>2511</v>
      </c>
      <c r="K358" s="62" t="s">
        <v>2511</v>
      </c>
      <c r="L358" s="60" t="s">
        <v>2511</v>
      </c>
      <c r="M358" s="61" t="s">
        <v>2389</v>
      </c>
      <c r="N358" s="61" t="s">
        <v>2511</v>
      </c>
      <c r="O358" s="61" t="s">
        <v>2511</v>
      </c>
      <c r="P358" s="62" t="s">
        <v>2511</v>
      </c>
      <c r="Q358" s="82"/>
      <c r="R358" s="82"/>
      <c r="S358" s="82"/>
      <c r="T358" s="82"/>
      <c r="U358" s="82"/>
      <c r="V358" s="138" t="s">
        <v>3467</v>
      </c>
      <c r="W358" s="57" t="s">
        <v>3452</v>
      </c>
      <c r="X358" s="126" t="s">
        <v>2511</v>
      </c>
      <c r="Y358" s="126" t="s">
        <v>2511</v>
      </c>
      <c r="Z358" s="57"/>
      <c r="AA358" s="57" t="s">
        <v>3453</v>
      </c>
      <c r="AB358" s="138"/>
      <c r="AC358" s="138">
        <v>0</v>
      </c>
      <c r="AD358" s="80"/>
      <c r="AE358" s="80"/>
      <c r="AF358" s="80"/>
      <c r="AG358" s="80"/>
      <c r="AH358" s="83"/>
      <c r="AI358" s="83"/>
      <c r="AJ358" s="84"/>
      <c r="AK358" s="84"/>
      <c r="AL358" s="84"/>
      <c r="AM358" s="84"/>
      <c r="AN358" s="84"/>
      <c r="AO358" s="84"/>
      <c r="AP358" s="84"/>
      <c r="AQ358" s="103" t="s">
        <v>1095</v>
      </c>
      <c r="AR358" s="72"/>
      <c r="AS358" s="72"/>
      <c r="AT358" s="72"/>
      <c r="AU358" s="72"/>
      <c r="AV358" s="72"/>
      <c r="AW358" s="72"/>
      <c r="AX358" s="72"/>
      <c r="AY358" s="72"/>
      <c r="AZ358" s="72"/>
      <c r="BA358" s="72"/>
      <c r="BB358" s="16"/>
      <c r="BC358" s="72"/>
      <c r="BD358" s="147" t="s">
        <v>83</v>
      </c>
      <c r="BE358" s="147" t="s">
        <v>83</v>
      </c>
    </row>
    <row r="359" spans="1:57" s="91" customFormat="1" ht="18" customHeight="1">
      <c r="A359" s="353"/>
      <c r="B359" s="354"/>
      <c r="C359" s="268" t="s">
        <v>769</v>
      </c>
      <c r="D359" s="268"/>
      <c r="E359" s="86"/>
      <c r="F359" s="86"/>
      <c r="G359" s="87"/>
      <c r="H359" s="87"/>
      <c r="I359" s="87"/>
      <c r="J359" s="87"/>
      <c r="K359" s="87"/>
      <c r="L359" s="86"/>
      <c r="M359" s="86"/>
      <c r="N359" s="86"/>
      <c r="O359" s="86"/>
      <c r="P359" s="86"/>
      <c r="Q359" s="86"/>
      <c r="R359" s="86"/>
      <c r="S359" s="86"/>
      <c r="T359" s="86"/>
      <c r="U359" s="86"/>
      <c r="V359" s="86"/>
      <c r="W359" s="86"/>
      <c r="X359" s="129"/>
      <c r="Y359" s="129"/>
      <c r="Z359" s="88"/>
      <c r="AA359" s="88"/>
      <c r="AB359" s="88"/>
      <c r="AC359" s="88"/>
      <c r="AD359" s="88"/>
      <c r="AE359" s="88"/>
      <c r="AF359" s="88"/>
      <c r="AG359" s="88"/>
      <c r="AH359" s="88"/>
      <c r="AI359" s="88"/>
      <c r="AJ359" s="88"/>
      <c r="AK359" s="88"/>
      <c r="AL359" s="88"/>
      <c r="AM359" s="88"/>
      <c r="AN359" s="88"/>
      <c r="AO359" s="88"/>
      <c r="AP359" s="88"/>
      <c r="AQ359" s="89"/>
      <c r="AR359" s="100"/>
      <c r="AS359" s="101"/>
      <c r="AT359" s="101"/>
      <c r="AU359" s="101"/>
      <c r="AV359" s="101"/>
      <c r="AW359" s="101"/>
      <c r="AX359" s="101"/>
      <c r="AY359" s="101"/>
      <c r="AZ359" s="101"/>
      <c r="BA359" s="101"/>
      <c r="BB359" s="101"/>
      <c r="BC359" s="175" t="s">
        <v>956</v>
      </c>
      <c r="BD359" s="101"/>
      <c r="BE359" s="100" t="s">
        <v>769</v>
      </c>
    </row>
    <row r="360" spans="1:57" s="81" customFormat="1" ht="12.95" hidden="1" customHeight="1">
      <c r="A360" s="248" t="s">
        <v>2484</v>
      </c>
      <c r="B360" s="252" t="s">
        <v>3468</v>
      </c>
      <c r="C360" s="269" t="s">
        <v>770</v>
      </c>
      <c r="D360" s="239" t="s">
        <v>3469</v>
      </c>
      <c r="E360" s="58"/>
      <c r="F360" s="59" t="s">
        <v>826</v>
      </c>
      <c r="G360" s="191" t="s">
        <v>2511</v>
      </c>
      <c r="H360" s="192" t="s">
        <v>770</v>
      </c>
      <c r="I360" s="61" t="s">
        <v>2511</v>
      </c>
      <c r="J360" s="61" t="s">
        <v>2511</v>
      </c>
      <c r="K360" s="62" t="s">
        <v>2511</v>
      </c>
      <c r="L360" s="60" t="s">
        <v>2511</v>
      </c>
      <c r="M360" s="61" t="s">
        <v>2523</v>
      </c>
      <c r="N360" s="61" t="s">
        <v>2511</v>
      </c>
      <c r="O360" s="61" t="s">
        <v>2511</v>
      </c>
      <c r="P360" s="62" t="s">
        <v>2511</v>
      </c>
      <c r="Q360" s="82"/>
      <c r="R360" s="82"/>
      <c r="S360" s="82"/>
      <c r="T360" s="82"/>
      <c r="U360" s="82"/>
      <c r="V360" s="138" t="s">
        <v>3470</v>
      </c>
      <c r="W360" s="57" t="s">
        <v>3471</v>
      </c>
      <c r="X360" s="126" t="s">
        <v>2511</v>
      </c>
      <c r="Y360" s="126" t="s">
        <v>2511</v>
      </c>
      <c r="Z360" s="57"/>
      <c r="AA360" s="57" t="s">
        <v>3472</v>
      </c>
      <c r="AB360" s="137"/>
      <c r="AC360" s="137" t="s">
        <v>2631</v>
      </c>
      <c r="AD360" s="80"/>
      <c r="AE360" s="80"/>
      <c r="AF360" s="80"/>
      <c r="AG360" s="80"/>
      <c r="AH360" s="83"/>
      <c r="AI360" s="83"/>
      <c r="AJ360" s="84"/>
      <c r="AK360" s="84"/>
      <c r="AL360" s="84"/>
      <c r="AM360" s="84"/>
      <c r="AN360" s="84"/>
      <c r="AO360" s="84"/>
      <c r="AP360" s="84"/>
      <c r="AQ360" s="105" t="s">
        <v>826</v>
      </c>
      <c r="AR360" s="72"/>
      <c r="AS360" s="72"/>
      <c r="AT360" s="72"/>
      <c r="AU360" s="72"/>
      <c r="AV360" s="72"/>
      <c r="AW360" s="72"/>
      <c r="AX360" s="72"/>
      <c r="AY360" s="72"/>
      <c r="AZ360" s="72"/>
      <c r="BA360" s="72"/>
      <c r="BB360" s="16"/>
      <c r="BC360" s="72"/>
      <c r="BD360" s="147" t="s">
        <v>83</v>
      </c>
      <c r="BE360" s="147" t="s">
        <v>83</v>
      </c>
    </row>
    <row r="361" spans="1:57" s="81" customFormat="1" ht="12.95" hidden="1" customHeight="1">
      <c r="A361" s="248" t="s">
        <v>2485</v>
      </c>
      <c r="B361" s="252" t="s">
        <v>3473</v>
      </c>
      <c r="C361" s="269" t="s">
        <v>771</v>
      </c>
      <c r="D361" s="239" t="s">
        <v>3474</v>
      </c>
      <c r="E361" s="58"/>
      <c r="F361" s="59" t="s">
        <v>825</v>
      </c>
      <c r="G361" s="191" t="s">
        <v>2511</v>
      </c>
      <c r="H361" s="192" t="s">
        <v>771</v>
      </c>
      <c r="I361" s="61" t="s">
        <v>2511</v>
      </c>
      <c r="J361" s="61" t="s">
        <v>2511</v>
      </c>
      <c r="K361" s="62" t="s">
        <v>2511</v>
      </c>
      <c r="L361" s="60" t="s">
        <v>2511</v>
      </c>
      <c r="M361" s="61" t="s">
        <v>2523</v>
      </c>
      <c r="N361" s="61" t="s">
        <v>2511</v>
      </c>
      <c r="O361" s="61" t="s">
        <v>2511</v>
      </c>
      <c r="P361" s="62" t="s">
        <v>2511</v>
      </c>
      <c r="Q361" s="82"/>
      <c r="R361" s="82"/>
      <c r="S361" s="82"/>
      <c r="T361" s="82"/>
      <c r="U361" s="82"/>
      <c r="V361" s="138" t="s">
        <v>3475</v>
      </c>
      <c r="W361" s="57" t="s">
        <v>3471</v>
      </c>
      <c r="X361" s="126" t="s">
        <v>2511</v>
      </c>
      <c r="Y361" s="126" t="s">
        <v>2511</v>
      </c>
      <c r="Z361" s="57"/>
      <c r="AA361" s="57" t="s">
        <v>3472</v>
      </c>
      <c r="AB361" s="138"/>
      <c r="AC361" s="138" t="s">
        <v>2631</v>
      </c>
      <c r="AD361" s="80"/>
      <c r="AE361" s="80"/>
      <c r="AF361" s="80"/>
      <c r="AG361" s="80"/>
      <c r="AH361" s="83"/>
      <c r="AI361" s="83"/>
      <c r="AJ361" s="84"/>
      <c r="AK361" s="84"/>
      <c r="AL361" s="84"/>
      <c r="AM361" s="84"/>
      <c r="AN361" s="84"/>
      <c r="AO361" s="84"/>
      <c r="AP361" s="84"/>
      <c r="AQ361" s="103" t="s">
        <v>825</v>
      </c>
      <c r="AR361" s="72"/>
      <c r="AS361" s="72"/>
      <c r="AT361" s="72"/>
      <c r="AU361" s="72"/>
      <c r="AV361" s="72"/>
      <c r="AW361" s="72"/>
      <c r="AX361" s="72"/>
      <c r="AY361" s="72"/>
      <c r="AZ361" s="72"/>
      <c r="BA361" s="72"/>
      <c r="BB361" s="16"/>
      <c r="BC361" s="72"/>
      <c r="BD361" s="147" t="s">
        <v>83</v>
      </c>
      <c r="BE361" s="147" t="s">
        <v>83</v>
      </c>
    </row>
    <row r="362" spans="1:57" s="81" customFormat="1" ht="12.95" hidden="1" customHeight="1">
      <c r="A362" s="248" t="s">
        <v>2486</v>
      </c>
      <c r="B362" s="252" t="s">
        <v>3476</v>
      </c>
      <c r="C362" s="269" t="s">
        <v>1097</v>
      </c>
      <c r="D362" s="239" t="s">
        <v>3477</v>
      </c>
      <c r="E362" s="58"/>
      <c r="F362" s="59" t="s">
        <v>2268</v>
      </c>
      <c r="G362" s="191" t="s">
        <v>2511</v>
      </c>
      <c r="H362" s="192" t="s">
        <v>1097</v>
      </c>
      <c r="I362" s="61" t="s">
        <v>2511</v>
      </c>
      <c r="J362" s="61" t="s">
        <v>2511</v>
      </c>
      <c r="K362" s="62" t="s">
        <v>2511</v>
      </c>
      <c r="L362" s="60" t="s">
        <v>2511</v>
      </c>
      <c r="M362" s="61" t="s">
        <v>2523</v>
      </c>
      <c r="N362" s="61" t="s">
        <v>2511</v>
      </c>
      <c r="O362" s="61" t="s">
        <v>2511</v>
      </c>
      <c r="P362" s="62" t="s">
        <v>2511</v>
      </c>
      <c r="Q362" s="82"/>
      <c r="R362" s="82"/>
      <c r="S362" s="82"/>
      <c r="T362" s="82"/>
      <c r="U362" s="82"/>
      <c r="V362" s="138" t="s">
        <v>3478</v>
      </c>
      <c r="W362" s="57" t="s">
        <v>3471</v>
      </c>
      <c r="X362" s="126" t="s">
        <v>2511</v>
      </c>
      <c r="Y362" s="126" t="s">
        <v>2511</v>
      </c>
      <c r="Z362" s="57"/>
      <c r="AA362" s="57" t="s">
        <v>3472</v>
      </c>
      <c r="AB362" s="138"/>
      <c r="AC362" s="138" t="s">
        <v>2631</v>
      </c>
      <c r="AD362" s="80"/>
      <c r="AE362" s="80"/>
      <c r="AF362" s="80"/>
      <c r="AG362" s="80"/>
      <c r="AH362" s="83"/>
      <c r="AI362" s="83"/>
      <c r="AJ362" s="84"/>
      <c r="AK362" s="84"/>
      <c r="AL362" s="84"/>
      <c r="AM362" s="84"/>
      <c r="AN362" s="84"/>
      <c r="AO362" s="84"/>
      <c r="AP362" s="84"/>
      <c r="AQ362" s="105" t="s">
        <v>2268</v>
      </c>
      <c r="AR362" s="72"/>
      <c r="AS362" s="72"/>
      <c r="AT362" s="72"/>
      <c r="AU362" s="72"/>
      <c r="AV362" s="72"/>
      <c r="AW362" s="72"/>
      <c r="AX362" s="72"/>
      <c r="AY362" s="72"/>
      <c r="AZ362" s="72"/>
      <c r="BA362" s="72"/>
      <c r="BB362" s="16"/>
      <c r="BC362" s="72"/>
      <c r="BD362" s="147" t="s">
        <v>83</v>
      </c>
      <c r="BE362" s="147" t="s">
        <v>83</v>
      </c>
    </row>
    <row r="363" spans="1:57" s="81" customFormat="1" ht="12.95" hidden="1" customHeight="1">
      <c r="A363" s="248" t="s">
        <v>2487</v>
      </c>
      <c r="B363" s="252" t="s">
        <v>3479</v>
      </c>
      <c r="C363" s="269" t="s">
        <v>1098</v>
      </c>
      <c r="D363" s="239" t="s">
        <v>3480</v>
      </c>
      <c r="E363" s="58"/>
      <c r="F363" s="59" t="s">
        <v>2269</v>
      </c>
      <c r="G363" s="191" t="s">
        <v>2511</v>
      </c>
      <c r="H363" s="192" t="s">
        <v>1098</v>
      </c>
      <c r="I363" s="61" t="s">
        <v>2511</v>
      </c>
      <c r="J363" s="61" t="s">
        <v>2511</v>
      </c>
      <c r="K363" s="62" t="s">
        <v>2511</v>
      </c>
      <c r="L363" s="60" t="s">
        <v>2511</v>
      </c>
      <c r="M363" s="61" t="s">
        <v>2523</v>
      </c>
      <c r="N363" s="61" t="s">
        <v>2511</v>
      </c>
      <c r="O363" s="61" t="s">
        <v>2511</v>
      </c>
      <c r="P363" s="62" t="s">
        <v>2511</v>
      </c>
      <c r="Q363" s="82"/>
      <c r="R363" s="82"/>
      <c r="S363" s="82"/>
      <c r="T363" s="82"/>
      <c r="U363" s="82"/>
      <c r="V363" s="138" t="s">
        <v>3481</v>
      </c>
      <c r="W363" s="57" t="s">
        <v>3471</v>
      </c>
      <c r="X363" s="126" t="s">
        <v>2511</v>
      </c>
      <c r="Y363" s="126" t="s">
        <v>2511</v>
      </c>
      <c r="Z363" s="57"/>
      <c r="AA363" s="57" t="s">
        <v>3472</v>
      </c>
      <c r="AB363" s="138"/>
      <c r="AC363" s="138" t="s">
        <v>2631</v>
      </c>
      <c r="AD363" s="80"/>
      <c r="AE363" s="80"/>
      <c r="AF363" s="80"/>
      <c r="AG363" s="80"/>
      <c r="AH363" s="83"/>
      <c r="AI363" s="83"/>
      <c r="AJ363" s="84"/>
      <c r="AK363" s="84"/>
      <c r="AL363" s="84"/>
      <c r="AM363" s="84"/>
      <c r="AN363" s="84"/>
      <c r="AO363" s="84"/>
      <c r="AP363" s="84"/>
      <c r="AQ363" s="103" t="s">
        <v>2269</v>
      </c>
      <c r="AR363" s="72"/>
      <c r="AS363" s="72"/>
      <c r="AT363" s="72"/>
      <c r="AU363" s="72"/>
      <c r="AV363" s="72"/>
      <c r="AW363" s="72"/>
      <c r="AX363" s="72"/>
      <c r="AY363" s="72"/>
      <c r="AZ363" s="72"/>
      <c r="BA363" s="72"/>
      <c r="BB363" s="16"/>
      <c r="BC363" s="72"/>
      <c r="BD363" s="147" t="s">
        <v>83</v>
      </c>
      <c r="BE363" s="147" t="s">
        <v>83</v>
      </c>
    </row>
    <row r="364" spans="1:57" s="81" customFormat="1" ht="12.95" hidden="1" customHeight="1">
      <c r="A364" s="248" t="e">
        <v>#N/A</v>
      </c>
      <c r="B364" s="252" t="e">
        <v>#N/A</v>
      </c>
      <c r="C364" s="269" t="s">
        <v>311</v>
      </c>
      <c r="D364" s="239" t="s">
        <v>3173</v>
      </c>
      <c r="E364" s="58"/>
      <c r="F364" s="59" t="s">
        <v>529</v>
      </c>
      <c r="G364" s="191" t="s">
        <v>2511</v>
      </c>
      <c r="H364" s="192" t="s">
        <v>890</v>
      </c>
      <c r="I364" s="61" t="s">
        <v>2511</v>
      </c>
      <c r="J364" s="61"/>
      <c r="K364" s="62" t="s">
        <v>2511</v>
      </c>
      <c r="L364" s="60" t="s">
        <v>2511</v>
      </c>
      <c r="M364" s="61" t="s">
        <v>2523</v>
      </c>
      <c r="N364" s="61" t="s">
        <v>2511</v>
      </c>
      <c r="O364" s="61"/>
      <c r="P364" s="62" t="s">
        <v>2511</v>
      </c>
      <c r="Q364" s="82"/>
      <c r="R364" s="82"/>
      <c r="S364" s="82"/>
      <c r="T364" s="82"/>
      <c r="U364" s="82"/>
      <c r="V364" s="138" t="s">
        <v>3482</v>
      </c>
      <c r="W364" s="57" t="s">
        <v>3471</v>
      </c>
      <c r="X364" s="126" t="s">
        <v>2511</v>
      </c>
      <c r="Y364" s="126" t="s">
        <v>2511</v>
      </c>
      <c r="Z364" s="57"/>
      <c r="AA364" s="57" t="s">
        <v>3472</v>
      </c>
      <c r="AB364" s="138"/>
      <c r="AC364" s="138" t="s">
        <v>2631</v>
      </c>
      <c r="AD364" s="80"/>
      <c r="AE364" s="80"/>
      <c r="AF364" s="80"/>
      <c r="AG364" s="80"/>
      <c r="AH364" s="83"/>
      <c r="AI364" s="83"/>
      <c r="AJ364" s="84"/>
      <c r="AK364" s="84"/>
      <c r="AL364" s="84"/>
      <c r="AM364" s="84"/>
      <c r="AN364" s="84"/>
      <c r="AO364" s="84"/>
      <c r="AP364" s="84"/>
      <c r="AQ364" s="105" t="s">
        <v>529</v>
      </c>
      <c r="AR364" s="72"/>
      <c r="AS364" s="72"/>
      <c r="AT364" s="72"/>
      <c r="AU364" s="72"/>
      <c r="AV364" s="72"/>
      <c r="AW364" s="72"/>
      <c r="AX364" s="72"/>
      <c r="AY364" s="72"/>
      <c r="AZ364" s="72"/>
      <c r="BA364" s="72"/>
      <c r="BB364" s="16"/>
      <c r="BC364" s="72"/>
      <c r="BD364" s="147" t="s">
        <v>83</v>
      </c>
      <c r="BE364" s="147" t="s">
        <v>83</v>
      </c>
    </row>
    <row r="365" spans="1:57" s="81" customFormat="1" ht="12.95" hidden="1" customHeight="1">
      <c r="A365" s="248" t="e">
        <v>#N/A</v>
      </c>
      <c r="B365" s="252" t="e">
        <v>#N/A</v>
      </c>
      <c r="C365" s="269" t="s">
        <v>307</v>
      </c>
      <c r="D365" s="239" t="s">
        <v>3484</v>
      </c>
      <c r="E365" s="58"/>
      <c r="F365" s="59" t="s">
        <v>528</v>
      </c>
      <c r="G365" s="191" t="s">
        <v>2511</v>
      </c>
      <c r="H365" s="192" t="s">
        <v>891</v>
      </c>
      <c r="I365" s="61" t="s">
        <v>2511</v>
      </c>
      <c r="J365" s="61"/>
      <c r="K365" s="62" t="s">
        <v>2511</v>
      </c>
      <c r="L365" s="60" t="s">
        <v>2511</v>
      </c>
      <c r="M365" s="61" t="s">
        <v>2523</v>
      </c>
      <c r="N365" s="61" t="s">
        <v>2511</v>
      </c>
      <c r="O365" s="61"/>
      <c r="P365" s="62" t="s">
        <v>2511</v>
      </c>
      <c r="Q365" s="82"/>
      <c r="R365" s="82"/>
      <c r="S365" s="82"/>
      <c r="T365" s="82"/>
      <c r="U365" s="82"/>
      <c r="V365" s="138" t="s">
        <v>3485</v>
      </c>
      <c r="W365" s="57" t="s">
        <v>3471</v>
      </c>
      <c r="X365" s="126" t="s">
        <v>2511</v>
      </c>
      <c r="Y365" s="126" t="s">
        <v>2511</v>
      </c>
      <c r="Z365" s="57"/>
      <c r="AA365" s="57" t="s">
        <v>3472</v>
      </c>
      <c r="AB365" s="138"/>
      <c r="AC365" s="138" t="s">
        <v>2631</v>
      </c>
      <c r="AD365" s="80"/>
      <c r="AE365" s="80"/>
      <c r="AF365" s="80"/>
      <c r="AG365" s="80"/>
      <c r="AH365" s="83"/>
      <c r="AI365" s="83"/>
      <c r="AJ365" s="84"/>
      <c r="AK365" s="84"/>
      <c r="AL365" s="84"/>
      <c r="AM365" s="84"/>
      <c r="AN365" s="84"/>
      <c r="AO365" s="84"/>
      <c r="AP365" s="84"/>
      <c r="AQ365" s="103" t="s">
        <v>528</v>
      </c>
      <c r="AR365" s="72"/>
      <c r="AS365" s="72"/>
      <c r="AT365" s="72"/>
      <c r="AU365" s="72"/>
      <c r="AV365" s="72"/>
      <c r="AW365" s="72"/>
      <c r="AX365" s="72"/>
      <c r="AY365" s="72"/>
      <c r="AZ365" s="72"/>
      <c r="BA365" s="72"/>
      <c r="BB365" s="16"/>
      <c r="BC365" s="72"/>
      <c r="BD365" s="147" t="s">
        <v>83</v>
      </c>
      <c r="BE365" s="147" t="s">
        <v>83</v>
      </c>
    </row>
    <row r="366" spans="1:57" s="81" customFormat="1" ht="12.95" hidden="1" customHeight="1">
      <c r="A366" s="248" t="e">
        <v>#N/A</v>
      </c>
      <c r="B366" s="252" t="e">
        <v>#N/A</v>
      </c>
      <c r="C366" s="269" t="s">
        <v>312</v>
      </c>
      <c r="D366" s="239" t="s">
        <v>3486</v>
      </c>
      <c r="E366" s="58"/>
      <c r="F366" s="59" t="s">
        <v>531</v>
      </c>
      <c r="G366" s="191" t="s">
        <v>2511</v>
      </c>
      <c r="H366" s="192" t="s">
        <v>892</v>
      </c>
      <c r="I366" s="61" t="s">
        <v>2511</v>
      </c>
      <c r="J366" s="61"/>
      <c r="K366" s="62" t="s">
        <v>2511</v>
      </c>
      <c r="L366" s="60" t="s">
        <v>2511</v>
      </c>
      <c r="M366" s="61" t="s">
        <v>2388</v>
      </c>
      <c r="N366" s="61" t="s">
        <v>2511</v>
      </c>
      <c r="O366" s="61"/>
      <c r="P366" s="62" t="s">
        <v>2511</v>
      </c>
      <c r="Q366" s="82"/>
      <c r="R366" s="82"/>
      <c r="S366" s="82"/>
      <c r="T366" s="82"/>
      <c r="U366" s="82"/>
      <c r="V366" s="138" t="s">
        <v>3487</v>
      </c>
      <c r="W366" s="57" t="s">
        <v>3471</v>
      </c>
      <c r="X366" s="126" t="s">
        <v>2511</v>
      </c>
      <c r="Y366" s="126" t="s">
        <v>2511</v>
      </c>
      <c r="Z366" s="57"/>
      <c r="AA366" s="57" t="s">
        <v>3472</v>
      </c>
      <c r="AB366" s="138"/>
      <c r="AC366" s="138" t="s">
        <v>2631</v>
      </c>
      <c r="AD366" s="80"/>
      <c r="AE366" s="80"/>
      <c r="AF366" s="80"/>
      <c r="AG366" s="80"/>
      <c r="AH366" s="83"/>
      <c r="AI366" s="83"/>
      <c r="AJ366" s="84"/>
      <c r="AK366" s="84"/>
      <c r="AL366" s="84"/>
      <c r="AM366" s="84"/>
      <c r="AN366" s="84"/>
      <c r="AO366" s="84"/>
      <c r="AP366" s="84"/>
      <c r="AQ366" s="105" t="s">
        <v>531</v>
      </c>
      <c r="AR366" s="72"/>
      <c r="AS366" s="72"/>
      <c r="AT366" s="72"/>
      <c r="AU366" s="72"/>
      <c r="AV366" s="72"/>
      <c r="AW366" s="72"/>
      <c r="AX366" s="72"/>
      <c r="AY366" s="72"/>
      <c r="AZ366" s="72"/>
      <c r="BA366" s="72"/>
      <c r="BB366" s="16"/>
      <c r="BC366" s="72"/>
      <c r="BD366" s="147" t="s">
        <v>83</v>
      </c>
      <c r="BE366" s="147" t="s">
        <v>83</v>
      </c>
    </row>
    <row r="367" spans="1:57" s="81" customFormat="1" ht="12.95" hidden="1" customHeight="1">
      <c r="A367" s="248" t="e">
        <v>#N/A</v>
      </c>
      <c r="B367" s="252" t="e">
        <v>#N/A</v>
      </c>
      <c r="C367" s="269" t="s">
        <v>309</v>
      </c>
      <c r="D367" s="239" t="s">
        <v>3488</v>
      </c>
      <c r="E367" s="58"/>
      <c r="F367" s="59" t="s">
        <v>530</v>
      </c>
      <c r="G367" s="191" t="s">
        <v>2511</v>
      </c>
      <c r="H367" s="192" t="s">
        <v>893</v>
      </c>
      <c r="I367" s="61" t="s">
        <v>2511</v>
      </c>
      <c r="J367" s="61"/>
      <c r="K367" s="62" t="s">
        <v>2511</v>
      </c>
      <c r="L367" s="60" t="s">
        <v>2511</v>
      </c>
      <c r="M367" s="61" t="s">
        <v>2388</v>
      </c>
      <c r="N367" s="61" t="s">
        <v>2511</v>
      </c>
      <c r="O367" s="61"/>
      <c r="P367" s="62" t="s">
        <v>2511</v>
      </c>
      <c r="Q367" s="82"/>
      <c r="R367" s="82"/>
      <c r="S367" s="82"/>
      <c r="T367" s="82"/>
      <c r="U367" s="82"/>
      <c r="V367" s="138" t="s">
        <v>3489</v>
      </c>
      <c r="W367" s="57" t="s">
        <v>3471</v>
      </c>
      <c r="X367" s="126" t="s">
        <v>2511</v>
      </c>
      <c r="Y367" s="126" t="s">
        <v>2511</v>
      </c>
      <c r="Z367" s="57"/>
      <c r="AA367" s="57" t="s">
        <v>3472</v>
      </c>
      <c r="AB367" s="138"/>
      <c r="AC367" s="138" t="s">
        <v>2631</v>
      </c>
      <c r="AD367" s="80"/>
      <c r="AE367" s="80"/>
      <c r="AF367" s="80"/>
      <c r="AG367" s="80"/>
      <c r="AH367" s="83"/>
      <c r="AI367" s="83"/>
      <c r="AJ367" s="84"/>
      <c r="AK367" s="84"/>
      <c r="AL367" s="84"/>
      <c r="AM367" s="84"/>
      <c r="AN367" s="84"/>
      <c r="AO367" s="84"/>
      <c r="AP367" s="84"/>
      <c r="AQ367" s="103" t="s">
        <v>530</v>
      </c>
      <c r="AR367" s="72"/>
      <c r="AS367" s="72"/>
      <c r="AT367" s="72"/>
      <c r="AU367" s="72"/>
      <c r="AV367" s="72"/>
      <c r="AW367" s="72"/>
      <c r="AX367" s="72"/>
      <c r="AY367" s="72"/>
      <c r="AZ367" s="72"/>
      <c r="BA367" s="72"/>
      <c r="BB367" s="16"/>
      <c r="BC367" s="72"/>
      <c r="BD367" s="147" t="s">
        <v>83</v>
      </c>
      <c r="BE367" s="147" t="s">
        <v>83</v>
      </c>
    </row>
    <row r="368" spans="1:57" s="81" customFormat="1" ht="12.95" customHeight="1">
      <c r="A368" s="247" t="s">
        <v>5513</v>
      </c>
      <c r="B368" s="251">
        <v>163</v>
      </c>
      <c r="C368" s="267" t="s">
        <v>308</v>
      </c>
      <c r="D368" s="239" t="s">
        <v>3490</v>
      </c>
      <c r="E368" s="58"/>
      <c r="F368" s="59" t="s">
        <v>533</v>
      </c>
      <c r="G368" s="191" t="s">
        <v>2511</v>
      </c>
      <c r="H368" s="192" t="s">
        <v>2334</v>
      </c>
      <c r="I368" s="61"/>
      <c r="J368" s="61"/>
      <c r="K368" s="62" t="s">
        <v>2511</v>
      </c>
      <c r="L368" s="60" t="s">
        <v>2511</v>
      </c>
      <c r="M368" s="61" t="s">
        <v>2523</v>
      </c>
      <c r="N368" s="61"/>
      <c r="O368" s="61"/>
      <c r="P368" s="62" t="s">
        <v>2511</v>
      </c>
      <c r="Q368" s="82"/>
      <c r="R368" s="82"/>
      <c r="S368" s="82"/>
      <c r="T368" s="82"/>
      <c r="U368" s="82"/>
      <c r="V368" s="138" t="s">
        <v>3491</v>
      </c>
      <c r="W368" s="57" t="s">
        <v>3471</v>
      </c>
      <c r="X368" s="126" t="s">
        <v>2511</v>
      </c>
      <c r="Y368" s="126" t="s">
        <v>2511</v>
      </c>
      <c r="Z368" s="57"/>
      <c r="AA368" s="57" t="s">
        <v>3472</v>
      </c>
      <c r="AB368" s="138"/>
      <c r="AC368" s="138" t="s">
        <v>2631</v>
      </c>
      <c r="AD368" s="80"/>
      <c r="AE368" s="80"/>
      <c r="AF368" s="80"/>
      <c r="AG368" s="80"/>
      <c r="AH368" s="83"/>
      <c r="AI368" s="83"/>
      <c r="AJ368" s="84"/>
      <c r="AK368" s="84"/>
      <c r="AL368" s="84"/>
      <c r="AM368" s="84"/>
      <c r="AN368" s="84"/>
      <c r="AO368" s="84"/>
      <c r="AP368" s="84"/>
      <c r="AQ368" s="105" t="s">
        <v>2334</v>
      </c>
      <c r="AR368" s="72"/>
      <c r="AS368" s="72"/>
      <c r="AT368" s="72"/>
      <c r="AU368" s="72"/>
      <c r="AV368" s="72"/>
      <c r="AW368" s="72"/>
      <c r="AX368" s="72"/>
      <c r="AY368" s="72"/>
      <c r="AZ368" s="72"/>
      <c r="BA368" s="72"/>
      <c r="BB368" s="16"/>
      <c r="BC368" s="72"/>
      <c r="BD368" s="319" t="s">
        <v>2334</v>
      </c>
      <c r="BE368" s="333" t="s">
        <v>5675</v>
      </c>
    </row>
    <row r="369" spans="1:57" s="81" customFormat="1" ht="12.95" customHeight="1">
      <c r="A369" s="247" t="s">
        <v>5512</v>
      </c>
      <c r="B369" s="251">
        <v>161</v>
      </c>
      <c r="C369" s="267" t="s">
        <v>313</v>
      </c>
      <c r="D369" s="239" t="s">
        <v>3493</v>
      </c>
      <c r="E369" s="58"/>
      <c r="F369" s="59" t="s">
        <v>532</v>
      </c>
      <c r="G369" s="191" t="s">
        <v>2511</v>
      </c>
      <c r="H369" s="192" t="s">
        <v>2335</v>
      </c>
      <c r="I369" s="61"/>
      <c r="J369" s="61"/>
      <c r="K369" s="62" t="s">
        <v>2511</v>
      </c>
      <c r="L369" s="60" t="s">
        <v>2511</v>
      </c>
      <c r="M369" s="61" t="s">
        <v>2523</v>
      </c>
      <c r="N369" s="61"/>
      <c r="O369" s="61"/>
      <c r="P369" s="62" t="s">
        <v>2511</v>
      </c>
      <c r="Q369" s="82"/>
      <c r="R369" s="82"/>
      <c r="S369" s="82"/>
      <c r="T369" s="82"/>
      <c r="U369" s="82"/>
      <c r="V369" s="138" t="s">
        <v>3494</v>
      </c>
      <c r="W369" s="57" t="s">
        <v>3471</v>
      </c>
      <c r="X369" s="126" t="s">
        <v>2511</v>
      </c>
      <c r="Y369" s="126" t="s">
        <v>2511</v>
      </c>
      <c r="Z369" s="57"/>
      <c r="AA369" s="57" t="s">
        <v>3472</v>
      </c>
      <c r="AB369" s="138"/>
      <c r="AC369" s="138" t="s">
        <v>2631</v>
      </c>
      <c r="AD369" s="80"/>
      <c r="AE369" s="80"/>
      <c r="AF369" s="80"/>
      <c r="AG369" s="80"/>
      <c r="AH369" s="83"/>
      <c r="AI369" s="83"/>
      <c r="AJ369" s="84"/>
      <c r="AK369" s="84"/>
      <c r="AL369" s="84"/>
      <c r="AM369" s="84"/>
      <c r="AN369" s="84"/>
      <c r="AO369" s="84"/>
      <c r="AP369" s="84"/>
      <c r="AQ369" s="103" t="s">
        <v>2335</v>
      </c>
      <c r="AR369" s="72"/>
      <c r="AS369" s="72"/>
      <c r="AT369" s="72"/>
      <c r="AU369" s="72"/>
      <c r="AV369" s="72"/>
      <c r="AW369" s="72"/>
      <c r="AX369" s="72"/>
      <c r="AY369" s="72"/>
      <c r="AZ369" s="72"/>
      <c r="BA369" s="72"/>
      <c r="BB369" s="16"/>
      <c r="BC369" s="72"/>
      <c r="BD369" s="319" t="s">
        <v>2335</v>
      </c>
      <c r="BE369" s="334"/>
    </row>
    <row r="370" spans="1:57" s="81" customFormat="1" ht="12.95" customHeight="1">
      <c r="A370" s="247" t="s">
        <v>5515</v>
      </c>
      <c r="B370" s="251">
        <v>168</v>
      </c>
      <c r="C370" s="267" t="s">
        <v>314</v>
      </c>
      <c r="D370" s="239" t="s">
        <v>3496</v>
      </c>
      <c r="E370" s="58"/>
      <c r="F370" s="59" t="s">
        <v>535</v>
      </c>
      <c r="G370" s="191" t="s">
        <v>2511</v>
      </c>
      <c r="H370" s="192" t="s">
        <v>2336</v>
      </c>
      <c r="I370" s="61"/>
      <c r="J370" s="61"/>
      <c r="K370" s="62" t="s">
        <v>2511</v>
      </c>
      <c r="L370" s="60" t="s">
        <v>2511</v>
      </c>
      <c r="M370" s="61" t="s">
        <v>2388</v>
      </c>
      <c r="N370" s="61"/>
      <c r="O370" s="61"/>
      <c r="P370" s="62" t="s">
        <v>2511</v>
      </c>
      <c r="Q370" s="82"/>
      <c r="R370" s="82"/>
      <c r="S370" s="82"/>
      <c r="T370" s="82"/>
      <c r="U370" s="82"/>
      <c r="V370" s="138" t="s">
        <v>3497</v>
      </c>
      <c r="W370" s="57" t="s">
        <v>3471</v>
      </c>
      <c r="X370" s="126" t="s">
        <v>2511</v>
      </c>
      <c r="Y370" s="126" t="s">
        <v>2511</v>
      </c>
      <c r="Z370" s="57"/>
      <c r="AA370" s="57" t="s">
        <v>3472</v>
      </c>
      <c r="AB370" s="138"/>
      <c r="AC370" s="138" t="s">
        <v>2631</v>
      </c>
      <c r="AD370" s="80"/>
      <c r="AE370" s="80"/>
      <c r="AF370" s="80"/>
      <c r="AG370" s="80"/>
      <c r="AH370" s="83"/>
      <c r="AI370" s="83"/>
      <c r="AJ370" s="84"/>
      <c r="AK370" s="84"/>
      <c r="AL370" s="84"/>
      <c r="AM370" s="84"/>
      <c r="AN370" s="84"/>
      <c r="AO370" s="84"/>
      <c r="AP370" s="84"/>
      <c r="AQ370" s="105" t="s">
        <v>2336</v>
      </c>
      <c r="AR370" s="72"/>
      <c r="AS370" s="72"/>
      <c r="AT370" s="72"/>
      <c r="AU370" s="72"/>
      <c r="AV370" s="72"/>
      <c r="AW370" s="72"/>
      <c r="AX370" s="72"/>
      <c r="AY370" s="72"/>
      <c r="AZ370" s="72"/>
      <c r="BA370" s="72"/>
      <c r="BB370" s="16"/>
      <c r="BC370" s="72"/>
      <c r="BD370" s="319" t="s">
        <v>2336</v>
      </c>
      <c r="BE370" s="334"/>
    </row>
    <row r="371" spans="1:57" s="81" customFormat="1" ht="12.95" customHeight="1">
      <c r="A371" s="247" t="s">
        <v>5514</v>
      </c>
      <c r="B371" s="251">
        <v>166</v>
      </c>
      <c r="C371" s="267" t="s">
        <v>310</v>
      </c>
      <c r="D371" s="239" t="s">
        <v>3498</v>
      </c>
      <c r="E371" s="58"/>
      <c r="F371" s="59" t="s">
        <v>534</v>
      </c>
      <c r="G371" s="191" t="s">
        <v>2511</v>
      </c>
      <c r="H371" s="192" t="s">
        <v>2337</v>
      </c>
      <c r="I371" s="61"/>
      <c r="J371" s="61"/>
      <c r="K371" s="62" t="s">
        <v>2511</v>
      </c>
      <c r="L371" s="60" t="s">
        <v>2511</v>
      </c>
      <c r="M371" s="61" t="s">
        <v>2388</v>
      </c>
      <c r="N371" s="61"/>
      <c r="O371" s="61"/>
      <c r="P371" s="62" t="s">
        <v>2511</v>
      </c>
      <c r="Q371" s="82"/>
      <c r="R371" s="82"/>
      <c r="S371" s="82"/>
      <c r="T371" s="82"/>
      <c r="U371" s="82"/>
      <c r="V371" s="138" t="s">
        <v>3499</v>
      </c>
      <c r="W371" s="57" t="s">
        <v>3471</v>
      </c>
      <c r="X371" s="126" t="s">
        <v>2511</v>
      </c>
      <c r="Y371" s="126" t="s">
        <v>2511</v>
      </c>
      <c r="Z371" s="57"/>
      <c r="AA371" s="57" t="s">
        <v>3472</v>
      </c>
      <c r="AB371" s="138"/>
      <c r="AC371" s="138" t="s">
        <v>2631</v>
      </c>
      <c r="AD371" s="80"/>
      <c r="AE371" s="80"/>
      <c r="AF371" s="80"/>
      <c r="AG371" s="80"/>
      <c r="AH371" s="83"/>
      <c r="AI371" s="83"/>
      <c r="AJ371" s="84"/>
      <c r="AK371" s="84"/>
      <c r="AL371" s="84"/>
      <c r="AM371" s="84"/>
      <c r="AN371" s="84"/>
      <c r="AO371" s="84"/>
      <c r="AP371" s="84"/>
      <c r="AQ371" s="103" t="s">
        <v>2337</v>
      </c>
      <c r="AR371" s="72"/>
      <c r="AS371" s="72"/>
      <c r="AT371" s="72"/>
      <c r="AU371" s="72"/>
      <c r="AV371" s="72"/>
      <c r="AW371" s="72"/>
      <c r="AX371" s="72"/>
      <c r="AY371" s="72"/>
      <c r="AZ371" s="72"/>
      <c r="BA371" s="72"/>
      <c r="BB371" s="16"/>
      <c r="BC371" s="72"/>
      <c r="BD371" s="319" t="s">
        <v>2337</v>
      </c>
      <c r="BE371" s="335"/>
    </row>
    <row r="372" spans="1:57" s="81" customFormat="1" ht="12.95" hidden="1" customHeight="1">
      <c r="A372" s="248" t="e">
        <v>#N/A</v>
      </c>
      <c r="B372" s="252" t="e">
        <v>#N/A</v>
      </c>
      <c r="C372" s="269" t="s">
        <v>231</v>
      </c>
      <c r="D372" s="239" t="s">
        <v>3171</v>
      </c>
      <c r="E372" s="58"/>
      <c r="F372" s="59" t="s">
        <v>252</v>
      </c>
      <c r="G372" s="191" t="s">
        <v>2511</v>
      </c>
      <c r="H372" s="192" t="s">
        <v>2338</v>
      </c>
      <c r="I372" s="61" t="s">
        <v>2338</v>
      </c>
      <c r="J372" s="61" t="s">
        <v>2338</v>
      </c>
      <c r="K372" s="62" t="s">
        <v>2511</v>
      </c>
      <c r="L372" s="60" t="s">
        <v>2511</v>
      </c>
      <c r="M372" s="61" t="s">
        <v>2523</v>
      </c>
      <c r="N372" s="61" t="s">
        <v>2523</v>
      </c>
      <c r="O372" s="61" t="s">
        <v>2523</v>
      </c>
      <c r="P372" s="62" t="s">
        <v>2511</v>
      </c>
      <c r="Q372" s="82"/>
      <c r="R372" s="82"/>
      <c r="S372" s="82"/>
      <c r="T372" s="82"/>
      <c r="U372" s="82"/>
      <c r="V372" s="138" t="s">
        <v>3500</v>
      </c>
      <c r="W372" s="57" t="s">
        <v>3471</v>
      </c>
      <c r="X372" s="126" t="s">
        <v>2511</v>
      </c>
      <c r="Y372" s="126" t="s">
        <v>2511</v>
      </c>
      <c r="Z372" s="57"/>
      <c r="AA372" s="57" t="s">
        <v>3472</v>
      </c>
      <c r="AB372" s="138"/>
      <c r="AC372" s="138" t="s">
        <v>2631</v>
      </c>
      <c r="AD372" s="80"/>
      <c r="AE372" s="80"/>
      <c r="AF372" s="80"/>
      <c r="AG372" s="80"/>
      <c r="AH372" s="83"/>
      <c r="AI372" s="83"/>
      <c r="AJ372" s="84"/>
      <c r="AK372" s="84"/>
      <c r="AL372" s="84"/>
      <c r="AM372" s="84"/>
      <c r="AN372" s="84"/>
      <c r="AO372" s="84"/>
      <c r="AP372" s="84"/>
      <c r="AQ372" s="105" t="s">
        <v>252</v>
      </c>
      <c r="AR372" s="72"/>
      <c r="AS372" s="72"/>
      <c r="AT372" s="72"/>
      <c r="AU372" s="72"/>
      <c r="AV372" s="72"/>
      <c r="AW372" s="72"/>
      <c r="AX372" s="72"/>
      <c r="AY372" s="72"/>
      <c r="AZ372" s="72"/>
      <c r="BA372" s="72"/>
      <c r="BB372" s="16"/>
      <c r="BC372" s="72"/>
      <c r="BD372" s="147" t="s">
        <v>83</v>
      </c>
      <c r="BE372" s="147" t="s">
        <v>83</v>
      </c>
    </row>
    <row r="373" spans="1:57" s="81" customFormat="1" ht="12.95" hidden="1" customHeight="1">
      <c r="A373" s="248" t="e">
        <v>#N/A</v>
      </c>
      <c r="B373" s="252" t="e">
        <v>#N/A</v>
      </c>
      <c r="C373" s="269" t="s">
        <v>230</v>
      </c>
      <c r="D373" s="239" t="s">
        <v>3501</v>
      </c>
      <c r="E373" s="58"/>
      <c r="F373" s="59" t="s">
        <v>253</v>
      </c>
      <c r="G373" s="191" t="s">
        <v>2511</v>
      </c>
      <c r="H373" s="192" t="s">
        <v>2339</v>
      </c>
      <c r="I373" s="61" t="s">
        <v>2339</v>
      </c>
      <c r="J373" s="61" t="s">
        <v>2339</v>
      </c>
      <c r="K373" s="62" t="s">
        <v>2511</v>
      </c>
      <c r="L373" s="60" t="s">
        <v>2511</v>
      </c>
      <c r="M373" s="61" t="s">
        <v>2523</v>
      </c>
      <c r="N373" s="61" t="s">
        <v>2523</v>
      </c>
      <c r="O373" s="61" t="s">
        <v>2523</v>
      </c>
      <c r="P373" s="62" t="s">
        <v>2511</v>
      </c>
      <c r="Q373" s="82"/>
      <c r="R373" s="82"/>
      <c r="S373" s="82"/>
      <c r="T373" s="82"/>
      <c r="U373" s="82"/>
      <c r="V373" s="138" t="s">
        <v>3502</v>
      </c>
      <c r="W373" s="57" t="s">
        <v>3471</v>
      </c>
      <c r="X373" s="126" t="s">
        <v>2511</v>
      </c>
      <c r="Y373" s="126" t="s">
        <v>2511</v>
      </c>
      <c r="Z373" s="57"/>
      <c r="AA373" s="57" t="s">
        <v>3472</v>
      </c>
      <c r="AB373" s="138"/>
      <c r="AC373" s="138" t="s">
        <v>2631</v>
      </c>
      <c r="AD373" s="80"/>
      <c r="AE373" s="80"/>
      <c r="AF373" s="80"/>
      <c r="AG373" s="80"/>
      <c r="AH373" s="83"/>
      <c r="AI373" s="83"/>
      <c r="AJ373" s="84"/>
      <c r="AK373" s="84"/>
      <c r="AL373" s="84"/>
      <c r="AM373" s="84"/>
      <c r="AN373" s="84"/>
      <c r="AO373" s="84"/>
      <c r="AP373" s="84"/>
      <c r="AQ373" s="103" t="s">
        <v>253</v>
      </c>
      <c r="AR373" s="72"/>
      <c r="AS373" s="72"/>
      <c r="AT373" s="72"/>
      <c r="AU373" s="72"/>
      <c r="AV373" s="72"/>
      <c r="AW373" s="72"/>
      <c r="AX373" s="72"/>
      <c r="AY373" s="72"/>
      <c r="AZ373" s="72"/>
      <c r="BA373" s="72"/>
      <c r="BB373" s="16"/>
      <c r="BC373" s="72"/>
      <c r="BD373" s="147" t="s">
        <v>83</v>
      </c>
      <c r="BE373" s="147" t="s">
        <v>83</v>
      </c>
    </row>
    <row r="374" spans="1:57" s="81" customFormat="1" ht="12.95" hidden="1" customHeight="1">
      <c r="A374" s="248" t="e">
        <v>#N/A</v>
      </c>
      <c r="B374" s="252" t="e">
        <v>#N/A</v>
      </c>
      <c r="C374" s="269" t="s">
        <v>233</v>
      </c>
      <c r="D374" s="239" t="s">
        <v>3503</v>
      </c>
      <c r="E374" s="58"/>
      <c r="F374" s="59" t="s">
        <v>250</v>
      </c>
      <c r="G374" s="191" t="s">
        <v>2511</v>
      </c>
      <c r="H374" s="192" t="s">
        <v>2340</v>
      </c>
      <c r="I374" s="61" t="s">
        <v>2340</v>
      </c>
      <c r="J374" s="61" t="s">
        <v>2340</v>
      </c>
      <c r="K374" s="62" t="s">
        <v>2511</v>
      </c>
      <c r="L374" s="60" t="s">
        <v>2511</v>
      </c>
      <c r="M374" s="61" t="s">
        <v>2388</v>
      </c>
      <c r="N374" s="61" t="s">
        <v>2388</v>
      </c>
      <c r="O374" s="61" t="s">
        <v>2388</v>
      </c>
      <c r="P374" s="62" t="s">
        <v>2511</v>
      </c>
      <c r="Q374" s="82"/>
      <c r="R374" s="82"/>
      <c r="S374" s="82"/>
      <c r="T374" s="82"/>
      <c r="U374" s="82"/>
      <c r="V374" s="138" t="s">
        <v>3504</v>
      </c>
      <c r="W374" s="57" t="s">
        <v>3471</v>
      </c>
      <c r="X374" s="126" t="s">
        <v>2511</v>
      </c>
      <c r="Y374" s="126" t="s">
        <v>2511</v>
      </c>
      <c r="Z374" s="57"/>
      <c r="AA374" s="57" t="s">
        <v>3472</v>
      </c>
      <c r="AB374" s="138"/>
      <c r="AC374" s="138" t="s">
        <v>2631</v>
      </c>
      <c r="AD374" s="80"/>
      <c r="AE374" s="80"/>
      <c r="AF374" s="80"/>
      <c r="AG374" s="80"/>
      <c r="AH374" s="83"/>
      <c r="AI374" s="83"/>
      <c r="AJ374" s="84"/>
      <c r="AK374" s="84"/>
      <c r="AL374" s="84"/>
      <c r="AM374" s="84"/>
      <c r="AN374" s="84"/>
      <c r="AO374" s="84"/>
      <c r="AP374" s="84"/>
      <c r="AQ374" s="105" t="s">
        <v>250</v>
      </c>
      <c r="AR374" s="72"/>
      <c r="AS374" s="72"/>
      <c r="AT374" s="72"/>
      <c r="AU374" s="72"/>
      <c r="AV374" s="72"/>
      <c r="AW374" s="72"/>
      <c r="AX374" s="72"/>
      <c r="AY374" s="72"/>
      <c r="AZ374" s="72"/>
      <c r="BA374" s="72"/>
      <c r="BB374" s="16"/>
      <c r="BC374" s="72"/>
      <c r="BD374" s="147" t="s">
        <v>83</v>
      </c>
      <c r="BE374" s="147" t="s">
        <v>83</v>
      </c>
    </row>
    <row r="375" spans="1:57" s="81" customFormat="1" ht="12.95" hidden="1" customHeight="1">
      <c r="A375" s="248" t="e">
        <v>#N/A</v>
      </c>
      <c r="B375" s="252" t="e">
        <v>#N/A</v>
      </c>
      <c r="C375" s="269" t="s">
        <v>232</v>
      </c>
      <c r="D375" s="239" t="s">
        <v>3505</v>
      </c>
      <c r="E375" s="58"/>
      <c r="F375" s="59" t="s">
        <v>251</v>
      </c>
      <c r="G375" s="191" t="s">
        <v>2511</v>
      </c>
      <c r="H375" s="192" t="s">
        <v>2341</v>
      </c>
      <c r="I375" s="61" t="s">
        <v>2341</v>
      </c>
      <c r="J375" s="61" t="s">
        <v>2341</v>
      </c>
      <c r="K375" s="62" t="s">
        <v>2511</v>
      </c>
      <c r="L375" s="60" t="s">
        <v>2511</v>
      </c>
      <c r="M375" s="61" t="s">
        <v>2388</v>
      </c>
      <c r="N375" s="61" t="s">
        <v>2388</v>
      </c>
      <c r="O375" s="61" t="s">
        <v>2388</v>
      </c>
      <c r="P375" s="62" t="s">
        <v>2511</v>
      </c>
      <c r="Q375" s="82"/>
      <c r="R375" s="82"/>
      <c r="S375" s="82"/>
      <c r="T375" s="82"/>
      <c r="U375" s="82"/>
      <c r="V375" s="138" t="s">
        <v>3506</v>
      </c>
      <c r="W375" s="57" t="s">
        <v>3471</v>
      </c>
      <c r="X375" s="126" t="s">
        <v>2511</v>
      </c>
      <c r="Y375" s="126" t="s">
        <v>2511</v>
      </c>
      <c r="Z375" s="57"/>
      <c r="AA375" s="57" t="s">
        <v>3472</v>
      </c>
      <c r="AB375" s="138"/>
      <c r="AC375" s="138" t="s">
        <v>2631</v>
      </c>
      <c r="AD375" s="80"/>
      <c r="AE375" s="80"/>
      <c r="AF375" s="80"/>
      <c r="AG375" s="80"/>
      <c r="AH375" s="83"/>
      <c r="AI375" s="83"/>
      <c r="AJ375" s="84"/>
      <c r="AK375" s="84"/>
      <c r="AL375" s="84"/>
      <c r="AM375" s="84"/>
      <c r="AN375" s="84"/>
      <c r="AO375" s="84"/>
      <c r="AP375" s="84"/>
      <c r="AQ375" s="103" t="s">
        <v>251</v>
      </c>
      <c r="AR375" s="72"/>
      <c r="AS375" s="72"/>
      <c r="AT375" s="72"/>
      <c r="AU375" s="72"/>
      <c r="AV375" s="72"/>
      <c r="AW375" s="72"/>
      <c r="AX375" s="72"/>
      <c r="AY375" s="72"/>
      <c r="AZ375" s="72"/>
      <c r="BA375" s="72"/>
      <c r="BB375" s="16"/>
      <c r="BC375" s="72"/>
      <c r="BD375" s="147" t="s">
        <v>83</v>
      </c>
      <c r="BE375" s="147" t="s">
        <v>83</v>
      </c>
    </row>
    <row r="376" spans="1:57" s="81" customFormat="1" ht="12.95" hidden="1" customHeight="1">
      <c r="A376" s="248" t="e">
        <v>#N/A</v>
      </c>
      <c r="B376" s="252" t="e">
        <v>#N/A</v>
      </c>
      <c r="C376" s="269" t="s">
        <v>235</v>
      </c>
      <c r="D376" s="239" t="s">
        <v>3169</v>
      </c>
      <c r="E376" s="58"/>
      <c r="F376" s="59" t="s">
        <v>248</v>
      </c>
      <c r="G376" s="191" t="s">
        <v>2511</v>
      </c>
      <c r="H376" s="192" t="s">
        <v>2511</v>
      </c>
      <c r="I376" s="61" t="s">
        <v>2342</v>
      </c>
      <c r="J376" s="61" t="s">
        <v>2342</v>
      </c>
      <c r="K376" s="62" t="s">
        <v>2511</v>
      </c>
      <c r="L376" s="60" t="s">
        <v>2511</v>
      </c>
      <c r="M376" s="61" t="s">
        <v>2511</v>
      </c>
      <c r="N376" s="61" t="s">
        <v>2523</v>
      </c>
      <c r="O376" s="61" t="s">
        <v>2523</v>
      </c>
      <c r="P376" s="62" t="s">
        <v>2511</v>
      </c>
      <c r="Q376" s="82"/>
      <c r="R376" s="82"/>
      <c r="S376" s="82"/>
      <c r="T376" s="82"/>
      <c r="U376" s="82"/>
      <c r="V376" s="138" t="s">
        <v>3507</v>
      </c>
      <c r="W376" s="57" t="s">
        <v>3471</v>
      </c>
      <c r="X376" s="126" t="s">
        <v>2511</v>
      </c>
      <c r="Y376" s="126" t="s">
        <v>2511</v>
      </c>
      <c r="Z376" s="57"/>
      <c r="AA376" s="57" t="s">
        <v>3472</v>
      </c>
      <c r="AB376" s="138"/>
      <c r="AC376" s="138" t="s">
        <v>2631</v>
      </c>
      <c r="AD376" s="80"/>
      <c r="AE376" s="80"/>
      <c r="AF376" s="80"/>
      <c r="AG376" s="80"/>
      <c r="AH376" s="83"/>
      <c r="AI376" s="83"/>
      <c r="AJ376" s="84"/>
      <c r="AK376" s="84"/>
      <c r="AL376" s="84"/>
      <c r="AM376" s="84"/>
      <c r="AN376" s="84"/>
      <c r="AO376" s="84"/>
      <c r="AP376" s="84"/>
      <c r="AQ376" s="105" t="s">
        <v>248</v>
      </c>
      <c r="AR376" s="72"/>
      <c r="AS376" s="72"/>
      <c r="AT376" s="72"/>
      <c r="AU376" s="72"/>
      <c r="AV376" s="72"/>
      <c r="AW376" s="72"/>
      <c r="AX376" s="72"/>
      <c r="AY376" s="72"/>
      <c r="AZ376" s="72"/>
      <c r="BA376" s="72"/>
      <c r="BB376" s="16"/>
      <c r="BC376" s="72"/>
      <c r="BD376" s="147" t="s">
        <v>83</v>
      </c>
      <c r="BE376" s="147" t="s">
        <v>83</v>
      </c>
    </row>
    <row r="377" spans="1:57" s="81" customFormat="1" ht="12.95" hidden="1" customHeight="1">
      <c r="A377" s="248" t="e">
        <v>#N/A</v>
      </c>
      <c r="B377" s="252" t="e">
        <v>#N/A</v>
      </c>
      <c r="C377" s="269" t="s">
        <v>234</v>
      </c>
      <c r="D377" s="239" t="s">
        <v>3508</v>
      </c>
      <c r="E377" s="58"/>
      <c r="F377" s="59" t="s">
        <v>249</v>
      </c>
      <c r="G377" s="191" t="s">
        <v>2511</v>
      </c>
      <c r="H377" s="192" t="s">
        <v>2511</v>
      </c>
      <c r="I377" s="61" t="s">
        <v>2343</v>
      </c>
      <c r="J377" s="61" t="s">
        <v>2343</v>
      </c>
      <c r="K377" s="62" t="s">
        <v>2511</v>
      </c>
      <c r="L377" s="60" t="s">
        <v>2511</v>
      </c>
      <c r="M377" s="61" t="s">
        <v>2511</v>
      </c>
      <c r="N377" s="61" t="s">
        <v>2523</v>
      </c>
      <c r="O377" s="61" t="s">
        <v>2523</v>
      </c>
      <c r="P377" s="62" t="s">
        <v>2511</v>
      </c>
      <c r="Q377" s="82"/>
      <c r="R377" s="82"/>
      <c r="S377" s="82"/>
      <c r="T377" s="82"/>
      <c r="U377" s="82"/>
      <c r="V377" s="138" t="s">
        <v>3509</v>
      </c>
      <c r="W377" s="57" t="s">
        <v>3471</v>
      </c>
      <c r="X377" s="126" t="s">
        <v>2511</v>
      </c>
      <c r="Y377" s="126" t="s">
        <v>2511</v>
      </c>
      <c r="Z377" s="57"/>
      <c r="AA377" s="57" t="s">
        <v>3472</v>
      </c>
      <c r="AB377" s="138"/>
      <c r="AC377" s="138" t="s">
        <v>2631</v>
      </c>
      <c r="AD377" s="80"/>
      <c r="AE377" s="80"/>
      <c r="AF377" s="80"/>
      <c r="AG377" s="80"/>
      <c r="AH377" s="83"/>
      <c r="AI377" s="83"/>
      <c r="AJ377" s="84"/>
      <c r="AK377" s="84"/>
      <c r="AL377" s="84"/>
      <c r="AM377" s="84"/>
      <c r="AN377" s="84"/>
      <c r="AO377" s="84"/>
      <c r="AP377" s="84"/>
      <c r="AQ377" s="103" t="s">
        <v>249</v>
      </c>
      <c r="AR377" s="72"/>
      <c r="AS377" s="72"/>
      <c r="AT377" s="72"/>
      <c r="AU377" s="72"/>
      <c r="AV377" s="72"/>
      <c r="AW377" s="72"/>
      <c r="AX377" s="72"/>
      <c r="AY377" s="72"/>
      <c r="AZ377" s="72"/>
      <c r="BA377" s="72"/>
      <c r="BB377" s="16"/>
      <c r="BC377" s="72"/>
      <c r="BD377" s="147" t="s">
        <v>83</v>
      </c>
      <c r="BE377" s="147" t="s">
        <v>83</v>
      </c>
    </row>
    <row r="378" spans="1:57" s="81" customFormat="1" ht="12.95" hidden="1" customHeight="1">
      <c r="A378" s="248" t="e">
        <v>#N/A</v>
      </c>
      <c r="B378" s="252" t="e">
        <v>#N/A</v>
      </c>
      <c r="C378" s="269" t="s">
        <v>237</v>
      </c>
      <c r="D378" s="239" t="s">
        <v>3510</v>
      </c>
      <c r="E378" s="58"/>
      <c r="F378" s="59" t="s">
        <v>246</v>
      </c>
      <c r="G378" s="191" t="s">
        <v>2511</v>
      </c>
      <c r="H378" s="192" t="s">
        <v>2511</v>
      </c>
      <c r="I378" s="61" t="s">
        <v>2344</v>
      </c>
      <c r="J378" s="61" t="s">
        <v>2344</v>
      </c>
      <c r="K378" s="62" t="s">
        <v>2511</v>
      </c>
      <c r="L378" s="60" t="s">
        <v>2511</v>
      </c>
      <c r="M378" s="61" t="s">
        <v>2511</v>
      </c>
      <c r="N378" s="61" t="s">
        <v>2388</v>
      </c>
      <c r="O378" s="61" t="s">
        <v>2388</v>
      </c>
      <c r="P378" s="62" t="s">
        <v>2511</v>
      </c>
      <c r="Q378" s="82"/>
      <c r="R378" s="82"/>
      <c r="S378" s="82"/>
      <c r="T378" s="82"/>
      <c r="U378" s="82"/>
      <c r="V378" s="138" t="s">
        <v>3511</v>
      </c>
      <c r="W378" s="57" t="s">
        <v>3471</v>
      </c>
      <c r="X378" s="126" t="s">
        <v>2511</v>
      </c>
      <c r="Y378" s="126" t="s">
        <v>2511</v>
      </c>
      <c r="Z378" s="57"/>
      <c r="AA378" s="57" t="s">
        <v>3472</v>
      </c>
      <c r="AB378" s="138"/>
      <c r="AC378" s="138" t="s">
        <v>2631</v>
      </c>
      <c r="AD378" s="80"/>
      <c r="AE378" s="80"/>
      <c r="AF378" s="80"/>
      <c r="AG378" s="80"/>
      <c r="AH378" s="83"/>
      <c r="AI378" s="83"/>
      <c r="AJ378" s="84"/>
      <c r="AK378" s="84"/>
      <c r="AL378" s="84"/>
      <c r="AM378" s="84"/>
      <c r="AN378" s="84"/>
      <c r="AO378" s="84"/>
      <c r="AP378" s="84"/>
      <c r="AQ378" s="105" t="s">
        <v>246</v>
      </c>
      <c r="AR378" s="72"/>
      <c r="AS378" s="72"/>
      <c r="AT378" s="72"/>
      <c r="AU378" s="72"/>
      <c r="AV378" s="72"/>
      <c r="AW378" s="72"/>
      <c r="AX378" s="72"/>
      <c r="AY378" s="72"/>
      <c r="AZ378" s="72"/>
      <c r="BA378" s="72"/>
      <c r="BB378" s="16"/>
      <c r="BC378" s="72"/>
      <c r="BD378" s="147" t="s">
        <v>83</v>
      </c>
      <c r="BE378" s="147" t="s">
        <v>83</v>
      </c>
    </row>
    <row r="379" spans="1:57" s="81" customFormat="1" ht="12.95" hidden="1" customHeight="1">
      <c r="A379" s="248" t="e">
        <v>#N/A</v>
      </c>
      <c r="B379" s="252" t="e">
        <v>#N/A</v>
      </c>
      <c r="C379" s="269" t="s">
        <v>236</v>
      </c>
      <c r="D379" s="239" t="s">
        <v>3512</v>
      </c>
      <c r="E379" s="58"/>
      <c r="F379" s="59" t="s">
        <v>247</v>
      </c>
      <c r="G379" s="191" t="s">
        <v>2511</v>
      </c>
      <c r="H379" s="192" t="s">
        <v>2511</v>
      </c>
      <c r="I379" s="61" t="s">
        <v>2345</v>
      </c>
      <c r="J379" s="61" t="s">
        <v>2345</v>
      </c>
      <c r="K379" s="62" t="s">
        <v>2511</v>
      </c>
      <c r="L379" s="60" t="s">
        <v>2511</v>
      </c>
      <c r="M379" s="61" t="s">
        <v>2511</v>
      </c>
      <c r="N379" s="61" t="s">
        <v>2388</v>
      </c>
      <c r="O379" s="61" t="s">
        <v>2388</v>
      </c>
      <c r="P379" s="62" t="s">
        <v>2511</v>
      </c>
      <c r="Q379" s="82"/>
      <c r="R379" s="82"/>
      <c r="S379" s="82"/>
      <c r="T379" s="82"/>
      <c r="U379" s="82"/>
      <c r="V379" s="138" t="s">
        <v>3513</v>
      </c>
      <c r="W379" s="57" t="s">
        <v>3471</v>
      </c>
      <c r="X379" s="126" t="s">
        <v>2511</v>
      </c>
      <c r="Y379" s="126" t="s">
        <v>2511</v>
      </c>
      <c r="Z379" s="57"/>
      <c r="AA379" s="57" t="s">
        <v>3472</v>
      </c>
      <c r="AB379" s="138"/>
      <c r="AC379" s="138" t="s">
        <v>2631</v>
      </c>
      <c r="AD379" s="80"/>
      <c r="AE379" s="80"/>
      <c r="AF379" s="80"/>
      <c r="AG379" s="80"/>
      <c r="AH379" s="83"/>
      <c r="AI379" s="83"/>
      <c r="AJ379" s="84"/>
      <c r="AK379" s="84"/>
      <c r="AL379" s="84"/>
      <c r="AM379" s="84"/>
      <c r="AN379" s="84"/>
      <c r="AO379" s="84"/>
      <c r="AP379" s="84"/>
      <c r="AQ379" s="103" t="s">
        <v>247</v>
      </c>
      <c r="AR379" s="72"/>
      <c r="AS379" s="72"/>
      <c r="AT379" s="72"/>
      <c r="AU379" s="72"/>
      <c r="AV379" s="72"/>
      <c r="AW379" s="72"/>
      <c r="AX379" s="72"/>
      <c r="AY379" s="72"/>
      <c r="AZ379" s="72"/>
      <c r="BA379" s="72"/>
      <c r="BB379" s="16"/>
      <c r="BC379" s="72"/>
      <c r="BD379" s="147" t="s">
        <v>83</v>
      </c>
      <c r="BE379" s="147" t="s">
        <v>83</v>
      </c>
    </row>
    <row r="380" spans="1:57" s="81" customFormat="1" ht="12.95" hidden="1" customHeight="1">
      <c r="A380" s="248" t="e">
        <v>#N/A</v>
      </c>
      <c r="B380" s="252" t="e">
        <v>#N/A</v>
      </c>
      <c r="C380" s="269" t="s">
        <v>239</v>
      </c>
      <c r="D380" s="239" t="s">
        <v>3164</v>
      </c>
      <c r="E380" s="58"/>
      <c r="F380" s="59" t="s">
        <v>244</v>
      </c>
      <c r="G380" s="191" t="s">
        <v>2511</v>
      </c>
      <c r="H380" s="192" t="s">
        <v>3514</v>
      </c>
      <c r="I380" s="61" t="s">
        <v>2346</v>
      </c>
      <c r="J380" s="61" t="s">
        <v>2338</v>
      </c>
      <c r="K380" s="62" t="s">
        <v>2511</v>
      </c>
      <c r="L380" s="60" t="s">
        <v>2511</v>
      </c>
      <c r="M380" s="61" t="s">
        <v>2523</v>
      </c>
      <c r="N380" s="61" t="s">
        <v>2523</v>
      </c>
      <c r="O380" s="61" t="s">
        <v>2523</v>
      </c>
      <c r="P380" s="62" t="s">
        <v>2511</v>
      </c>
      <c r="Q380" s="82"/>
      <c r="R380" s="82"/>
      <c r="S380" s="82"/>
      <c r="T380" s="82"/>
      <c r="U380" s="82"/>
      <c r="V380" s="138" t="s">
        <v>3515</v>
      </c>
      <c r="W380" s="57" t="s">
        <v>3471</v>
      </c>
      <c r="X380" s="126" t="s">
        <v>2511</v>
      </c>
      <c r="Y380" s="126" t="s">
        <v>2511</v>
      </c>
      <c r="Z380" s="57"/>
      <c r="AA380" s="57" t="s">
        <v>3472</v>
      </c>
      <c r="AB380" s="138"/>
      <c r="AC380" s="138" t="s">
        <v>2631</v>
      </c>
      <c r="AD380" s="80"/>
      <c r="AE380" s="80"/>
      <c r="AF380" s="80"/>
      <c r="AG380" s="80"/>
      <c r="AH380" s="83"/>
      <c r="AI380" s="83"/>
      <c r="AJ380" s="84"/>
      <c r="AK380" s="84"/>
      <c r="AL380" s="84"/>
      <c r="AM380" s="84"/>
      <c r="AN380" s="84"/>
      <c r="AO380" s="84"/>
      <c r="AP380" s="84"/>
      <c r="AQ380" s="105" t="s">
        <v>244</v>
      </c>
      <c r="AR380" s="72"/>
      <c r="AS380" s="72"/>
      <c r="AT380" s="72"/>
      <c r="AU380" s="72"/>
      <c r="AV380" s="72"/>
      <c r="AW380" s="72"/>
      <c r="AX380" s="72"/>
      <c r="AY380" s="72"/>
      <c r="AZ380" s="72"/>
      <c r="BA380" s="72"/>
      <c r="BB380" s="16"/>
      <c r="BC380" s="72"/>
      <c r="BD380" s="147" t="s">
        <v>83</v>
      </c>
      <c r="BE380" s="147" t="s">
        <v>83</v>
      </c>
    </row>
    <row r="381" spans="1:57" s="81" customFormat="1" ht="12.95" hidden="1" customHeight="1">
      <c r="A381" s="248" t="e">
        <v>#N/A</v>
      </c>
      <c r="B381" s="252" t="e">
        <v>#N/A</v>
      </c>
      <c r="C381" s="269" t="s">
        <v>238</v>
      </c>
      <c r="D381" s="239" t="s">
        <v>3516</v>
      </c>
      <c r="E381" s="58"/>
      <c r="F381" s="59" t="s">
        <v>245</v>
      </c>
      <c r="G381" s="191" t="s">
        <v>2511</v>
      </c>
      <c r="H381" s="192" t="s">
        <v>3517</v>
      </c>
      <c r="I381" s="61" t="s">
        <v>2347</v>
      </c>
      <c r="J381" s="61" t="s">
        <v>2339</v>
      </c>
      <c r="K381" s="62" t="s">
        <v>2511</v>
      </c>
      <c r="L381" s="60" t="s">
        <v>2511</v>
      </c>
      <c r="M381" s="61" t="s">
        <v>2523</v>
      </c>
      <c r="N381" s="61" t="s">
        <v>2523</v>
      </c>
      <c r="O381" s="61" t="s">
        <v>2523</v>
      </c>
      <c r="P381" s="62" t="s">
        <v>2511</v>
      </c>
      <c r="Q381" s="82"/>
      <c r="R381" s="82"/>
      <c r="S381" s="82"/>
      <c r="T381" s="82"/>
      <c r="U381" s="82"/>
      <c r="V381" s="138" t="s">
        <v>3518</v>
      </c>
      <c r="W381" s="57" t="s">
        <v>3471</v>
      </c>
      <c r="X381" s="126" t="s">
        <v>2511</v>
      </c>
      <c r="Y381" s="126" t="s">
        <v>2511</v>
      </c>
      <c r="Z381" s="57"/>
      <c r="AA381" s="57" t="s">
        <v>3472</v>
      </c>
      <c r="AB381" s="138"/>
      <c r="AC381" s="138" t="s">
        <v>2631</v>
      </c>
      <c r="AD381" s="80"/>
      <c r="AE381" s="80"/>
      <c r="AF381" s="80"/>
      <c r="AG381" s="80"/>
      <c r="AH381" s="83"/>
      <c r="AI381" s="83"/>
      <c r="AJ381" s="84"/>
      <c r="AK381" s="84"/>
      <c r="AL381" s="84"/>
      <c r="AM381" s="84"/>
      <c r="AN381" s="84"/>
      <c r="AO381" s="84"/>
      <c r="AP381" s="84"/>
      <c r="AQ381" s="103" t="s">
        <v>245</v>
      </c>
      <c r="AR381" s="72"/>
      <c r="AS381" s="72"/>
      <c r="AT381" s="72"/>
      <c r="AU381" s="72"/>
      <c r="AV381" s="72"/>
      <c r="AW381" s="72"/>
      <c r="AX381" s="72"/>
      <c r="AY381" s="72"/>
      <c r="AZ381" s="72"/>
      <c r="BA381" s="72"/>
      <c r="BB381" s="16"/>
      <c r="BC381" s="72"/>
      <c r="BD381" s="147" t="s">
        <v>83</v>
      </c>
      <c r="BE381" s="147" t="s">
        <v>83</v>
      </c>
    </row>
    <row r="382" spans="1:57" s="81" customFormat="1" ht="12.95" hidden="1" customHeight="1">
      <c r="A382" s="248" t="e">
        <v>#N/A</v>
      </c>
      <c r="B382" s="252" t="e">
        <v>#N/A</v>
      </c>
      <c r="C382" s="269" t="s">
        <v>241</v>
      </c>
      <c r="D382" s="239" t="s">
        <v>3519</v>
      </c>
      <c r="E382" s="58"/>
      <c r="F382" s="59" t="s">
        <v>242</v>
      </c>
      <c r="G382" s="191" t="s">
        <v>2511</v>
      </c>
      <c r="H382" s="192" t="s">
        <v>3520</v>
      </c>
      <c r="I382" s="61" t="s">
        <v>2348</v>
      </c>
      <c r="J382" s="61" t="s">
        <v>2340</v>
      </c>
      <c r="K382" s="62" t="s">
        <v>2511</v>
      </c>
      <c r="L382" s="60" t="s">
        <v>2511</v>
      </c>
      <c r="M382" s="61" t="s">
        <v>2388</v>
      </c>
      <c r="N382" s="61" t="s">
        <v>2388</v>
      </c>
      <c r="O382" s="61" t="s">
        <v>2388</v>
      </c>
      <c r="P382" s="62" t="s">
        <v>2511</v>
      </c>
      <c r="Q382" s="82"/>
      <c r="R382" s="82"/>
      <c r="S382" s="82"/>
      <c r="T382" s="82"/>
      <c r="U382" s="82"/>
      <c r="V382" s="138" t="s">
        <v>3521</v>
      </c>
      <c r="W382" s="57" t="s">
        <v>3471</v>
      </c>
      <c r="X382" s="126" t="s">
        <v>2511</v>
      </c>
      <c r="Y382" s="126" t="s">
        <v>2511</v>
      </c>
      <c r="Z382" s="57"/>
      <c r="AA382" s="57" t="s">
        <v>3472</v>
      </c>
      <c r="AB382" s="138"/>
      <c r="AC382" s="138" t="s">
        <v>2631</v>
      </c>
      <c r="AD382" s="80"/>
      <c r="AE382" s="80"/>
      <c r="AF382" s="80"/>
      <c r="AG382" s="80"/>
      <c r="AH382" s="83"/>
      <c r="AI382" s="83"/>
      <c r="AJ382" s="84"/>
      <c r="AK382" s="84"/>
      <c r="AL382" s="84"/>
      <c r="AM382" s="84"/>
      <c r="AN382" s="84"/>
      <c r="AO382" s="84"/>
      <c r="AP382" s="84"/>
      <c r="AQ382" s="105" t="s">
        <v>242</v>
      </c>
      <c r="AR382" s="72"/>
      <c r="AS382" s="72"/>
      <c r="AT382" s="72"/>
      <c r="AU382" s="72"/>
      <c r="AV382" s="72"/>
      <c r="AW382" s="72"/>
      <c r="AX382" s="72"/>
      <c r="AY382" s="72"/>
      <c r="AZ382" s="72"/>
      <c r="BA382" s="72"/>
      <c r="BB382" s="16"/>
      <c r="BC382" s="72"/>
      <c r="BD382" s="147" t="s">
        <v>83</v>
      </c>
      <c r="BE382" s="147" t="s">
        <v>83</v>
      </c>
    </row>
    <row r="383" spans="1:57" s="81" customFormat="1" ht="12.95" hidden="1" customHeight="1">
      <c r="A383" s="248" t="e">
        <v>#N/A</v>
      </c>
      <c r="B383" s="252" t="e">
        <v>#N/A</v>
      </c>
      <c r="C383" s="269" t="s">
        <v>240</v>
      </c>
      <c r="D383" s="239" t="s">
        <v>3522</v>
      </c>
      <c r="E383" s="58"/>
      <c r="F383" s="59" t="s">
        <v>243</v>
      </c>
      <c r="G383" s="191" t="s">
        <v>2511</v>
      </c>
      <c r="H383" s="192" t="s">
        <v>3523</v>
      </c>
      <c r="I383" s="61" t="s">
        <v>2349</v>
      </c>
      <c r="J383" s="61" t="s">
        <v>2341</v>
      </c>
      <c r="K383" s="62" t="s">
        <v>2511</v>
      </c>
      <c r="L383" s="60" t="s">
        <v>2511</v>
      </c>
      <c r="M383" s="61" t="s">
        <v>2388</v>
      </c>
      <c r="N383" s="61" t="s">
        <v>2388</v>
      </c>
      <c r="O383" s="61" t="s">
        <v>2388</v>
      </c>
      <c r="P383" s="62" t="s">
        <v>2511</v>
      </c>
      <c r="Q383" s="82"/>
      <c r="R383" s="82"/>
      <c r="S383" s="82"/>
      <c r="T383" s="82"/>
      <c r="U383" s="82"/>
      <c r="V383" s="138" t="s">
        <v>3524</v>
      </c>
      <c r="W383" s="57" t="s">
        <v>3471</v>
      </c>
      <c r="X383" s="126" t="s">
        <v>2511</v>
      </c>
      <c r="Y383" s="126" t="s">
        <v>2511</v>
      </c>
      <c r="Z383" s="57"/>
      <c r="AA383" s="57" t="s">
        <v>3472</v>
      </c>
      <c r="AB383" s="138"/>
      <c r="AC383" s="138" t="s">
        <v>2631</v>
      </c>
      <c r="AD383" s="80"/>
      <c r="AE383" s="80"/>
      <c r="AF383" s="80"/>
      <c r="AG383" s="80"/>
      <c r="AH383" s="83"/>
      <c r="AI383" s="83"/>
      <c r="AJ383" s="84"/>
      <c r="AK383" s="84"/>
      <c r="AL383" s="84"/>
      <c r="AM383" s="84"/>
      <c r="AN383" s="84"/>
      <c r="AO383" s="84"/>
      <c r="AP383" s="84"/>
      <c r="AQ383" s="103" t="s">
        <v>243</v>
      </c>
      <c r="AR383" s="72"/>
      <c r="AS383" s="72"/>
      <c r="AT383" s="72"/>
      <c r="AU383" s="72"/>
      <c r="AV383" s="72"/>
      <c r="AW383" s="72"/>
      <c r="AX383" s="72"/>
      <c r="AY383" s="72"/>
      <c r="AZ383" s="72"/>
      <c r="BA383" s="72"/>
      <c r="BB383" s="16"/>
      <c r="BC383" s="72"/>
      <c r="BD383" s="147" t="s">
        <v>83</v>
      </c>
      <c r="BE383" s="147" t="s">
        <v>83</v>
      </c>
    </row>
    <row r="384" spans="1:57" s="81" customFormat="1" ht="12.95" hidden="1" customHeight="1">
      <c r="A384" s="248" t="e">
        <v>#N/A</v>
      </c>
      <c r="B384" s="252" t="e">
        <v>#N/A</v>
      </c>
      <c r="C384" s="269" t="s">
        <v>316</v>
      </c>
      <c r="D384" s="239" t="s">
        <v>3525</v>
      </c>
      <c r="E384" s="58"/>
      <c r="F384" s="59" t="s">
        <v>537</v>
      </c>
      <c r="G384" s="191" t="s">
        <v>2511</v>
      </c>
      <c r="H384" s="192" t="s">
        <v>3526</v>
      </c>
      <c r="I384" s="61" t="s">
        <v>2350</v>
      </c>
      <c r="J384" s="61" t="s">
        <v>2342</v>
      </c>
      <c r="K384" s="62" t="s">
        <v>2511</v>
      </c>
      <c r="L384" s="60" t="s">
        <v>2511</v>
      </c>
      <c r="M384" s="61" t="s">
        <v>2523</v>
      </c>
      <c r="N384" s="61" t="s">
        <v>2523</v>
      </c>
      <c r="O384" s="61" t="s">
        <v>2523</v>
      </c>
      <c r="P384" s="62" t="s">
        <v>2511</v>
      </c>
      <c r="Q384" s="82"/>
      <c r="R384" s="82"/>
      <c r="S384" s="82"/>
      <c r="T384" s="82"/>
      <c r="U384" s="82"/>
      <c r="V384" s="138" t="s">
        <v>3527</v>
      </c>
      <c r="W384" s="57" t="s">
        <v>3471</v>
      </c>
      <c r="X384" s="126" t="s">
        <v>2511</v>
      </c>
      <c r="Y384" s="126" t="s">
        <v>2511</v>
      </c>
      <c r="Z384" s="57"/>
      <c r="AA384" s="57" t="s">
        <v>3472</v>
      </c>
      <c r="AB384" s="138"/>
      <c r="AC384" s="138" t="s">
        <v>2631</v>
      </c>
      <c r="AD384" s="80"/>
      <c r="AE384" s="80"/>
      <c r="AF384" s="80"/>
      <c r="AG384" s="80"/>
      <c r="AH384" s="83"/>
      <c r="AI384" s="83"/>
      <c r="AJ384" s="84"/>
      <c r="AK384" s="84"/>
      <c r="AL384" s="84"/>
      <c r="AM384" s="84"/>
      <c r="AN384" s="84"/>
      <c r="AO384" s="84"/>
      <c r="AP384" s="84"/>
      <c r="AQ384" s="105" t="s">
        <v>537</v>
      </c>
      <c r="AR384" s="72"/>
      <c r="AS384" s="72"/>
      <c r="AT384" s="72"/>
      <c r="AU384" s="72"/>
      <c r="AV384" s="72"/>
      <c r="AW384" s="72"/>
      <c r="AX384" s="72"/>
      <c r="AY384" s="72"/>
      <c r="AZ384" s="72"/>
      <c r="BA384" s="72"/>
      <c r="BB384" s="16"/>
      <c r="BC384" s="72"/>
      <c r="BD384" s="147" t="s">
        <v>83</v>
      </c>
      <c r="BE384" s="147" t="s">
        <v>83</v>
      </c>
    </row>
    <row r="385" spans="1:57" s="81" customFormat="1" ht="12.95" hidden="1" customHeight="1">
      <c r="A385" s="248" t="e">
        <v>#N/A</v>
      </c>
      <c r="B385" s="252" t="e">
        <v>#N/A</v>
      </c>
      <c r="C385" s="269" t="s">
        <v>315</v>
      </c>
      <c r="D385" s="239" t="s">
        <v>3528</v>
      </c>
      <c r="E385" s="58"/>
      <c r="F385" s="59" t="s">
        <v>536</v>
      </c>
      <c r="G385" s="191" t="s">
        <v>2511</v>
      </c>
      <c r="H385" s="192" t="s">
        <v>3529</v>
      </c>
      <c r="I385" s="61" t="s">
        <v>2351</v>
      </c>
      <c r="J385" s="61" t="s">
        <v>2343</v>
      </c>
      <c r="K385" s="62" t="s">
        <v>2511</v>
      </c>
      <c r="L385" s="60" t="s">
        <v>2511</v>
      </c>
      <c r="M385" s="61" t="s">
        <v>2523</v>
      </c>
      <c r="N385" s="61" t="s">
        <v>2523</v>
      </c>
      <c r="O385" s="61" t="s">
        <v>2523</v>
      </c>
      <c r="P385" s="62" t="s">
        <v>2511</v>
      </c>
      <c r="Q385" s="82"/>
      <c r="R385" s="82"/>
      <c r="S385" s="82"/>
      <c r="T385" s="82"/>
      <c r="U385" s="82"/>
      <c r="V385" s="138" t="s">
        <v>3530</v>
      </c>
      <c r="W385" s="57" t="s">
        <v>3471</v>
      </c>
      <c r="X385" s="126" t="s">
        <v>2511</v>
      </c>
      <c r="Y385" s="126" t="s">
        <v>2511</v>
      </c>
      <c r="Z385" s="57"/>
      <c r="AA385" s="57" t="s">
        <v>3472</v>
      </c>
      <c r="AB385" s="138"/>
      <c r="AC385" s="138" t="s">
        <v>2631</v>
      </c>
      <c r="AD385" s="80"/>
      <c r="AE385" s="80"/>
      <c r="AF385" s="80"/>
      <c r="AG385" s="80"/>
      <c r="AH385" s="83"/>
      <c r="AI385" s="83"/>
      <c r="AJ385" s="84"/>
      <c r="AK385" s="84"/>
      <c r="AL385" s="84"/>
      <c r="AM385" s="84"/>
      <c r="AN385" s="84"/>
      <c r="AO385" s="84"/>
      <c r="AP385" s="84"/>
      <c r="AQ385" s="103" t="s">
        <v>536</v>
      </c>
      <c r="AR385" s="72"/>
      <c r="AS385" s="72"/>
      <c r="AT385" s="72"/>
      <c r="AU385" s="72"/>
      <c r="AV385" s="72"/>
      <c r="AW385" s="72"/>
      <c r="AX385" s="72"/>
      <c r="AY385" s="72"/>
      <c r="AZ385" s="72"/>
      <c r="BA385" s="72"/>
      <c r="BB385" s="16"/>
      <c r="BC385" s="72"/>
      <c r="BD385" s="147" t="s">
        <v>83</v>
      </c>
      <c r="BE385" s="147" t="s">
        <v>83</v>
      </c>
    </row>
    <row r="386" spans="1:57" s="81" customFormat="1" ht="12.95" hidden="1" customHeight="1">
      <c r="A386" s="248" t="e">
        <v>#N/A</v>
      </c>
      <c r="B386" s="252" t="e">
        <v>#N/A</v>
      </c>
      <c r="C386" s="269" t="s">
        <v>318</v>
      </c>
      <c r="D386" s="239" t="s">
        <v>3531</v>
      </c>
      <c r="E386" s="58"/>
      <c r="F386" s="59" t="s">
        <v>539</v>
      </c>
      <c r="G386" s="191" t="s">
        <v>2511</v>
      </c>
      <c r="H386" s="192" t="s">
        <v>3532</v>
      </c>
      <c r="I386" s="61" t="s">
        <v>2352</v>
      </c>
      <c r="J386" s="61" t="s">
        <v>2344</v>
      </c>
      <c r="K386" s="62" t="s">
        <v>2511</v>
      </c>
      <c r="L386" s="60" t="s">
        <v>2511</v>
      </c>
      <c r="M386" s="61" t="s">
        <v>2388</v>
      </c>
      <c r="N386" s="61" t="s">
        <v>2388</v>
      </c>
      <c r="O386" s="61" t="s">
        <v>2388</v>
      </c>
      <c r="P386" s="62" t="s">
        <v>2511</v>
      </c>
      <c r="Q386" s="82"/>
      <c r="R386" s="82"/>
      <c r="S386" s="82"/>
      <c r="T386" s="82"/>
      <c r="U386" s="82"/>
      <c r="V386" s="138" t="s">
        <v>3533</v>
      </c>
      <c r="W386" s="57" t="s">
        <v>3471</v>
      </c>
      <c r="X386" s="126" t="s">
        <v>2511</v>
      </c>
      <c r="Y386" s="126" t="s">
        <v>2511</v>
      </c>
      <c r="Z386" s="57"/>
      <c r="AA386" s="57" t="s">
        <v>3472</v>
      </c>
      <c r="AB386" s="138"/>
      <c r="AC386" s="138" t="s">
        <v>2631</v>
      </c>
      <c r="AD386" s="80"/>
      <c r="AE386" s="80"/>
      <c r="AF386" s="80"/>
      <c r="AG386" s="80"/>
      <c r="AH386" s="83"/>
      <c r="AI386" s="83"/>
      <c r="AJ386" s="84"/>
      <c r="AK386" s="84"/>
      <c r="AL386" s="84"/>
      <c r="AM386" s="84"/>
      <c r="AN386" s="84"/>
      <c r="AO386" s="84"/>
      <c r="AP386" s="84"/>
      <c r="AQ386" s="105" t="s">
        <v>539</v>
      </c>
      <c r="AR386" s="72"/>
      <c r="AS386" s="72"/>
      <c r="AT386" s="72"/>
      <c r="AU386" s="72"/>
      <c r="AV386" s="72"/>
      <c r="AW386" s="72"/>
      <c r="AX386" s="72"/>
      <c r="AY386" s="72"/>
      <c r="AZ386" s="72"/>
      <c r="BA386" s="72"/>
      <c r="BB386" s="16"/>
      <c r="BC386" s="72"/>
      <c r="BD386" s="147" t="s">
        <v>83</v>
      </c>
      <c r="BE386" s="147" t="s">
        <v>83</v>
      </c>
    </row>
    <row r="387" spans="1:57" s="81" customFormat="1" ht="12.95" hidden="1" customHeight="1">
      <c r="A387" s="248" t="e">
        <v>#N/A</v>
      </c>
      <c r="B387" s="252" t="e">
        <v>#N/A</v>
      </c>
      <c r="C387" s="269" t="s">
        <v>317</v>
      </c>
      <c r="D387" s="239" t="s">
        <v>3534</v>
      </c>
      <c r="E387" s="58"/>
      <c r="F387" s="59" t="s">
        <v>538</v>
      </c>
      <c r="G387" s="191" t="s">
        <v>2511</v>
      </c>
      <c r="H387" s="192" t="s">
        <v>3535</v>
      </c>
      <c r="I387" s="61" t="s">
        <v>2353</v>
      </c>
      <c r="J387" s="61" t="s">
        <v>2345</v>
      </c>
      <c r="K387" s="62" t="s">
        <v>2511</v>
      </c>
      <c r="L387" s="60" t="s">
        <v>2511</v>
      </c>
      <c r="M387" s="61" t="s">
        <v>2388</v>
      </c>
      <c r="N387" s="61" t="s">
        <v>2388</v>
      </c>
      <c r="O387" s="61" t="s">
        <v>2388</v>
      </c>
      <c r="P387" s="62" t="s">
        <v>2511</v>
      </c>
      <c r="Q387" s="82"/>
      <c r="R387" s="82"/>
      <c r="S387" s="82"/>
      <c r="T387" s="82"/>
      <c r="U387" s="82"/>
      <c r="V387" s="138" t="s">
        <v>3536</v>
      </c>
      <c r="W387" s="57" t="s">
        <v>3471</v>
      </c>
      <c r="X387" s="126" t="s">
        <v>2511</v>
      </c>
      <c r="Y387" s="126" t="s">
        <v>2511</v>
      </c>
      <c r="Z387" s="57"/>
      <c r="AA387" s="57" t="s">
        <v>3472</v>
      </c>
      <c r="AB387" s="138"/>
      <c r="AC387" s="138" t="s">
        <v>2631</v>
      </c>
      <c r="AD387" s="80"/>
      <c r="AE387" s="80"/>
      <c r="AF387" s="80"/>
      <c r="AG387" s="80"/>
      <c r="AH387" s="83"/>
      <c r="AI387" s="83"/>
      <c r="AJ387" s="84"/>
      <c r="AK387" s="84"/>
      <c r="AL387" s="84"/>
      <c r="AM387" s="84"/>
      <c r="AN387" s="84"/>
      <c r="AO387" s="84"/>
      <c r="AP387" s="84"/>
      <c r="AQ387" s="103" t="s">
        <v>538</v>
      </c>
      <c r="AR387" s="72"/>
      <c r="AS387" s="72"/>
      <c r="AT387" s="72"/>
      <c r="AU387" s="72"/>
      <c r="AV387" s="72"/>
      <c r="AW387" s="72"/>
      <c r="AX387" s="72"/>
      <c r="AY387" s="72"/>
      <c r="AZ387" s="72"/>
      <c r="BA387" s="72"/>
      <c r="BB387" s="16"/>
      <c r="BC387" s="72"/>
      <c r="BD387" s="147" t="s">
        <v>83</v>
      </c>
      <c r="BE387" s="147" t="s">
        <v>83</v>
      </c>
    </row>
    <row r="388" spans="1:57" s="81" customFormat="1" ht="12.95" hidden="1" customHeight="1">
      <c r="A388" s="248" t="e">
        <v>#N/A</v>
      </c>
      <c r="B388" s="252" t="e">
        <v>#N/A</v>
      </c>
      <c r="C388" s="269" t="s">
        <v>1099</v>
      </c>
      <c r="D388" s="239" t="s">
        <v>3537</v>
      </c>
      <c r="E388" s="58"/>
      <c r="F388" s="59" t="s">
        <v>2270</v>
      </c>
      <c r="G388" s="191" t="s">
        <v>2511</v>
      </c>
      <c r="H388" s="192" t="s">
        <v>2354</v>
      </c>
      <c r="I388" s="61" t="s">
        <v>2362</v>
      </c>
      <c r="J388" s="61" t="s">
        <v>890</v>
      </c>
      <c r="K388" s="62" t="s">
        <v>3538</v>
      </c>
      <c r="L388" s="60" t="s">
        <v>2511</v>
      </c>
      <c r="M388" s="61" t="s">
        <v>2523</v>
      </c>
      <c r="N388" s="61" t="s">
        <v>2523</v>
      </c>
      <c r="O388" s="61" t="s">
        <v>2523</v>
      </c>
      <c r="P388" s="62" t="s">
        <v>2523</v>
      </c>
      <c r="Q388" s="82"/>
      <c r="R388" s="82"/>
      <c r="S388" s="82"/>
      <c r="T388" s="82"/>
      <c r="U388" s="82"/>
      <c r="V388" s="138" t="s">
        <v>3539</v>
      </c>
      <c r="W388" s="57" t="s">
        <v>3471</v>
      </c>
      <c r="X388" s="128"/>
      <c r="Y388" s="128"/>
      <c r="Z388" s="57"/>
      <c r="AA388" s="57" t="s">
        <v>3472</v>
      </c>
      <c r="AB388" s="79"/>
      <c r="AC388" s="79"/>
      <c r="AD388" s="80"/>
      <c r="AE388" s="80"/>
      <c r="AF388" s="80"/>
      <c r="AG388" s="80"/>
      <c r="AH388" s="83"/>
      <c r="AI388" s="83"/>
      <c r="AJ388" s="84"/>
      <c r="AK388" s="84"/>
      <c r="AL388" s="84"/>
      <c r="AM388" s="84"/>
      <c r="AN388" s="84"/>
      <c r="AO388" s="84"/>
      <c r="AP388" s="84"/>
      <c r="AQ388" s="103" t="s">
        <v>2270</v>
      </c>
      <c r="AR388" s="72"/>
      <c r="AS388" s="72"/>
      <c r="AT388" s="72"/>
      <c r="AU388" s="72"/>
      <c r="AV388" s="72"/>
      <c r="AW388" s="72"/>
      <c r="AX388" s="72"/>
      <c r="AY388" s="72"/>
      <c r="AZ388" s="72"/>
      <c r="BA388" s="72"/>
      <c r="BB388" s="16"/>
      <c r="BC388" s="72"/>
      <c r="BD388" s="147" t="s">
        <v>83</v>
      </c>
      <c r="BE388" s="147" t="s">
        <v>83</v>
      </c>
    </row>
    <row r="389" spans="1:57" s="81" customFormat="1" ht="12.95" hidden="1" customHeight="1">
      <c r="A389" s="248" t="e">
        <v>#N/A</v>
      </c>
      <c r="B389" s="252" t="e">
        <v>#N/A</v>
      </c>
      <c r="C389" s="269" t="s">
        <v>1100</v>
      </c>
      <c r="D389" s="239" t="s">
        <v>3450</v>
      </c>
      <c r="E389" s="58"/>
      <c r="F389" s="59" t="s">
        <v>2271</v>
      </c>
      <c r="G389" s="191" t="s">
        <v>2511</v>
      </c>
      <c r="H389" s="192" t="s">
        <v>2355</v>
      </c>
      <c r="I389" s="61" t="s">
        <v>2363</v>
      </c>
      <c r="J389" s="61" t="s">
        <v>891</v>
      </c>
      <c r="K389" s="62" t="s">
        <v>3540</v>
      </c>
      <c r="L389" s="60" t="s">
        <v>2511</v>
      </c>
      <c r="M389" s="61" t="s">
        <v>2523</v>
      </c>
      <c r="N389" s="61" t="s">
        <v>2523</v>
      </c>
      <c r="O389" s="61" t="s">
        <v>2523</v>
      </c>
      <c r="P389" s="62" t="s">
        <v>2523</v>
      </c>
      <c r="Q389" s="82"/>
      <c r="R389" s="82"/>
      <c r="S389" s="82"/>
      <c r="T389" s="82"/>
      <c r="U389" s="82"/>
      <c r="V389" s="138" t="s">
        <v>3541</v>
      </c>
      <c r="W389" s="57" t="s">
        <v>3471</v>
      </c>
      <c r="X389" s="126" t="s">
        <v>2511</v>
      </c>
      <c r="Y389" s="126" t="s">
        <v>2511</v>
      </c>
      <c r="Z389" s="57"/>
      <c r="AA389" s="57" t="s">
        <v>3472</v>
      </c>
      <c r="AB389" s="137"/>
      <c r="AC389" s="137" t="s">
        <v>2631</v>
      </c>
      <c r="AD389" s="80"/>
      <c r="AE389" s="80"/>
      <c r="AF389" s="80"/>
      <c r="AG389" s="80"/>
      <c r="AH389" s="83"/>
      <c r="AI389" s="83"/>
      <c r="AJ389" s="84"/>
      <c r="AK389" s="84"/>
      <c r="AL389" s="84"/>
      <c r="AM389" s="84"/>
      <c r="AN389" s="84"/>
      <c r="AO389" s="84"/>
      <c r="AP389" s="84"/>
      <c r="AQ389" s="105" t="s">
        <v>2271</v>
      </c>
      <c r="AR389" s="72"/>
      <c r="AS389" s="72"/>
      <c r="AT389" s="72"/>
      <c r="AU389" s="72"/>
      <c r="AV389" s="72"/>
      <c r="AW389" s="72"/>
      <c r="AX389" s="72"/>
      <c r="AY389" s="72"/>
      <c r="AZ389" s="72"/>
      <c r="BA389" s="72"/>
      <c r="BB389" s="16"/>
      <c r="BC389" s="72"/>
      <c r="BD389" s="147" t="s">
        <v>83</v>
      </c>
      <c r="BE389" s="147" t="s">
        <v>83</v>
      </c>
    </row>
    <row r="390" spans="1:57" s="81" customFormat="1" ht="12.95" hidden="1" customHeight="1">
      <c r="A390" s="248" t="e">
        <v>#N/A</v>
      </c>
      <c r="B390" s="252" t="e">
        <v>#N/A</v>
      </c>
      <c r="C390" s="269" t="s">
        <v>1101</v>
      </c>
      <c r="D390" s="239" t="s">
        <v>3542</v>
      </c>
      <c r="E390" s="58"/>
      <c r="F390" s="59" t="s">
        <v>2272</v>
      </c>
      <c r="G390" s="191" t="s">
        <v>2511</v>
      </c>
      <c r="H390" s="192" t="s">
        <v>2356</v>
      </c>
      <c r="I390" s="61" t="s">
        <v>2364</v>
      </c>
      <c r="J390" s="61" t="s">
        <v>892</v>
      </c>
      <c r="K390" s="62" t="s">
        <v>3543</v>
      </c>
      <c r="L390" s="60" t="s">
        <v>2511</v>
      </c>
      <c r="M390" s="61" t="s">
        <v>2388</v>
      </c>
      <c r="N390" s="61" t="s">
        <v>2388</v>
      </c>
      <c r="O390" s="61" t="s">
        <v>2388</v>
      </c>
      <c r="P390" s="62" t="s">
        <v>2388</v>
      </c>
      <c r="Q390" s="82"/>
      <c r="R390" s="82"/>
      <c r="S390" s="82"/>
      <c r="T390" s="82"/>
      <c r="U390" s="82"/>
      <c r="V390" s="138" t="s">
        <v>3544</v>
      </c>
      <c r="W390" s="57" t="s">
        <v>3471</v>
      </c>
      <c r="X390" s="126" t="s">
        <v>2511</v>
      </c>
      <c r="Y390" s="126" t="s">
        <v>2511</v>
      </c>
      <c r="Z390" s="57"/>
      <c r="AA390" s="57" t="s">
        <v>3472</v>
      </c>
      <c r="AB390" s="138"/>
      <c r="AC390" s="138" t="s">
        <v>2631</v>
      </c>
      <c r="AD390" s="80"/>
      <c r="AE390" s="80"/>
      <c r="AF390" s="80"/>
      <c r="AG390" s="80"/>
      <c r="AH390" s="83"/>
      <c r="AI390" s="83"/>
      <c r="AJ390" s="84"/>
      <c r="AK390" s="84"/>
      <c r="AL390" s="84"/>
      <c r="AM390" s="84"/>
      <c r="AN390" s="84"/>
      <c r="AO390" s="84"/>
      <c r="AP390" s="84"/>
      <c r="AQ390" s="103" t="s">
        <v>2272</v>
      </c>
      <c r="AR390" s="72"/>
      <c r="AS390" s="72"/>
      <c r="AT390" s="72"/>
      <c r="AU390" s="72"/>
      <c r="AV390" s="72"/>
      <c r="AW390" s="72"/>
      <c r="AX390" s="72"/>
      <c r="AY390" s="72"/>
      <c r="AZ390" s="72"/>
      <c r="BA390" s="72"/>
      <c r="BB390" s="16"/>
      <c r="BC390" s="72"/>
      <c r="BD390" s="147" t="s">
        <v>83</v>
      </c>
      <c r="BE390" s="147" t="s">
        <v>83</v>
      </c>
    </row>
    <row r="391" spans="1:57" s="81" customFormat="1" ht="12.95" hidden="1" customHeight="1">
      <c r="A391" s="248" t="e">
        <v>#N/A</v>
      </c>
      <c r="B391" s="252" t="e">
        <v>#N/A</v>
      </c>
      <c r="C391" s="269" t="s">
        <v>1102</v>
      </c>
      <c r="D391" s="239" t="s">
        <v>3461</v>
      </c>
      <c r="E391" s="58"/>
      <c r="F391" s="59" t="s">
        <v>2273</v>
      </c>
      <c r="G391" s="191" t="s">
        <v>2511</v>
      </c>
      <c r="H391" s="192" t="s">
        <v>2357</v>
      </c>
      <c r="I391" s="61" t="s">
        <v>2365</v>
      </c>
      <c r="J391" s="61" t="s">
        <v>893</v>
      </c>
      <c r="K391" s="62" t="s">
        <v>3545</v>
      </c>
      <c r="L391" s="60" t="s">
        <v>2511</v>
      </c>
      <c r="M391" s="61" t="s">
        <v>2388</v>
      </c>
      <c r="N391" s="61" t="s">
        <v>2388</v>
      </c>
      <c r="O391" s="61" t="s">
        <v>2388</v>
      </c>
      <c r="P391" s="62" t="s">
        <v>2388</v>
      </c>
      <c r="Q391" s="82"/>
      <c r="R391" s="82"/>
      <c r="S391" s="82"/>
      <c r="T391" s="82"/>
      <c r="U391" s="82"/>
      <c r="V391" s="138" t="s">
        <v>3546</v>
      </c>
      <c r="W391" s="57" t="s">
        <v>3471</v>
      </c>
      <c r="X391" s="126" t="s">
        <v>2511</v>
      </c>
      <c r="Y391" s="126" t="s">
        <v>2511</v>
      </c>
      <c r="Z391" s="57"/>
      <c r="AA391" s="57" t="s">
        <v>3472</v>
      </c>
      <c r="AB391" s="138"/>
      <c r="AC391" s="138" t="s">
        <v>2631</v>
      </c>
      <c r="AD391" s="80"/>
      <c r="AE391" s="80"/>
      <c r="AF391" s="80"/>
      <c r="AG391" s="80"/>
      <c r="AH391" s="83"/>
      <c r="AI391" s="83"/>
      <c r="AJ391" s="84"/>
      <c r="AK391" s="84"/>
      <c r="AL391" s="84"/>
      <c r="AM391" s="84"/>
      <c r="AN391" s="84"/>
      <c r="AO391" s="84"/>
      <c r="AP391" s="84"/>
      <c r="AQ391" s="105" t="s">
        <v>2273</v>
      </c>
      <c r="AR391" s="72"/>
      <c r="AS391" s="72"/>
      <c r="AT391" s="72"/>
      <c r="AU391" s="72"/>
      <c r="AV391" s="72"/>
      <c r="AW391" s="72"/>
      <c r="AX391" s="72"/>
      <c r="AY391" s="72"/>
      <c r="AZ391" s="72"/>
      <c r="BA391" s="72"/>
      <c r="BB391" s="16"/>
      <c r="BC391" s="72"/>
      <c r="BD391" s="147" t="s">
        <v>83</v>
      </c>
      <c r="BE391" s="147" t="s">
        <v>83</v>
      </c>
    </row>
    <row r="392" spans="1:57" s="81" customFormat="1" ht="12.95" hidden="1" customHeight="1">
      <c r="A392" s="248" t="e">
        <v>#N/A</v>
      </c>
      <c r="B392" s="252" t="e">
        <v>#N/A</v>
      </c>
      <c r="C392" s="269" t="s">
        <v>1103</v>
      </c>
      <c r="D392" s="239" t="s">
        <v>3454</v>
      </c>
      <c r="E392" s="58"/>
      <c r="F392" s="59" t="s">
        <v>2274</v>
      </c>
      <c r="G392" s="191" t="s">
        <v>2511</v>
      </c>
      <c r="H392" s="192" t="s">
        <v>2511</v>
      </c>
      <c r="I392" s="61" t="s">
        <v>2366</v>
      </c>
      <c r="J392" s="61" t="s">
        <v>2358</v>
      </c>
      <c r="K392" s="62" t="s">
        <v>3547</v>
      </c>
      <c r="L392" s="60" t="s">
        <v>2511</v>
      </c>
      <c r="M392" s="61" t="s">
        <v>2511</v>
      </c>
      <c r="N392" s="61" t="s">
        <v>2523</v>
      </c>
      <c r="O392" s="61" t="s">
        <v>2523</v>
      </c>
      <c r="P392" s="62" t="s">
        <v>2523</v>
      </c>
      <c r="Q392" s="82"/>
      <c r="R392" s="82"/>
      <c r="S392" s="82"/>
      <c r="T392" s="82"/>
      <c r="U392" s="82"/>
      <c r="V392" s="138" t="s">
        <v>3548</v>
      </c>
      <c r="W392" s="57" t="s">
        <v>3471</v>
      </c>
      <c r="X392" s="126" t="s">
        <v>2511</v>
      </c>
      <c r="Y392" s="126" t="s">
        <v>2511</v>
      </c>
      <c r="Z392" s="57"/>
      <c r="AA392" s="57" t="s">
        <v>3472</v>
      </c>
      <c r="AB392" s="138"/>
      <c r="AC392" s="138" t="s">
        <v>2631</v>
      </c>
      <c r="AD392" s="80"/>
      <c r="AE392" s="80"/>
      <c r="AF392" s="80"/>
      <c r="AG392" s="80"/>
      <c r="AH392" s="83"/>
      <c r="AI392" s="83"/>
      <c r="AJ392" s="84"/>
      <c r="AK392" s="84"/>
      <c r="AL392" s="84"/>
      <c r="AM392" s="84"/>
      <c r="AN392" s="84"/>
      <c r="AO392" s="84"/>
      <c r="AP392" s="84"/>
      <c r="AQ392" s="103" t="s">
        <v>2274</v>
      </c>
      <c r="AR392" s="72"/>
      <c r="AS392" s="72"/>
      <c r="AT392" s="72"/>
      <c r="AU392" s="72"/>
      <c r="AV392" s="72"/>
      <c r="AW392" s="72"/>
      <c r="AX392" s="72"/>
      <c r="AY392" s="72"/>
      <c r="AZ392" s="72"/>
      <c r="BA392" s="72"/>
      <c r="BB392" s="16"/>
      <c r="BC392" s="72"/>
      <c r="BD392" s="147" t="s">
        <v>83</v>
      </c>
      <c r="BE392" s="147" t="s">
        <v>83</v>
      </c>
    </row>
    <row r="393" spans="1:57" s="81" customFormat="1" ht="12.95" hidden="1" customHeight="1">
      <c r="A393" s="248" t="e">
        <v>#N/A</v>
      </c>
      <c r="B393" s="252" t="e">
        <v>#N/A</v>
      </c>
      <c r="C393" s="269" t="s">
        <v>1104</v>
      </c>
      <c r="D393" s="239" t="s">
        <v>3549</v>
      </c>
      <c r="E393" s="58"/>
      <c r="F393" s="59" t="s">
        <v>2275</v>
      </c>
      <c r="G393" s="191" t="s">
        <v>2511</v>
      </c>
      <c r="H393" s="192" t="s">
        <v>2511</v>
      </c>
      <c r="I393" s="61" t="s">
        <v>2367</v>
      </c>
      <c r="J393" s="61" t="s">
        <v>2359</v>
      </c>
      <c r="K393" s="62" t="s">
        <v>3550</v>
      </c>
      <c r="L393" s="60" t="s">
        <v>2511</v>
      </c>
      <c r="M393" s="61" t="s">
        <v>2511</v>
      </c>
      <c r="N393" s="61" t="s">
        <v>2523</v>
      </c>
      <c r="O393" s="61" t="s">
        <v>2523</v>
      </c>
      <c r="P393" s="62" t="s">
        <v>2523</v>
      </c>
      <c r="Q393" s="82"/>
      <c r="R393" s="82"/>
      <c r="S393" s="82"/>
      <c r="T393" s="82"/>
      <c r="U393" s="82"/>
      <c r="V393" s="138" t="s">
        <v>3551</v>
      </c>
      <c r="W393" s="57" t="s">
        <v>3471</v>
      </c>
      <c r="X393" s="126" t="s">
        <v>2511</v>
      </c>
      <c r="Y393" s="126" t="s">
        <v>2511</v>
      </c>
      <c r="Z393" s="57"/>
      <c r="AA393" s="57" t="s">
        <v>3472</v>
      </c>
      <c r="AB393" s="138"/>
      <c r="AC393" s="138" t="s">
        <v>2631</v>
      </c>
      <c r="AD393" s="80"/>
      <c r="AE393" s="80"/>
      <c r="AF393" s="80"/>
      <c r="AG393" s="80"/>
      <c r="AH393" s="83"/>
      <c r="AI393" s="83"/>
      <c r="AJ393" s="84"/>
      <c r="AK393" s="84"/>
      <c r="AL393" s="84"/>
      <c r="AM393" s="84"/>
      <c r="AN393" s="84"/>
      <c r="AO393" s="84"/>
      <c r="AP393" s="84"/>
      <c r="AQ393" s="105" t="s">
        <v>2275</v>
      </c>
      <c r="AR393" s="72"/>
      <c r="AS393" s="72"/>
      <c r="AT393" s="72"/>
      <c r="AU393" s="72"/>
      <c r="AV393" s="72"/>
      <c r="AW393" s="72"/>
      <c r="AX393" s="72"/>
      <c r="AY393" s="72"/>
      <c r="AZ393" s="72"/>
      <c r="BA393" s="72"/>
      <c r="BB393" s="16"/>
      <c r="BC393" s="72"/>
      <c r="BD393" s="147" t="s">
        <v>83</v>
      </c>
      <c r="BE393" s="147" t="s">
        <v>83</v>
      </c>
    </row>
    <row r="394" spans="1:57" s="81" customFormat="1" ht="12.95" hidden="1" customHeight="1">
      <c r="A394" s="248" t="e">
        <v>#N/A</v>
      </c>
      <c r="B394" s="252" t="e">
        <v>#N/A</v>
      </c>
      <c r="C394" s="269" t="s">
        <v>1105</v>
      </c>
      <c r="D394" s="239" t="s">
        <v>3552</v>
      </c>
      <c r="E394" s="58"/>
      <c r="F394" s="59" t="s">
        <v>2276</v>
      </c>
      <c r="G394" s="191" t="s">
        <v>2511</v>
      </c>
      <c r="H394" s="192" t="s">
        <v>2511</v>
      </c>
      <c r="I394" s="61" t="s">
        <v>2368</v>
      </c>
      <c r="J394" s="61" t="s">
        <v>2360</v>
      </c>
      <c r="K394" s="62" t="s">
        <v>3553</v>
      </c>
      <c r="L394" s="60" t="s">
        <v>2511</v>
      </c>
      <c r="M394" s="61" t="s">
        <v>2511</v>
      </c>
      <c r="N394" s="61" t="s">
        <v>2388</v>
      </c>
      <c r="O394" s="61" t="s">
        <v>2388</v>
      </c>
      <c r="P394" s="62" t="s">
        <v>2388</v>
      </c>
      <c r="Q394" s="82"/>
      <c r="R394" s="82"/>
      <c r="S394" s="82"/>
      <c r="T394" s="82"/>
      <c r="U394" s="82"/>
      <c r="V394" s="138" t="s">
        <v>3554</v>
      </c>
      <c r="W394" s="57" t="s">
        <v>3471</v>
      </c>
      <c r="X394" s="126" t="s">
        <v>2511</v>
      </c>
      <c r="Y394" s="126" t="s">
        <v>2511</v>
      </c>
      <c r="Z394" s="57"/>
      <c r="AA394" s="57" t="s">
        <v>3472</v>
      </c>
      <c r="AB394" s="138"/>
      <c r="AC394" s="138" t="s">
        <v>2631</v>
      </c>
      <c r="AD394" s="80"/>
      <c r="AE394" s="80"/>
      <c r="AF394" s="80"/>
      <c r="AG394" s="80"/>
      <c r="AH394" s="83"/>
      <c r="AI394" s="83"/>
      <c r="AJ394" s="84"/>
      <c r="AK394" s="84"/>
      <c r="AL394" s="84"/>
      <c r="AM394" s="84"/>
      <c r="AN394" s="84"/>
      <c r="AO394" s="84"/>
      <c r="AP394" s="84"/>
      <c r="AQ394" s="103" t="s">
        <v>2276</v>
      </c>
      <c r="AR394" s="72"/>
      <c r="AS394" s="72"/>
      <c r="AT394" s="72"/>
      <c r="AU394" s="72"/>
      <c r="AV394" s="72"/>
      <c r="AW394" s="72"/>
      <c r="AX394" s="72"/>
      <c r="AY394" s="72"/>
      <c r="AZ394" s="72"/>
      <c r="BA394" s="72"/>
      <c r="BB394" s="16"/>
      <c r="BC394" s="72"/>
      <c r="BD394" s="147" t="s">
        <v>83</v>
      </c>
      <c r="BE394" s="147" t="s">
        <v>83</v>
      </c>
    </row>
    <row r="395" spans="1:57" s="81" customFormat="1" ht="12.95" hidden="1" customHeight="1">
      <c r="A395" s="248" t="e">
        <v>#N/A</v>
      </c>
      <c r="B395" s="252" t="e">
        <v>#N/A</v>
      </c>
      <c r="C395" s="269" t="s">
        <v>1106</v>
      </c>
      <c r="D395" s="239" t="s">
        <v>3457</v>
      </c>
      <c r="E395" s="58"/>
      <c r="F395" s="59" t="s">
        <v>2277</v>
      </c>
      <c r="G395" s="191" t="s">
        <v>2511</v>
      </c>
      <c r="H395" s="192" t="s">
        <v>2511</v>
      </c>
      <c r="I395" s="61" t="s">
        <v>2369</v>
      </c>
      <c r="J395" s="61" t="s">
        <v>2361</v>
      </c>
      <c r="K395" s="62" t="s">
        <v>3555</v>
      </c>
      <c r="L395" s="60" t="s">
        <v>2511</v>
      </c>
      <c r="M395" s="61" t="s">
        <v>2511</v>
      </c>
      <c r="N395" s="61" t="s">
        <v>2388</v>
      </c>
      <c r="O395" s="61" t="s">
        <v>2388</v>
      </c>
      <c r="P395" s="62" t="s">
        <v>2388</v>
      </c>
      <c r="Q395" s="82"/>
      <c r="R395" s="82"/>
      <c r="S395" s="82"/>
      <c r="T395" s="82"/>
      <c r="U395" s="82"/>
      <c r="V395" s="138" t="s">
        <v>3556</v>
      </c>
      <c r="W395" s="57" t="s">
        <v>3471</v>
      </c>
      <c r="X395" s="126" t="s">
        <v>2511</v>
      </c>
      <c r="Y395" s="126" t="s">
        <v>2511</v>
      </c>
      <c r="Z395" s="57"/>
      <c r="AA395" s="57" t="s">
        <v>3472</v>
      </c>
      <c r="AB395" s="138"/>
      <c r="AC395" s="138" t="s">
        <v>2631</v>
      </c>
      <c r="AD395" s="80"/>
      <c r="AE395" s="80"/>
      <c r="AF395" s="80"/>
      <c r="AG395" s="80"/>
      <c r="AH395" s="83"/>
      <c r="AI395" s="83"/>
      <c r="AJ395" s="84"/>
      <c r="AK395" s="84"/>
      <c r="AL395" s="84"/>
      <c r="AM395" s="84"/>
      <c r="AN395" s="84"/>
      <c r="AO395" s="84"/>
      <c r="AP395" s="84"/>
      <c r="AQ395" s="105" t="s">
        <v>2277</v>
      </c>
      <c r="AR395" s="72"/>
      <c r="AS395" s="72"/>
      <c r="AT395" s="72"/>
      <c r="AU395" s="72"/>
      <c r="AV395" s="72"/>
      <c r="AW395" s="72"/>
      <c r="AX395" s="72"/>
      <c r="AY395" s="72"/>
      <c r="AZ395" s="72"/>
      <c r="BA395" s="72"/>
      <c r="BB395" s="16"/>
      <c r="BC395" s="72"/>
      <c r="BD395" s="147" t="s">
        <v>83</v>
      </c>
      <c r="BE395" s="147" t="s">
        <v>83</v>
      </c>
    </row>
    <row r="396" spans="1:57" s="81" customFormat="1" ht="12.95" hidden="1" customHeight="1">
      <c r="A396" s="248" t="e">
        <v>#N/A</v>
      </c>
      <c r="B396" s="252" t="e">
        <v>#N/A</v>
      </c>
      <c r="C396" s="269" t="s">
        <v>1107</v>
      </c>
      <c r="D396" s="239" t="s">
        <v>3557</v>
      </c>
      <c r="E396" s="58"/>
      <c r="F396" s="59" t="s">
        <v>2278</v>
      </c>
      <c r="G396" s="191" t="s">
        <v>2511</v>
      </c>
      <c r="H396" s="192" t="s">
        <v>2511</v>
      </c>
      <c r="I396" s="61" t="s">
        <v>2374</v>
      </c>
      <c r="J396" s="61" t="s">
        <v>2362</v>
      </c>
      <c r="K396" s="62" t="s">
        <v>3558</v>
      </c>
      <c r="L396" s="60" t="s">
        <v>2511</v>
      </c>
      <c r="M396" s="61" t="s">
        <v>2511</v>
      </c>
      <c r="N396" s="61" t="s">
        <v>2523</v>
      </c>
      <c r="O396" s="61" t="s">
        <v>2523</v>
      </c>
      <c r="P396" s="62" t="s">
        <v>2523</v>
      </c>
      <c r="Q396" s="82"/>
      <c r="R396" s="82"/>
      <c r="S396" s="82"/>
      <c r="T396" s="82"/>
      <c r="U396" s="82"/>
      <c r="V396" s="138" t="s">
        <v>3559</v>
      </c>
      <c r="W396" s="57" t="s">
        <v>3471</v>
      </c>
      <c r="X396" s="126" t="s">
        <v>2511</v>
      </c>
      <c r="Y396" s="126" t="s">
        <v>2511</v>
      </c>
      <c r="Z396" s="57"/>
      <c r="AA396" s="57" t="s">
        <v>3472</v>
      </c>
      <c r="AB396" s="138"/>
      <c r="AC396" s="138" t="s">
        <v>2631</v>
      </c>
      <c r="AD396" s="80"/>
      <c r="AE396" s="80"/>
      <c r="AF396" s="80"/>
      <c r="AG396" s="80"/>
      <c r="AH396" s="83"/>
      <c r="AI396" s="83"/>
      <c r="AJ396" s="84"/>
      <c r="AK396" s="84"/>
      <c r="AL396" s="84"/>
      <c r="AM396" s="84"/>
      <c r="AN396" s="84"/>
      <c r="AO396" s="84"/>
      <c r="AP396" s="84"/>
      <c r="AQ396" s="103" t="s">
        <v>2278</v>
      </c>
      <c r="AR396" s="72"/>
      <c r="AS396" s="72"/>
      <c r="AT396" s="72"/>
      <c r="AU396" s="72"/>
      <c r="AV396" s="72"/>
      <c r="AW396" s="72"/>
      <c r="AX396" s="72"/>
      <c r="AY396" s="72"/>
      <c r="AZ396" s="72"/>
      <c r="BA396" s="72"/>
      <c r="BB396" s="16"/>
      <c r="BC396" s="72"/>
      <c r="BD396" s="147" t="s">
        <v>83</v>
      </c>
      <c r="BE396" s="147" t="s">
        <v>83</v>
      </c>
    </row>
    <row r="397" spans="1:57" s="81" customFormat="1" ht="12.95" hidden="1" customHeight="1">
      <c r="A397" s="248" t="e">
        <v>#N/A</v>
      </c>
      <c r="B397" s="252" t="e">
        <v>#N/A</v>
      </c>
      <c r="C397" s="269" t="s">
        <v>1108</v>
      </c>
      <c r="D397" s="239" t="s">
        <v>3119</v>
      </c>
      <c r="E397" s="58"/>
      <c r="F397" s="59" t="s">
        <v>2279</v>
      </c>
      <c r="G397" s="191" t="s">
        <v>2511</v>
      </c>
      <c r="H397" s="192" t="s">
        <v>2511</v>
      </c>
      <c r="I397" s="61" t="s">
        <v>2375</v>
      </c>
      <c r="J397" s="61" t="s">
        <v>2363</v>
      </c>
      <c r="K397" s="62" t="s">
        <v>3560</v>
      </c>
      <c r="L397" s="60" t="s">
        <v>2511</v>
      </c>
      <c r="M397" s="61" t="s">
        <v>2511</v>
      </c>
      <c r="N397" s="61" t="s">
        <v>2523</v>
      </c>
      <c r="O397" s="61" t="s">
        <v>2523</v>
      </c>
      <c r="P397" s="62" t="s">
        <v>2523</v>
      </c>
      <c r="Q397" s="82"/>
      <c r="R397" s="82"/>
      <c r="S397" s="82"/>
      <c r="T397" s="82"/>
      <c r="U397" s="82"/>
      <c r="V397" s="138" t="s">
        <v>3561</v>
      </c>
      <c r="W397" s="57" t="s">
        <v>3471</v>
      </c>
      <c r="X397" s="126" t="s">
        <v>2511</v>
      </c>
      <c r="Y397" s="126" t="s">
        <v>2511</v>
      </c>
      <c r="Z397" s="57"/>
      <c r="AA397" s="57" t="s">
        <v>3472</v>
      </c>
      <c r="AB397" s="138"/>
      <c r="AC397" s="138" t="s">
        <v>2631</v>
      </c>
      <c r="AD397" s="80"/>
      <c r="AE397" s="80"/>
      <c r="AF397" s="80"/>
      <c r="AG397" s="80"/>
      <c r="AH397" s="83"/>
      <c r="AI397" s="83"/>
      <c r="AJ397" s="84"/>
      <c r="AK397" s="84"/>
      <c r="AL397" s="84"/>
      <c r="AM397" s="84"/>
      <c r="AN397" s="84"/>
      <c r="AO397" s="84"/>
      <c r="AP397" s="84"/>
      <c r="AQ397" s="105" t="s">
        <v>2279</v>
      </c>
      <c r="AR397" s="72"/>
      <c r="AS397" s="72"/>
      <c r="AT397" s="72"/>
      <c r="AU397" s="72"/>
      <c r="AV397" s="72"/>
      <c r="AW397" s="72"/>
      <c r="AX397" s="72"/>
      <c r="AY397" s="72"/>
      <c r="AZ397" s="72"/>
      <c r="BA397" s="72"/>
      <c r="BB397" s="16"/>
      <c r="BC397" s="72"/>
      <c r="BD397" s="147" t="s">
        <v>83</v>
      </c>
      <c r="BE397" s="147" t="s">
        <v>83</v>
      </c>
    </row>
    <row r="398" spans="1:57" s="81" customFormat="1" ht="12.95" hidden="1" customHeight="1">
      <c r="A398" s="248" t="e">
        <v>#N/A</v>
      </c>
      <c r="B398" s="252" t="e">
        <v>#N/A</v>
      </c>
      <c r="C398" s="269" t="s">
        <v>1109</v>
      </c>
      <c r="D398" s="239" t="s">
        <v>3154</v>
      </c>
      <c r="E398" s="58"/>
      <c r="F398" s="59" t="s">
        <v>2280</v>
      </c>
      <c r="G398" s="191" t="s">
        <v>2511</v>
      </c>
      <c r="H398" s="192" t="s">
        <v>2511</v>
      </c>
      <c r="I398" s="61" t="s">
        <v>2376</v>
      </c>
      <c r="J398" s="61" t="s">
        <v>2364</v>
      </c>
      <c r="K398" s="62" t="s">
        <v>3562</v>
      </c>
      <c r="L398" s="60" t="s">
        <v>2511</v>
      </c>
      <c r="M398" s="61" t="s">
        <v>2511</v>
      </c>
      <c r="N398" s="61" t="s">
        <v>2388</v>
      </c>
      <c r="O398" s="61" t="s">
        <v>2388</v>
      </c>
      <c r="P398" s="62" t="s">
        <v>2388</v>
      </c>
      <c r="Q398" s="82"/>
      <c r="R398" s="82"/>
      <c r="S398" s="82"/>
      <c r="T398" s="82"/>
      <c r="U398" s="82"/>
      <c r="V398" s="138" t="s">
        <v>3563</v>
      </c>
      <c r="W398" s="57" t="s">
        <v>3471</v>
      </c>
      <c r="X398" s="126" t="s">
        <v>2511</v>
      </c>
      <c r="Y398" s="126" t="s">
        <v>2511</v>
      </c>
      <c r="Z398" s="57"/>
      <c r="AA398" s="57" t="s">
        <v>3472</v>
      </c>
      <c r="AB398" s="138"/>
      <c r="AC398" s="138" t="s">
        <v>2631</v>
      </c>
      <c r="AD398" s="80"/>
      <c r="AE398" s="80"/>
      <c r="AF398" s="80"/>
      <c r="AG398" s="80"/>
      <c r="AH398" s="83"/>
      <c r="AI398" s="83"/>
      <c r="AJ398" s="84"/>
      <c r="AK398" s="84"/>
      <c r="AL398" s="84"/>
      <c r="AM398" s="84"/>
      <c r="AN398" s="84"/>
      <c r="AO398" s="84"/>
      <c r="AP398" s="84"/>
      <c r="AQ398" s="103" t="s">
        <v>2280</v>
      </c>
      <c r="AR398" s="72"/>
      <c r="AS398" s="72"/>
      <c r="AT398" s="72"/>
      <c r="AU398" s="72"/>
      <c r="AV398" s="72"/>
      <c r="AW398" s="72"/>
      <c r="AX398" s="72"/>
      <c r="AY398" s="72"/>
      <c r="AZ398" s="72"/>
      <c r="BA398" s="72"/>
      <c r="BB398" s="16"/>
      <c r="BC398" s="72"/>
      <c r="BD398" s="147" t="s">
        <v>83</v>
      </c>
      <c r="BE398" s="147" t="s">
        <v>83</v>
      </c>
    </row>
    <row r="399" spans="1:57" s="81" customFormat="1" ht="12.95" hidden="1" customHeight="1">
      <c r="A399" s="248" t="e">
        <v>#N/A</v>
      </c>
      <c r="B399" s="252" t="e">
        <v>#N/A</v>
      </c>
      <c r="C399" s="269" t="s">
        <v>1110</v>
      </c>
      <c r="D399" s="239" t="s">
        <v>3564</v>
      </c>
      <c r="E399" s="58"/>
      <c r="F399" s="59" t="s">
        <v>2281</v>
      </c>
      <c r="G399" s="191" t="s">
        <v>2511</v>
      </c>
      <c r="H399" s="192" t="s">
        <v>2511</v>
      </c>
      <c r="I399" s="61" t="s">
        <v>2377</v>
      </c>
      <c r="J399" s="61" t="s">
        <v>2365</v>
      </c>
      <c r="K399" s="62" t="s">
        <v>3565</v>
      </c>
      <c r="L399" s="60" t="s">
        <v>2511</v>
      </c>
      <c r="M399" s="61" t="s">
        <v>2511</v>
      </c>
      <c r="N399" s="61" t="s">
        <v>2388</v>
      </c>
      <c r="O399" s="61" t="s">
        <v>2388</v>
      </c>
      <c r="P399" s="62" t="s">
        <v>2388</v>
      </c>
      <c r="Q399" s="82"/>
      <c r="R399" s="82"/>
      <c r="S399" s="82"/>
      <c r="T399" s="82"/>
      <c r="U399" s="82"/>
      <c r="V399" s="138" t="s">
        <v>3566</v>
      </c>
      <c r="W399" s="57" t="s">
        <v>3471</v>
      </c>
      <c r="X399" s="126" t="s">
        <v>2511</v>
      </c>
      <c r="Y399" s="126" t="s">
        <v>2511</v>
      </c>
      <c r="Z399" s="57"/>
      <c r="AA399" s="57" t="s">
        <v>3472</v>
      </c>
      <c r="AB399" s="138"/>
      <c r="AC399" s="138" t="s">
        <v>2631</v>
      </c>
      <c r="AD399" s="80"/>
      <c r="AE399" s="80"/>
      <c r="AF399" s="80"/>
      <c r="AG399" s="80"/>
      <c r="AH399" s="83"/>
      <c r="AI399" s="83"/>
      <c r="AJ399" s="84"/>
      <c r="AK399" s="84"/>
      <c r="AL399" s="84"/>
      <c r="AM399" s="84"/>
      <c r="AN399" s="84"/>
      <c r="AO399" s="84"/>
      <c r="AP399" s="84"/>
      <c r="AQ399" s="105" t="s">
        <v>2281</v>
      </c>
      <c r="AR399" s="72"/>
      <c r="AS399" s="72"/>
      <c r="AT399" s="72"/>
      <c r="AU399" s="72"/>
      <c r="AV399" s="72"/>
      <c r="AW399" s="72"/>
      <c r="AX399" s="72"/>
      <c r="AY399" s="72"/>
      <c r="AZ399" s="72"/>
      <c r="BA399" s="72"/>
      <c r="BB399" s="16"/>
      <c r="BC399" s="72"/>
      <c r="BD399" s="147" t="s">
        <v>83</v>
      </c>
      <c r="BE399" s="147" t="s">
        <v>83</v>
      </c>
    </row>
    <row r="400" spans="1:57" s="81" customFormat="1" ht="12.95" hidden="1" customHeight="1">
      <c r="A400" s="248" t="e">
        <v>#N/A</v>
      </c>
      <c r="B400" s="252" t="e">
        <v>#N/A</v>
      </c>
      <c r="C400" s="269" t="s">
        <v>1111</v>
      </c>
      <c r="D400" s="239" t="s">
        <v>3464</v>
      </c>
      <c r="E400" s="58"/>
      <c r="F400" s="59" t="s">
        <v>2282</v>
      </c>
      <c r="G400" s="191" t="s">
        <v>2511</v>
      </c>
      <c r="H400" s="192" t="s">
        <v>2362</v>
      </c>
      <c r="I400" s="61" t="s">
        <v>2378</v>
      </c>
      <c r="J400" s="61" t="s">
        <v>2366</v>
      </c>
      <c r="K400" s="62" t="s">
        <v>3567</v>
      </c>
      <c r="L400" s="60" t="s">
        <v>2511</v>
      </c>
      <c r="M400" s="61" t="s">
        <v>2523</v>
      </c>
      <c r="N400" s="61" t="s">
        <v>2523</v>
      </c>
      <c r="O400" s="61" t="s">
        <v>2523</v>
      </c>
      <c r="P400" s="62" t="s">
        <v>2523</v>
      </c>
      <c r="Q400" s="82"/>
      <c r="R400" s="82"/>
      <c r="S400" s="82"/>
      <c r="T400" s="82"/>
      <c r="U400" s="82"/>
      <c r="V400" s="138" t="s">
        <v>3568</v>
      </c>
      <c r="W400" s="57" t="s">
        <v>3471</v>
      </c>
      <c r="X400" s="126" t="s">
        <v>2511</v>
      </c>
      <c r="Y400" s="126" t="s">
        <v>2511</v>
      </c>
      <c r="Z400" s="57"/>
      <c r="AA400" s="57" t="s">
        <v>3472</v>
      </c>
      <c r="AB400" s="138"/>
      <c r="AC400" s="138" t="s">
        <v>2631</v>
      </c>
      <c r="AD400" s="80"/>
      <c r="AE400" s="80"/>
      <c r="AF400" s="80"/>
      <c r="AG400" s="80"/>
      <c r="AH400" s="83"/>
      <c r="AI400" s="83"/>
      <c r="AJ400" s="84"/>
      <c r="AK400" s="84"/>
      <c r="AL400" s="84"/>
      <c r="AM400" s="84"/>
      <c r="AN400" s="84"/>
      <c r="AO400" s="84"/>
      <c r="AP400" s="84"/>
      <c r="AQ400" s="103" t="s">
        <v>2282</v>
      </c>
      <c r="AR400" s="72"/>
      <c r="AS400" s="72"/>
      <c r="AT400" s="72"/>
      <c r="AU400" s="72"/>
      <c r="AV400" s="72"/>
      <c r="AW400" s="72"/>
      <c r="AX400" s="72"/>
      <c r="AY400" s="72"/>
      <c r="AZ400" s="72"/>
      <c r="BA400" s="72"/>
      <c r="BB400" s="16"/>
      <c r="BC400" s="72"/>
      <c r="BD400" s="147" t="s">
        <v>83</v>
      </c>
      <c r="BE400" s="147" t="s">
        <v>83</v>
      </c>
    </row>
    <row r="401" spans="1:57" s="81" customFormat="1" ht="12.95" hidden="1" customHeight="1">
      <c r="A401" s="248" t="e">
        <v>#N/A</v>
      </c>
      <c r="B401" s="252" t="e">
        <v>#N/A</v>
      </c>
      <c r="C401" s="269" t="s">
        <v>1112</v>
      </c>
      <c r="D401" s="239" t="s">
        <v>2561</v>
      </c>
      <c r="E401" s="58"/>
      <c r="F401" s="59" t="s">
        <v>2283</v>
      </c>
      <c r="G401" s="191" t="s">
        <v>2511</v>
      </c>
      <c r="H401" s="192" t="s">
        <v>2363</v>
      </c>
      <c r="I401" s="61" t="s">
        <v>2379</v>
      </c>
      <c r="J401" s="61" t="s">
        <v>2367</v>
      </c>
      <c r="K401" s="62" t="s">
        <v>3569</v>
      </c>
      <c r="L401" s="60" t="s">
        <v>2511</v>
      </c>
      <c r="M401" s="61" t="s">
        <v>2523</v>
      </c>
      <c r="N401" s="61" t="s">
        <v>2523</v>
      </c>
      <c r="O401" s="61" t="s">
        <v>2523</v>
      </c>
      <c r="P401" s="62" t="s">
        <v>2523</v>
      </c>
      <c r="Q401" s="82"/>
      <c r="R401" s="82"/>
      <c r="S401" s="82"/>
      <c r="T401" s="82"/>
      <c r="U401" s="82"/>
      <c r="V401" s="138" t="s">
        <v>3570</v>
      </c>
      <c r="W401" s="57" t="s">
        <v>3471</v>
      </c>
      <c r="X401" s="126" t="s">
        <v>2511</v>
      </c>
      <c r="Y401" s="126" t="s">
        <v>2511</v>
      </c>
      <c r="Z401" s="57"/>
      <c r="AA401" s="57" t="s">
        <v>3472</v>
      </c>
      <c r="AB401" s="138"/>
      <c r="AC401" s="138" t="s">
        <v>2631</v>
      </c>
      <c r="AD401" s="80"/>
      <c r="AE401" s="80"/>
      <c r="AF401" s="80"/>
      <c r="AG401" s="80"/>
      <c r="AH401" s="83"/>
      <c r="AI401" s="83"/>
      <c r="AJ401" s="84"/>
      <c r="AK401" s="84"/>
      <c r="AL401" s="84"/>
      <c r="AM401" s="84"/>
      <c r="AN401" s="84"/>
      <c r="AO401" s="84"/>
      <c r="AP401" s="84"/>
      <c r="AQ401" s="105" t="s">
        <v>2283</v>
      </c>
      <c r="AR401" s="72"/>
      <c r="AS401" s="72"/>
      <c r="AT401" s="72"/>
      <c r="AU401" s="72"/>
      <c r="AV401" s="72"/>
      <c r="AW401" s="72"/>
      <c r="AX401" s="72"/>
      <c r="AY401" s="72"/>
      <c r="AZ401" s="72"/>
      <c r="BA401" s="72"/>
      <c r="BB401" s="16"/>
      <c r="BC401" s="72"/>
      <c r="BD401" s="147" t="s">
        <v>83</v>
      </c>
      <c r="BE401" s="147" t="s">
        <v>83</v>
      </c>
    </row>
    <row r="402" spans="1:57" s="81" customFormat="1" ht="12.95" hidden="1" customHeight="1">
      <c r="A402" s="248" t="e">
        <v>#N/A</v>
      </c>
      <c r="B402" s="252" t="e">
        <v>#N/A</v>
      </c>
      <c r="C402" s="269" t="s">
        <v>1113</v>
      </c>
      <c r="D402" s="239" t="s">
        <v>2525</v>
      </c>
      <c r="E402" s="58"/>
      <c r="F402" s="59" t="s">
        <v>2284</v>
      </c>
      <c r="G402" s="191" t="s">
        <v>2511</v>
      </c>
      <c r="H402" s="192" t="s">
        <v>2364</v>
      </c>
      <c r="I402" s="61" t="s">
        <v>2380</v>
      </c>
      <c r="J402" s="61" t="s">
        <v>2368</v>
      </c>
      <c r="K402" s="62" t="s">
        <v>3571</v>
      </c>
      <c r="L402" s="60" t="s">
        <v>2511</v>
      </c>
      <c r="M402" s="61" t="s">
        <v>2388</v>
      </c>
      <c r="N402" s="61" t="s">
        <v>2388</v>
      </c>
      <c r="O402" s="61" t="s">
        <v>2388</v>
      </c>
      <c r="P402" s="62" t="s">
        <v>2388</v>
      </c>
      <c r="Q402" s="82"/>
      <c r="R402" s="82"/>
      <c r="S402" s="82"/>
      <c r="T402" s="82"/>
      <c r="U402" s="82"/>
      <c r="V402" s="138" t="s">
        <v>3572</v>
      </c>
      <c r="W402" s="57" t="s">
        <v>3471</v>
      </c>
      <c r="X402" s="126" t="s">
        <v>2511</v>
      </c>
      <c r="Y402" s="126" t="s">
        <v>2511</v>
      </c>
      <c r="Z402" s="57"/>
      <c r="AA402" s="57" t="s">
        <v>3472</v>
      </c>
      <c r="AB402" s="138"/>
      <c r="AC402" s="138" t="s">
        <v>2631</v>
      </c>
      <c r="AD402" s="80"/>
      <c r="AE402" s="80"/>
      <c r="AF402" s="80"/>
      <c r="AG402" s="80"/>
      <c r="AH402" s="83"/>
      <c r="AI402" s="83"/>
      <c r="AJ402" s="84"/>
      <c r="AK402" s="84"/>
      <c r="AL402" s="84"/>
      <c r="AM402" s="84"/>
      <c r="AN402" s="84"/>
      <c r="AO402" s="84"/>
      <c r="AP402" s="84"/>
      <c r="AQ402" s="103" t="s">
        <v>2284</v>
      </c>
      <c r="AR402" s="72"/>
      <c r="AS402" s="72"/>
      <c r="AT402" s="72"/>
      <c r="AU402" s="72"/>
      <c r="AV402" s="72"/>
      <c r="AW402" s="72"/>
      <c r="AX402" s="72"/>
      <c r="AY402" s="72"/>
      <c r="AZ402" s="72"/>
      <c r="BA402" s="72"/>
      <c r="BB402" s="16"/>
      <c r="BC402" s="72"/>
      <c r="BD402" s="147" t="s">
        <v>83</v>
      </c>
      <c r="BE402" s="147" t="s">
        <v>83</v>
      </c>
    </row>
    <row r="403" spans="1:57" s="81" customFormat="1" ht="12.95" hidden="1" customHeight="1">
      <c r="A403" s="248" t="e">
        <v>#N/A</v>
      </c>
      <c r="B403" s="252" t="e">
        <v>#N/A</v>
      </c>
      <c r="C403" s="269" t="s">
        <v>1114</v>
      </c>
      <c r="D403" s="239" t="s">
        <v>3573</v>
      </c>
      <c r="E403" s="58"/>
      <c r="F403" s="59" t="s">
        <v>2285</v>
      </c>
      <c r="G403" s="191" t="s">
        <v>2511</v>
      </c>
      <c r="H403" s="192" t="s">
        <v>2365</v>
      </c>
      <c r="I403" s="61" t="s">
        <v>2381</v>
      </c>
      <c r="J403" s="61" t="s">
        <v>2369</v>
      </c>
      <c r="K403" s="62" t="s">
        <v>3574</v>
      </c>
      <c r="L403" s="60" t="s">
        <v>2511</v>
      </c>
      <c r="M403" s="61" t="s">
        <v>2388</v>
      </c>
      <c r="N403" s="61" t="s">
        <v>2388</v>
      </c>
      <c r="O403" s="61" t="s">
        <v>2388</v>
      </c>
      <c r="P403" s="62" t="s">
        <v>2388</v>
      </c>
      <c r="Q403" s="82"/>
      <c r="R403" s="82"/>
      <c r="S403" s="82"/>
      <c r="T403" s="82"/>
      <c r="U403" s="82"/>
      <c r="V403" s="138" t="s">
        <v>3575</v>
      </c>
      <c r="W403" s="57" t="s">
        <v>3471</v>
      </c>
      <c r="X403" s="126" t="s">
        <v>2511</v>
      </c>
      <c r="Y403" s="126" t="s">
        <v>2511</v>
      </c>
      <c r="Z403" s="57"/>
      <c r="AA403" s="57" t="s">
        <v>3472</v>
      </c>
      <c r="AB403" s="138"/>
      <c r="AC403" s="138" t="s">
        <v>2631</v>
      </c>
      <c r="AD403" s="80"/>
      <c r="AE403" s="80"/>
      <c r="AF403" s="80"/>
      <c r="AG403" s="80"/>
      <c r="AH403" s="83"/>
      <c r="AI403" s="83"/>
      <c r="AJ403" s="84"/>
      <c r="AK403" s="84"/>
      <c r="AL403" s="84"/>
      <c r="AM403" s="84"/>
      <c r="AN403" s="84"/>
      <c r="AO403" s="84"/>
      <c r="AP403" s="84"/>
      <c r="AQ403" s="105" t="s">
        <v>2285</v>
      </c>
      <c r="AR403" s="72"/>
      <c r="AS403" s="72"/>
      <c r="AT403" s="72"/>
      <c r="AU403" s="72"/>
      <c r="AV403" s="72"/>
      <c r="AW403" s="72"/>
      <c r="AX403" s="72"/>
      <c r="AY403" s="72"/>
      <c r="AZ403" s="72"/>
      <c r="BA403" s="72"/>
      <c r="BB403" s="16"/>
      <c r="BC403" s="72"/>
      <c r="BD403" s="147" t="s">
        <v>83</v>
      </c>
      <c r="BE403" s="147" t="s">
        <v>83</v>
      </c>
    </row>
    <row r="404" spans="1:57" s="81" customFormat="1" ht="12.95" hidden="1" customHeight="1">
      <c r="A404" s="248" t="e">
        <v>#N/A</v>
      </c>
      <c r="B404" s="252" t="e">
        <v>#N/A</v>
      </c>
      <c r="C404" s="269" t="s">
        <v>1115</v>
      </c>
      <c r="D404" s="239" t="s">
        <v>3576</v>
      </c>
      <c r="E404" s="58"/>
      <c r="F404" s="59" t="s">
        <v>2286</v>
      </c>
      <c r="G404" s="191" t="s">
        <v>2511</v>
      </c>
      <c r="H404" s="192"/>
      <c r="I404" s="61" t="s">
        <v>2416</v>
      </c>
      <c r="J404" s="61" t="s">
        <v>2370</v>
      </c>
      <c r="K404" s="62" t="s">
        <v>3526</v>
      </c>
      <c r="L404" s="60" t="s">
        <v>2511</v>
      </c>
      <c r="M404" s="61" t="s">
        <v>2523</v>
      </c>
      <c r="N404" s="61" t="s">
        <v>2523</v>
      </c>
      <c r="O404" s="61" t="s">
        <v>2523</v>
      </c>
      <c r="P404" s="62" t="s">
        <v>2523</v>
      </c>
      <c r="Q404" s="82"/>
      <c r="R404" s="82"/>
      <c r="S404" s="82"/>
      <c r="T404" s="82"/>
      <c r="U404" s="82"/>
      <c r="V404" s="138" t="s">
        <v>3577</v>
      </c>
      <c r="W404" s="57" t="s">
        <v>3471</v>
      </c>
      <c r="X404" s="126" t="s">
        <v>2511</v>
      </c>
      <c r="Y404" s="126" t="s">
        <v>2511</v>
      </c>
      <c r="Z404" s="57"/>
      <c r="AA404" s="57" t="s">
        <v>3472</v>
      </c>
      <c r="AB404" s="138"/>
      <c r="AC404" s="138" t="s">
        <v>2631</v>
      </c>
      <c r="AD404" s="80"/>
      <c r="AE404" s="80"/>
      <c r="AF404" s="80"/>
      <c r="AG404" s="80"/>
      <c r="AH404" s="83"/>
      <c r="AI404" s="83"/>
      <c r="AJ404" s="84"/>
      <c r="AK404" s="84"/>
      <c r="AL404" s="84"/>
      <c r="AM404" s="84"/>
      <c r="AN404" s="84"/>
      <c r="AO404" s="84"/>
      <c r="AP404" s="84"/>
      <c r="AQ404" s="103" t="s">
        <v>2286</v>
      </c>
      <c r="AR404" s="72"/>
      <c r="AS404" s="72"/>
      <c r="AT404" s="72"/>
      <c r="AU404" s="72"/>
      <c r="AV404" s="72"/>
      <c r="AW404" s="72"/>
      <c r="AX404" s="72"/>
      <c r="AY404" s="72"/>
      <c r="AZ404" s="72"/>
      <c r="BA404" s="72"/>
      <c r="BB404" s="16"/>
      <c r="BC404" s="72"/>
      <c r="BD404" s="147" t="s">
        <v>83</v>
      </c>
      <c r="BE404" s="147" t="s">
        <v>83</v>
      </c>
    </row>
    <row r="405" spans="1:57" s="81" customFormat="1" ht="12.95" hidden="1" customHeight="1">
      <c r="A405" s="248" t="e">
        <v>#N/A</v>
      </c>
      <c r="B405" s="252" t="e">
        <v>#N/A</v>
      </c>
      <c r="C405" s="269" t="s">
        <v>1116</v>
      </c>
      <c r="D405" s="239" t="s">
        <v>2565</v>
      </c>
      <c r="E405" s="58"/>
      <c r="F405" s="59" t="s">
        <v>2287</v>
      </c>
      <c r="G405" s="191" t="s">
        <v>2511</v>
      </c>
      <c r="H405" s="192"/>
      <c r="I405" s="61" t="s">
        <v>2417</v>
      </c>
      <c r="J405" s="61" t="s">
        <v>2371</v>
      </c>
      <c r="K405" s="62" t="s">
        <v>3529</v>
      </c>
      <c r="L405" s="60" t="s">
        <v>2511</v>
      </c>
      <c r="M405" s="61" t="s">
        <v>2523</v>
      </c>
      <c r="N405" s="61" t="s">
        <v>2523</v>
      </c>
      <c r="O405" s="61" t="s">
        <v>2523</v>
      </c>
      <c r="P405" s="62" t="s">
        <v>2523</v>
      </c>
      <c r="Q405" s="82"/>
      <c r="R405" s="82"/>
      <c r="S405" s="82"/>
      <c r="T405" s="82"/>
      <c r="U405" s="82"/>
      <c r="V405" s="138" t="s">
        <v>3578</v>
      </c>
      <c r="W405" s="57" t="s">
        <v>3471</v>
      </c>
      <c r="X405" s="126" t="s">
        <v>2511</v>
      </c>
      <c r="Y405" s="126" t="s">
        <v>2511</v>
      </c>
      <c r="Z405" s="57"/>
      <c r="AA405" s="57" t="s">
        <v>3472</v>
      </c>
      <c r="AB405" s="138"/>
      <c r="AC405" s="138" t="s">
        <v>2631</v>
      </c>
      <c r="AD405" s="80"/>
      <c r="AE405" s="80"/>
      <c r="AF405" s="80"/>
      <c r="AG405" s="80"/>
      <c r="AH405" s="83"/>
      <c r="AI405" s="83"/>
      <c r="AJ405" s="84"/>
      <c r="AK405" s="84"/>
      <c r="AL405" s="84"/>
      <c r="AM405" s="84"/>
      <c r="AN405" s="84"/>
      <c r="AO405" s="84"/>
      <c r="AP405" s="84"/>
      <c r="AQ405" s="105" t="s">
        <v>2287</v>
      </c>
      <c r="AR405" s="72"/>
      <c r="AS405" s="72"/>
      <c r="AT405" s="72"/>
      <c r="AU405" s="72"/>
      <c r="AV405" s="72"/>
      <c r="AW405" s="72"/>
      <c r="AX405" s="72"/>
      <c r="AY405" s="72"/>
      <c r="AZ405" s="72"/>
      <c r="BA405" s="72"/>
      <c r="BB405" s="16"/>
      <c r="BC405" s="72"/>
      <c r="BD405" s="147" t="s">
        <v>83</v>
      </c>
      <c r="BE405" s="147" t="s">
        <v>83</v>
      </c>
    </row>
    <row r="406" spans="1:57" s="81" customFormat="1" ht="12.95" hidden="1" customHeight="1">
      <c r="A406" s="248" t="e">
        <v>#N/A</v>
      </c>
      <c r="B406" s="252" t="e">
        <v>#N/A</v>
      </c>
      <c r="C406" s="269" t="s">
        <v>1117</v>
      </c>
      <c r="D406" s="239" t="s">
        <v>3111</v>
      </c>
      <c r="E406" s="58"/>
      <c r="F406" s="59" t="s">
        <v>2288</v>
      </c>
      <c r="G406" s="191" t="s">
        <v>2511</v>
      </c>
      <c r="H406" s="192"/>
      <c r="I406" s="61" t="s">
        <v>2418</v>
      </c>
      <c r="J406" s="61" t="s">
        <v>2372</v>
      </c>
      <c r="K406" s="62" t="s">
        <v>3532</v>
      </c>
      <c r="L406" s="60" t="s">
        <v>2511</v>
      </c>
      <c r="M406" s="61" t="s">
        <v>2388</v>
      </c>
      <c r="N406" s="61" t="s">
        <v>2388</v>
      </c>
      <c r="O406" s="61" t="s">
        <v>2388</v>
      </c>
      <c r="P406" s="62" t="s">
        <v>2388</v>
      </c>
      <c r="Q406" s="82"/>
      <c r="R406" s="82"/>
      <c r="S406" s="82"/>
      <c r="T406" s="82"/>
      <c r="U406" s="82"/>
      <c r="V406" s="138" t="s">
        <v>3579</v>
      </c>
      <c r="W406" s="57" t="s">
        <v>3471</v>
      </c>
      <c r="X406" s="126" t="s">
        <v>2511</v>
      </c>
      <c r="Y406" s="126" t="s">
        <v>2511</v>
      </c>
      <c r="Z406" s="57"/>
      <c r="AA406" s="57" t="s">
        <v>3472</v>
      </c>
      <c r="AB406" s="138"/>
      <c r="AC406" s="138" t="s">
        <v>2631</v>
      </c>
      <c r="AD406" s="80"/>
      <c r="AE406" s="80"/>
      <c r="AF406" s="80"/>
      <c r="AG406" s="80"/>
      <c r="AH406" s="83"/>
      <c r="AI406" s="83"/>
      <c r="AJ406" s="84"/>
      <c r="AK406" s="84"/>
      <c r="AL406" s="84"/>
      <c r="AM406" s="84"/>
      <c r="AN406" s="84"/>
      <c r="AO406" s="84"/>
      <c r="AP406" s="84"/>
      <c r="AQ406" s="103" t="s">
        <v>2288</v>
      </c>
      <c r="AR406" s="72"/>
      <c r="AS406" s="72"/>
      <c r="AT406" s="72"/>
      <c r="AU406" s="72"/>
      <c r="AV406" s="72"/>
      <c r="AW406" s="72"/>
      <c r="AX406" s="72"/>
      <c r="AY406" s="72"/>
      <c r="AZ406" s="72"/>
      <c r="BA406" s="72"/>
      <c r="BB406" s="16"/>
      <c r="BC406" s="72"/>
      <c r="BD406" s="147" t="s">
        <v>83</v>
      </c>
      <c r="BE406" s="147" t="s">
        <v>83</v>
      </c>
    </row>
    <row r="407" spans="1:57" s="81" customFormat="1" ht="12.95" hidden="1" customHeight="1">
      <c r="A407" s="248" t="e">
        <v>#N/A</v>
      </c>
      <c r="B407" s="252" t="e">
        <v>#N/A</v>
      </c>
      <c r="C407" s="269" t="s">
        <v>1118</v>
      </c>
      <c r="D407" s="239" t="s">
        <v>2586</v>
      </c>
      <c r="E407" s="58"/>
      <c r="F407" s="59" t="s">
        <v>2289</v>
      </c>
      <c r="G407" s="191" t="s">
        <v>2511</v>
      </c>
      <c r="H407" s="192"/>
      <c r="I407" s="61" t="s">
        <v>2419</v>
      </c>
      <c r="J407" s="61" t="s">
        <v>2373</v>
      </c>
      <c r="K407" s="62" t="s">
        <v>3535</v>
      </c>
      <c r="L407" s="60" t="s">
        <v>2511</v>
      </c>
      <c r="M407" s="61" t="s">
        <v>2388</v>
      </c>
      <c r="N407" s="61" t="s">
        <v>2388</v>
      </c>
      <c r="O407" s="61" t="s">
        <v>2388</v>
      </c>
      <c r="P407" s="62" t="s">
        <v>2388</v>
      </c>
      <c r="Q407" s="82"/>
      <c r="R407" s="82"/>
      <c r="S407" s="82"/>
      <c r="T407" s="82"/>
      <c r="U407" s="82"/>
      <c r="V407" s="138" t="s">
        <v>3580</v>
      </c>
      <c r="W407" s="57" t="s">
        <v>3471</v>
      </c>
      <c r="X407" s="126" t="s">
        <v>2511</v>
      </c>
      <c r="Y407" s="126" t="s">
        <v>2511</v>
      </c>
      <c r="Z407" s="57"/>
      <c r="AA407" s="57" t="s">
        <v>3472</v>
      </c>
      <c r="AB407" s="138"/>
      <c r="AC407" s="138" t="s">
        <v>2631</v>
      </c>
      <c r="AD407" s="80"/>
      <c r="AE407" s="80"/>
      <c r="AF407" s="80"/>
      <c r="AG407" s="80"/>
      <c r="AH407" s="83"/>
      <c r="AI407" s="83"/>
      <c r="AJ407" s="84"/>
      <c r="AK407" s="84"/>
      <c r="AL407" s="84"/>
      <c r="AM407" s="84"/>
      <c r="AN407" s="84"/>
      <c r="AO407" s="84"/>
      <c r="AP407" s="84"/>
      <c r="AQ407" s="105" t="s">
        <v>2289</v>
      </c>
      <c r="AR407" s="72"/>
      <c r="AS407" s="72"/>
      <c r="AT407" s="72"/>
      <c r="AU407" s="72"/>
      <c r="AV407" s="72"/>
      <c r="AW407" s="72"/>
      <c r="AX407" s="72"/>
      <c r="AY407" s="72"/>
      <c r="AZ407" s="72"/>
      <c r="BA407" s="72"/>
      <c r="BB407" s="16"/>
      <c r="BC407" s="72"/>
      <c r="BD407" s="147" t="s">
        <v>83</v>
      </c>
      <c r="BE407" s="147" t="s">
        <v>83</v>
      </c>
    </row>
    <row r="408" spans="1:57" s="81" customFormat="1" ht="12.95" customHeight="1">
      <c r="A408" s="247" t="s">
        <v>5477</v>
      </c>
      <c r="B408" s="251">
        <v>169</v>
      </c>
      <c r="C408" s="321" t="s">
        <v>1119</v>
      </c>
      <c r="D408" s="239" t="s">
        <v>2595</v>
      </c>
      <c r="E408" s="58"/>
      <c r="F408" s="59" t="s">
        <v>2290</v>
      </c>
      <c r="G408" s="191" t="s">
        <v>2511</v>
      </c>
      <c r="H408" s="192"/>
      <c r="I408" s="61"/>
      <c r="J408" s="61" t="s">
        <v>2362</v>
      </c>
      <c r="K408" s="62"/>
      <c r="L408" s="60" t="s">
        <v>2511</v>
      </c>
      <c r="M408" s="61" t="s">
        <v>2523</v>
      </c>
      <c r="N408" s="61" t="s">
        <v>2523</v>
      </c>
      <c r="O408" s="61" t="s">
        <v>2523</v>
      </c>
      <c r="P408" s="62" t="s">
        <v>2523</v>
      </c>
      <c r="Q408" s="82"/>
      <c r="R408" s="82"/>
      <c r="S408" s="82"/>
      <c r="T408" s="82"/>
      <c r="U408" s="82"/>
      <c r="V408" s="138" t="s">
        <v>3581</v>
      </c>
      <c r="W408" s="57" t="s">
        <v>3471</v>
      </c>
      <c r="X408" s="126" t="s">
        <v>2511</v>
      </c>
      <c r="Y408" s="126" t="s">
        <v>2511</v>
      </c>
      <c r="Z408" s="57"/>
      <c r="AA408" s="57" t="s">
        <v>3472</v>
      </c>
      <c r="AB408" s="138"/>
      <c r="AC408" s="138" t="s">
        <v>2631</v>
      </c>
      <c r="AD408" s="80"/>
      <c r="AE408" s="80"/>
      <c r="AF408" s="80"/>
      <c r="AG408" s="80"/>
      <c r="AH408" s="83"/>
      <c r="AI408" s="83"/>
      <c r="AJ408" s="84"/>
      <c r="AK408" s="84"/>
      <c r="AL408" s="84"/>
      <c r="AM408" s="84"/>
      <c r="AN408" s="84"/>
      <c r="AO408" s="84"/>
      <c r="AP408" s="84"/>
      <c r="AQ408" s="103" t="s">
        <v>2362</v>
      </c>
      <c r="AR408" s="72"/>
      <c r="AS408" s="72"/>
      <c r="AT408" s="72"/>
      <c r="AU408" s="72"/>
      <c r="AV408" s="72"/>
      <c r="AW408" s="72"/>
      <c r="AX408" s="72"/>
      <c r="AY408" s="72"/>
      <c r="AZ408" s="72"/>
      <c r="BA408" s="72"/>
      <c r="BB408" s="16"/>
      <c r="BC408" s="72"/>
      <c r="BD408" s="319" t="s">
        <v>2362</v>
      </c>
      <c r="BE408" s="333" t="s">
        <v>5674</v>
      </c>
    </row>
    <row r="409" spans="1:57" s="81" customFormat="1" ht="12.95" customHeight="1">
      <c r="A409" s="247" t="s">
        <v>5478</v>
      </c>
      <c r="B409" s="251">
        <v>167</v>
      </c>
      <c r="C409" s="321" t="s">
        <v>1120</v>
      </c>
      <c r="D409" s="239" t="s">
        <v>3146</v>
      </c>
      <c r="E409" s="58"/>
      <c r="F409" s="59" t="s">
        <v>2291</v>
      </c>
      <c r="G409" s="191" t="s">
        <v>2511</v>
      </c>
      <c r="H409" s="192"/>
      <c r="I409" s="61"/>
      <c r="J409" s="61" t="s">
        <v>2363</v>
      </c>
      <c r="K409" s="62"/>
      <c r="L409" s="60" t="s">
        <v>2511</v>
      </c>
      <c r="M409" s="61" t="s">
        <v>2523</v>
      </c>
      <c r="N409" s="61" t="s">
        <v>2523</v>
      </c>
      <c r="O409" s="61" t="s">
        <v>2523</v>
      </c>
      <c r="P409" s="62" t="s">
        <v>2523</v>
      </c>
      <c r="Q409" s="82"/>
      <c r="R409" s="82"/>
      <c r="S409" s="82"/>
      <c r="T409" s="82"/>
      <c r="U409" s="82"/>
      <c r="V409" s="138" t="s">
        <v>3582</v>
      </c>
      <c r="W409" s="57" t="s">
        <v>3471</v>
      </c>
      <c r="X409" s="126" t="s">
        <v>2511</v>
      </c>
      <c r="Y409" s="126" t="s">
        <v>2511</v>
      </c>
      <c r="Z409" s="57"/>
      <c r="AA409" s="57" t="s">
        <v>3472</v>
      </c>
      <c r="AB409" s="138"/>
      <c r="AC409" s="138" t="s">
        <v>2631</v>
      </c>
      <c r="AD409" s="80"/>
      <c r="AE409" s="80"/>
      <c r="AF409" s="80"/>
      <c r="AG409" s="80"/>
      <c r="AH409" s="83"/>
      <c r="AI409" s="83"/>
      <c r="AJ409" s="84"/>
      <c r="AK409" s="84"/>
      <c r="AL409" s="84"/>
      <c r="AM409" s="84"/>
      <c r="AN409" s="84"/>
      <c r="AO409" s="84"/>
      <c r="AP409" s="84"/>
      <c r="AQ409" s="105" t="s">
        <v>2363</v>
      </c>
      <c r="AR409" s="72"/>
      <c r="AS409" s="72"/>
      <c r="AT409" s="72"/>
      <c r="AU409" s="72"/>
      <c r="AV409" s="72"/>
      <c r="AW409" s="72"/>
      <c r="AX409" s="72"/>
      <c r="AY409" s="72"/>
      <c r="AZ409" s="72"/>
      <c r="BA409" s="72"/>
      <c r="BB409" s="16"/>
      <c r="BC409" s="72"/>
      <c r="BD409" s="319" t="s">
        <v>2363</v>
      </c>
      <c r="BE409" s="334"/>
    </row>
    <row r="410" spans="1:57" s="81" customFormat="1" ht="12.95" customHeight="1">
      <c r="A410" s="247" t="s">
        <v>5479</v>
      </c>
      <c r="B410" s="251">
        <v>174</v>
      </c>
      <c r="C410" s="321" t="s">
        <v>1121</v>
      </c>
      <c r="D410" s="239" t="s">
        <v>2652</v>
      </c>
      <c r="E410" s="58"/>
      <c r="F410" s="59" t="s">
        <v>2292</v>
      </c>
      <c r="G410" s="191" t="s">
        <v>2511</v>
      </c>
      <c r="H410" s="192"/>
      <c r="I410" s="61"/>
      <c r="J410" s="61" t="s">
        <v>2364</v>
      </c>
      <c r="K410" s="62"/>
      <c r="L410" s="60" t="s">
        <v>2511</v>
      </c>
      <c r="M410" s="61" t="s">
        <v>2388</v>
      </c>
      <c r="N410" s="61" t="s">
        <v>2388</v>
      </c>
      <c r="O410" s="61" t="s">
        <v>2388</v>
      </c>
      <c r="P410" s="62" t="s">
        <v>2388</v>
      </c>
      <c r="Q410" s="82"/>
      <c r="R410" s="82"/>
      <c r="S410" s="82"/>
      <c r="T410" s="82"/>
      <c r="U410" s="82"/>
      <c r="V410" s="138" t="s">
        <v>3583</v>
      </c>
      <c r="W410" s="57" t="s">
        <v>3471</v>
      </c>
      <c r="X410" s="126" t="s">
        <v>2511</v>
      </c>
      <c r="Y410" s="126" t="s">
        <v>2511</v>
      </c>
      <c r="Z410" s="57"/>
      <c r="AA410" s="57" t="s">
        <v>3472</v>
      </c>
      <c r="AB410" s="138"/>
      <c r="AC410" s="138" t="s">
        <v>2631</v>
      </c>
      <c r="AD410" s="80"/>
      <c r="AE410" s="80"/>
      <c r="AF410" s="80"/>
      <c r="AG410" s="80"/>
      <c r="AH410" s="83"/>
      <c r="AI410" s="83"/>
      <c r="AJ410" s="84"/>
      <c r="AK410" s="84"/>
      <c r="AL410" s="84"/>
      <c r="AM410" s="84"/>
      <c r="AN410" s="84"/>
      <c r="AO410" s="84"/>
      <c r="AP410" s="84"/>
      <c r="AQ410" s="103" t="s">
        <v>2364</v>
      </c>
      <c r="AR410" s="72"/>
      <c r="AS410" s="72"/>
      <c r="AT410" s="72"/>
      <c r="AU410" s="72"/>
      <c r="AV410" s="72"/>
      <c r="AW410" s="72"/>
      <c r="AX410" s="72"/>
      <c r="AY410" s="72"/>
      <c r="AZ410" s="72"/>
      <c r="BA410" s="72"/>
      <c r="BB410" s="16"/>
      <c r="BC410" s="72"/>
      <c r="BD410" s="319" t="s">
        <v>2364</v>
      </c>
      <c r="BE410" s="334"/>
    </row>
    <row r="411" spans="1:57" s="81" customFormat="1" ht="12.95" customHeight="1">
      <c r="A411" s="247" t="s">
        <v>5480</v>
      </c>
      <c r="B411" s="251">
        <v>172</v>
      </c>
      <c r="C411" s="321" t="s">
        <v>1122</v>
      </c>
      <c r="D411" s="239" t="s">
        <v>2670</v>
      </c>
      <c r="E411" s="58"/>
      <c r="F411" s="59" t="s">
        <v>2293</v>
      </c>
      <c r="G411" s="191" t="s">
        <v>2511</v>
      </c>
      <c r="H411" s="192"/>
      <c r="I411" s="61"/>
      <c r="J411" s="61" t="s">
        <v>2365</v>
      </c>
      <c r="K411" s="62"/>
      <c r="L411" s="60" t="s">
        <v>2511</v>
      </c>
      <c r="M411" s="61" t="s">
        <v>2388</v>
      </c>
      <c r="N411" s="61" t="s">
        <v>2388</v>
      </c>
      <c r="O411" s="61" t="s">
        <v>2388</v>
      </c>
      <c r="P411" s="62" t="s">
        <v>2388</v>
      </c>
      <c r="Q411" s="82"/>
      <c r="R411" s="82"/>
      <c r="S411" s="82"/>
      <c r="T411" s="82"/>
      <c r="U411" s="82"/>
      <c r="V411" s="138" t="s">
        <v>3584</v>
      </c>
      <c r="W411" s="57" t="s">
        <v>3471</v>
      </c>
      <c r="X411" s="126" t="s">
        <v>2511</v>
      </c>
      <c r="Y411" s="126" t="s">
        <v>2511</v>
      </c>
      <c r="Z411" s="57"/>
      <c r="AA411" s="57" t="s">
        <v>3472</v>
      </c>
      <c r="AB411" s="138"/>
      <c r="AC411" s="138" t="s">
        <v>2631</v>
      </c>
      <c r="AD411" s="80"/>
      <c r="AE411" s="80"/>
      <c r="AF411" s="80"/>
      <c r="AG411" s="80"/>
      <c r="AH411" s="83"/>
      <c r="AI411" s="83"/>
      <c r="AJ411" s="84"/>
      <c r="AK411" s="84"/>
      <c r="AL411" s="84"/>
      <c r="AM411" s="84"/>
      <c r="AN411" s="84"/>
      <c r="AO411" s="84"/>
      <c r="AP411" s="84"/>
      <c r="AQ411" s="105" t="s">
        <v>2365</v>
      </c>
      <c r="AR411" s="72"/>
      <c r="AS411" s="72"/>
      <c r="AT411" s="72"/>
      <c r="AU411" s="72"/>
      <c r="AV411" s="72"/>
      <c r="AW411" s="72"/>
      <c r="AX411" s="72"/>
      <c r="AY411" s="72"/>
      <c r="AZ411" s="72"/>
      <c r="BA411" s="72"/>
      <c r="BB411" s="16"/>
      <c r="BC411" s="72"/>
      <c r="BD411" s="319" t="s">
        <v>2365</v>
      </c>
      <c r="BE411" s="335"/>
    </row>
    <row r="412" spans="1:57" s="91" customFormat="1" ht="18" customHeight="1">
      <c r="A412" s="353"/>
      <c r="B412" s="354"/>
      <c r="C412" s="268" t="s">
        <v>5412</v>
      </c>
      <c r="D412" s="268"/>
      <c r="E412" s="86"/>
      <c r="F412" s="86"/>
      <c r="G412" s="87"/>
      <c r="H412" s="87"/>
      <c r="I412" s="87"/>
      <c r="J412" s="87"/>
      <c r="K412" s="87"/>
      <c r="L412" s="86"/>
      <c r="M412" s="86"/>
      <c r="N412" s="86"/>
      <c r="O412" s="86"/>
      <c r="P412" s="86"/>
      <c r="Q412" s="86"/>
      <c r="R412" s="86"/>
      <c r="S412" s="86"/>
      <c r="T412" s="86"/>
      <c r="U412" s="86"/>
      <c r="V412" s="86"/>
      <c r="W412" s="86"/>
      <c r="X412" s="129"/>
      <c r="Y412" s="129"/>
      <c r="Z412" s="88"/>
      <c r="AA412" s="88"/>
      <c r="AB412" s="88"/>
      <c r="AC412" s="88"/>
      <c r="AD412" s="88"/>
      <c r="AE412" s="88"/>
      <c r="AF412" s="88"/>
      <c r="AG412" s="88"/>
      <c r="AH412" s="88"/>
      <c r="AI412" s="88"/>
      <c r="AJ412" s="88"/>
      <c r="AK412" s="88"/>
      <c r="AL412" s="88"/>
      <c r="AM412" s="88"/>
      <c r="AN412" s="88"/>
      <c r="AO412" s="88"/>
      <c r="AP412" s="88"/>
      <c r="AQ412" s="89"/>
      <c r="AR412" s="100"/>
      <c r="AS412" s="101"/>
      <c r="AT412" s="101"/>
      <c r="AU412" s="101"/>
      <c r="AV412" s="101"/>
      <c r="AW412" s="101"/>
      <c r="AX412" s="101"/>
      <c r="AY412" s="101"/>
      <c r="AZ412" s="101"/>
      <c r="BA412" s="101"/>
      <c r="BB412" s="101"/>
      <c r="BC412" s="175" t="s">
        <v>956</v>
      </c>
      <c r="BD412" s="101"/>
      <c r="BE412" s="100" t="s">
        <v>5413</v>
      </c>
    </row>
    <row r="413" spans="1:57" s="81" customFormat="1" ht="12.95" hidden="1" customHeight="1">
      <c r="A413" s="248" t="s">
        <v>3585</v>
      </c>
      <c r="B413" s="252" t="s">
        <v>3586</v>
      </c>
      <c r="C413" s="248" t="s">
        <v>1123</v>
      </c>
      <c r="D413" s="239" t="s">
        <v>3193</v>
      </c>
      <c r="E413" s="58"/>
      <c r="F413" s="59" t="s">
        <v>2294</v>
      </c>
      <c r="G413" s="191" t="s">
        <v>2511</v>
      </c>
      <c r="H413" s="192"/>
      <c r="I413" s="61" t="s">
        <v>770</v>
      </c>
      <c r="J413" s="61"/>
      <c r="K413" s="62" t="s">
        <v>2511</v>
      </c>
      <c r="L413" s="60" t="s">
        <v>2511</v>
      </c>
      <c r="M413" s="61"/>
      <c r="N413" s="61" t="s">
        <v>2523</v>
      </c>
      <c r="O413" s="61"/>
      <c r="P413" s="62" t="s">
        <v>2511</v>
      </c>
      <c r="Q413" s="82"/>
      <c r="R413" s="82"/>
      <c r="S413" s="82"/>
      <c r="T413" s="82"/>
      <c r="U413" s="82"/>
      <c r="V413" s="138" t="s">
        <v>3587</v>
      </c>
      <c r="W413" s="57" t="s">
        <v>3588</v>
      </c>
      <c r="X413" s="126" t="s">
        <v>2511</v>
      </c>
      <c r="Y413" s="126" t="s">
        <v>2511</v>
      </c>
      <c r="Z413" s="57"/>
      <c r="AA413" s="57" t="s">
        <v>3589</v>
      </c>
      <c r="AB413" s="137"/>
      <c r="AC413" s="137" t="s">
        <v>2631</v>
      </c>
      <c r="AD413" s="80"/>
      <c r="AE413" s="80"/>
      <c r="AF413" s="80"/>
      <c r="AG413" s="80"/>
      <c r="AH413" s="83"/>
      <c r="AI413" s="83"/>
      <c r="AJ413" s="84"/>
      <c r="AK413" s="84"/>
      <c r="AL413" s="84"/>
      <c r="AM413" s="84"/>
      <c r="AN413" s="84"/>
      <c r="AO413" s="84"/>
      <c r="AP413" s="84"/>
      <c r="AQ413" s="105" t="s">
        <v>2294</v>
      </c>
      <c r="AR413" s="72"/>
      <c r="AS413" s="72"/>
      <c r="AT413" s="72"/>
      <c r="AU413" s="72"/>
      <c r="AV413" s="72"/>
      <c r="AW413" s="72"/>
      <c r="AX413" s="72"/>
      <c r="AY413" s="72"/>
      <c r="AZ413" s="72"/>
      <c r="BA413" s="72"/>
      <c r="BB413" s="16"/>
      <c r="BC413" s="72"/>
      <c r="BD413" s="147" t="s">
        <v>83</v>
      </c>
      <c r="BE413" s="147" t="s">
        <v>83</v>
      </c>
    </row>
    <row r="414" spans="1:57" s="81" customFormat="1" ht="12.95" hidden="1" customHeight="1">
      <c r="A414" s="248" t="s">
        <v>3590</v>
      </c>
      <c r="B414" s="252" t="s">
        <v>3591</v>
      </c>
      <c r="C414" s="248" t="s">
        <v>1124</v>
      </c>
      <c r="D414" s="239" t="s">
        <v>3592</v>
      </c>
      <c r="E414" s="58"/>
      <c r="F414" s="59" t="s">
        <v>2295</v>
      </c>
      <c r="G414" s="191" t="s">
        <v>2511</v>
      </c>
      <c r="H414" s="192"/>
      <c r="I414" s="61" t="s">
        <v>771</v>
      </c>
      <c r="J414" s="61"/>
      <c r="K414" s="62" t="s">
        <v>2511</v>
      </c>
      <c r="L414" s="60" t="s">
        <v>2511</v>
      </c>
      <c r="M414" s="61"/>
      <c r="N414" s="61" t="s">
        <v>2523</v>
      </c>
      <c r="O414" s="61"/>
      <c r="P414" s="62" t="s">
        <v>2511</v>
      </c>
      <c r="Q414" s="82"/>
      <c r="R414" s="82"/>
      <c r="S414" s="82"/>
      <c r="T414" s="82"/>
      <c r="U414" s="82"/>
      <c r="V414" s="138" t="s">
        <v>3593</v>
      </c>
      <c r="W414" s="57" t="s">
        <v>3588</v>
      </c>
      <c r="X414" s="126" t="s">
        <v>2511</v>
      </c>
      <c r="Y414" s="126" t="s">
        <v>2511</v>
      </c>
      <c r="Z414" s="57"/>
      <c r="AA414" s="57" t="s">
        <v>3589</v>
      </c>
      <c r="AB414" s="138"/>
      <c r="AC414" s="138" t="s">
        <v>2631</v>
      </c>
      <c r="AD414" s="80"/>
      <c r="AE414" s="80"/>
      <c r="AF414" s="80"/>
      <c r="AG414" s="80"/>
      <c r="AH414" s="83"/>
      <c r="AI414" s="83"/>
      <c r="AJ414" s="84"/>
      <c r="AK414" s="84"/>
      <c r="AL414" s="84"/>
      <c r="AM414" s="84"/>
      <c r="AN414" s="84"/>
      <c r="AO414" s="84"/>
      <c r="AP414" s="84"/>
      <c r="AQ414" s="103" t="s">
        <v>2295</v>
      </c>
      <c r="AR414" s="72"/>
      <c r="AS414" s="72"/>
      <c r="AT414" s="72"/>
      <c r="AU414" s="72"/>
      <c r="AV414" s="72"/>
      <c r="AW414" s="72"/>
      <c r="AX414" s="72"/>
      <c r="AY414" s="72"/>
      <c r="AZ414" s="72"/>
      <c r="BA414" s="72"/>
      <c r="BB414" s="16"/>
      <c r="BC414" s="72"/>
      <c r="BD414" s="147" t="s">
        <v>83</v>
      </c>
      <c r="BE414" s="147" t="s">
        <v>83</v>
      </c>
    </row>
    <row r="415" spans="1:57" s="81" customFormat="1" ht="12.95" customHeight="1">
      <c r="A415" s="247" t="s">
        <v>5458</v>
      </c>
      <c r="B415" s="251">
        <v>133</v>
      </c>
      <c r="C415" s="247" t="s">
        <v>1125</v>
      </c>
      <c r="D415" s="239" t="s">
        <v>3180</v>
      </c>
      <c r="E415" s="58"/>
      <c r="F415" s="59" t="s">
        <v>2296</v>
      </c>
      <c r="G415" s="191" t="s">
        <v>2511</v>
      </c>
      <c r="H415" s="192"/>
      <c r="I415" s="61" t="s">
        <v>311</v>
      </c>
      <c r="J415" s="61"/>
      <c r="K415" s="62" t="s">
        <v>2511</v>
      </c>
      <c r="L415" s="60" t="s">
        <v>2511</v>
      </c>
      <c r="M415" s="61"/>
      <c r="N415" s="61" t="s">
        <v>2523</v>
      </c>
      <c r="O415" s="61"/>
      <c r="P415" s="62" t="s">
        <v>2511</v>
      </c>
      <c r="Q415" s="82"/>
      <c r="R415" s="82"/>
      <c r="S415" s="82"/>
      <c r="T415" s="82"/>
      <c r="U415" s="82"/>
      <c r="V415" s="138" t="s">
        <v>3594</v>
      </c>
      <c r="W415" s="57" t="s">
        <v>3588</v>
      </c>
      <c r="X415" s="126" t="s">
        <v>2511</v>
      </c>
      <c r="Y415" s="126" t="s">
        <v>2511</v>
      </c>
      <c r="Z415" s="57"/>
      <c r="AA415" s="57" t="s">
        <v>3589</v>
      </c>
      <c r="AB415" s="138"/>
      <c r="AC415" s="138" t="s">
        <v>2631</v>
      </c>
      <c r="AD415" s="80"/>
      <c r="AE415" s="80"/>
      <c r="AF415" s="80"/>
      <c r="AG415" s="80"/>
      <c r="AH415" s="83"/>
      <c r="AI415" s="83"/>
      <c r="AJ415" s="84"/>
      <c r="AK415" s="84"/>
      <c r="AL415" s="84"/>
      <c r="AM415" s="84"/>
      <c r="AN415" s="84"/>
      <c r="AO415" s="84"/>
      <c r="AP415" s="84"/>
      <c r="AQ415" s="105" t="s">
        <v>311</v>
      </c>
      <c r="AR415" s="72"/>
      <c r="AS415" s="72"/>
      <c r="AT415" s="72"/>
      <c r="AU415" s="72"/>
      <c r="AV415" s="72"/>
      <c r="AW415" s="72"/>
      <c r="AX415" s="72"/>
      <c r="AY415" s="72"/>
      <c r="AZ415" s="72"/>
      <c r="BA415" s="72"/>
      <c r="BB415" s="16"/>
      <c r="BC415" s="72"/>
      <c r="BD415" s="319" t="s">
        <v>311</v>
      </c>
      <c r="BE415" s="333" t="s">
        <v>5676</v>
      </c>
    </row>
    <row r="416" spans="1:57" s="81" customFormat="1" ht="12.95" customHeight="1">
      <c r="A416" s="247" t="s">
        <v>5457</v>
      </c>
      <c r="B416" s="251">
        <v>131</v>
      </c>
      <c r="C416" s="247" t="s">
        <v>1126</v>
      </c>
      <c r="D416" s="239" t="s">
        <v>3595</v>
      </c>
      <c r="E416" s="58"/>
      <c r="F416" s="59" t="s">
        <v>2297</v>
      </c>
      <c r="G416" s="191" t="s">
        <v>2511</v>
      </c>
      <c r="H416" s="192"/>
      <c r="I416" s="61" t="s">
        <v>307</v>
      </c>
      <c r="J416" s="61"/>
      <c r="K416" s="62" t="s">
        <v>2511</v>
      </c>
      <c r="L416" s="60" t="s">
        <v>2511</v>
      </c>
      <c r="M416" s="61"/>
      <c r="N416" s="61" t="s">
        <v>2523</v>
      </c>
      <c r="O416" s="61"/>
      <c r="P416" s="62" t="s">
        <v>2511</v>
      </c>
      <c r="Q416" s="82"/>
      <c r="R416" s="82"/>
      <c r="S416" s="82"/>
      <c r="T416" s="82"/>
      <c r="U416" s="82"/>
      <c r="V416" s="138" t="s">
        <v>3596</v>
      </c>
      <c r="W416" s="57" t="s">
        <v>3588</v>
      </c>
      <c r="X416" s="126" t="s">
        <v>2511</v>
      </c>
      <c r="Y416" s="126" t="s">
        <v>2511</v>
      </c>
      <c r="Z416" s="57"/>
      <c r="AA416" s="57" t="s">
        <v>3589</v>
      </c>
      <c r="AB416" s="138"/>
      <c r="AC416" s="138" t="s">
        <v>2631</v>
      </c>
      <c r="AD416" s="80"/>
      <c r="AE416" s="80"/>
      <c r="AF416" s="80"/>
      <c r="AG416" s="80"/>
      <c r="AH416" s="83"/>
      <c r="AI416" s="83"/>
      <c r="AJ416" s="84"/>
      <c r="AK416" s="84"/>
      <c r="AL416" s="84"/>
      <c r="AM416" s="84"/>
      <c r="AN416" s="84"/>
      <c r="AO416" s="84"/>
      <c r="AP416" s="84"/>
      <c r="AQ416" s="103" t="s">
        <v>307</v>
      </c>
      <c r="AR416" s="72"/>
      <c r="AS416" s="72"/>
      <c r="AT416" s="72"/>
      <c r="AU416" s="72"/>
      <c r="AV416" s="72"/>
      <c r="AW416" s="72"/>
      <c r="AX416" s="72"/>
      <c r="AY416" s="72"/>
      <c r="AZ416" s="72"/>
      <c r="BA416" s="72"/>
      <c r="BB416" s="16"/>
      <c r="BC416" s="72"/>
      <c r="BD416" s="319" t="s">
        <v>307</v>
      </c>
      <c r="BE416" s="334"/>
    </row>
    <row r="417" spans="1:57" s="81" customFormat="1" ht="12.95" customHeight="1">
      <c r="A417" s="247" t="s">
        <v>5465</v>
      </c>
      <c r="B417" s="251">
        <v>136</v>
      </c>
      <c r="C417" s="247" t="s">
        <v>1127</v>
      </c>
      <c r="D417" s="239" t="s">
        <v>3597</v>
      </c>
      <c r="E417" s="58"/>
      <c r="F417" s="59" t="s">
        <v>2298</v>
      </c>
      <c r="G417" s="191" t="s">
        <v>2511</v>
      </c>
      <c r="H417" s="192"/>
      <c r="I417" s="61" t="s">
        <v>312</v>
      </c>
      <c r="J417" s="61"/>
      <c r="K417" s="62" t="s">
        <v>2511</v>
      </c>
      <c r="L417" s="60" t="s">
        <v>2511</v>
      </c>
      <c r="M417" s="61"/>
      <c r="N417" s="61" t="s">
        <v>2388</v>
      </c>
      <c r="O417" s="61"/>
      <c r="P417" s="62" t="s">
        <v>2511</v>
      </c>
      <c r="Q417" s="82"/>
      <c r="R417" s="82"/>
      <c r="S417" s="82"/>
      <c r="T417" s="82"/>
      <c r="U417" s="82"/>
      <c r="V417" s="138" t="s">
        <v>3598</v>
      </c>
      <c r="W417" s="57" t="s">
        <v>3588</v>
      </c>
      <c r="X417" s="126" t="s">
        <v>2511</v>
      </c>
      <c r="Y417" s="126" t="s">
        <v>2511</v>
      </c>
      <c r="Z417" s="57"/>
      <c r="AA417" s="57" t="s">
        <v>3589</v>
      </c>
      <c r="AB417" s="138"/>
      <c r="AC417" s="138" t="s">
        <v>2631</v>
      </c>
      <c r="AD417" s="80"/>
      <c r="AE417" s="80"/>
      <c r="AF417" s="80"/>
      <c r="AG417" s="80"/>
      <c r="AH417" s="83"/>
      <c r="AI417" s="83"/>
      <c r="AJ417" s="84"/>
      <c r="AK417" s="84"/>
      <c r="AL417" s="84"/>
      <c r="AM417" s="84"/>
      <c r="AN417" s="84"/>
      <c r="AO417" s="84"/>
      <c r="AP417" s="84"/>
      <c r="AQ417" s="105" t="s">
        <v>312</v>
      </c>
      <c r="AR417" s="72"/>
      <c r="AS417" s="72"/>
      <c r="AT417" s="72"/>
      <c r="AU417" s="72"/>
      <c r="AV417" s="72"/>
      <c r="AW417" s="72"/>
      <c r="AX417" s="72"/>
      <c r="AY417" s="72"/>
      <c r="AZ417" s="72"/>
      <c r="BA417" s="72"/>
      <c r="BB417" s="16"/>
      <c r="BC417" s="72"/>
      <c r="BD417" s="319" t="s">
        <v>312</v>
      </c>
      <c r="BE417" s="334"/>
    </row>
    <row r="418" spans="1:57" s="81" customFormat="1" ht="12.95" customHeight="1">
      <c r="A418" s="247" t="s">
        <v>5466</v>
      </c>
      <c r="B418" s="251">
        <v>134</v>
      </c>
      <c r="C418" s="247" t="s">
        <v>1128</v>
      </c>
      <c r="D418" s="239" t="s">
        <v>3492</v>
      </c>
      <c r="E418" s="58"/>
      <c r="F418" s="59" t="s">
        <v>2299</v>
      </c>
      <c r="G418" s="191" t="s">
        <v>2511</v>
      </c>
      <c r="H418" s="192"/>
      <c r="I418" s="61" t="s">
        <v>309</v>
      </c>
      <c r="J418" s="61"/>
      <c r="K418" s="62" t="s">
        <v>2511</v>
      </c>
      <c r="L418" s="60" t="s">
        <v>2511</v>
      </c>
      <c r="M418" s="61"/>
      <c r="N418" s="61" t="s">
        <v>2388</v>
      </c>
      <c r="O418" s="61"/>
      <c r="P418" s="62" t="s">
        <v>2511</v>
      </c>
      <c r="Q418" s="82"/>
      <c r="R418" s="82"/>
      <c r="S418" s="82"/>
      <c r="T418" s="82"/>
      <c r="U418" s="82"/>
      <c r="V418" s="138" t="s">
        <v>3599</v>
      </c>
      <c r="W418" s="57" t="s">
        <v>3588</v>
      </c>
      <c r="X418" s="126" t="s">
        <v>2511</v>
      </c>
      <c r="Y418" s="126" t="s">
        <v>2511</v>
      </c>
      <c r="Z418" s="57"/>
      <c r="AA418" s="57" t="s">
        <v>3589</v>
      </c>
      <c r="AB418" s="138"/>
      <c r="AC418" s="138" t="s">
        <v>2631</v>
      </c>
      <c r="AD418" s="80"/>
      <c r="AE418" s="80"/>
      <c r="AF418" s="80"/>
      <c r="AG418" s="80"/>
      <c r="AH418" s="83"/>
      <c r="AI418" s="83"/>
      <c r="AJ418" s="84"/>
      <c r="AK418" s="84"/>
      <c r="AL418" s="84"/>
      <c r="AM418" s="84"/>
      <c r="AN418" s="84"/>
      <c r="AO418" s="84"/>
      <c r="AP418" s="84"/>
      <c r="AQ418" s="103" t="s">
        <v>309</v>
      </c>
      <c r="AR418" s="72"/>
      <c r="AS418" s="72"/>
      <c r="AT418" s="72"/>
      <c r="AU418" s="72"/>
      <c r="AV418" s="72"/>
      <c r="AW418" s="72"/>
      <c r="AX418" s="72"/>
      <c r="AY418" s="72"/>
      <c r="AZ418" s="72"/>
      <c r="BA418" s="72"/>
      <c r="BB418" s="16"/>
      <c r="BC418" s="72"/>
      <c r="BD418" s="319" t="s">
        <v>309</v>
      </c>
      <c r="BE418" s="334"/>
    </row>
    <row r="419" spans="1:57" s="81" customFormat="1" ht="12.95" customHeight="1">
      <c r="A419" s="247" t="s">
        <v>5459</v>
      </c>
      <c r="B419" s="251">
        <v>139</v>
      </c>
      <c r="C419" s="247" t="s">
        <v>1129</v>
      </c>
      <c r="D419" s="239" t="s">
        <v>3600</v>
      </c>
      <c r="E419" s="58"/>
      <c r="F419" s="59" t="s">
        <v>2300</v>
      </c>
      <c r="G419" s="191" t="s">
        <v>2511</v>
      </c>
      <c r="H419" s="192"/>
      <c r="I419" s="61" t="s">
        <v>308</v>
      </c>
      <c r="J419" s="61"/>
      <c r="K419" s="62" t="s">
        <v>2511</v>
      </c>
      <c r="L419" s="60" t="s">
        <v>2511</v>
      </c>
      <c r="M419" s="61"/>
      <c r="N419" s="61" t="s">
        <v>2523</v>
      </c>
      <c r="O419" s="61"/>
      <c r="P419" s="62" t="s">
        <v>2511</v>
      </c>
      <c r="Q419" s="82"/>
      <c r="R419" s="82"/>
      <c r="S419" s="82"/>
      <c r="T419" s="82"/>
      <c r="U419" s="82"/>
      <c r="V419" s="138" t="s">
        <v>3601</v>
      </c>
      <c r="W419" s="57" t="s">
        <v>3588</v>
      </c>
      <c r="X419" s="126" t="s">
        <v>2511</v>
      </c>
      <c r="Y419" s="126" t="s">
        <v>2511</v>
      </c>
      <c r="Z419" s="57"/>
      <c r="AA419" s="57" t="s">
        <v>3589</v>
      </c>
      <c r="AB419" s="138"/>
      <c r="AC419" s="138" t="s">
        <v>2631</v>
      </c>
      <c r="AD419" s="80"/>
      <c r="AE419" s="80"/>
      <c r="AF419" s="80"/>
      <c r="AG419" s="80"/>
      <c r="AH419" s="83"/>
      <c r="AI419" s="83"/>
      <c r="AJ419" s="84"/>
      <c r="AK419" s="84"/>
      <c r="AL419" s="84"/>
      <c r="AM419" s="84"/>
      <c r="AN419" s="84"/>
      <c r="AO419" s="84"/>
      <c r="AP419" s="84"/>
      <c r="AQ419" s="105" t="s">
        <v>308</v>
      </c>
      <c r="AR419" s="72"/>
      <c r="AS419" s="72"/>
      <c r="AT419" s="72"/>
      <c r="AU419" s="72"/>
      <c r="AV419" s="72"/>
      <c r="AW419" s="72"/>
      <c r="AX419" s="72"/>
      <c r="AY419" s="72"/>
      <c r="AZ419" s="72"/>
      <c r="BA419" s="72"/>
      <c r="BB419" s="16"/>
      <c r="BC419" s="72"/>
      <c r="BD419" s="319" t="s">
        <v>308</v>
      </c>
      <c r="BE419" s="334"/>
    </row>
    <row r="420" spans="1:57" s="81" customFormat="1" ht="12.95" customHeight="1">
      <c r="A420" s="247" t="s">
        <v>5460</v>
      </c>
      <c r="B420" s="251">
        <v>137</v>
      </c>
      <c r="C420" s="247" t="s">
        <v>1130</v>
      </c>
      <c r="D420" s="239" t="s">
        <v>3185</v>
      </c>
      <c r="E420" s="58"/>
      <c r="F420" s="59" t="s">
        <v>2301</v>
      </c>
      <c r="G420" s="191" t="s">
        <v>2511</v>
      </c>
      <c r="H420" s="192"/>
      <c r="I420" s="61" t="s">
        <v>313</v>
      </c>
      <c r="J420" s="61"/>
      <c r="K420" s="62" t="s">
        <v>2511</v>
      </c>
      <c r="L420" s="60" t="s">
        <v>2511</v>
      </c>
      <c r="M420" s="61"/>
      <c r="N420" s="61" t="s">
        <v>2523</v>
      </c>
      <c r="O420" s="61"/>
      <c r="P420" s="62" t="s">
        <v>2511</v>
      </c>
      <c r="Q420" s="82"/>
      <c r="R420" s="82"/>
      <c r="S420" s="82"/>
      <c r="T420" s="82"/>
      <c r="U420" s="82"/>
      <c r="V420" s="138" t="s">
        <v>3602</v>
      </c>
      <c r="W420" s="57" t="s">
        <v>3588</v>
      </c>
      <c r="X420" s="126" t="s">
        <v>2511</v>
      </c>
      <c r="Y420" s="126" t="s">
        <v>2511</v>
      </c>
      <c r="Z420" s="57"/>
      <c r="AA420" s="57" t="s">
        <v>3589</v>
      </c>
      <c r="AB420" s="138"/>
      <c r="AC420" s="138" t="s">
        <v>2631</v>
      </c>
      <c r="AD420" s="80"/>
      <c r="AE420" s="80"/>
      <c r="AF420" s="80"/>
      <c r="AG420" s="80"/>
      <c r="AH420" s="83"/>
      <c r="AI420" s="83"/>
      <c r="AJ420" s="84"/>
      <c r="AK420" s="84"/>
      <c r="AL420" s="84"/>
      <c r="AM420" s="84"/>
      <c r="AN420" s="84"/>
      <c r="AO420" s="84"/>
      <c r="AP420" s="84"/>
      <c r="AQ420" s="103" t="s">
        <v>313</v>
      </c>
      <c r="AR420" s="72"/>
      <c r="AS420" s="72"/>
      <c r="AT420" s="72"/>
      <c r="AU420" s="72"/>
      <c r="AV420" s="72"/>
      <c r="AW420" s="72"/>
      <c r="AX420" s="72"/>
      <c r="AY420" s="72"/>
      <c r="AZ420" s="72"/>
      <c r="BA420" s="72"/>
      <c r="BB420" s="16"/>
      <c r="BC420" s="72"/>
      <c r="BD420" s="319" t="s">
        <v>313</v>
      </c>
      <c r="BE420" s="334"/>
    </row>
    <row r="421" spans="1:57" s="81" customFormat="1" ht="12.95" customHeight="1">
      <c r="A421" s="247" t="s">
        <v>5467</v>
      </c>
      <c r="B421" s="251">
        <v>142</v>
      </c>
      <c r="C421" s="247" t="s">
        <v>1131</v>
      </c>
      <c r="D421" s="239" t="s">
        <v>3603</v>
      </c>
      <c r="E421" s="58"/>
      <c r="F421" s="59" t="s">
        <v>2302</v>
      </c>
      <c r="G421" s="191" t="s">
        <v>2511</v>
      </c>
      <c r="H421" s="192"/>
      <c r="I421" s="61" t="s">
        <v>314</v>
      </c>
      <c r="J421" s="61"/>
      <c r="K421" s="62" t="s">
        <v>2511</v>
      </c>
      <c r="L421" s="60" t="s">
        <v>2511</v>
      </c>
      <c r="M421" s="61"/>
      <c r="N421" s="61" t="s">
        <v>2388</v>
      </c>
      <c r="O421" s="61"/>
      <c r="P421" s="62" t="s">
        <v>2511</v>
      </c>
      <c r="Q421" s="82"/>
      <c r="R421" s="82"/>
      <c r="S421" s="82"/>
      <c r="T421" s="82"/>
      <c r="U421" s="82"/>
      <c r="V421" s="138" t="s">
        <v>3604</v>
      </c>
      <c r="W421" s="57" t="s">
        <v>3588</v>
      </c>
      <c r="X421" s="126" t="s">
        <v>2511</v>
      </c>
      <c r="Y421" s="126" t="s">
        <v>2511</v>
      </c>
      <c r="Z421" s="57"/>
      <c r="AA421" s="57" t="s">
        <v>3589</v>
      </c>
      <c r="AB421" s="138"/>
      <c r="AC421" s="138" t="s">
        <v>2631</v>
      </c>
      <c r="AD421" s="80"/>
      <c r="AE421" s="80"/>
      <c r="AF421" s="80"/>
      <c r="AG421" s="80"/>
      <c r="AH421" s="83"/>
      <c r="AI421" s="83"/>
      <c r="AJ421" s="84"/>
      <c r="AK421" s="84"/>
      <c r="AL421" s="84"/>
      <c r="AM421" s="84"/>
      <c r="AN421" s="84"/>
      <c r="AO421" s="84"/>
      <c r="AP421" s="84"/>
      <c r="AQ421" s="105" t="s">
        <v>314</v>
      </c>
      <c r="AR421" s="72"/>
      <c r="AS421" s="72"/>
      <c r="AT421" s="72"/>
      <c r="AU421" s="72"/>
      <c r="AV421" s="72"/>
      <c r="AW421" s="72"/>
      <c r="AX421" s="72"/>
      <c r="AY421" s="72"/>
      <c r="AZ421" s="72"/>
      <c r="BA421" s="72"/>
      <c r="BB421" s="16"/>
      <c r="BC421" s="72"/>
      <c r="BD421" s="319" t="s">
        <v>314</v>
      </c>
      <c r="BE421" s="334"/>
    </row>
    <row r="422" spans="1:57" s="81" customFormat="1" ht="12.95" customHeight="1">
      <c r="A422" s="247" t="s">
        <v>5468</v>
      </c>
      <c r="B422" s="251">
        <v>140</v>
      </c>
      <c r="C422" s="247" t="s">
        <v>1132</v>
      </c>
      <c r="D422" s="239" t="s">
        <v>3483</v>
      </c>
      <c r="E422" s="58"/>
      <c r="F422" s="59" t="s">
        <v>2303</v>
      </c>
      <c r="G422" s="191" t="s">
        <v>2511</v>
      </c>
      <c r="H422" s="192"/>
      <c r="I422" s="61" t="s">
        <v>310</v>
      </c>
      <c r="J422" s="61"/>
      <c r="K422" s="62" t="s">
        <v>2511</v>
      </c>
      <c r="L422" s="60" t="s">
        <v>2511</v>
      </c>
      <c r="M422" s="61"/>
      <c r="N422" s="61" t="s">
        <v>2388</v>
      </c>
      <c r="O422" s="61"/>
      <c r="P422" s="62" t="s">
        <v>2511</v>
      </c>
      <c r="Q422" s="82"/>
      <c r="R422" s="82"/>
      <c r="S422" s="82"/>
      <c r="T422" s="82"/>
      <c r="U422" s="82"/>
      <c r="V422" s="138" t="s">
        <v>3605</v>
      </c>
      <c r="W422" s="57" t="s">
        <v>3588</v>
      </c>
      <c r="X422" s="126" t="s">
        <v>2511</v>
      </c>
      <c r="Y422" s="126" t="s">
        <v>2511</v>
      </c>
      <c r="Z422" s="57"/>
      <c r="AA422" s="57" t="s">
        <v>3589</v>
      </c>
      <c r="AB422" s="138"/>
      <c r="AC422" s="138" t="s">
        <v>2631</v>
      </c>
      <c r="AD422" s="80"/>
      <c r="AE422" s="80"/>
      <c r="AF422" s="80"/>
      <c r="AG422" s="80"/>
      <c r="AH422" s="83"/>
      <c r="AI422" s="83"/>
      <c r="AJ422" s="84"/>
      <c r="AK422" s="84"/>
      <c r="AL422" s="84"/>
      <c r="AM422" s="84"/>
      <c r="AN422" s="84"/>
      <c r="AO422" s="84"/>
      <c r="AP422" s="84"/>
      <c r="AQ422" s="103" t="s">
        <v>310</v>
      </c>
      <c r="AR422" s="72"/>
      <c r="AS422" s="72"/>
      <c r="AT422" s="72"/>
      <c r="AU422" s="72"/>
      <c r="AV422" s="72"/>
      <c r="AW422" s="72"/>
      <c r="AX422" s="72"/>
      <c r="AY422" s="72"/>
      <c r="AZ422" s="72"/>
      <c r="BA422" s="72"/>
      <c r="BB422" s="16"/>
      <c r="BC422" s="72"/>
      <c r="BD422" s="319" t="s">
        <v>310</v>
      </c>
      <c r="BE422" s="334"/>
    </row>
    <row r="423" spans="1:57" s="81" customFormat="1" ht="12.95" customHeight="1">
      <c r="A423" s="247" t="s">
        <v>5461</v>
      </c>
      <c r="B423" s="251">
        <v>151</v>
      </c>
      <c r="C423" s="247" t="s">
        <v>1133</v>
      </c>
      <c r="D423" s="239" t="s">
        <v>3495</v>
      </c>
      <c r="E423" s="58"/>
      <c r="F423" s="59" t="s">
        <v>2304</v>
      </c>
      <c r="G423" s="191" t="s">
        <v>2511</v>
      </c>
      <c r="H423" s="192"/>
      <c r="I423" s="61" t="s">
        <v>231</v>
      </c>
      <c r="J423" s="61"/>
      <c r="K423" s="62" t="s">
        <v>2511</v>
      </c>
      <c r="L423" s="60" t="s">
        <v>2511</v>
      </c>
      <c r="M423" s="61"/>
      <c r="N423" s="61" t="s">
        <v>2523</v>
      </c>
      <c r="O423" s="61"/>
      <c r="P423" s="62" t="s">
        <v>2511</v>
      </c>
      <c r="Q423" s="82"/>
      <c r="R423" s="82"/>
      <c r="S423" s="82"/>
      <c r="T423" s="82"/>
      <c r="U423" s="82"/>
      <c r="V423" s="138" t="s">
        <v>3607</v>
      </c>
      <c r="W423" s="57" t="s">
        <v>3588</v>
      </c>
      <c r="X423" s="126" t="s">
        <v>2511</v>
      </c>
      <c r="Y423" s="126" t="s">
        <v>2511</v>
      </c>
      <c r="Z423" s="57"/>
      <c r="AA423" s="57" t="s">
        <v>3589</v>
      </c>
      <c r="AB423" s="138"/>
      <c r="AC423" s="138" t="s">
        <v>2631</v>
      </c>
      <c r="AD423" s="80"/>
      <c r="AE423" s="80"/>
      <c r="AF423" s="80"/>
      <c r="AG423" s="80"/>
      <c r="AH423" s="83"/>
      <c r="AI423" s="83"/>
      <c r="AJ423" s="84"/>
      <c r="AK423" s="84"/>
      <c r="AL423" s="84"/>
      <c r="AM423" s="84"/>
      <c r="AN423" s="84"/>
      <c r="AO423" s="84"/>
      <c r="AP423" s="84"/>
      <c r="AQ423" s="105" t="s">
        <v>231</v>
      </c>
      <c r="AR423" s="72"/>
      <c r="AS423" s="72"/>
      <c r="AT423" s="72"/>
      <c r="AU423" s="72"/>
      <c r="AV423" s="72"/>
      <c r="AW423" s="72"/>
      <c r="AX423" s="72"/>
      <c r="AY423" s="72"/>
      <c r="AZ423" s="72"/>
      <c r="BA423" s="72"/>
      <c r="BB423" s="16"/>
      <c r="BC423" s="72"/>
      <c r="BD423" s="319" t="s">
        <v>231</v>
      </c>
      <c r="BE423" s="334"/>
    </row>
    <row r="424" spans="1:57" s="81" customFormat="1" ht="12.95" customHeight="1">
      <c r="A424" s="247" t="s">
        <v>5462</v>
      </c>
      <c r="B424" s="251">
        <v>149</v>
      </c>
      <c r="C424" s="247" t="s">
        <v>1134</v>
      </c>
      <c r="D424" s="239" t="s">
        <v>3608</v>
      </c>
      <c r="E424" s="58"/>
      <c r="F424" s="59" t="s">
        <v>2305</v>
      </c>
      <c r="G424" s="191" t="s">
        <v>2511</v>
      </c>
      <c r="H424" s="192"/>
      <c r="I424" s="61" t="s">
        <v>230</v>
      </c>
      <c r="J424" s="61"/>
      <c r="K424" s="62" t="s">
        <v>2511</v>
      </c>
      <c r="L424" s="60" t="s">
        <v>2511</v>
      </c>
      <c r="M424" s="61"/>
      <c r="N424" s="61" t="s">
        <v>2523</v>
      </c>
      <c r="O424" s="61"/>
      <c r="P424" s="62" t="s">
        <v>2511</v>
      </c>
      <c r="Q424" s="82"/>
      <c r="R424" s="82"/>
      <c r="S424" s="82"/>
      <c r="T424" s="82"/>
      <c r="U424" s="82"/>
      <c r="V424" s="138" t="s">
        <v>3609</v>
      </c>
      <c r="W424" s="57" t="s">
        <v>3588</v>
      </c>
      <c r="X424" s="126" t="s">
        <v>2511</v>
      </c>
      <c r="Y424" s="126" t="s">
        <v>2511</v>
      </c>
      <c r="Z424" s="57"/>
      <c r="AA424" s="57" t="s">
        <v>3589</v>
      </c>
      <c r="AB424" s="138"/>
      <c r="AC424" s="138" t="s">
        <v>2631</v>
      </c>
      <c r="AD424" s="80"/>
      <c r="AE424" s="80"/>
      <c r="AF424" s="80"/>
      <c r="AG424" s="80"/>
      <c r="AH424" s="83"/>
      <c r="AI424" s="83"/>
      <c r="AJ424" s="84"/>
      <c r="AK424" s="84"/>
      <c r="AL424" s="84"/>
      <c r="AM424" s="84"/>
      <c r="AN424" s="84"/>
      <c r="AO424" s="84"/>
      <c r="AP424" s="84"/>
      <c r="AQ424" s="103" t="s">
        <v>230</v>
      </c>
      <c r="AR424" s="72"/>
      <c r="AS424" s="72"/>
      <c r="AT424" s="72"/>
      <c r="AU424" s="72"/>
      <c r="AV424" s="72"/>
      <c r="AW424" s="72"/>
      <c r="AX424" s="72"/>
      <c r="AY424" s="72"/>
      <c r="AZ424" s="72"/>
      <c r="BA424" s="72"/>
      <c r="BB424" s="16"/>
      <c r="BC424" s="72"/>
      <c r="BD424" s="319" t="s">
        <v>230</v>
      </c>
      <c r="BE424" s="334"/>
    </row>
    <row r="425" spans="1:57" s="81" customFormat="1" ht="12.95" customHeight="1">
      <c r="A425" s="247" t="s">
        <v>5469</v>
      </c>
      <c r="B425" s="251">
        <v>150</v>
      </c>
      <c r="C425" s="247" t="s">
        <v>1135</v>
      </c>
      <c r="D425" s="239" t="s">
        <v>3611</v>
      </c>
      <c r="E425" s="58"/>
      <c r="F425" s="59" t="s">
        <v>2306</v>
      </c>
      <c r="G425" s="191" t="s">
        <v>2511</v>
      </c>
      <c r="H425" s="192"/>
      <c r="I425" s="61" t="s">
        <v>233</v>
      </c>
      <c r="J425" s="61"/>
      <c r="K425" s="62" t="s">
        <v>2511</v>
      </c>
      <c r="L425" s="60" t="s">
        <v>2511</v>
      </c>
      <c r="M425" s="61"/>
      <c r="N425" s="61" t="s">
        <v>2388</v>
      </c>
      <c r="O425" s="61"/>
      <c r="P425" s="62" t="s">
        <v>2511</v>
      </c>
      <c r="Q425" s="82"/>
      <c r="R425" s="82"/>
      <c r="S425" s="82"/>
      <c r="T425" s="82"/>
      <c r="U425" s="82"/>
      <c r="V425" s="138" t="s">
        <v>3612</v>
      </c>
      <c r="W425" s="57" t="s">
        <v>3588</v>
      </c>
      <c r="X425" s="126" t="s">
        <v>2511</v>
      </c>
      <c r="Y425" s="126" t="s">
        <v>2511</v>
      </c>
      <c r="Z425" s="57"/>
      <c r="AA425" s="57" t="s">
        <v>3589</v>
      </c>
      <c r="AB425" s="138"/>
      <c r="AC425" s="138" t="s">
        <v>2631</v>
      </c>
      <c r="AD425" s="80"/>
      <c r="AE425" s="80"/>
      <c r="AF425" s="80"/>
      <c r="AG425" s="80"/>
      <c r="AH425" s="83"/>
      <c r="AI425" s="83"/>
      <c r="AJ425" s="84"/>
      <c r="AK425" s="84"/>
      <c r="AL425" s="84"/>
      <c r="AM425" s="84"/>
      <c r="AN425" s="84"/>
      <c r="AO425" s="84"/>
      <c r="AP425" s="84"/>
      <c r="AQ425" s="105" t="s">
        <v>233</v>
      </c>
      <c r="AR425" s="72"/>
      <c r="AS425" s="72"/>
      <c r="AT425" s="72"/>
      <c r="AU425" s="72"/>
      <c r="AV425" s="72"/>
      <c r="AW425" s="72"/>
      <c r="AX425" s="72"/>
      <c r="AY425" s="72"/>
      <c r="AZ425" s="72"/>
      <c r="BA425" s="72"/>
      <c r="BB425" s="16"/>
      <c r="BC425" s="72"/>
      <c r="BD425" s="319" t="s">
        <v>233</v>
      </c>
      <c r="BE425" s="334"/>
    </row>
    <row r="426" spans="1:57" s="81" customFormat="1" ht="12.95" customHeight="1">
      <c r="A426" s="247" t="s">
        <v>5470</v>
      </c>
      <c r="B426" s="251">
        <v>148</v>
      </c>
      <c r="C426" s="247" t="s">
        <v>1136</v>
      </c>
      <c r="D426" s="239" t="s">
        <v>3613</v>
      </c>
      <c r="E426" s="58"/>
      <c r="F426" s="59" t="s">
        <v>2307</v>
      </c>
      <c r="G426" s="191" t="s">
        <v>2511</v>
      </c>
      <c r="H426" s="192"/>
      <c r="I426" s="61" t="s">
        <v>232</v>
      </c>
      <c r="J426" s="61"/>
      <c r="K426" s="62" t="s">
        <v>2511</v>
      </c>
      <c r="L426" s="60" t="s">
        <v>2511</v>
      </c>
      <c r="M426" s="61"/>
      <c r="N426" s="61" t="s">
        <v>2388</v>
      </c>
      <c r="O426" s="61"/>
      <c r="P426" s="62" t="s">
        <v>2511</v>
      </c>
      <c r="Q426" s="82"/>
      <c r="R426" s="82"/>
      <c r="S426" s="82"/>
      <c r="T426" s="82"/>
      <c r="U426" s="82"/>
      <c r="V426" s="138" t="s">
        <v>3614</v>
      </c>
      <c r="W426" s="57" t="s">
        <v>3588</v>
      </c>
      <c r="X426" s="126" t="s">
        <v>2511</v>
      </c>
      <c r="Y426" s="126" t="s">
        <v>2511</v>
      </c>
      <c r="Z426" s="57"/>
      <c r="AA426" s="57" t="s">
        <v>3589</v>
      </c>
      <c r="AB426" s="138"/>
      <c r="AC426" s="138" t="s">
        <v>2631</v>
      </c>
      <c r="AD426" s="80"/>
      <c r="AE426" s="80"/>
      <c r="AF426" s="80"/>
      <c r="AG426" s="80"/>
      <c r="AH426" s="83"/>
      <c r="AI426" s="83"/>
      <c r="AJ426" s="84"/>
      <c r="AK426" s="84"/>
      <c r="AL426" s="84"/>
      <c r="AM426" s="84"/>
      <c r="AN426" s="84"/>
      <c r="AO426" s="84"/>
      <c r="AP426" s="84"/>
      <c r="AQ426" s="103" t="s">
        <v>232</v>
      </c>
      <c r="AR426" s="72"/>
      <c r="AS426" s="72"/>
      <c r="AT426" s="72"/>
      <c r="AU426" s="72"/>
      <c r="AV426" s="72"/>
      <c r="AW426" s="72"/>
      <c r="AX426" s="72"/>
      <c r="AY426" s="72"/>
      <c r="AZ426" s="72"/>
      <c r="BA426" s="72"/>
      <c r="BB426" s="16"/>
      <c r="BC426" s="72"/>
      <c r="BD426" s="319" t="s">
        <v>232</v>
      </c>
      <c r="BE426" s="334"/>
    </row>
    <row r="427" spans="1:57" s="81" customFormat="1" ht="12.95" customHeight="1">
      <c r="A427" s="247" t="s">
        <v>5463</v>
      </c>
      <c r="B427" s="251">
        <v>157</v>
      </c>
      <c r="C427" s="247" t="s">
        <v>1137</v>
      </c>
      <c r="D427" s="239" t="s">
        <v>3616</v>
      </c>
      <c r="E427" s="58"/>
      <c r="F427" s="59" t="s">
        <v>2308</v>
      </c>
      <c r="G427" s="191" t="s">
        <v>2511</v>
      </c>
      <c r="H427" s="192"/>
      <c r="I427" s="61" t="s">
        <v>235</v>
      </c>
      <c r="J427" s="61"/>
      <c r="K427" s="62" t="s">
        <v>2511</v>
      </c>
      <c r="L427" s="60" t="s">
        <v>2511</v>
      </c>
      <c r="M427" s="61"/>
      <c r="N427" s="61" t="s">
        <v>2523</v>
      </c>
      <c r="O427" s="61"/>
      <c r="P427" s="62" t="s">
        <v>2511</v>
      </c>
      <c r="Q427" s="82"/>
      <c r="R427" s="82"/>
      <c r="S427" s="82"/>
      <c r="T427" s="82"/>
      <c r="U427" s="82"/>
      <c r="V427" s="138" t="s">
        <v>3617</v>
      </c>
      <c r="W427" s="57" t="s">
        <v>3588</v>
      </c>
      <c r="X427" s="126" t="s">
        <v>2511</v>
      </c>
      <c r="Y427" s="126" t="s">
        <v>2511</v>
      </c>
      <c r="Z427" s="57"/>
      <c r="AA427" s="57" t="s">
        <v>3589</v>
      </c>
      <c r="AB427" s="138"/>
      <c r="AC427" s="138" t="s">
        <v>2631</v>
      </c>
      <c r="AD427" s="80"/>
      <c r="AE427" s="80"/>
      <c r="AF427" s="80"/>
      <c r="AG427" s="80"/>
      <c r="AH427" s="83"/>
      <c r="AI427" s="83"/>
      <c r="AJ427" s="84"/>
      <c r="AK427" s="84"/>
      <c r="AL427" s="84"/>
      <c r="AM427" s="84"/>
      <c r="AN427" s="84"/>
      <c r="AO427" s="84"/>
      <c r="AP427" s="84"/>
      <c r="AQ427" s="105" t="s">
        <v>235</v>
      </c>
      <c r="AR427" s="72"/>
      <c r="AS427" s="72"/>
      <c r="AT427" s="72"/>
      <c r="AU427" s="72"/>
      <c r="AV427" s="72"/>
      <c r="AW427" s="72"/>
      <c r="AX427" s="72"/>
      <c r="AY427" s="72"/>
      <c r="AZ427" s="72"/>
      <c r="BA427" s="72"/>
      <c r="BB427" s="16"/>
      <c r="BC427" s="72"/>
      <c r="BD427" s="319" t="s">
        <v>235</v>
      </c>
      <c r="BE427" s="334"/>
    </row>
    <row r="428" spans="1:57" s="81" customFormat="1" ht="12.95" customHeight="1">
      <c r="A428" s="247" t="s">
        <v>5464</v>
      </c>
      <c r="B428" s="251">
        <v>155</v>
      </c>
      <c r="C428" s="247" t="s">
        <v>1138</v>
      </c>
      <c r="D428" s="239" t="s">
        <v>3188</v>
      </c>
      <c r="E428" s="58"/>
      <c r="F428" s="59" t="s">
        <v>2309</v>
      </c>
      <c r="G428" s="191" t="s">
        <v>2511</v>
      </c>
      <c r="H428" s="192"/>
      <c r="I428" s="61" t="s">
        <v>234</v>
      </c>
      <c r="J428" s="61"/>
      <c r="K428" s="62" t="s">
        <v>2511</v>
      </c>
      <c r="L428" s="60" t="s">
        <v>2511</v>
      </c>
      <c r="M428" s="61"/>
      <c r="N428" s="61" t="s">
        <v>2523</v>
      </c>
      <c r="O428" s="61"/>
      <c r="P428" s="62" t="s">
        <v>2511</v>
      </c>
      <c r="Q428" s="82"/>
      <c r="R428" s="82"/>
      <c r="S428" s="82"/>
      <c r="T428" s="82"/>
      <c r="U428" s="82"/>
      <c r="V428" s="138" t="s">
        <v>3619</v>
      </c>
      <c r="W428" s="57" t="s">
        <v>3588</v>
      </c>
      <c r="X428" s="126" t="s">
        <v>2511</v>
      </c>
      <c r="Y428" s="126" t="s">
        <v>2511</v>
      </c>
      <c r="Z428" s="57"/>
      <c r="AA428" s="57" t="s">
        <v>3589</v>
      </c>
      <c r="AB428" s="138"/>
      <c r="AC428" s="138" t="s">
        <v>2631</v>
      </c>
      <c r="AD428" s="80"/>
      <c r="AE428" s="80"/>
      <c r="AF428" s="80"/>
      <c r="AG428" s="80"/>
      <c r="AH428" s="83"/>
      <c r="AI428" s="83"/>
      <c r="AJ428" s="84"/>
      <c r="AK428" s="84"/>
      <c r="AL428" s="84"/>
      <c r="AM428" s="84"/>
      <c r="AN428" s="84"/>
      <c r="AO428" s="84"/>
      <c r="AP428" s="84"/>
      <c r="AQ428" s="103" t="s">
        <v>234</v>
      </c>
      <c r="AR428" s="72"/>
      <c r="AS428" s="72"/>
      <c r="AT428" s="72"/>
      <c r="AU428" s="72"/>
      <c r="AV428" s="72"/>
      <c r="AW428" s="72"/>
      <c r="AX428" s="72"/>
      <c r="AY428" s="72"/>
      <c r="AZ428" s="72"/>
      <c r="BA428" s="72"/>
      <c r="BB428" s="16"/>
      <c r="BC428" s="72"/>
      <c r="BD428" s="319" t="s">
        <v>234</v>
      </c>
      <c r="BE428" s="334"/>
    </row>
    <row r="429" spans="1:57" s="81" customFormat="1" ht="12.95" customHeight="1">
      <c r="A429" s="247" t="s">
        <v>5471</v>
      </c>
      <c r="B429" s="251">
        <v>156</v>
      </c>
      <c r="C429" s="247" t="s">
        <v>1139</v>
      </c>
      <c r="D429" s="239" t="s">
        <v>3615</v>
      </c>
      <c r="E429" s="58"/>
      <c r="F429" s="59" t="s">
        <v>2310</v>
      </c>
      <c r="G429" s="191" t="s">
        <v>2511</v>
      </c>
      <c r="H429" s="192"/>
      <c r="I429" s="61" t="s">
        <v>237</v>
      </c>
      <c r="J429" s="61" t="s">
        <v>2511</v>
      </c>
      <c r="K429" s="62" t="s">
        <v>2511</v>
      </c>
      <c r="L429" s="60" t="s">
        <v>2511</v>
      </c>
      <c r="M429" s="61"/>
      <c r="N429" s="61" t="s">
        <v>2388</v>
      </c>
      <c r="O429" s="61" t="s">
        <v>2511</v>
      </c>
      <c r="P429" s="62" t="s">
        <v>2511</v>
      </c>
      <c r="Q429" s="82"/>
      <c r="R429" s="82"/>
      <c r="S429" s="82"/>
      <c r="T429" s="82"/>
      <c r="U429" s="82"/>
      <c r="V429" s="138" t="s">
        <v>3620</v>
      </c>
      <c r="W429" s="57" t="s">
        <v>3588</v>
      </c>
      <c r="X429" s="126" t="s">
        <v>2511</v>
      </c>
      <c r="Y429" s="126" t="s">
        <v>2511</v>
      </c>
      <c r="Z429" s="57"/>
      <c r="AA429" s="57" t="s">
        <v>3589</v>
      </c>
      <c r="AB429" s="138"/>
      <c r="AC429" s="138" t="s">
        <v>2631</v>
      </c>
      <c r="AD429" s="80"/>
      <c r="AE429" s="80"/>
      <c r="AF429" s="80"/>
      <c r="AG429" s="80"/>
      <c r="AH429" s="83"/>
      <c r="AI429" s="83"/>
      <c r="AJ429" s="84"/>
      <c r="AK429" s="84"/>
      <c r="AL429" s="84"/>
      <c r="AM429" s="84"/>
      <c r="AN429" s="84"/>
      <c r="AO429" s="84"/>
      <c r="AP429" s="84"/>
      <c r="AQ429" s="105" t="s">
        <v>237</v>
      </c>
      <c r="AR429" s="72"/>
      <c r="AS429" s="72"/>
      <c r="AT429" s="72"/>
      <c r="AU429" s="72"/>
      <c r="AV429" s="72"/>
      <c r="AW429" s="72"/>
      <c r="AX429" s="72"/>
      <c r="AY429" s="72"/>
      <c r="AZ429" s="72"/>
      <c r="BA429" s="72"/>
      <c r="BB429" s="16"/>
      <c r="BC429" s="72"/>
      <c r="BD429" s="319" t="s">
        <v>237</v>
      </c>
      <c r="BE429" s="334"/>
    </row>
    <row r="430" spans="1:57" s="81" customFormat="1" ht="12.95" customHeight="1">
      <c r="A430" s="247" t="s">
        <v>5472</v>
      </c>
      <c r="B430" s="251">
        <v>154</v>
      </c>
      <c r="C430" s="247" t="s">
        <v>1140</v>
      </c>
      <c r="D430" s="239" t="s">
        <v>3618</v>
      </c>
      <c r="E430" s="58"/>
      <c r="F430" s="59" t="s">
        <v>2311</v>
      </c>
      <c r="G430" s="191" t="s">
        <v>2511</v>
      </c>
      <c r="H430" s="192"/>
      <c r="I430" s="61" t="s">
        <v>236</v>
      </c>
      <c r="J430" s="61" t="s">
        <v>2511</v>
      </c>
      <c r="K430" s="62" t="s">
        <v>2511</v>
      </c>
      <c r="L430" s="60" t="s">
        <v>2511</v>
      </c>
      <c r="M430" s="61"/>
      <c r="N430" s="61" t="s">
        <v>2388</v>
      </c>
      <c r="O430" s="61" t="s">
        <v>2511</v>
      </c>
      <c r="P430" s="62" t="s">
        <v>2511</v>
      </c>
      <c r="Q430" s="82"/>
      <c r="R430" s="82"/>
      <c r="S430" s="82"/>
      <c r="T430" s="82"/>
      <c r="U430" s="82"/>
      <c r="V430" s="138" t="s">
        <v>3621</v>
      </c>
      <c r="W430" s="57" t="s">
        <v>3588</v>
      </c>
      <c r="X430" s="126" t="s">
        <v>2511</v>
      </c>
      <c r="Y430" s="126" t="s">
        <v>2511</v>
      </c>
      <c r="Z430" s="57"/>
      <c r="AA430" s="57" t="s">
        <v>3589</v>
      </c>
      <c r="AB430" s="138"/>
      <c r="AC430" s="138" t="s">
        <v>2631</v>
      </c>
      <c r="AD430" s="80"/>
      <c r="AE430" s="80"/>
      <c r="AF430" s="80"/>
      <c r="AG430" s="80"/>
      <c r="AH430" s="83"/>
      <c r="AI430" s="83"/>
      <c r="AJ430" s="84"/>
      <c r="AK430" s="84"/>
      <c r="AL430" s="84"/>
      <c r="AM430" s="84"/>
      <c r="AN430" s="84"/>
      <c r="AO430" s="84"/>
      <c r="AP430" s="84"/>
      <c r="AQ430" s="103" t="s">
        <v>236</v>
      </c>
      <c r="AR430" s="72"/>
      <c r="AS430" s="72"/>
      <c r="AT430" s="72"/>
      <c r="AU430" s="72"/>
      <c r="AV430" s="72"/>
      <c r="AW430" s="72"/>
      <c r="AX430" s="72"/>
      <c r="AY430" s="72"/>
      <c r="AZ430" s="72"/>
      <c r="BA430" s="72"/>
      <c r="BB430" s="16"/>
      <c r="BC430" s="72"/>
      <c r="BD430" s="319" t="s">
        <v>236</v>
      </c>
      <c r="BE430" s="335"/>
    </row>
    <row r="431" spans="1:57" s="81" customFormat="1" ht="12.95" hidden="1" customHeight="1">
      <c r="A431" s="248" t="e">
        <v>#N/A</v>
      </c>
      <c r="B431" s="252" t="e">
        <v>#N/A</v>
      </c>
      <c r="C431" s="248" t="s">
        <v>1141</v>
      </c>
      <c r="D431" s="239" t="s">
        <v>3473</v>
      </c>
      <c r="E431" s="58"/>
      <c r="F431" s="59" t="s">
        <v>2312</v>
      </c>
      <c r="G431" s="191" t="s">
        <v>2511</v>
      </c>
      <c r="H431" s="192"/>
      <c r="I431" s="61" t="s">
        <v>239</v>
      </c>
      <c r="J431" s="61" t="s">
        <v>3622</v>
      </c>
      <c r="K431" s="62" t="s">
        <v>2511</v>
      </c>
      <c r="L431" s="60" t="s">
        <v>2511</v>
      </c>
      <c r="M431" s="61" t="s">
        <v>2523</v>
      </c>
      <c r="N431" s="61" t="s">
        <v>2523</v>
      </c>
      <c r="O431" s="61" t="s">
        <v>2523</v>
      </c>
      <c r="P431" s="62" t="s">
        <v>2511</v>
      </c>
      <c r="Q431" s="82"/>
      <c r="R431" s="82"/>
      <c r="S431" s="82"/>
      <c r="T431" s="82"/>
      <c r="U431" s="82"/>
      <c r="V431" s="138" t="s">
        <v>3623</v>
      </c>
      <c r="W431" s="57" t="s">
        <v>3588</v>
      </c>
      <c r="X431" s="126" t="s">
        <v>2511</v>
      </c>
      <c r="Y431" s="126" t="s">
        <v>2511</v>
      </c>
      <c r="Z431" s="57"/>
      <c r="AA431" s="57" t="s">
        <v>3589</v>
      </c>
      <c r="AB431" s="138"/>
      <c r="AC431" s="138" t="s">
        <v>2631</v>
      </c>
      <c r="AD431" s="80"/>
      <c r="AE431" s="80"/>
      <c r="AF431" s="80"/>
      <c r="AG431" s="80"/>
      <c r="AH431" s="83"/>
      <c r="AI431" s="83"/>
      <c r="AJ431" s="84"/>
      <c r="AK431" s="84"/>
      <c r="AL431" s="84"/>
      <c r="AM431" s="84"/>
      <c r="AN431" s="84"/>
      <c r="AO431" s="84"/>
      <c r="AP431" s="84"/>
      <c r="AQ431" s="105" t="s">
        <v>2312</v>
      </c>
      <c r="AR431" s="72"/>
      <c r="AS431" s="72"/>
      <c r="AT431" s="72"/>
      <c r="AU431" s="72"/>
      <c r="AV431" s="72"/>
      <c r="AW431" s="72"/>
      <c r="AX431" s="72"/>
      <c r="AY431" s="72"/>
      <c r="AZ431" s="72"/>
      <c r="BA431" s="72"/>
      <c r="BB431" s="16"/>
      <c r="BC431" s="72"/>
      <c r="BD431" s="147" t="s">
        <v>83</v>
      </c>
      <c r="BE431" s="147" t="s">
        <v>83</v>
      </c>
    </row>
    <row r="432" spans="1:57" s="81" customFormat="1" ht="12.95" hidden="1" customHeight="1">
      <c r="A432" s="248" t="e">
        <v>#N/A</v>
      </c>
      <c r="B432" s="252" t="e">
        <v>#N/A</v>
      </c>
      <c r="C432" s="248" t="s">
        <v>1142</v>
      </c>
      <c r="D432" s="239" t="s">
        <v>3624</v>
      </c>
      <c r="E432" s="58"/>
      <c r="F432" s="59" t="s">
        <v>2313</v>
      </c>
      <c r="G432" s="191" t="s">
        <v>2511</v>
      </c>
      <c r="H432" s="192"/>
      <c r="I432" s="61" t="s">
        <v>238</v>
      </c>
      <c r="J432" s="61" t="s">
        <v>3625</v>
      </c>
      <c r="K432" s="62" t="s">
        <v>2511</v>
      </c>
      <c r="L432" s="60" t="s">
        <v>2511</v>
      </c>
      <c r="M432" s="61" t="s">
        <v>2523</v>
      </c>
      <c r="N432" s="61" t="s">
        <v>2523</v>
      </c>
      <c r="O432" s="61" t="s">
        <v>2523</v>
      </c>
      <c r="P432" s="62" t="s">
        <v>2511</v>
      </c>
      <c r="Q432" s="82"/>
      <c r="R432" s="82"/>
      <c r="S432" s="82"/>
      <c r="T432" s="82"/>
      <c r="U432" s="82"/>
      <c r="V432" s="138" t="s">
        <v>3626</v>
      </c>
      <c r="W432" s="57" t="s">
        <v>3588</v>
      </c>
      <c r="X432" s="126" t="s">
        <v>2511</v>
      </c>
      <c r="Y432" s="126" t="s">
        <v>2511</v>
      </c>
      <c r="Z432" s="57"/>
      <c r="AA432" s="57" t="s">
        <v>3589</v>
      </c>
      <c r="AB432" s="138"/>
      <c r="AC432" s="138" t="s">
        <v>2631</v>
      </c>
      <c r="AD432" s="80"/>
      <c r="AE432" s="80"/>
      <c r="AF432" s="80"/>
      <c r="AG432" s="80"/>
      <c r="AH432" s="83"/>
      <c r="AI432" s="83"/>
      <c r="AJ432" s="84"/>
      <c r="AK432" s="84"/>
      <c r="AL432" s="84"/>
      <c r="AM432" s="84"/>
      <c r="AN432" s="84"/>
      <c r="AO432" s="84"/>
      <c r="AP432" s="84"/>
      <c r="AQ432" s="103" t="s">
        <v>2313</v>
      </c>
      <c r="AR432" s="72"/>
      <c r="AS432" s="72"/>
      <c r="AT432" s="72"/>
      <c r="AU432" s="72"/>
      <c r="AV432" s="72"/>
      <c r="AW432" s="72"/>
      <c r="AX432" s="72"/>
      <c r="AY432" s="72"/>
      <c r="AZ432" s="72"/>
      <c r="BA432" s="72"/>
      <c r="BB432" s="16"/>
      <c r="BC432" s="72"/>
      <c r="BD432" s="147" t="s">
        <v>83</v>
      </c>
      <c r="BE432" s="147" t="s">
        <v>83</v>
      </c>
    </row>
    <row r="433" spans="1:57" s="81" customFormat="1" ht="12.95" hidden="1" customHeight="1">
      <c r="A433" s="248" t="e">
        <v>#N/A</v>
      </c>
      <c r="B433" s="252" t="e">
        <v>#N/A</v>
      </c>
      <c r="C433" s="248" t="s">
        <v>1143</v>
      </c>
      <c r="D433" s="239" t="s">
        <v>3606</v>
      </c>
      <c r="E433" s="58"/>
      <c r="F433" s="59" t="s">
        <v>2314</v>
      </c>
      <c r="G433" s="191" t="s">
        <v>2511</v>
      </c>
      <c r="H433" s="192"/>
      <c r="I433" s="61" t="s">
        <v>241</v>
      </c>
      <c r="J433" s="61" t="s">
        <v>2511</v>
      </c>
      <c r="K433" s="62" t="s">
        <v>2511</v>
      </c>
      <c r="L433" s="60" t="s">
        <v>2511</v>
      </c>
      <c r="M433" s="61" t="s">
        <v>2388</v>
      </c>
      <c r="N433" s="61" t="s">
        <v>2388</v>
      </c>
      <c r="O433" s="61" t="s">
        <v>2511</v>
      </c>
      <c r="P433" s="62" t="s">
        <v>2511</v>
      </c>
      <c r="Q433" s="82"/>
      <c r="R433" s="82"/>
      <c r="S433" s="82"/>
      <c r="T433" s="82"/>
      <c r="U433" s="82"/>
      <c r="V433" s="138" t="s">
        <v>3627</v>
      </c>
      <c r="W433" s="57" t="s">
        <v>3588</v>
      </c>
      <c r="X433" s="126" t="s">
        <v>2511</v>
      </c>
      <c r="Y433" s="126" t="s">
        <v>2511</v>
      </c>
      <c r="Z433" s="57"/>
      <c r="AA433" s="57" t="s">
        <v>3589</v>
      </c>
      <c r="AB433" s="138"/>
      <c r="AC433" s="138" t="s">
        <v>2631</v>
      </c>
      <c r="AD433" s="80"/>
      <c r="AE433" s="80"/>
      <c r="AF433" s="80"/>
      <c r="AG433" s="80"/>
      <c r="AH433" s="83"/>
      <c r="AI433" s="83"/>
      <c r="AJ433" s="84"/>
      <c r="AK433" s="84"/>
      <c r="AL433" s="84"/>
      <c r="AM433" s="84"/>
      <c r="AN433" s="84"/>
      <c r="AO433" s="84"/>
      <c r="AP433" s="84"/>
      <c r="AQ433" s="105" t="s">
        <v>2314</v>
      </c>
      <c r="AR433" s="72"/>
      <c r="AS433" s="72"/>
      <c r="AT433" s="72"/>
      <c r="AU433" s="72"/>
      <c r="AV433" s="72"/>
      <c r="AW433" s="72"/>
      <c r="AX433" s="72"/>
      <c r="AY433" s="72"/>
      <c r="AZ433" s="72"/>
      <c r="BA433" s="72"/>
      <c r="BB433" s="16"/>
      <c r="BC433" s="72"/>
      <c r="BD433" s="147" t="s">
        <v>83</v>
      </c>
      <c r="BE433" s="147" t="s">
        <v>83</v>
      </c>
    </row>
    <row r="434" spans="1:57" s="81" customFormat="1" ht="12.95" hidden="1" customHeight="1">
      <c r="A434" s="248" t="e">
        <v>#N/A</v>
      </c>
      <c r="B434" s="252" t="e">
        <v>#N/A</v>
      </c>
      <c r="C434" s="248" t="s">
        <v>1144</v>
      </c>
      <c r="D434" s="239" t="s">
        <v>3628</v>
      </c>
      <c r="E434" s="58"/>
      <c r="F434" s="59" t="s">
        <v>2315</v>
      </c>
      <c r="G434" s="191" t="s">
        <v>2511</v>
      </c>
      <c r="H434" s="192"/>
      <c r="I434" s="61" t="s">
        <v>240</v>
      </c>
      <c r="J434" s="61" t="s">
        <v>2511</v>
      </c>
      <c r="K434" s="62" t="s">
        <v>2511</v>
      </c>
      <c r="L434" s="60" t="s">
        <v>2511</v>
      </c>
      <c r="M434" s="61" t="s">
        <v>2388</v>
      </c>
      <c r="N434" s="61" t="s">
        <v>2388</v>
      </c>
      <c r="O434" s="61" t="s">
        <v>2511</v>
      </c>
      <c r="P434" s="62" t="s">
        <v>2511</v>
      </c>
      <c r="Q434" s="82"/>
      <c r="R434" s="82"/>
      <c r="S434" s="82"/>
      <c r="T434" s="82"/>
      <c r="U434" s="82"/>
      <c r="V434" s="138" t="s">
        <v>3629</v>
      </c>
      <c r="W434" s="57" t="s">
        <v>3588</v>
      </c>
      <c r="X434" s="126" t="s">
        <v>2511</v>
      </c>
      <c r="Y434" s="126" t="s">
        <v>2511</v>
      </c>
      <c r="Z434" s="57"/>
      <c r="AA434" s="57" t="s">
        <v>3589</v>
      </c>
      <c r="AB434" s="138"/>
      <c r="AC434" s="138" t="s">
        <v>2631</v>
      </c>
      <c r="AD434" s="80"/>
      <c r="AE434" s="80"/>
      <c r="AF434" s="80"/>
      <c r="AG434" s="80"/>
      <c r="AH434" s="83"/>
      <c r="AI434" s="83"/>
      <c r="AJ434" s="84"/>
      <c r="AK434" s="84"/>
      <c r="AL434" s="84"/>
      <c r="AM434" s="84"/>
      <c r="AN434" s="84"/>
      <c r="AO434" s="84"/>
      <c r="AP434" s="84"/>
      <c r="AQ434" s="103" t="s">
        <v>2315</v>
      </c>
      <c r="AR434" s="72"/>
      <c r="AS434" s="72"/>
      <c r="AT434" s="72"/>
      <c r="AU434" s="72"/>
      <c r="AV434" s="72"/>
      <c r="AW434" s="72"/>
      <c r="AX434" s="72"/>
      <c r="AY434" s="72"/>
      <c r="AZ434" s="72"/>
      <c r="BA434" s="72"/>
      <c r="BB434" s="16"/>
      <c r="BC434" s="72"/>
      <c r="BD434" s="147" t="s">
        <v>83</v>
      </c>
      <c r="BE434" s="147" t="s">
        <v>83</v>
      </c>
    </row>
    <row r="435" spans="1:57" s="81" customFormat="1" ht="12.95" hidden="1" customHeight="1">
      <c r="A435" s="248" t="e">
        <v>#N/A</v>
      </c>
      <c r="B435" s="252" t="e">
        <v>#N/A</v>
      </c>
      <c r="C435" s="248" t="s">
        <v>1145</v>
      </c>
      <c r="D435" s="239" t="s">
        <v>3610</v>
      </c>
      <c r="E435" s="58"/>
      <c r="F435" s="59" t="s">
        <v>2317</v>
      </c>
      <c r="G435" s="191" t="s">
        <v>2511</v>
      </c>
      <c r="H435" s="192"/>
      <c r="I435" s="61" t="s">
        <v>316</v>
      </c>
      <c r="J435" s="61" t="s">
        <v>3630</v>
      </c>
      <c r="K435" s="62" t="s">
        <v>2511</v>
      </c>
      <c r="L435" s="60" t="s">
        <v>2511</v>
      </c>
      <c r="M435" s="61" t="s">
        <v>2523</v>
      </c>
      <c r="N435" s="61" t="s">
        <v>2523</v>
      </c>
      <c r="O435" s="61" t="s">
        <v>2523</v>
      </c>
      <c r="P435" s="62" t="s">
        <v>2511</v>
      </c>
      <c r="Q435" s="82"/>
      <c r="R435" s="82"/>
      <c r="S435" s="82"/>
      <c r="T435" s="82"/>
      <c r="U435" s="82"/>
      <c r="V435" s="138" t="s">
        <v>3631</v>
      </c>
      <c r="W435" s="57" t="s">
        <v>3588</v>
      </c>
      <c r="X435" s="126" t="s">
        <v>2511</v>
      </c>
      <c r="Y435" s="126" t="s">
        <v>2511</v>
      </c>
      <c r="Z435" s="57"/>
      <c r="AA435" s="57" t="s">
        <v>3589</v>
      </c>
      <c r="AB435" s="138"/>
      <c r="AC435" s="138" t="s">
        <v>2631</v>
      </c>
      <c r="AD435" s="80"/>
      <c r="AE435" s="80"/>
      <c r="AF435" s="80"/>
      <c r="AG435" s="80"/>
      <c r="AH435" s="83"/>
      <c r="AI435" s="83"/>
      <c r="AJ435" s="84"/>
      <c r="AK435" s="84"/>
      <c r="AL435" s="84"/>
      <c r="AM435" s="84"/>
      <c r="AN435" s="84"/>
      <c r="AO435" s="84"/>
      <c r="AP435" s="84"/>
      <c r="AQ435" s="105" t="s">
        <v>2317</v>
      </c>
      <c r="AR435" s="72"/>
      <c r="AS435" s="72"/>
      <c r="AT435" s="72"/>
      <c r="AU435" s="72"/>
      <c r="AV435" s="72"/>
      <c r="AW435" s="72"/>
      <c r="AX435" s="72"/>
      <c r="AY435" s="72"/>
      <c r="AZ435" s="72"/>
      <c r="BA435" s="72"/>
      <c r="BB435" s="16"/>
      <c r="BC435" s="72"/>
      <c r="BD435" s="147" t="s">
        <v>83</v>
      </c>
      <c r="BE435" s="147" t="s">
        <v>83</v>
      </c>
    </row>
    <row r="436" spans="1:57" s="81" customFormat="1" ht="12.95" hidden="1" customHeight="1">
      <c r="A436" s="248" t="e">
        <v>#N/A</v>
      </c>
      <c r="B436" s="252" t="e">
        <v>#N/A</v>
      </c>
      <c r="C436" s="248" t="s">
        <v>1146</v>
      </c>
      <c r="D436" s="239" t="s">
        <v>3632</v>
      </c>
      <c r="E436" s="58"/>
      <c r="F436" s="59" t="s">
        <v>2318</v>
      </c>
      <c r="G436" s="191" t="s">
        <v>2511</v>
      </c>
      <c r="H436" s="192"/>
      <c r="I436" s="61" t="s">
        <v>315</v>
      </c>
      <c r="J436" s="61" t="s">
        <v>3633</v>
      </c>
      <c r="K436" s="62" t="s">
        <v>2511</v>
      </c>
      <c r="L436" s="60" t="s">
        <v>2511</v>
      </c>
      <c r="M436" s="61" t="s">
        <v>2523</v>
      </c>
      <c r="N436" s="61" t="s">
        <v>2523</v>
      </c>
      <c r="O436" s="61" t="s">
        <v>2523</v>
      </c>
      <c r="P436" s="62" t="s">
        <v>2511</v>
      </c>
      <c r="Q436" s="82"/>
      <c r="R436" s="82"/>
      <c r="S436" s="82"/>
      <c r="T436" s="82"/>
      <c r="U436" s="82"/>
      <c r="V436" s="138" t="s">
        <v>3634</v>
      </c>
      <c r="W436" s="57" t="s">
        <v>3588</v>
      </c>
      <c r="X436" s="126" t="s">
        <v>2511</v>
      </c>
      <c r="Y436" s="126" t="s">
        <v>2511</v>
      </c>
      <c r="Z436" s="57"/>
      <c r="AA436" s="57" t="s">
        <v>3589</v>
      </c>
      <c r="AB436" s="138"/>
      <c r="AC436" s="138" t="s">
        <v>2631</v>
      </c>
      <c r="AD436" s="80"/>
      <c r="AE436" s="80"/>
      <c r="AF436" s="80"/>
      <c r="AG436" s="80"/>
      <c r="AH436" s="83"/>
      <c r="AI436" s="83"/>
      <c r="AJ436" s="84"/>
      <c r="AK436" s="84"/>
      <c r="AL436" s="84"/>
      <c r="AM436" s="84"/>
      <c r="AN436" s="84"/>
      <c r="AO436" s="84"/>
      <c r="AP436" s="84"/>
      <c r="AQ436" s="103" t="s">
        <v>2318</v>
      </c>
      <c r="AR436" s="72"/>
      <c r="AS436" s="72"/>
      <c r="AT436" s="72"/>
      <c r="AU436" s="72"/>
      <c r="AV436" s="72"/>
      <c r="AW436" s="72"/>
      <c r="AX436" s="72"/>
      <c r="AY436" s="72"/>
      <c r="AZ436" s="72"/>
      <c r="BA436" s="72"/>
      <c r="BB436" s="16"/>
      <c r="BC436" s="72"/>
      <c r="BD436" s="147" t="s">
        <v>83</v>
      </c>
      <c r="BE436" s="147" t="s">
        <v>83</v>
      </c>
    </row>
    <row r="437" spans="1:57" s="81" customFormat="1" ht="12.95" hidden="1" customHeight="1">
      <c r="A437" s="248" t="e">
        <v>#N/A</v>
      </c>
      <c r="B437" s="252" t="e">
        <v>#N/A</v>
      </c>
      <c r="C437" s="248" t="s">
        <v>1147</v>
      </c>
      <c r="D437" s="239" t="s">
        <v>3635</v>
      </c>
      <c r="E437" s="58"/>
      <c r="F437" s="59" t="s">
        <v>2316</v>
      </c>
      <c r="G437" s="191" t="s">
        <v>2511</v>
      </c>
      <c r="H437" s="192"/>
      <c r="I437" s="61" t="s">
        <v>318</v>
      </c>
      <c r="J437" s="61" t="s">
        <v>2511</v>
      </c>
      <c r="K437" s="62" t="s">
        <v>2511</v>
      </c>
      <c r="L437" s="60" t="s">
        <v>2511</v>
      </c>
      <c r="M437" s="61" t="s">
        <v>2388</v>
      </c>
      <c r="N437" s="61" t="s">
        <v>2388</v>
      </c>
      <c r="O437" s="61" t="s">
        <v>2511</v>
      </c>
      <c r="P437" s="62" t="s">
        <v>2511</v>
      </c>
      <c r="Q437" s="82"/>
      <c r="R437" s="82"/>
      <c r="S437" s="82"/>
      <c r="T437" s="82"/>
      <c r="U437" s="82"/>
      <c r="V437" s="138" t="s">
        <v>3636</v>
      </c>
      <c r="W437" s="57" t="s">
        <v>3588</v>
      </c>
      <c r="X437" s="126" t="s">
        <v>2511</v>
      </c>
      <c r="Y437" s="126" t="s">
        <v>2511</v>
      </c>
      <c r="Z437" s="57"/>
      <c r="AA437" s="57" t="s">
        <v>3589</v>
      </c>
      <c r="AB437" s="138"/>
      <c r="AC437" s="138" t="s">
        <v>2631</v>
      </c>
      <c r="AD437" s="80"/>
      <c r="AE437" s="80"/>
      <c r="AF437" s="80"/>
      <c r="AG437" s="80"/>
      <c r="AH437" s="83"/>
      <c r="AI437" s="83"/>
      <c r="AJ437" s="84"/>
      <c r="AK437" s="84"/>
      <c r="AL437" s="84"/>
      <c r="AM437" s="84"/>
      <c r="AN437" s="84"/>
      <c r="AO437" s="84"/>
      <c r="AP437" s="84"/>
      <c r="AQ437" s="105" t="s">
        <v>2316</v>
      </c>
      <c r="AR437" s="72"/>
      <c r="AS437" s="72"/>
      <c r="AT437" s="72"/>
      <c r="AU437" s="72"/>
      <c r="AV437" s="72"/>
      <c r="AW437" s="72"/>
      <c r="AX437" s="72"/>
      <c r="AY437" s="72"/>
      <c r="AZ437" s="72"/>
      <c r="BA437" s="72"/>
      <c r="BB437" s="16"/>
      <c r="BC437" s="72"/>
      <c r="BD437" s="147" t="s">
        <v>83</v>
      </c>
      <c r="BE437" s="147" t="s">
        <v>83</v>
      </c>
    </row>
    <row r="438" spans="1:57" s="81" customFormat="1" ht="12.95" hidden="1" customHeight="1">
      <c r="A438" s="248" t="e">
        <v>#N/A</v>
      </c>
      <c r="B438" s="252" t="e">
        <v>#N/A</v>
      </c>
      <c r="C438" s="248" t="s">
        <v>1148</v>
      </c>
      <c r="D438" s="239" t="s">
        <v>3637</v>
      </c>
      <c r="E438" s="58"/>
      <c r="F438" s="59" t="s">
        <v>2319</v>
      </c>
      <c r="G438" s="191" t="s">
        <v>2511</v>
      </c>
      <c r="H438" s="192"/>
      <c r="I438" s="61" t="s">
        <v>317</v>
      </c>
      <c r="J438" s="61" t="s">
        <v>2511</v>
      </c>
      <c r="K438" s="62" t="s">
        <v>2511</v>
      </c>
      <c r="L438" s="60" t="s">
        <v>2511</v>
      </c>
      <c r="M438" s="61" t="s">
        <v>2388</v>
      </c>
      <c r="N438" s="61" t="s">
        <v>2388</v>
      </c>
      <c r="O438" s="61" t="s">
        <v>2511</v>
      </c>
      <c r="P438" s="62" t="s">
        <v>2511</v>
      </c>
      <c r="Q438" s="82"/>
      <c r="R438" s="82"/>
      <c r="S438" s="82"/>
      <c r="T438" s="82"/>
      <c r="U438" s="82"/>
      <c r="V438" s="138" t="s">
        <v>3638</v>
      </c>
      <c r="W438" s="57" t="s">
        <v>3588</v>
      </c>
      <c r="X438" s="126" t="s">
        <v>2511</v>
      </c>
      <c r="Y438" s="126" t="s">
        <v>2511</v>
      </c>
      <c r="Z438" s="57"/>
      <c r="AA438" s="57" t="s">
        <v>3589</v>
      </c>
      <c r="AB438" s="138"/>
      <c r="AC438" s="138" t="s">
        <v>2631</v>
      </c>
      <c r="AD438" s="80"/>
      <c r="AE438" s="80"/>
      <c r="AF438" s="80"/>
      <c r="AG438" s="80"/>
      <c r="AH438" s="83"/>
      <c r="AI438" s="83"/>
      <c r="AJ438" s="84"/>
      <c r="AK438" s="84"/>
      <c r="AL438" s="84"/>
      <c r="AM438" s="84"/>
      <c r="AN438" s="84"/>
      <c r="AO438" s="84"/>
      <c r="AP438" s="84"/>
      <c r="AQ438" s="103" t="s">
        <v>2319</v>
      </c>
      <c r="AR438" s="72"/>
      <c r="AS438" s="72"/>
      <c r="AT438" s="72"/>
      <c r="AU438" s="72"/>
      <c r="AV438" s="72"/>
      <c r="AW438" s="72"/>
      <c r="AX438" s="72"/>
      <c r="AY438" s="72"/>
      <c r="AZ438" s="72"/>
      <c r="BA438" s="72"/>
      <c r="BB438" s="16"/>
      <c r="BC438" s="72"/>
      <c r="BD438" s="147" t="s">
        <v>83</v>
      </c>
      <c r="BE438" s="147" t="s">
        <v>83</v>
      </c>
    </row>
    <row r="439" spans="1:57" s="81" customFormat="1" ht="12.95" hidden="1" customHeight="1">
      <c r="A439" s="248" t="e">
        <v>#N/A</v>
      </c>
      <c r="B439" s="252" t="e">
        <v>#N/A</v>
      </c>
      <c r="C439" s="248" t="s">
        <v>1149</v>
      </c>
      <c r="D439" s="239" t="s">
        <v>3476</v>
      </c>
      <c r="E439" s="58"/>
      <c r="F439" s="59" t="s">
        <v>2320</v>
      </c>
      <c r="G439" s="191" t="s">
        <v>2511</v>
      </c>
      <c r="H439" s="192"/>
      <c r="I439" s="61" t="s">
        <v>1099</v>
      </c>
      <c r="J439" s="61" t="s">
        <v>3640</v>
      </c>
      <c r="K439" s="62" t="s">
        <v>2511</v>
      </c>
      <c r="L439" s="60" t="s">
        <v>2511</v>
      </c>
      <c r="M439" s="61" t="s">
        <v>2523</v>
      </c>
      <c r="N439" s="61" t="s">
        <v>2523</v>
      </c>
      <c r="O439" s="61" t="s">
        <v>2523</v>
      </c>
      <c r="P439" s="62" t="s">
        <v>2511</v>
      </c>
      <c r="Q439" s="82"/>
      <c r="R439" s="82"/>
      <c r="S439" s="82"/>
      <c r="T439" s="82"/>
      <c r="U439" s="82"/>
      <c r="V439" s="138" t="s">
        <v>3641</v>
      </c>
      <c r="W439" s="57" t="s">
        <v>3588</v>
      </c>
      <c r="X439" s="126" t="s">
        <v>2511</v>
      </c>
      <c r="Y439" s="126" t="s">
        <v>2511</v>
      </c>
      <c r="Z439" s="57"/>
      <c r="AA439" s="57" t="s">
        <v>3589</v>
      </c>
      <c r="AB439" s="138"/>
      <c r="AC439" s="138" t="s">
        <v>2631</v>
      </c>
      <c r="AD439" s="80"/>
      <c r="AE439" s="80"/>
      <c r="AF439" s="80"/>
      <c r="AG439" s="80"/>
      <c r="AH439" s="83"/>
      <c r="AI439" s="83"/>
      <c r="AJ439" s="84"/>
      <c r="AK439" s="84"/>
      <c r="AL439" s="84"/>
      <c r="AM439" s="84"/>
      <c r="AN439" s="84"/>
      <c r="AO439" s="84"/>
      <c r="AP439" s="84"/>
      <c r="AQ439" s="105" t="s">
        <v>2320</v>
      </c>
      <c r="AR439" s="72"/>
      <c r="AS439" s="72"/>
      <c r="AT439" s="72"/>
      <c r="AU439" s="72"/>
      <c r="AV439" s="72"/>
      <c r="AW439" s="72"/>
      <c r="AX439" s="72"/>
      <c r="AY439" s="72"/>
      <c r="AZ439" s="72"/>
      <c r="BA439" s="72"/>
      <c r="BB439" s="16"/>
      <c r="BC439" s="72"/>
      <c r="BD439" s="147" t="s">
        <v>83</v>
      </c>
      <c r="BE439" s="147" t="s">
        <v>83</v>
      </c>
    </row>
    <row r="440" spans="1:57" s="81" customFormat="1" ht="12.95" hidden="1" customHeight="1">
      <c r="A440" s="248" t="e">
        <v>#N/A</v>
      </c>
      <c r="B440" s="252" t="e">
        <v>#N/A</v>
      </c>
      <c r="C440" s="248" t="s">
        <v>1150</v>
      </c>
      <c r="D440" s="239" t="s">
        <v>3643</v>
      </c>
      <c r="E440" s="58"/>
      <c r="F440" s="59" t="s">
        <v>2321</v>
      </c>
      <c r="G440" s="191" t="s">
        <v>2511</v>
      </c>
      <c r="H440" s="192"/>
      <c r="I440" s="61" t="s">
        <v>1100</v>
      </c>
      <c r="J440" s="61" t="s">
        <v>3644</v>
      </c>
      <c r="K440" s="62" t="s">
        <v>2511</v>
      </c>
      <c r="L440" s="60" t="s">
        <v>2511</v>
      </c>
      <c r="M440" s="61" t="s">
        <v>2523</v>
      </c>
      <c r="N440" s="61" t="s">
        <v>2523</v>
      </c>
      <c r="O440" s="61" t="s">
        <v>2523</v>
      </c>
      <c r="P440" s="62" t="s">
        <v>2511</v>
      </c>
      <c r="Q440" s="82"/>
      <c r="R440" s="82"/>
      <c r="S440" s="82"/>
      <c r="T440" s="82"/>
      <c r="U440" s="82"/>
      <c r="V440" s="138" t="s">
        <v>3645</v>
      </c>
      <c r="W440" s="57" t="s">
        <v>3588</v>
      </c>
      <c r="X440" s="126" t="s">
        <v>2511</v>
      </c>
      <c r="Y440" s="126" t="s">
        <v>2511</v>
      </c>
      <c r="Z440" s="57"/>
      <c r="AA440" s="57" t="s">
        <v>3589</v>
      </c>
      <c r="AB440" s="138"/>
      <c r="AC440" s="138" t="s">
        <v>2631</v>
      </c>
      <c r="AD440" s="80"/>
      <c r="AE440" s="80"/>
      <c r="AF440" s="80"/>
      <c r="AG440" s="80"/>
      <c r="AH440" s="83"/>
      <c r="AI440" s="83"/>
      <c r="AJ440" s="84"/>
      <c r="AK440" s="84"/>
      <c r="AL440" s="84"/>
      <c r="AM440" s="84"/>
      <c r="AN440" s="84"/>
      <c r="AO440" s="84"/>
      <c r="AP440" s="84"/>
      <c r="AQ440" s="103" t="s">
        <v>2321</v>
      </c>
      <c r="AR440" s="72"/>
      <c r="AS440" s="72"/>
      <c r="AT440" s="72"/>
      <c r="AU440" s="72"/>
      <c r="AV440" s="72"/>
      <c r="AW440" s="72"/>
      <c r="AX440" s="72"/>
      <c r="AY440" s="72"/>
      <c r="AZ440" s="72"/>
      <c r="BA440" s="72"/>
      <c r="BB440" s="16"/>
      <c r="BC440" s="72"/>
      <c r="BD440" s="147" t="s">
        <v>83</v>
      </c>
      <c r="BE440" s="147" t="s">
        <v>83</v>
      </c>
    </row>
    <row r="441" spans="1:57" s="81" customFormat="1" ht="12.95" hidden="1" customHeight="1">
      <c r="A441" s="248" t="e">
        <v>#N/A</v>
      </c>
      <c r="B441" s="252" t="e">
        <v>#N/A</v>
      </c>
      <c r="C441" s="248" t="s">
        <v>1151</v>
      </c>
      <c r="D441" s="239" t="s">
        <v>3639</v>
      </c>
      <c r="E441" s="58"/>
      <c r="F441" s="59" t="s">
        <v>2322</v>
      </c>
      <c r="G441" s="191" t="s">
        <v>2511</v>
      </c>
      <c r="H441" s="192"/>
      <c r="I441" s="61" t="s">
        <v>1101</v>
      </c>
      <c r="J441" s="61" t="s">
        <v>2511</v>
      </c>
      <c r="K441" s="62" t="s">
        <v>2511</v>
      </c>
      <c r="L441" s="60" t="s">
        <v>2511</v>
      </c>
      <c r="M441" s="61" t="s">
        <v>2388</v>
      </c>
      <c r="N441" s="61" t="s">
        <v>2388</v>
      </c>
      <c r="O441" s="61" t="s">
        <v>2511</v>
      </c>
      <c r="P441" s="62" t="s">
        <v>2511</v>
      </c>
      <c r="Q441" s="82"/>
      <c r="R441" s="82"/>
      <c r="S441" s="82"/>
      <c r="T441" s="82"/>
      <c r="U441" s="82"/>
      <c r="V441" s="138" t="s">
        <v>3646</v>
      </c>
      <c r="W441" s="57" t="s">
        <v>3588</v>
      </c>
      <c r="X441" s="128"/>
      <c r="Y441" s="128"/>
      <c r="Z441" s="57"/>
      <c r="AA441" s="57" t="s">
        <v>3589</v>
      </c>
      <c r="AB441" s="79"/>
      <c r="AC441" s="79"/>
      <c r="AD441" s="80"/>
      <c r="AE441" s="80"/>
      <c r="AF441" s="80"/>
      <c r="AG441" s="80"/>
      <c r="AH441" s="83"/>
      <c r="AI441" s="83"/>
      <c r="AJ441" s="84"/>
      <c r="AK441" s="84"/>
      <c r="AL441" s="84"/>
      <c r="AM441" s="84"/>
      <c r="AN441" s="84"/>
      <c r="AO441" s="84"/>
      <c r="AP441" s="84"/>
      <c r="AQ441" s="103" t="s">
        <v>2322</v>
      </c>
      <c r="AR441" s="72"/>
      <c r="AS441" s="72"/>
      <c r="AT441" s="72"/>
      <c r="AU441" s="72"/>
      <c r="AV441" s="72"/>
      <c r="AW441" s="72"/>
      <c r="AX441" s="72"/>
      <c r="AY441" s="72"/>
      <c r="AZ441" s="72"/>
      <c r="BA441" s="72"/>
      <c r="BB441" s="16"/>
      <c r="BC441" s="72"/>
      <c r="BD441" s="147" t="s">
        <v>83</v>
      </c>
      <c r="BE441" s="147" t="s">
        <v>83</v>
      </c>
    </row>
    <row r="442" spans="1:57" s="81" customFormat="1" ht="12.95" hidden="1" customHeight="1">
      <c r="A442" s="248" t="e">
        <v>#N/A</v>
      </c>
      <c r="B442" s="252" t="e">
        <v>#N/A</v>
      </c>
      <c r="C442" s="248" t="s">
        <v>1152</v>
      </c>
      <c r="D442" s="239" t="s">
        <v>3642</v>
      </c>
      <c r="E442" s="58"/>
      <c r="F442" s="59" t="s">
        <v>2323</v>
      </c>
      <c r="G442" s="191" t="s">
        <v>2511</v>
      </c>
      <c r="H442" s="192"/>
      <c r="I442" s="61" t="s">
        <v>1102</v>
      </c>
      <c r="J442" s="61" t="s">
        <v>2511</v>
      </c>
      <c r="K442" s="62" t="s">
        <v>2511</v>
      </c>
      <c r="L442" s="60" t="s">
        <v>2511</v>
      </c>
      <c r="M442" s="61" t="s">
        <v>2388</v>
      </c>
      <c r="N442" s="61" t="s">
        <v>2388</v>
      </c>
      <c r="O442" s="61" t="s">
        <v>2511</v>
      </c>
      <c r="P442" s="62" t="s">
        <v>2511</v>
      </c>
      <c r="Q442" s="82"/>
      <c r="R442" s="82"/>
      <c r="S442" s="82"/>
      <c r="T442" s="82"/>
      <c r="U442" s="82"/>
      <c r="V442" s="138" t="s">
        <v>3647</v>
      </c>
      <c r="W442" s="57" t="s">
        <v>3588</v>
      </c>
      <c r="X442" s="126" t="s">
        <v>2511</v>
      </c>
      <c r="Y442" s="126" t="s">
        <v>2511</v>
      </c>
      <c r="Z442" s="57"/>
      <c r="AA442" s="57" t="s">
        <v>3589</v>
      </c>
      <c r="AB442" s="137"/>
      <c r="AC442" s="137" t="s">
        <v>2631</v>
      </c>
      <c r="AD442" s="80"/>
      <c r="AE442" s="80"/>
      <c r="AF442" s="80"/>
      <c r="AG442" s="80"/>
      <c r="AH442" s="83"/>
      <c r="AI442" s="83"/>
      <c r="AJ442" s="84"/>
      <c r="AK442" s="84"/>
      <c r="AL442" s="84"/>
      <c r="AM442" s="84"/>
      <c r="AN442" s="84"/>
      <c r="AO442" s="84"/>
      <c r="AP442" s="84"/>
      <c r="AQ442" s="105" t="s">
        <v>2323</v>
      </c>
      <c r="AR442" s="72"/>
      <c r="AS442" s="72"/>
      <c r="AT442" s="72"/>
      <c r="AU442" s="72"/>
      <c r="AV442" s="72"/>
      <c r="AW442" s="72"/>
      <c r="AX442" s="72"/>
      <c r="AY442" s="72"/>
      <c r="AZ442" s="72"/>
      <c r="BA442" s="72"/>
      <c r="BB442" s="16"/>
      <c r="BC442" s="72"/>
      <c r="BD442" s="147" t="s">
        <v>83</v>
      </c>
      <c r="BE442" s="147" t="s">
        <v>83</v>
      </c>
    </row>
    <row r="443" spans="1:57" s="81" customFormat="1" ht="12.95" hidden="1" customHeight="1">
      <c r="A443" s="248" t="e">
        <v>#N/A</v>
      </c>
      <c r="B443" s="252" t="e">
        <v>#N/A</v>
      </c>
      <c r="C443" s="248" t="s">
        <v>1153</v>
      </c>
      <c r="D443" s="239" t="s">
        <v>3479</v>
      </c>
      <c r="E443" s="58"/>
      <c r="F443" s="59" t="s">
        <v>2324</v>
      </c>
      <c r="G443" s="191" t="s">
        <v>2511</v>
      </c>
      <c r="H443" s="192"/>
      <c r="I443" s="61" t="s">
        <v>1103</v>
      </c>
      <c r="J443" s="61" t="s">
        <v>3648</v>
      </c>
      <c r="K443" s="62" t="s">
        <v>2511</v>
      </c>
      <c r="L443" s="60" t="s">
        <v>2511</v>
      </c>
      <c r="M443" s="61" t="s">
        <v>2523</v>
      </c>
      <c r="N443" s="61" t="s">
        <v>2523</v>
      </c>
      <c r="O443" s="61" t="s">
        <v>2523</v>
      </c>
      <c r="P443" s="62" t="s">
        <v>2511</v>
      </c>
      <c r="Q443" s="82"/>
      <c r="R443" s="82"/>
      <c r="S443" s="82"/>
      <c r="T443" s="82"/>
      <c r="U443" s="82"/>
      <c r="V443" s="138" t="s">
        <v>3649</v>
      </c>
      <c r="W443" s="57" t="s">
        <v>3588</v>
      </c>
      <c r="X443" s="126" t="s">
        <v>2511</v>
      </c>
      <c r="Y443" s="126" t="s">
        <v>2511</v>
      </c>
      <c r="Z443" s="57"/>
      <c r="AA443" s="57" t="s">
        <v>3589</v>
      </c>
      <c r="AB443" s="138"/>
      <c r="AC443" s="138" t="s">
        <v>2631</v>
      </c>
      <c r="AD443" s="80"/>
      <c r="AE443" s="80"/>
      <c r="AF443" s="80"/>
      <c r="AG443" s="80"/>
      <c r="AH443" s="83"/>
      <c r="AI443" s="83"/>
      <c r="AJ443" s="84"/>
      <c r="AK443" s="84"/>
      <c r="AL443" s="84"/>
      <c r="AM443" s="84"/>
      <c r="AN443" s="84"/>
      <c r="AO443" s="84"/>
      <c r="AP443" s="84"/>
      <c r="AQ443" s="103" t="s">
        <v>2324</v>
      </c>
      <c r="AR443" s="72"/>
      <c r="AS443" s="72"/>
      <c r="AT443" s="72"/>
      <c r="AU443" s="72"/>
      <c r="AV443" s="72"/>
      <c r="AW443" s="72"/>
      <c r="AX443" s="72"/>
      <c r="AY443" s="72"/>
      <c r="AZ443" s="72"/>
      <c r="BA443" s="72"/>
      <c r="BB443" s="16"/>
      <c r="BC443" s="72"/>
      <c r="BD443" s="147" t="s">
        <v>83</v>
      </c>
      <c r="BE443" s="147" t="s">
        <v>83</v>
      </c>
    </row>
    <row r="444" spans="1:57" s="81" customFormat="1" ht="12.95" hidden="1" customHeight="1">
      <c r="A444" s="248" t="e">
        <v>#N/A</v>
      </c>
      <c r="B444" s="252" t="e">
        <v>#N/A</v>
      </c>
      <c r="C444" s="248" t="s">
        <v>1154</v>
      </c>
      <c r="D444" s="239" t="s">
        <v>3650</v>
      </c>
      <c r="E444" s="58"/>
      <c r="F444" s="59" t="s">
        <v>2325</v>
      </c>
      <c r="G444" s="191" t="s">
        <v>2511</v>
      </c>
      <c r="H444" s="192"/>
      <c r="I444" s="61" t="s">
        <v>1104</v>
      </c>
      <c r="J444" s="61" t="s">
        <v>3651</v>
      </c>
      <c r="K444" s="62" t="s">
        <v>2511</v>
      </c>
      <c r="L444" s="60" t="s">
        <v>2511</v>
      </c>
      <c r="M444" s="61" t="s">
        <v>2523</v>
      </c>
      <c r="N444" s="61" t="s">
        <v>2523</v>
      </c>
      <c r="O444" s="61" t="s">
        <v>2523</v>
      </c>
      <c r="P444" s="62" t="s">
        <v>2511</v>
      </c>
      <c r="Q444" s="82"/>
      <c r="R444" s="82"/>
      <c r="S444" s="82"/>
      <c r="T444" s="82"/>
      <c r="U444" s="82"/>
      <c r="V444" s="138" t="s">
        <v>3652</v>
      </c>
      <c r="W444" s="57" t="s">
        <v>3588</v>
      </c>
      <c r="X444" s="126" t="s">
        <v>2511</v>
      </c>
      <c r="Y444" s="126" t="s">
        <v>2511</v>
      </c>
      <c r="Z444" s="57"/>
      <c r="AA444" s="57" t="s">
        <v>3589</v>
      </c>
      <c r="AB444" s="138"/>
      <c r="AC444" s="138" t="s">
        <v>2631</v>
      </c>
      <c r="AD444" s="80"/>
      <c r="AE444" s="80"/>
      <c r="AF444" s="80"/>
      <c r="AG444" s="80"/>
      <c r="AH444" s="83"/>
      <c r="AI444" s="83"/>
      <c r="AJ444" s="84"/>
      <c r="AK444" s="84"/>
      <c r="AL444" s="84"/>
      <c r="AM444" s="84"/>
      <c r="AN444" s="84"/>
      <c r="AO444" s="84"/>
      <c r="AP444" s="84"/>
      <c r="AQ444" s="105" t="s">
        <v>2325</v>
      </c>
      <c r="AR444" s="72"/>
      <c r="AS444" s="72"/>
      <c r="AT444" s="72"/>
      <c r="AU444" s="72"/>
      <c r="AV444" s="72"/>
      <c r="AW444" s="72"/>
      <c r="AX444" s="72"/>
      <c r="AY444" s="72"/>
      <c r="AZ444" s="72"/>
      <c r="BA444" s="72"/>
      <c r="BB444" s="16"/>
      <c r="BC444" s="72"/>
      <c r="BD444" s="147" t="s">
        <v>83</v>
      </c>
      <c r="BE444" s="147" t="s">
        <v>83</v>
      </c>
    </row>
    <row r="445" spans="1:57" s="81" customFormat="1" ht="12.95" hidden="1" customHeight="1">
      <c r="A445" s="248" t="e">
        <v>#N/A</v>
      </c>
      <c r="B445" s="252" t="e">
        <v>#N/A</v>
      </c>
      <c r="C445" s="248" t="s">
        <v>1155</v>
      </c>
      <c r="D445" s="239" t="s">
        <v>3653</v>
      </c>
      <c r="E445" s="58"/>
      <c r="F445" s="59" t="s">
        <v>2326</v>
      </c>
      <c r="G445" s="191" t="s">
        <v>2511</v>
      </c>
      <c r="H445" s="192"/>
      <c r="I445" s="61" t="s">
        <v>1105</v>
      </c>
      <c r="J445" s="61" t="s">
        <v>2511</v>
      </c>
      <c r="K445" s="62" t="s">
        <v>2511</v>
      </c>
      <c r="L445" s="60" t="s">
        <v>2511</v>
      </c>
      <c r="M445" s="61" t="s">
        <v>2388</v>
      </c>
      <c r="N445" s="61" t="s">
        <v>2388</v>
      </c>
      <c r="O445" s="61" t="s">
        <v>2511</v>
      </c>
      <c r="P445" s="62" t="s">
        <v>2511</v>
      </c>
      <c r="Q445" s="82"/>
      <c r="R445" s="82"/>
      <c r="S445" s="82"/>
      <c r="T445" s="82"/>
      <c r="U445" s="82"/>
      <c r="V445" s="138" t="s">
        <v>3654</v>
      </c>
      <c r="W445" s="57" t="s">
        <v>3588</v>
      </c>
      <c r="X445" s="126" t="s">
        <v>2511</v>
      </c>
      <c r="Y445" s="126" t="s">
        <v>2511</v>
      </c>
      <c r="Z445" s="57"/>
      <c r="AA445" s="57" t="s">
        <v>3589</v>
      </c>
      <c r="AB445" s="138"/>
      <c r="AC445" s="138" t="s">
        <v>2631</v>
      </c>
      <c r="AD445" s="80"/>
      <c r="AE445" s="80"/>
      <c r="AF445" s="80"/>
      <c r="AG445" s="80"/>
      <c r="AH445" s="83"/>
      <c r="AI445" s="83"/>
      <c r="AJ445" s="84"/>
      <c r="AK445" s="84"/>
      <c r="AL445" s="84"/>
      <c r="AM445" s="84"/>
      <c r="AN445" s="84"/>
      <c r="AO445" s="84"/>
      <c r="AP445" s="84"/>
      <c r="AQ445" s="103" t="s">
        <v>2326</v>
      </c>
      <c r="AR445" s="72"/>
      <c r="AS445" s="72"/>
      <c r="AT445" s="72"/>
      <c r="AU445" s="72"/>
      <c r="AV445" s="72"/>
      <c r="AW445" s="72"/>
      <c r="AX445" s="72"/>
      <c r="AY445" s="72"/>
      <c r="AZ445" s="72"/>
      <c r="BA445" s="72"/>
      <c r="BB445" s="16"/>
      <c r="BC445" s="72"/>
      <c r="BD445" s="147" t="s">
        <v>83</v>
      </c>
      <c r="BE445" s="147" t="s">
        <v>83</v>
      </c>
    </row>
    <row r="446" spans="1:57" s="81" customFormat="1" ht="12.95" hidden="1" customHeight="1">
      <c r="A446" s="248" t="e">
        <v>#N/A</v>
      </c>
      <c r="B446" s="252" t="e">
        <v>#N/A</v>
      </c>
      <c r="C446" s="248" t="s">
        <v>1156</v>
      </c>
      <c r="D446" s="239" t="s">
        <v>3655</v>
      </c>
      <c r="E446" s="58"/>
      <c r="F446" s="59" t="s">
        <v>2327</v>
      </c>
      <c r="G446" s="191" t="s">
        <v>2511</v>
      </c>
      <c r="H446" s="192"/>
      <c r="I446" s="61" t="s">
        <v>1106</v>
      </c>
      <c r="J446" s="61" t="s">
        <v>2511</v>
      </c>
      <c r="K446" s="62" t="s">
        <v>2511</v>
      </c>
      <c r="L446" s="60" t="s">
        <v>2511</v>
      </c>
      <c r="M446" s="61" t="s">
        <v>2388</v>
      </c>
      <c r="N446" s="61" t="s">
        <v>2388</v>
      </c>
      <c r="O446" s="61" t="s">
        <v>2511</v>
      </c>
      <c r="P446" s="62" t="s">
        <v>2511</v>
      </c>
      <c r="Q446" s="82"/>
      <c r="R446" s="82"/>
      <c r="S446" s="82"/>
      <c r="T446" s="82"/>
      <c r="U446" s="82"/>
      <c r="V446" s="138" t="s">
        <v>3656</v>
      </c>
      <c r="W446" s="57" t="s">
        <v>3588</v>
      </c>
      <c r="X446" s="126" t="s">
        <v>2511</v>
      </c>
      <c r="Y446" s="126" t="s">
        <v>2511</v>
      </c>
      <c r="Z446" s="57"/>
      <c r="AA446" s="57" t="s">
        <v>3589</v>
      </c>
      <c r="AB446" s="138"/>
      <c r="AC446" s="138" t="s">
        <v>2631</v>
      </c>
      <c r="AD446" s="80"/>
      <c r="AE446" s="80"/>
      <c r="AF446" s="80"/>
      <c r="AG446" s="80"/>
      <c r="AH446" s="83"/>
      <c r="AI446" s="83"/>
      <c r="AJ446" s="84"/>
      <c r="AK446" s="84"/>
      <c r="AL446" s="84"/>
      <c r="AM446" s="84"/>
      <c r="AN446" s="84"/>
      <c r="AO446" s="84"/>
      <c r="AP446" s="84"/>
      <c r="AQ446" s="105" t="s">
        <v>2327</v>
      </c>
      <c r="AR446" s="72"/>
      <c r="AS446" s="72"/>
      <c r="AT446" s="72"/>
      <c r="AU446" s="72"/>
      <c r="AV446" s="72"/>
      <c r="AW446" s="72"/>
      <c r="AX446" s="72"/>
      <c r="AY446" s="72"/>
      <c r="AZ446" s="72"/>
      <c r="BA446" s="72"/>
      <c r="BB446" s="16"/>
      <c r="BC446" s="72"/>
      <c r="BD446" s="147" t="s">
        <v>83</v>
      </c>
      <c r="BE446" s="147" t="s">
        <v>83</v>
      </c>
    </row>
    <row r="447" spans="1:57" s="91" customFormat="1" ht="18" hidden="1" customHeight="1">
      <c r="A447" s="233"/>
      <c r="B447" s="89"/>
      <c r="C447" s="268" t="s">
        <v>563</v>
      </c>
      <c r="D447" s="268"/>
      <c r="E447" s="86"/>
      <c r="F447" s="86"/>
      <c r="G447" s="87"/>
      <c r="H447" s="87"/>
      <c r="I447" s="87"/>
      <c r="J447" s="87"/>
      <c r="K447" s="87"/>
      <c r="L447" s="86"/>
      <c r="M447" s="86"/>
      <c r="N447" s="86"/>
      <c r="O447" s="86"/>
      <c r="P447" s="86"/>
      <c r="Q447" s="86"/>
      <c r="R447" s="86"/>
      <c r="S447" s="86"/>
      <c r="T447" s="86"/>
      <c r="U447" s="86"/>
      <c r="V447" s="86"/>
      <c r="W447" s="86"/>
      <c r="X447" s="129"/>
      <c r="Y447" s="129"/>
      <c r="Z447" s="88"/>
      <c r="AA447" s="88"/>
      <c r="AB447" s="88"/>
      <c r="AC447" s="88"/>
      <c r="AD447" s="88"/>
      <c r="AE447" s="88"/>
      <c r="AF447" s="88"/>
      <c r="AG447" s="88"/>
      <c r="AH447" s="88"/>
      <c r="AI447" s="88"/>
      <c r="AJ447" s="88"/>
      <c r="AK447" s="88"/>
      <c r="AL447" s="88"/>
      <c r="AM447" s="88"/>
      <c r="AN447" s="88"/>
      <c r="AO447" s="88"/>
      <c r="AP447" s="88"/>
      <c r="AQ447" s="89"/>
      <c r="AR447" s="89"/>
      <c r="AS447" s="90"/>
      <c r="AT447" s="90"/>
      <c r="AU447" s="90"/>
      <c r="AV447" s="90"/>
      <c r="AW447" s="90"/>
      <c r="AX447" s="90"/>
      <c r="AY447" s="90"/>
      <c r="AZ447" s="90"/>
      <c r="BA447" s="90"/>
      <c r="BB447" s="90"/>
      <c r="BC447" s="175" t="s">
        <v>2153</v>
      </c>
      <c r="BD447" s="90"/>
      <c r="BE447" s="233" t="s">
        <v>563</v>
      </c>
    </row>
    <row r="448" spans="1:57" s="81" customFormat="1" ht="12.95" hidden="1" customHeight="1">
      <c r="A448" s="347"/>
      <c r="B448" s="349"/>
      <c r="C448" s="248" t="s">
        <v>1157</v>
      </c>
      <c r="D448" s="239" t="s">
        <v>3657</v>
      </c>
      <c r="E448" s="58"/>
      <c r="F448" s="59" t="s">
        <v>3658</v>
      </c>
      <c r="G448" s="191" t="s">
        <v>2511</v>
      </c>
      <c r="H448" s="192" t="s">
        <v>334</v>
      </c>
      <c r="I448" s="61" t="s">
        <v>2511</v>
      </c>
      <c r="J448" s="61" t="s">
        <v>2511</v>
      </c>
      <c r="K448" s="62" t="s">
        <v>2511</v>
      </c>
      <c r="L448" s="60" t="s">
        <v>2511</v>
      </c>
      <c r="M448" s="61" t="s">
        <v>2389</v>
      </c>
      <c r="N448" s="61" t="s">
        <v>2511</v>
      </c>
      <c r="O448" s="61" t="s">
        <v>2511</v>
      </c>
      <c r="P448" s="62" t="s">
        <v>2511</v>
      </c>
      <c r="Q448" s="82"/>
      <c r="R448" s="82"/>
      <c r="S448" s="82"/>
      <c r="T448" s="82"/>
      <c r="U448" s="82"/>
      <c r="V448" s="138" t="s">
        <v>3659</v>
      </c>
      <c r="W448" s="57" t="s">
        <v>3660</v>
      </c>
      <c r="X448" s="126" t="s">
        <v>2511</v>
      </c>
      <c r="Y448" s="126" t="s">
        <v>2511</v>
      </c>
      <c r="Z448" s="57"/>
      <c r="AA448" s="57" t="s">
        <v>3661</v>
      </c>
      <c r="AB448" s="137"/>
      <c r="AC448" s="137" t="s">
        <v>2631</v>
      </c>
      <c r="AD448" s="92"/>
      <c r="AE448" s="93"/>
      <c r="AF448" s="93"/>
      <c r="AG448" s="93"/>
      <c r="AH448" s="94"/>
      <c r="AI448" s="83"/>
      <c r="AJ448" s="84"/>
      <c r="AK448" s="84"/>
      <c r="AL448" s="84"/>
      <c r="AM448" s="84"/>
      <c r="AN448" s="84"/>
      <c r="AO448" s="84"/>
      <c r="AP448" s="84"/>
      <c r="AQ448" s="95" t="s">
        <v>334</v>
      </c>
      <c r="AR448" s="72"/>
      <c r="AS448" s="72"/>
      <c r="AT448" s="72"/>
      <c r="AU448" s="72"/>
      <c r="AV448" s="72"/>
      <c r="AW448" s="72"/>
      <c r="AX448" s="72"/>
      <c r="AY448" s="72"/>
      <c r="AZ448" s="72"/>
      <c r="BA448" s="72"/>
      <c r="BB448" s="16"/>
      <c r="BC448" s="22"/>
      <c r="BD448" s="19"/>
      <c r="BE448" s="351" t="s">
        <v>2216</v>
      </c>
    </row>
    <row r="449" spans="1:57" s="81" customFormat="1" ht="12.95" hidden="1" customHeight="1">
      <c r="A449" s="348"/>
      <c r="B449" s="350"/>
      <c r="C449" s="248" t="s">
        <v>1158</v>
      </c>
      <c r="D449" s="239" t="s">
        <v>3662</v>
      </c>
      <c r="E449" s="58"/>
      <c r="F449" s="59" t="s">
        <v>3663</v>
      </c>
      <c r="G449" s="191" t="s">
        <v>2511</v>
      </c>
      <c r="H449" s="192" t="s">
        <v>335</v>
      </c>
      <c r="I449" s="61" t="s">
        <v>2511</v>
      </c>
      <c r="J449" s="61" t="s">
        <v>2511</v>
      </c>
      <c r="K449" s="62" t="s">
        <v>2511</v>
      </c>
      <c r="L449" s="60" t="s">
        <v>2511</v>
      </c>
      <c r="M449" s="61" t="s">
        <v>2389</v>
      </c>
      <c r="N449" s="61" t="s">
        <v>2511</v>
      </c>
      <c r="O449" s="61" t="s">
        <v>2511</v>
      </c>
      <c r="P449" s="62" t="s">
        <v>2511</v>
      </c>
      <c r="Q449" s="82"/>
      <c r="R449" s="82"/>
      <c r="S449" s="82"/>
      <c r="T449" s="82"/>
      <c r="U449" s="82"/>
      <c r="V449" s="138" t="s">
        <v>3664</v>
      </c>
      <c r="W449" s="57" t="s">
        <v>3660</v>
      </c>
      <c r="X449" s="126" t="s">
        <v>2511</v>
      </c>
      <c r="Y449" s="126" t="s">
        <v>2511</v>
      </c>
      <c r="Z449" s="57"/>
      <c r="AA449" s="57" t="s">
        <v>3661</v>
      </c>
      <c r="AB449" s="138"/>
      <c r="AC449" s="138" t="s">
        <v>2631</v>
      </c>
      <c r="AD449" s="96"/>
      <c r="AE449" s="80"/>
      <c r="AF449" s="80"/>
      <c r="AG449" s="80"/>
      <c r="AH449" s="83"/>
      <c r="AI449" s="83"/>
      <c r="AJ449" s="84"/>
      <c r="AK449" s="84"/>
      <c r="AL449" s="84"/>
      <c r="AM449" s="84"/>
      <c r="AN449" s="84"/>
      <c r="AO449" s="84"/>
      <c r="AP449" s="84"/>
      <c r="AQ449" s="95" t="s">
        <v>335</v>
      </c>
      <c r="AR449" s="72"/>
      <c r="AS449" s="72"/>
      <c r="AT449" s="72"/>
      <c r="AU449" s="72"/>
      <c r="AV449" s="72"/>
      <c r="AW449" s="72"/>
      <c r="AX449" s="72"/>
      <c r="AY449" s="72"/>
      <c r="AZ449" s="72"/>
      <c r="BA449" s="72"/>
      <c r="BB449" s="16"/>
      <c r="BC449" s="72"/>
      <c r="BD449" s="20"/>
      <c r="BE449" s="352"/>
    </row>
    <row r="450" spans="1:57" s="81" customFormat="1" ht="12.95" hidden="1" customHeight="1">
      <c r="A450" s="348"/>
      <c r="B450" s="350"/>
      <c r="C450" s="248" t="s">
        <v>1159</v>
      </c>
      <c r="D450" s="239" t="s">
        <v>3665</v>
      </c>
      <c r="E450" s="58"/>
      <c r="F450" s="59" t="s">
        <v>3666</v>
      </c>
      <c r="G450" s="191" t="s">
        <v>2511</v>
      </c>
      <c r="H450" s="192" t="s">
        <v>336</v>
      </c>
      <c r="I450" s="61" t="s">
        <v>2511</v>
      </c>
      <c r="J450" s="61" t="s">
        <v>2511</v>
      </c>
      <c r="K450" s="62" t="s">
        <v>2511</v>
      </c>
      <c r="L450" s="60" t="s">
        <v>2511</v>
      </c>
      <c r="M450" s="61" t="s">
        <v>2389</v>
      </c>
      <c r="N450" s="61" t="s">
        <v>2511</v>
      </c>
      <c r="O450" s="61" t="s">
        <v>2511</v>
      </c>
      <c r="P450" s="62" t="s">
        <v>2511</v>
      </c>
      <c r="Q450" s="82"/>
      <c r="R450" s="82"/>
      <c r="S450" s="82"/>
      <c r="T450" s="82"/>
      <c r="U450" s="82"/>
      <c r="V450" s="138" t="s">
        <v>3667</v>
      </c>
      <c r="W450" s="57" t="s">
        <v>3660</v>
      </c>
      <c r="X450" s="126" t="s">
        <v>2511</v>
      </c>
      <c r="Y450" s="126" t="s">
        <v>2511</v>
      </c>
      <c r="Z450" s="57"/>
      <c r="AA450" s="57" t="s">
        <v>3661</v>
      </c>
      <c r="AB450" s="138"/>
      <c r="AC450" s="138" t="s">
        <v>2631</v>
      </c>
      <c r="AD450" s="96"/>
      <c r="AE450" s="80"/>
      <c r="AF450" s="80"/>
      <c r="AG450" s="80"/>
      <c r="AH450" s="83"/>
      <c r="AI450" s="83"/>
      <c r="AJ450" s="84"/>
      <c r="AK450" s="84"/>
      <c r="AL450" s="84"/>
      <c r="AM450" s="84"/>
      <c r="AN450" s="84"/>
      <c r="AO450" s="84"/>
      <c r="AP450" s="84"/>
      <c r="AQ450" s="95" t="s">
        <v>336</v>
      </c>
      <c r="AR450" s="72"/>
      <c r="AS450" s="72"/>
      <c r="AT450" s="72"/>
      <c r="AU450" s="72"/>
      <c r="AV450" s="72"/>
      <c r="AW450" s="72"/>
      <c r="AX450" s="72"/>
      <c r="AY450" s="72"/>
      <c r="AZ450" s="72"/>
      <c r="BA450" s="72"/>
      <c r="BB450" s="16"/>
      <c r="BC450" s="72"/>
      <c r="BD450" s="20"/>
      <c r="BE450" s="352"/>
    </row>
    <row r="451" spans="1:57" s="81" customFormat="1" ht="12.95" hidden="1" customHeight="1">
      <c r="A451" s="348"/>
      <c r="B451" s="350"/>
      <c r="C451" s="248" t="s">
        <v>1160</v>
      </c>
      <c r="D451" s="239" t="s">
        <v>3668</v>
      </c>
      <c r="E451" s="58"/>
      <c r="F451" s="59" t="s">
        <v>3669</v>
      </c>
      <c r="G451" s="191" t="s">
        <v>2511</v>
      </c>
      <c r="H451" s="192" t="s">
        <v>337</v>
      </c>
      <c r="I451" s="61" t="s">
        <v>2511</v>
      </c>
      <c r="J451" s="61" t="s">
        <v>2511</v>
      </c>
      <c r="K451" s="62" t="s">
        <v>2511</v>
      </c>
      <c r="L451" s="60" t="s">
        <v>2511</v>
      </c>
      <c r="M451" s="61" t="s">
        <v>2389</v>
      </c>
      <c r="N451" s="61" t="s">
        <v>2511</v>
      </c>
      <c r="O451" s="61" t="s">
        <v>2511</v>
      </c>
      <c r="P451" s="62" t="s">
        <v>2511</v>
      </c>
      <c r="Q451" s="82"/>
      <c r="R451" s="82"/>
      <c r="S451" s="82"/>
      <c r="T451" s="82"/>
      <c r="U451" s="82"/>
      <c r="V451" s="138" t="s">
        <v>3670</v>
      </c>
      <c r="W451" s="57" t="s">
        <v>3660</v>
      </c>
      <c r="X451" s="126" t="s">
        <v>2511</v>
      </c>
      <c r="Y451" s="126" t="s">
        <v>2511</v>
      </c>
      <c r="Z451" s="57"/>
      <c r="AA451" s="57" t="s">
        <v>3661</v>
      </c>
      <c r="AB451" s="138"/>
      <c r="AC451" s="138" t="s">
        <v>2631</v>
      </c>
      <c r="AD451" s="96"/>
      <c r="AE451" s="80"/>
      <c r="AF451" s="80"/>
      <c r="AG451" s="80"/>
      <c r="AH451" s="83"/>
      <c r="AI451" s="83"/>
      <c r="AJ451" s="84"/>
      <c r="AK451" s="84"/>
      <c r="AL451" s="84"/>
      <c r="AM451" s="84"/>
      <c r="AN451" s="84"/>
      <c r="AO451" s="84"/>
      <c r="AP451" s="84"/>
      <c r="AQ451" s="95" t="s">
        <v>337</v>
      </c>
      <c r="AR451" s="72"/>
      <c r="AS451" s="72"/>
      <c r="AT451" s="72"/>
      <c r="AU451" s="72"/>
      <c r="AV451" s="72"/>
      <c r="AW451" s="72"/>
      <c r="AX451" s="72"/>
      <c r="AY451" s="72"/>
      <c r="AZ451" s="72"/>
      <c r="BA451" s="72"/>
      <c r="BB451" s="16"/>
      <c r="BC451" s="72"/>
      <c r="BD451" s="20"/>
      <c r="BE451" s="352"/>
    </row>
    <row r="452" spans="1:57" s="81" customFormat="1" ht="12.95" hidden="1" customHeight="1">
      <c r="A452" s="348"/>
      <c r="B452" s="350"/>
      <c r="C452" s="248" t="s">
        <v>1161</v>
      </c>
      <c r="D452" s="239" t="s">
        <v>3671</v>
      </c>
      <c r="E452" s="58"/>
      <c r="F452" s="59" t="s">
        <v>3672</v>
      </c>
      <c r="G452" s="191" t="s">
        <v>2511</v>
      </c>
      <c r="H452" s="192" t="s">
        <v>338</v>
      </c>
      <c r="I452" s="61" t="s">
        <v>2511</v>
      </c>
      <c r="J452" s="61" t="s">
        <v>2511</v>
      </c>
      <c r="K452" s="62" t="s">
        <v>2511</v>
      </c>
      <c r="L452" s="60" t="s">
        <v>2511</v>
      </c>
      <c r="M452" s="61" t="s">
        <v>2389</v>
      </c>
      <c r="N452" s="61" t="s">
        <v>2511</v>
      </c>
      <c r="O452" s="61" t="s">
        <v>2511</v>
      </c>
      <c r="P452" s="62" t="s">
        <v>2511</v>
      </c>
      <c r="Q452" s="82"/>
      <c r="R452" s="82"/>
      <c r="S452" s="82"/>
      <c r="T452" s="82"/>
      <c r="U452" s="82"/>
      <c r="V452" s="138" t="s">
        <v>3673</v>
      </c>
      <c r="W452" s="57" t="s">
        <v>3660</v>
      </c>
      <c r="X452" s="126" t="s">
        <v>2511</v>
      </c>
      <c r="Y452" s="126" t="s">
        <v>2511</v>
      </c>
      <c r="Z452" s="57"/>
      <c r="AA452" s="57" t="s">
        <v>3661</v>
      </c>
      <c r="AB452" s="138"/>
      <c r="AC452" s="138" t="s">
        <v>2631</v>
      </c>
      <c r="AD452" s="96"/>
      <c r="AE452" s="80"/>
      <c r="AF452" s="80"/>
      <c r="AG452" s="80"/>
      <c r="AH452" s="83"/>
      <c r="AI452" s="83"/>
      <c r="AJ452" s="84"/>
      <c r="AK452" s="84"/>
      <c r="AL452" s="84"/>
      <c r="AM452" s="84"/>
      <c r="AN452" s="84"/>
      <c r="AO452" s="84"/>
      <c r="AP452" s="84"/>
      <c r="AQ452" s="95" t="s">
        <v>338</v>
      </c>
      <c r="AR452" s="72"/>
      <c r="AS452" s="72"/>
      <c r="AT452" s="72"/>
      <c r="AU452" s="72"/>
      <c r="AV452" s="72"/>
      <c r="AW452" s="72"/>
      <c r="AX452" s="72"/>
      <c r="AY452" s="72"/>
      <c r="AZ452" s="72"/>
      <c r="BA452" s="72"/>
      <c r="BB452" s="16"/>
      <c r="BC452" s="72"/>
      <c r="BD452" s="20"/>
      <c r="BE452" s="352"/>
    </row>
    <row r="453" spans="1:57" s="81" customFormat="1" ht="12.95" hidden="1" customHeight="1">
      <c r="A453" s="348"/>
      <c r="B453" s="350"/>
      <c r="C453" s="248" t="s">
        <v>1162</v>
      </c>
      <c r="D453" s="239" t="s">
        <v>3674</v>
      </c>
      <c r="E453" s="58"/>
      <c r="F453" s="59" t="s">
        <v>3675</v>
      </c>
      <c r="G453" s="191" t="s">
        <v>2511</v>
      </c>
      <c r="H453" s="192" t="s">
        <v>339</v>
      </c>
      <c r="I453" s="61" t="s">
        <v>2511</v>
      </c>
      <c r="J453" s="61" t="s">
        <v>2511</v>
      </c>
      <c r="K453" s="62" t="s">
        <v>2511</v>
      </c>
      <c r="L453" s="60" t="s">
        <v>2511</v>
      </c>
      <c r="M453" s="61" t="s">
        <v>2389</v>
      </c>
      <c r="N453" s="61" t="s">
        <v>2511</v>
      </c>
      <c r="O453" s="61" t="s">
        <v>2511</v>
      </c>
      <c r="P453" s="62" t="s">
        <v>2511</v>
      </c>
      <c r="Q453" s="82"/>
      <c r="R453" s="82"/>
      <c r="S453" s="82"/>
      <c r="T453" s="82"/>
      <c r="U453" s="82"/>
      <c r="V453" s="138" t="s">
        <v>3676</v>
      </c>
      <c r="W453" s="57" t="s">
        <v>3660</v>
      </c>
      <c r="X453" s="126" t="s">
        <v>2511</v>
      </c>
      <c r="Y453" s="126" t="s">
        <v>2511</v>
      </c>
      <c r="Z453" s="57"/>
      <c r="AA453" s="57" t="s">
        <v>3661</v>
      </c>
      <c r="AB453" s="138"/>
      <c r="AC453" s="138" t="s">
        <v>2631</v>
      </c>
      <c r="AD453" s="96"/>
      <c r="AE453" s="80"/>
      <c r="AF453" s="80"/>
      <c r="AG453" s="80"/>
      <c r="AH453" s="83"/>
      <c r="AI453" s="83"/>
      <c r="AJ453" s="84"/>
      <c r="AK453" s="84"/>
      <c r="AL453" s="84"/>
      <c r="AM453" s="84"/>
      <c r="AN453" s="84"/>
      <c r="AO453" s="84"/>
      <c r="AP453" s="84"/>
      <c r="AQ453" s="95" t="s">
        <v>339</v>
      </c>
      <c r="AR453" s="72"/>
      <c r="AS453" s="72"/>
      <c r="AT453" s="72"/>
      <c r="AU453" s="72"/>
      <c r="AV453" s="72"/>
      <c r="AW453" s="72"/>
      <c r="AX453" s="72"/>
      <c r="AY453" s="72"/>
      <c r="AZ453" s="72"/>
      <c r="BA453" s="72"/>
      <c r="BB453" s="16"/>
      <c r="BC453" s="72"/>
      <c r="BD453" s="20"/>
      <c r="BE453" s="352"/>
    </row>
    <row r="454" spans="1:57" s="81" customFormat="1" ht="12.95" hidden="1" customHeight="1">
      <c r="A454" s="348"/>
      <c r="B454" s="350"/>
      <c r="C454" s="248" t="s">
        <v>1163</v>
      </c>
      <c r="D454" s="239" t="s">
        <v>3677</v>
      </c>
      <c r="E454" s="58"/>
      <c r="F454" s="59" t="s">
        <v>3678</v>
      </c>
      <c r="G454" s="191" t="s">
        <v>2511</v>
      </c>
      <c r="H454" s="192" t="s">
        <v>340</v>
      </c>
      <c r="I454" s="61" t="s">
        <v>2511</v>
      </c>
      <c r="J454" s="61" t="s">
        <v>2511</v>
      </c>
      <c r="K454" s="62" t="s">
        <v>2511</v>
      </c>
      <c r="L454" s="60" t="s">
        <v>2511</v>
      </c>
      <c r="M454" s="61" t="s">
        <v>2389</v>
      </c>
      <c r="N454" s="61" t="s">
        <v>2511</v>
      </c>
      <c r="O454" s="61" t="s">
        <v>2511</v>
      </c>
      <c r="P454" s="62" t="s">
        <v>2511</v>
      </c>
      <c r="Q454" s="82"/>
      <c r="R454" s="82"/>
      <c r="S454" s="82"/>
      <c r="T454" s="82"/>
      <c r="U454" s="82"/>
      <c r="V454" s="138" t="s">
        <v>3679</v>
      </c>
      <c r="W454" s="57" t="s">
        <v>3660</v>
      </c>
      <c r="X454" s="126" t="s">
        <v>2511</v>
      </c>
      <c r="Y454" s="126" t="s">
        <v>2511</v>
      </c>
      <c r="Z454" s="57"/>
      <c r="AA454" s="57" t="s">
        <v>3661</v>
      </c>
      <c r="AB454" s="138"/>
      <c r="AC454" s="138" t="s">
        <v>2631</v>
      </c>
      <c r="AD454" s="96"/>
      <c r="AE454" s="80"/>
      <c r="AF454" s="80"/>
      <c r="AG454" s="80"/>
      <c r="AH454" s="83"/>
      <c r="AI454" s="83"/>
      <c r="AJ454" s="84"/>
      <c r="AK454" s="84"/>
      <c r="AL454" s="84"/>
      <c r="AM454" s="84"/>
      <c r="AN454" s="84"/>
      <c r="AO454" s="84"/>
      <c r="AP454" s="84"/>
      <c r="AQ454" s="95" t="s">
        <v>340</v>
      </c>
      <c r="AR454" s="72"/>
      <c r="AS454" s="72"/>
      <c r="AT454" s="72"/>
      <c r="AU454" s="72"/>
      <c r="AV454" s="72"/>
      <c r="AW454" s="72"/>
      <c r="AX454" s="72"/>
      <c r="AY454" s="72"/>
      <c r="AZ454" s="72"/>
      <c r="BA454" s="72"/>
      <c r="BB454" s="16"/>
      <c r="BC454" s="72"/>
      <c r="BD454" s="20"/>
      <c r="BE454" s="352"/>
    </row>
    <row r="455" spans="1:57" s="81" customFormat="1" ht="12.95" hidden="1" customHeight="1">
      <c r="A455" s="348"/>
      <c r="B455" s="350"/>
      <c r="C455" s="248" t="s">
        <v>1164</v>
      </c>
      <c r="D455" s="239" t="s">
        <v>3680</v>
      </c>
      <c r="E455" s="58"/>
      <c r="F455" s="59" t="s">
        <v>3681</v>
      </c>
      <c r="G455" s="191" t="s">
        <v>2511</v>
      </c>
      <c r="H455" s="192" t="s">
        <v>341</v>
      </c>
      <c r="I455" s="61" t="s">
        <v>2511</v>
      </c>
      <c r="J455" s="61" t="s">
        <v>2511</v>
      </c>
      <c r="K455" s="62" t="s">
        <v>2511</v>
      </c>
      <c r="L455" s="60" t="s">
        <v>2511</v>
      </c>
      <c r="M455" s="61" t="s">
        <v>2389</v>
      </c>
      <c r="N455" s="61" t="s">
        <v>2511</v>
      </c>
      <c r="O455" s="61" t="s">
        <v>2511</v>
      </c>
      <c r="P455" s="62" t="s">
        <v>2511</v>
      </c>
      <c r="Q455" s="82"/>
      <c r="R455" s="82"/>
      <c r="S455" s="82"/>
      <c r="T455" s="82"/>
      <c r="U455" s="82"/>
      <c r="V455" s="138" t="s">
        <v>3682</v>
      </c>
      <c r="W455" s="57" t="s">
        <v>3660</v>
      </c>
      <c r="X455" s="126" t="s">
        <v>2511</v>
      </c>
      <c r="Y455" s="126" t="s">
        <v>2511</v>
      </c>
      <c r="Z455" s="57"/>
      <c r="AA455" s="57" t="s">
        <v>3661</v>
      </c>
      <c r="AB455" s="138"/>
      <c r="AC455" s="138" t="s">
        <v>2631</v>
      </c>
      <c r="AD455" s="96"/>
      <c r="AE455" s="80"/>
      <c r="AF455" s="80"/>
      <c r="AG455" s="80"/>
      <c r="AH455" s="83"/>
      <c r="AI455" s="83"/>
      <c r="AJ455" s="84"/>
      <c r="AK455" s="84"/>
      <c r="AL455" s="84"/>
      <c r="AM455" s="84"/>
      <c r="AN455" s="84"/>
      <c r="AO455" s="84"/>
      <c r="AP455" s="84"/>
      <c r="AQ455" s="95" t="s">
        <v>341</v>
      </c>
      <c r="AR455" s="72"/>
      <c r="AS455" s="72"/>
      <c r="AT455" s="72"/>
      <c r="AU455" s="72"/>
      <c r="AV455" s="72"/>
      <c r="AW455" s="72"/>
      <c r="AX455" s="72"/>
      <c r="AY455" s="72"/>
      <c r="AZ455" s="72"/>
      <c r="BA455" s="72"/>
      <c r="BB455" s="16"/>
      <c r="BC455" s="72"/>
      <c r="BD455" s="20"/>
      <c r="BE455" s="352"/>
    </row>
    <row r="456" spans="1:57" s="81" customFormat="1" ht="12.95" hidden="1" customHeight="1">
      <c r="A456" s="348"/>
      <c r="B456" s="350"/>
      <c r="C456" s="248" t="s">
        <v>1165</v>
      </c>
      <c r="D456" s="239" t="s">
        <v>3683</v>
      </c>
      <c r="E456" s="58"/>
      <c r="F456" s="59" t="s">
        <v>3684</v>
      </c>
      <c r="G456" s="191" t="s">
        <v>2511</v>
      </c>
      <c r="H456" s="192" t="s">
        <v>342</v>
      </c>
      <c r="I456" s="61" t="s">
        <v>2511</v>
      </c>
      <c r="J456" s="61" t="s">
        <v>2511</v>
      </c>
      <c r="K456" s="62" t="s">
        <v>2511</v>
      </c>
      <c r="L456" s="60" t="s">
        <v>2511</v>
      </c>
      <c r="M456" s="61" t="s">
        <v>2389</v>
      </c>
      <c r="N456" s="61" t="s">
        <v>2511</v>
      </c>
      <c r="O456" s="61" t="s">
        <v>2511</v>
      </c>
      <c r="P456" s="62" t="s">
        <v>2511</v>
      </c>
      <c r="Q456" s="82"/>
      <c r="R456" s="82"/>
      <c r="S456" s="82"/>
      <c r="T456" s="82"/>
      <c r="U456" s="82"/>
      <c r="V456" s="138" t="s">
        <v>3685</v>
      </c>
      <c r="W456" s="57" t="s">
        <v>3660</v>
      </c>
      <c r="X456" s="126" t="s">
        <v>2511</v>
      </c>
      <c r="Y456" s="126" t="s">
        <v>2511</v>
      </c>
      <c r="Z456" s="57"/>
      <c r="AA456" s="57" t="s">
        <v>3661</v>
      </c>
      <c r="AB456" s="138"/>
      <c r="AC456" s="138" t="s">
        <v>2631</v>
      </c>
      <c r="AD456" s="96"/>
      <c r="AE456" s="80"/>
      <c r="AF456" s="80"/>
      <c r="AG456" s="80"/>
      <c r="AH456" s="83"/>
      <c r="AI456" s="83"/>
      <c r="AJ456" s="84"/>
      <c r="AK456" s="84"/>
      <c r="AL456" s="84"/>
      <c r="AM456" s="84"/>
      <c r="AN456" s="84"/>
      <c r="AO456" s="84"/>
      <c r="AP456" s="84"/>
      <c r="AQ456" s="95" t="s">
        <v>342</v>
      </c>
      <c r="AR456" s="72"/>
      <c r="AS456" s="72"/>
      <c r="AT456" s="72"/>
      <c r="AU456" s="72"/>
      <c r="AV456" s="72"/>
      <c r="AW456" s="72"/>
      <c r="AX456" s="72"/>
      <c r="AY456" s="72"/>
      <c r="AZ456" s="72"/>
      <c r="BA456" s="72"/>
      <c r="BB456" s="16"/>
      <c r="BC456" s="72"/>
      <c r="BD456" s="20"/>
      <c r="BE456" s="352"/>
    </row>
    <row r="457" spans="1:57" s="81" customFormat="1" ht="12.95" hidden="1" customHeight="1">
      <c r="A457" s="348"/>
      <c r="B457" s="350"/>
      <c r="C457" s="270" t="s">
        <v>1166</v>
      </c>
      <c r="D457" s="239" t="s">
        <v>3686</v>
      </c>
      <c r="E457" s="58"/>
      <c r="F457" s="59" t="s">
        <v>3687</v>
      </c>
      <c r="G457" s="191" t="s">
        <v>2511</v>
      </c>
      <c r="H457" s="192" t="s">
        <v>343</v>
      </c>
      <c r="I457" s="61" t="s">
        <v>2511</v>
      </c>
      <c r="J457" s="61" t="s">
        <v>2511</v>
      </c>
      <c r="K457" s="62" t="s">
        <v>2511</v>
      </c>
      <c r="L457" s="60" t="s">
        <v>2511</v>
      </c>
      <c r="M457" s="61" t="s">
        <v>2389</v>
      </c>
      <c r="N457" s="61" t="s">
        <v>2511</v>
      </c>
      <c r="O457" s="61" t="s">
        <v>2511</v>
      </c>
      <c r="P457" s="62" t="s">
        <v>2511</v>
      </c>
      <c r="Q457" s="82"/>
      <c r="R457" s="82"/>
      <c r="S457" s="82"/>
      <c r="T457" s="82"/>
      <c r="U457" s="82"/>
      <c r="V457" s="138" t="s">
        <v>3688</v>
      </c>
      <c r="W457" s="57" t="s">
        <v>3660</v>
      </c>
      <c r="X457" s="126" t="s">
        <v>2511</v>
      </c>
      <c r="Y457" s="126" t="s">
        <v>2511</v>
      </c>
      <c r="Z457" s="57"/>
      <c r="AA457" s="57" t="s">
        <v>3661</v>
      </c>
      <c r="AB457" s="138"/>
      <c r="AC457" s="138" t="s">
        <v>2631</v>
      </c>
      <c r="AD457" s="96"/>
      <c r="AE457" s="80"/>
      <c r="AF457" s="80"/>
      <c r="AG457" s="80"/>
      <c r="AH457" s="83"/>
      <c r="AI457" s="83"/>
      <c r="AJ457" s="84"/>
      <c r="AK457" s="84"/>
      <c r="AL457" s="84"/>
      <c r="AM457" s="84"/>
      <c r="AN457" s="84"/>
      <c r="AO457" s="84"/>
      <c r="AP457" s="84"/>
      <c r="AQ457" s="95" t="s">
        <v>343</v>
      </c>
      <c r="AR457" s="72"/>
      <c r="AS457" s="72"/>
      <c r="AT457" s="72"/>
      <c r="AU457" s="72"/>
      <c r="AV457" s="72"/>
      <c r="AW457" s="72"/>
      <c r="AX457" s="72"/>
      <c r="AY457" s="72"/>
      <c r="AZ457" s="72"/>
      <c r="BA457" s="72"/>
      <c r="BB457" s="16"/>
      <c r="BC457" s="72"/>
      <c r="BD457" s="20"/>
      <c r="BE457" s="352"/>
    </row>
    <row r="458" spans="1:57" s="81" customFormat="1" ht="12.95" hidden="1" customHeight="1">
      <c r="A458" s="348"/>
      <c r="B458" s="350"/>
      <c r="C458" s="270" t="s">
        <v>1167</v>
      </c>
      <c r="D458" s="239" t="s">
        <v>3689</v>
      </c>
      <c r="E458" s="58"/>
      <c r="F458" s="59" t="s">
        <v>3690</v>
      </c>
      <c r="G458" s="191" t="s">
        <v>2511</v>
      </c>
      <c r="H458" s="192" t="s">
        <v>344</v>
      </c>
      <c r="I458" s="61" t="s">
        <v>2511</v>
      </c>
      <c r="J458" s="61" t="s">
        <v>2511</v>
      </c>
      <c r="K458" s="62" t="s">
        <v>2511</v>
      </c>
      <c r="L458" s="60" t="s">
        <v>2511</v>
      </c>
      <c r="M458" s="61" t="s">
        <v>2389</v>
      </c>
      <c r="N458" s="61" t="s">
        <v>2511</v>
      </c>
      <c r="O458" s="61" t="s">
        <v>2511</v>
      </c>
      <c r="P458" s="62" t="s">
        <v>2511</v>
      </c>
      <c r="Q458" s="82"/>
      <c r="R458" s="82"/>
      <c r="S458" s="82"/>
      <c r="T458" s="82"/>
      <c r="U458" s="82"/>
      <c r="V458" s="138" t="s">
        <v>3691</v>
      </c>
      <c r="W458" s="57" t="s">
        <v>3660</v>
      </c>
      <c r="X458" s="126" t="s">
        <v>2511</v>
      </c>
      <c r="Y458" s="126" t="s">
        <v>2511</v>
      </c>
      <c r="Z458" s="57"/>
      <c r="AA458" s="57" t="s">
        <v>3661</v>
      </c>
      <c r="AB458" s="138"/>
      <c r="AC458" s="138" t="s">
        <v>2631</v>
      </c>
      <c r="AD458" s="96"/>
      <c r="AE458" s="80"/>
      <c r="AF458" s="80"/>
      <c r="AG458" s="80"/>
      <c r="AH458" s="83"/>
      <c r="AI458" s="83"/>
      <c r="AJ458" s="84"/>
      <c r="AK458" s="84"/>
      <c r="AL458" s="84"/>
      <c r="AM458" s="84"/>
      <c r="AN458" s="84"/>
      <c r="AO458" s="84"/>
      <c r="AP458" s="84"/>
      <c r="AQ458" s="95" t="s">
        <v>344</v>
      </c>
      <c r="AR458" s="72"/>
      <c r="AS458" s="72"/>
      <c r="AT458" s="72"/>
      <c r="AU458" s="72"/>
      <c r="AV458" s="72"/>
      <c r="AW458" s="72"/>
      <c r="AX458" s="72"/>
      <c r="AY458" s="72"/>
      <c r="AZ458" s="72"/>
      <c r="BA458" s="72"/>
      <c r="BB458" s="16"/>
      <c r="BC458" s="72"/>
      <c r="BD458" s="20"/>
      <c r="BE458" s="352"/>
    </row>
    <row r="459" spans="1:57" s="81" customFormat="1" ht="12.95" hidden="1" customHeight="1">
      <c r="A459" s="348"/>
      <c r="B459" s="350"/>
      <c r="C459" s="248" t="s">
        <v>1168</v>
      </c>
      <c r="D459" s="239" t="s">
        <v>3692</v>
      </c>
      <c r="E459" s="58"/>
      <c r="F459" s="59" t="s">
        <v>3693</v>
      </c>
      <c r="G459" s="191" t="s">
        <v>2511</v>
      </c>
      <c r="H459" s="192" t="s">
        <v>345</v>
      </c>
      <c r="I459" s="61" t="s">
        <v>2511</v>
      </c>
      <c r="J459" s="61" t="s">
        <v>2511</v>
      </c>
      <c r="K459" s="62" t="s">
        <v>2511</v>
      </c>
      <c r="L459" s="60" t="s">
        <v>2511</v>
      </c>
      <c r="M459" s="61" t="s">
        <v>2389</v>
      </c>
      <c r="N459" s="61" t="s">
        <v>2511</v>
      </c>
      <c r="O459" s="61" t="s">
        <v>2511</v>
      </c>
      <c r="P459" s="62" t="s">
        <v>2511</v>
      </c>
      <c r="Q459" s="82"/>
      <c r="R459" s="82"/>
      <c r="S459" s="82"/>
      <c r="T459" s="82"/>
      <c r="U459" s="82"/>
      <c r="V459" s="138" t="s">
        <v>3694</v>
      </c>
      <c r="W459" s="57" t="s">
        <v>3660</v>
      </c>
      <c r="X459" s="126" t="s">
        <v>2511</v>
      </c>
      <c r="Y459" s="126" t="s">
        <v>2511</v>
      </c>
      <c r="Z459" s="57"/>
      <c r="AA459" s="57" t="s">
        <v>3661</v>
      </c>
      <c r="AB459" s="138"/>
      <c r="AC459" s="138">
        <v>0</v>
      </c>
      <c r="AD459" s="96"/>
      <c r="AE459" s="80"/>
      <c r="AF459" s="80"/>
      <c r="AG459" s="80"/>
      <c r="AH459" s="83"/>
      <c r="AI459" s="83"/>
      <c r="AJ459" s="84"/>
      <c r="AK459" s="84"/>
      <c r="AL459" s="84"/>
      <c r="AM459" s="84"/>
      <c r="AN459" s="84"/>
      <c r="AO459" s="84"/>
      <c r="AP459" s="84"/>
      <c r="AQ459" s="95" t="s">
        <v>345</v>
      </c>
      <c r="AR459" s="72"/>
      <c r="AS459" s="72"/>
      <c r="AT459" s="72"/>
      <c r="AU459" s="72"/>
      <c r="AV459" s="72"/>
      <c r="AW459" s="72"/>
      <c r="AX459" s="72"/>
      <c r="AY459" s="72"/>
      <c r="AZ459" s="72"/>
      <c r="BA459" s="72"/>
      <c r="BB459" s="16"/>
      <c r="BC459" s="72"/>
      <c r="BD459" s="20"/>
      <c r="BE459" s="352"/>
    </row>
    <row r="460" spans="1:57" s="81" customFormat="1" ht="12.95" hidden="1" customHeight="1">
      <c r="A460" s="348"/>
      <c r="B460" s="350"/>
      <c r="C460" s="248" t="s">
        <v>1169</v>
      </c>
      <c r="D460" s="239" t="s">
        <v>3695</v>
      </c>
      <c r="E460" s="58"/>
      <c r="F460" s="59" t="s">
        <v>3696</v>
      </c>
      <c r="G460" s="191" t="s">
        <v>2511</v>
      </c>
      <c r="H460" s="192" t="s">
        <v>346</v>
      </c>
      <c r="I460" s="61" t="s">
        <v>2511</v>
      </c>
      <c r="J460" s="61" t="s">
        <v>2511</v>
      </c>
      <c r="K460" s="62" t="s">
        <v>2511</v>
      </c>
      <c r="L460" s="60" t="s">
        <v>2511</v>
      </c>
      <c r="M460" s="61" t="s">
        <v>2389</v>
      </c>
      <c r="N460" s="61" t="s">
        <v>2511</v>
      </c>
      <c r="O460" s="61" t="s">
        <v>2511</v>
      </c>
      <c r="P460" s="62" t="s">
        <v>2511</v>
      </c>
      <c r="Q460" s="82"/>
      <c r="R460" s="82"/>
      <c r="S460" s="82"/>
      <c r="T460" s="82"/>
      <c r="U460" s="82"/>
      <c r="V460" s="138" t="s">
        <v>3697</v>
      </c>
      <c r="W460" s="57" t="s">
        <v>3660</v>
      </c>
      <c r="X460" s="126" t="s">
        <v>2511</v>
      </c>
      <c r="Y460" s="126" t="s">
        <v>2511</v>
      </c>
      <c r="Z460" s="57"/>
      <c r="AA460" s="57" t="s">
        <v>3661</v>
      </c>
      <c r="AB460" s="138"/>
      <c r="AC460" s="138" t="s">
        <v>2631</v>
      </c>
      <c r="AD460" s="96"/>
      <c r="AE460" s="80"/>
      <c r="AF460" s="80"/>
      <c r="AG460" s="80"/>
      <c r="AH460" s="83"/>
      <c r="AI460" s="83"/>
      <c r="AJ460" s="84"/>
      <c r="AK460" s="84"/>
      <c r="AL460" s="84"/>
      <c r="AM460" s="84"/>
      <c r="AN460" s="84"/>
      <c r="AO460" s="84"/>
      <c r="AP460" s="84"/>
      <c r="AQ460" s="95" t="s">
        <v>346</v>
      </c>
      <c r="AR460" s="72"/>
      <c r="AS460" s="72"/>
      <c r="AT460" s="72"/>
      <c r="AU460" s="72"/>
      <c r="AV460" s="72"/>
      <c r="AW460" s="72"/>
      <c r="AX460" s="72"/>
      <c r="AY460" s="72"/>
      <c r="AZ460" s="72"/>
      <c r="BA460" s="72"/>
      <c r="BB460" s="16"/>
      <c r="BC460" s="72"/>
      <c r="BD460" s="20"/>
      <c r="BE460" s="352"/>
    </row>
    <row r="461" spans="1:57" s="81" customFormat="1" ht="12.95" hidden="1" customHeight="1">
      <c r="A461" s="348"/>
      <c r="B461" s="350"/>
      <c r="C461" s="248" t="s">
        <v>1170</v>
      </c>
      <c r="D461" s="239" t="s">
        <v>3698</v>
      </c>
      <c r="E461" s="58"/>
      <c r="F461" s="59" t="s">
        <v>3699</v>
      </c>
      <c r="G461" s="191" t="s">
        <v>2511</v>
      </c>
      <c r="H461" s="192" t="s">
        <v>347</v>
      </c>
      <c r="I461" s="61" t="s">
        <v>2511</v>
      </c>
      <c r="J461" s="61" t="s">
        <v>2511</v>
      </c>
      <c r="K461" s="62" t="s">
        <v>2511</v>
      </c>
      <c r="L461" s="60" t="s">
        <v>2511</v>
      </c>
      <c r="M461" s="61" t="s">
        <v>2389</v>
      </c>
      <c r="N461" s="61" t="s">
        <v>2511</v>
      </c>
      <c r="O461" s="61" t="s">
        <v>2511</v>
      </c>
      <c r="P461" s="62" t="s">
        <v>2511</v>
      </c>
      <c r="Q461" s="82"/>
      <c r="R461" s="82"/>
      <c r="S461" s="82"/>
      <c r="T461" s="82"/>
      <c r="U461" s="82"/>
      <c r="V461" s="138" t="s">
        <v>3700</v>
      </c>
      <c r="W461" s="57" t="s">
        <v>3660</v>
      </c>
      <c r="X461" s="126" t="s">
        <v>2511</v>
      </c>
      <c r="Y461" s="126" t="s">
        <v>2511</v>
      </c>
      <c r="Z461" s="57"/>
      <c r="AA461" s="57" t="s">
        <v>3661</v>
      </c>
      <c r="AB461" s="138"/>
      <c r="AC461" s="138" t="s">
        <v>2631</v>
      </c>
      <c r="AD461" s="96"/>
      <c r="AE461" s="80"/>
      <c r="AF461" s="80"/>
      <c r="AG461" s="80"/>
      <c r="AH461" s="83"/>
      <c r="AI461" s="83"/>
      <c r="AJ461" s="84"/>
      <c r="AK461" s="84"/>
      <c r="AL461" s="84"/>
      <c r="AM461" s="84"/>
      <c r="AN461" s="84"/>
      <c r="AO461" s="84"/>
      <c r="AP461" s="84"/>
      <c r="AQ461" s="95" t="s">
        <v>347</v>
      </c>
      <c r="AR461" s="72"/>
      <c r="AS461" s="72"/>
      <c r="AT461" s="72"/>
      <c r="AU461" s="72"/>
      <c r="AV461" s="72"/>
      <c r="AW461" s="72"/>
      <c r="AX461" s="72"/>
      <c r="AY461" s="72"/>
      <c r="AZ461" s="72"/>
      <c r="BA461" s="72"/>
      <c r="BB461" s="16"/>
      <c r="BC461" s="72"/>
      <c r="BD461" s="20"/>
      <c r="BE461" s="352"/>
    </row>
    <row r="462" spans="1:57" s="81" customFormat="1" ht="12.95" hidden="1" customHeight="1">
      <c r="A462" s="348"/>
      <c r="B462" s="350"/>
      <c r="C462" s="248" t="s">
        <v>1171</v>
      </c>
      <c r="D462" s="239" t="s">
        <v>3701</v>
      </c>
      <c r="E462" s="58"/>
      <c r="F462" s="59" t="s">
        <v>3702</v>
      </c>
      <c r="G462" s="191" t="s">
        <v>2511</v>
      </c>
      <c r="H462" s="192" t="s">
        <v>348</v>
      </c>
      <c r="I462" s="61" t="s">
        <v>2511</v>
      </c>
      <c r="J462" s="61" t="s">
        <v>2511</v>
      </c>
      <c r="K462" s="62" t="s">
        <v>2511</v>
      </c>
      <c r="L462" s="60" t="s">
        <v>2511</v>
      </c>
      <c r="M462" s="61" t="s">
        <v>2389</v>
      </c>
      <c r="N462" s="61" t="s">
        <v>2511</v>
      </c>
      <c r="O462" s="61" t="s">
        <v>2511</v>
      </c>
      <c r="P462" s="62" t="s">
        <v>2511</v>
      </c>
      <c r="Q462" s="82"/>
      <c r="R462" s="82"/>
      <c r="S462" s="82"/>
      <c r="T462" s="82"/>
      <c r="U462" s="82"/>
      <c r="V462" s="138" t="s">
        <v>3703</v>
      </c>
      <c r="W462" s="57" t="s">
        <v>3660</v>
      </c>
      <c r="X462" s="126" t="s">
        <v>2511</v>
      </c>
      <c r="Y462" s="126" t="s">
        <v>2511</v>
      </c>
      <c r="Z462" s="57"/>
      <c r="AA462" s="57" t="s">
        <v>3661</v>
      </c>
      <c r="AB462" s="138"/>
      <c r="AC462" s="138" t="s">
        <v>2631</v>
      </c>
      <c r="AD462" s="96"/>
      <c r="AE462" s="80"/>
      <c r="AF462" s="80"/>
      <c r="AG462" s="80"/>
      <c r="AH462" s="83"/>
      <c r="AI462" s="83"/>
      <c r="AJ462" s="84"/>
      <c r="AK462" s="84"/>
      <c r="AL462" s="84"/>
      <c r="AM462" s="84"/>
      <c r="AN462" s="84"/>
      <c r="AO462" s="84"/>
      <c r="AP462" s="84"/>
      <c r="AQ462" s="95" t="s">
        <v>348</v>
      </c>
      <c r="AR462" s="72"/>
      <c r="AS462" s="72"/>
      <c r="AT462" s="72"/>
      <c r="AU462" s="72"/>
      <c r="AV462" s="72"/>
      <c r="AW462" s="72"/>
      <c r="AX462" s="72"/>
      <c r="AY462" s="72"/>
      <c r="AZ462" s="72"/>
      <c r="BA462" s="72"/>
      <c r="BB462" s="16"/>
      <c r="BC462" s="72"/>
      <c r="BD462" s="20"/>
      <c r="BE462" s="352"/>
    </row>
    <row r="463" spans="1:57" s="81" customFormat="1" ht="12.95" hidden="1" customHeight="1">
      <c r="A463" s="348"/>
      <c r="B463" s="350"/>
      <c r="C463" s="248" t="s">
        <v>1172</v>
      </c>
      <c r="D463" s="239" t="s">
        <v>3704</v>
      </c>
      <c r="E463" s="58"/>
      <c r="F463" s="59" t="s">
        <v>3705</v>
      </c>
      <c r="G463" s="191" t="s">
        <v>2511</v>
      </c>
      <c r="H463" s="192" t="s">
        <v>349</v>
      </c>
      <c r="I463" s="61" t="s">
        <v>2511</v>
      </c>
      <c r="J463" s="61" t="s">
        <v>2511</v>
      </c>
      <c r="K463" s="62" t="s">
        <v>2511</v>
      </c>
      <c r="L463" s="60" t="s">
        <v>2511</v>
      </c>
      <c r="M463" s="61" t="s">
        <v>2389</v>
      </c>
      <c r="N463" s="61" t="s">
        <v>2511</v>
      </c>
      <c r="O463" s="61" t="s">
        <v>2511</v>
      </c>
      <c r="P463" s="62" t="s">
        <v>2511</v>
      </c>
      <c r="Q463" s="82"/>
      <c r="R463" s="82"/>
      <c r="S463" s="82"/>
      <c r="T463" s="82"/>
      <c r="U463" s="82"/>
      <c r="V463" s="138" t="s">
        <v>3706</v>
      </c>
      <c r="W463" s="57" t="s">
        <v>3660</v>
      </c>
      <c r="X463" s="126" t="s">
        <v>2511</v>
      </c>
      <c r="Y463" s="126" t="s">
        <v>2511</v>
      </c>
      <c r="Z463" s="57"/>
      <c r="AA463" s="57" t="s">
        <v>3661</v>
      </c>
      <c r="AB463" s="138"/>
      <c r="AC463" s="138" t="s">
        <v>2631</v>
      </c>
      <c r="AD463" s="96"/>
      <c r="AE463" s="80"/>
      <c r="AF463" s="80"/>
      <c r="AG463" s="80"/>
      <c r="AH463" s="83"/>
      <c r="AI463" s="83"/>
      <c r="AJ463" s="84"/>
      <c r="AK463" s="84"/>
      <c r="AL463" s="84"/>
      <c r="AM463" s="84"/>
      <c r="AN463" s="84"/>
      <c r="AO463" s="84"/>
      <c r="AP463" s="84"/>
      <c r="AQ463" s="95" t="s">
        <v>349</v>
      </c>
      <c r="AR463" s="72"/>
      <c r="AS463" s="72"/>
      <c r="AT463" s="72"/>
      <c r="AU463" s="72"/>
      <c r="AV463" s="72"/>
      <c r="AW463" s="72"/>
      <c r="AX463" s="72"/>
      <c r="AY463" s="72"/>
      <c r="AZ463" s="72"/>
      <c r="BA463" s="72"/>
      <c r="BB463" s="16"/>
      <c r="BC463" s="72"/>
      <c r="BD463" s="20"/>
      <c r="BE463" s="352"/>
    </row>
    <row r="464" spans="1:57" s="81" customFormat="1" ht="12.95" hidden="1" customHeight="1">
      <c r="A464" s="348"/>
      <c r="B464" s="350"/>
      <c r="C464" s="248" t="s">
        <v>1173</v>
      </c>
      <c r="D464" s="239" t="s">
        <v>3707</v>
      </c>
      <c r="E464" s="58"/>
      <c r="F464" s="59" t="s">
        <v>3708</v>
      </c>
      <c r="G464" s="191" t="s">
        <v>2511</v>
      </c>
      <c r="H464" s="192" t="s">
        <v>350</v>
      </c>
      <c r="I464" s="61" t="s">
        <v>2511</v>
      </c>
      <c r="J464" s="61" t="s">
        <v>2511</v>
      </c>
      <c r="K464" s="62" t="s">
        <v>2511</v>
      </c>
      <c r="L464" s="60" t="s">
        <v>2511</v>
      </c>
      <c r="M464" s="61" t="s">
        <v>2389</v>
      </c>
      <c r="N464" s="61" t="s">
        <v>2511</v>
      </c>
      <c r="O464" s="61" t="s">
        <v>2511</v>
      </c>
      <c r="P464" s="62" t="s">
        <v>2511</v>
      </c>
      <c r="Q464" s="82"/>
      <c r="R464" s="82"/>
      <c r="S464" s="82"/>
      <c r="T464" s="82"/>
      <c r="U464" s="82"/>
      <c r="V464" s="138" t="s">
        <v>3709</v>
      </c>
      <c r="W464" s="57" t="s">
        <v>3660</v>
      </c>
      <c r="X464" s="126" t="s">
        <v>2511</v>
      </c>
      <c r="Y464" s="126" t="s">
        <v>2511</v>
      </c>
      <c r="Z464" s="57"/>
      <c r="AA464" s="57" t="s">
        <v>3661</v>
      </c>
      <c r="AB464" s="138"/>
      <c r="AC464" s="138" t="s">
        <v>2631</v>
      </c>
      <c r="AD464" s="96"/>
      <c r="AE464" s="80"/>
      <c r="AF464" s="80"/>
      <c r="AG464" s="80"/>
      <c r="AH464" s="83"/>
      <c r="AI464" s="83"/>
      <c r="AJ464" s="84"/>
      <c r="AK464" s="84"/>
      <c r="AL464" s="84"/>
      <c r="AM464" s="84"/>
      <c r="AN464" s="84"/>
      <c r="AO464" s="84"/>
      <c r="AP464" s="84"/>
      <c r="AQ464" s="95" t="s">
        <v>350</v>
      </c>
      <c r="AR464" s="72"/>
      <c r="AS464" s="72"/>
      <c r="AT464" s="72"/>
      <c r="AU464" s="72"/>
      <c r="AV464" s="72"/>
      <c r="AW464" s="72"/>
      <c r="AX464" s="72"/>
      <c r="AY464" s="72"/>
      <c r="AZ464" s="72"/>
      <c r="BA464" s="72"/>
      <c r="BB464" s="16"/>
      <c r="BC464" s="72"/>
      <c r="BD464" s="20"/>
      <c r="BE464" s="352"/>
    </row>
    <row r="465" spans="1:57" s="81" customFormat="1" ht="12.95" hidden="1" customHeight="1">
      <c r="A465" s="348"/>
      <c r="B465" s="350"/>
      <c r="C465" s="248" t="s">
        <v>1174</v>
      </c>
      <c r="D465" s="239" t="s">
        <v>3710</v>
      </c>
      <c r="E465" s="58"/>
      <c r="F465" s="59" t="s">
        <v>3711</v>
      </c>
      <c r="G465" s="191" t="s">
        <v>2511</v>
      </c>
      <c r="H465" s="192" t="s">
        <v>351</v>
      </c>
      <c r="I465" s="61" t="s">
        <v>2511</v>
      </c>
      <c r="J465" s="61" t="s">
        <v>2511</v>
      </c>
      <c r="K465" s="62" t="s">
        <v>2511</v>
      </c>
      <c r="L465" s="60" t="s">
        <v>2511</v>
      </c>
      <c r="M465" s="61" t="s">
        <v>2389</v>
      </c>
      <c r="N465" s="61" t="s">
        <v>2511</v>
      </c>
      <c r="O465" s="61" t="s">
        <v>2511</v>
      </c>
      <c r="P465" s="62" t="s">
        <v>2511</v>
      </c>
      <c r="Q465" s="82"/>
      <c r="R465" s="82"/>
      <c r="S465" s="82"/>
      <c r="T465" s="82"/>
      <c r="U465" s="82"/>
      <c r="V465" s="138" t="s">
        <v>3712</v>
      </c>
      <c r="W465" s="57" t="s">
        <v>3660</v>
      </c>
      <c r="X465" s="126" t="s">
        <v>2511</v>
      </c>
      <c r="Y465" s="126" t="s">
        <v>2511</v>
      </c>
      <c r="Z465" s="57"/>
      <c r="AA465" s="57" t="s">
        <v>3661</v>
      </c>
      <c r="AB465" s="138"/>
      <c r="AC465" s="138" t="s">
        <v>2631</v>
      </c>
      <c r="AD465" s="96"/>
      <c r="AE465" s="80"/>
      <c r="AF465" s="80"/>
      <c r="AG465" s="80"/>
      <c r="AH465" s="83"/>
      <c r="AI465" s="83"/>
      <c r="AJ465" s="84"/>
      <c r="AK465" s="84"/>
      <c r="AL465" s="84"/>
      <c r="AM465" s="84"/>
      <c r="AN465" s="84"/>
      <c r="AO465" s="84"/>
      <c r="AP465" s="84"/>
      <c r="AQ465" s="95" t="s">
        <v>351</v>
      </c>
      <c r="AR465" s="72"/>
      <c r="AS465" s="72"/>
      <c r="AT465" s="72"/>
      <c r="AU465" s="72"/>
      <c r="AV465" s="72"/>
      <c r="AW465" s="72"/>
      <c r="AX465" s="72"/>
      <c r="AY465" s="72"/>
      <c r="AZ465" s="72"/>
      <c r="BA465" s="72"/>
      <c r="BB465" s="16"/>
      <c r="BC465" s="72"/>
      <c r="BD465" s="20"/>
      <c r="BE465" s="352"/>
    </row>
    <row r="466" spans="1:57" s="81" customFormat="1" ht="12.95" hidden="1" customHeight="1">
      <c r="A466" s="348"/>
      <c r="B466" s="350"/>
      <c r="C466" s="248" t="s">
        <v>1175</v>
      </c>
      <c r="D466" s="239" t="s">
        <v>3713</v>
      </c>
      <c r="E466" s="58"/>
      <c r="F466" s="59" t="s">
        <v>3714</v>
      </c>
      <c r="G466" s="191" t="s">
        <v>2511</v>
      </c>
      <c r="H466" s="192" t="s">
        <v>352</v>
      </c>
      <c r="I466" s="61" t="s">
        <v>2511</v>
      </c>
      <c r="J466" s="61" t="s">
        <v>2511</v>
      </c>
      <c r="K466" s="62" t="s">
        <v>2511</v>
      </c>
      <c r="L466" s="60" t="s">
        <v>2511</v>
      </c>
      <c r="M466" s="61" t="s">
        <v>2389</v>
      </c>
      <c r="N466" s="61" t="s">
        <v>2511</v>
      </c>
      <c r="O466" s="61" t="s">
        <v>2511</v>
      </c>
      <c r="P466" s="62" t="s">
        <v>2511</v>
      </c>
      <c r="Q466" s="82"/>
      <c r="R466" s="82"/>
      <c r="S466" s="82"/>
      <c r="T466" s="82"/>
      <c r="U466" s="82"/>
      <c r="V466" s="138" t="s">
        <v>3715</v>
      </c>
      <c r="W466" s="57" t="s">
        <v>3660</v>
      </c>
      <c r="X466" s="126" t="s">
        <v>2511</v>
      </c>
      <c r="Y466" s="126" t="s">
        <v>2511</v>
      </c>
      <c r="Z466" s="57"/>
      <c r="AA466" s="57" t="s">
        <v>3661</v>
      </c>
      <c r="AB466" s="138"/>
      <c r="AC466" s="138" t="s">
        <v>2631</v>
      </c>
      <c r="AD466" s="96"/>
      <c r="AE466" s="80"/>
      <c r="AF466" s="80"/>
      <c r="AG466" s="80"/>
      <c r="AH466" s="83"/>
      <c r="AI466" s="83"/>
      <c r="AJ466" s="84"/>
      <c r="AK466" s="84"/>
      <c r="AL466" s="84"/>
      <c r="AM466" s="84"/>
      <c r="AN466" s="84"/>
      <c r="AO466" s="84"/>
      <c r="AP466" s="84"/>
      <c r="AQ466" s="95" t="s">
        <v>352</v>
      </c>
      <c r="AR466" s="72"/>
      <c r="AS466" s="72"/>
      <c r="AT466" s="72"/>
      <c r="AU466" s="72"/>
      <c r="AV466" s="72"/>
      <c r="AW466" s="72"/>
      <c r="AX466" s="72"/>
      <c r="AY466" s="72"/>
      <c r="AZ466" s="72"/>
      <c r="BA466" s="72"/>
      <c r="BB466" s="16"/>
      <c r="BC466" s="72"/>
      <c r="BD466" s="20"/>
      <c r="BE466" s="352"/>
    </row>
    <row r="467" spans="1:57" s="81" customFormat="1" ht="12.95" hidden="1" customHeight="1">
      <c r="A467" s="348"/>
      <c r="B467" s="350"/>
      <c r="C467" s="248" t="s">
        <v>1176</v>
      </c>
      <c r="D467" s="239" t="s">
        <v>3716</v>
      </c>
      <c r="E467" s="58"/>
      <c r="F467" s="59" t="s">
        <v>3717</v>
      </c>
      <c r="G467" s="191" t="s">
        <v>2511</v>
      </c>
      <c r="H467" s="192" t="s">
        <v>353</v>
      </c>
      <c r="I467" s="61" t="s">
        <v>2511</v>
      </c>
      <c r="J467" s="61" t="s">
        <v>2511</v>
      </c>
      <c r="K467" s="62" t="s">
        <v>2511</v>
      </c>
      <c r="L467" s="60" t="s">
        <v>2511</v>
      </c>
      <c r="M467" s="61" t="s">
        <v>2389</v>
      </c>
      <c r="N467" s="61" t="s">
        <v>2511</v>
      </c>
      <c r="O467" s="61" t="s">
        <v>2511</v>
      </c>
      <c r="P467" s="62" t="s">
        <v>2511</v>
      </c>
      <c r="Q467" s="82"/>
      <c r="R467" s="82"/>
      <c r="S467" s="82"/>
      <c r="T467" s="82"/>
      <c r="U467" s="82"/>
      <c r="V467" s="138" t="s">
        <v>3718</v>
      </c>
      <c r="W467" s="57" t="s">
        <v>3660</v>
      </c>
      <c r="X467" s="126" t="s">
        <v>2511</v>
      </c>
      <c r="Y467" s="126" t="s">
        <v>2511</v>
      </c>
      <c r="Z467" s="57"/>
      <c r="AA467" s="57" t="s">
        <v>3661</v>
      </c>
      <c r="AB467" s="138"/>
      <c r="AC467" s="138" t="s">
        <v>2631</v>
      </c>
      <c r="AD467" s="96"/>
      <c r="AE467" s="80"/>
      <c r="AF467" s="80"/>
      <c r="AG467" s="80"/>
      <c r="AH467" s="83"/>
      <c r="AI467" s="83"/>
      <c r="AJ467" s="84"/>
      <c r="AK467" s="84"/>
      <c r="AL467" s="84"/>
      <c r="AM467" s="84"/>
      <c r="AN467" s="84"/>
      <c r="AO467" s="84"/>
      <c r="AP467" s="84"/>
      <c r="AQ467" s="95" t="s">
        <v>353</v>
      </c>
      <c r="AR467" s="72"/>
      <c r="AS467" s="72"/>
      <c r="AT467" s="72"/>
      <c r="AU467" s="72"/>
      <c r="AV467" s="72"/>
      <c r="AW467" s="72"/>
      <c r="AX467" s="72"/>
      <c r="AY467" s="72"/>
      <c r="AZ467" s="72"/>
      <c r="BA467" s="72"/>
      <c r="BB467" s="16"/>
      <c r="BC467" s="72"/>
      <c r="BD467" s="20"/>
      <c r="BE467" s="352"/>
    </row>
    <row r="468" spans="1:57" s="81" customFormat="1" ht="12.95" hidden="1" customHeight="1">
      <c r="A468" s="348"/>
      <c r="B468" s="350"/>
      <c r="C468" s="248" t="s">
        <v>1177</v>
      </c>
      <c r="D468" s="239" t="s">
        <v>3719</v>
      </c>
      <c r="E468" s="58"/>
      <c r="F468" s="59" t="s">
        <v>3720</v>
      </c>
      <c r="G468" s="191" t="s">
        <v>2511</v>
      </c>
      <c r="H468" s="192" t="s">
        <v>354</v>
      </c>
      <c r="I468" s="61" t="s">
        <v>2511</v>
      </c>
      <c r="J468" s="61" t="s">
        <v>2511</v>
      </c>
      <c r="K468" s="62" t="s">
        <v>2511</v>
      </c>
      <c r="L468" s="60" t="s">
        <v>2511</v>
      </c>
      <c r="M468" s="61" t="s">
        <v>2389</v>
      </c>
      <c r="N468" s="61" t="s">
        <v>2511</v>
      </c>
      <c r="O468" s="61" t="s">
        <v>2511</v>
      </c>
      <c r="P468" s="62" t="s">
        <v>2511</v>
      </c>
      <c r="Q468" s="82"/>
      <c r="R468" s="82"/>
      <c r="S468" s="82"/>
      <c r="T468" s="82"/>
      <c r="U468" s="82"/>
      <c r="V468" s="138" t="s">
        <v>3721</v>
      </c>
      <c r="W468" s="57" t="s">
        <v>3660</v>
      </c>
      <c r="X468" s="126" t="s">
        <v>2511</v>
      </c>
      <c r="Y468" s="126" t="s">
        <v>2511</v>
      </c>
      <c r="Z468" s="57"/>
      <c r="AA468" s="57" t="s">
        <v>3661</v>
      </c>
      <c r="AB468" s="138"/>
      <c r="AC468" s="138" t="s">
        <v>2631</v>
      </c>
      <c r="AD468" s="96"/>
      <c r="AE468" s="80"/>
      <c r="AF468" s="80"/>
      <c r="AG468" s="80"/>
      <c r="AH468" s="83"/>
      <c r="AI468" s="83"/>
      <c r="AJ468" s="84"/>
      <c r="AK468" s="84"/>
      <c r="AL468" s="84"/>
      <c r="AM468" s="84"/>
      <c r="AN468" s="84"/>
      <c r="AO468" s="84"/>
      <c r="AP468" s="84"/>
      <c r="AQ468" s="95" t="s">
        <v>354</v>
      </c>
      <c r="AR468" s="72"/>
      <c r="AS468" s="72"/>
      <c r="AT468" s="72"/>
      <c r="AU468" s="72"/>
      <c r="AV468" s="72"/>
      <c r="AW468" s="72"/>
      <c r="AX468" s="72"/>
      <c r="AY468" s="72"/>
      <c r="AZ468" s="72"/>
      <c r="BA468" s="72"/>
      <c r="BB468" s="16"/>
      <c r="BC468" s="72"/>
      <c r="BD468" s="20"/>
      <c r="BE468" s="352"/>
    </row>
    <row r="469" spans="1:57" s="81" customFormat="1" ht="12.95" hidden="1" customHeight="1">
      <c r="A469" s="348"/>
      <c r="B469" s="350"/>
      <c r="C469" s="270" t="s">
        <v>1178</v>
      </c>
      <c r="D469" s="239" t="s">
        <v>3722</v>
      </c>
      <c r="E469" s="58"/>
      <c r="F469" s="59" t="s">
        <v>3723</v>
      </c>
      <c r="G469" s="191" t="s">
        <v>2511</v>
      </c>
      <c r="H469" s="192" t="s">
        <v>355</v>
      </c>
      <c r="I469" s="61" t="s">
        <v>2511</v>
      </c>
      <c r="J469" s="61" t="s">
        <v>2511</v>
      </c>
      <c r="K469" s="62" t="s">
        <v>2511</v>
      </c>
      <c r="L469" s="60" t="s">
        <v>2511</v>
      </c>
      <c r="M469" s="61" t="s">
        <v>2389</v>
      </c>
      <c r="N469" s="61" t="s">
        <v>2511</v>
      </c>
      <c r="O469" s="61" t="s">
        <v>2511</v>
      </c>
      <c r="P469" s="62" t="s">
        <v>2511</v>
      </c>
      <c r="Q469" s="82"/>
      <c r="R469" s="82"/>
      <c r="S469" s="82"/>
      <c r="T469" s="82"/>
      <c r="U469" s="82"/>
      <c r="V469" s="138" t="s">
        <v>3724</v>
      </c>
      <c r="W469" s="57" t="s">
        <v>3660</v>
      </c>
      <c r="X469" s="126" t="s">
        <v>2511</v>
      </c>
      <c r="Y469" s="126" t="s">
        <v>2511</v>
      </c>
      <c r="Z469" s="57"/>
      <c r="AA469" s="57" t="s">
        <v>3661</v>
      </c>
      <c r="AB469" s="138"/>
      <c r="AC469" s="138" t="s">
        <v>2631</v>
      </c>
      <c r="AD469" s="96"/>
      <c r="AE469" s="80"/>
      <c r="AF469" s="80"/>
      <c r="AG469" s="80"/>
      <c r="AH469" s="83"/>
      <c r="AI469" s="83"/>
      <c r="AJ469" s="84"/>
      <c r="AK469" s="84"/>
      <c r="AL469" s="84"/>
      <c r="AM469" s="84"/>
      <c r="AN469" s="84"/>
      <c r="AO469" s="84"/>
      <c r="AP469" s="84"/>
      <c r="AQ469" s="95" t="s">
        <v>355</v>
      </c>
      <c r="AR469" s="72"/>
      <c r="AS469" s="72"/>
      <c r="AT469" s="72"/>
      <c r="AU469" s="72"/>
      <c r="AV469" s="72"/>
      <c r="AW469" s="72"/>
      <c r="AX469" s="72"/>
      <c r="AY469" s="72"/>
      <c r="AZ469" s="72"/>
      <c r="BA469" s="72"/>
      <c r="BB469" s="16"/>
      <c r="BC469" s="72"/>
      <c r="BD469" s="20"/>
      <c r="BE469" s="352"/>
    </row>
    <row r="470" spans="1:57" s="81" customFormat="1" ht="12.95" hidden="1" customHeight="1">
      <c r="A470" s="348"/>
      <c r="B470" s="350"/>
      <c r="C470" s="270" t="s">
        <v>1179</v>
      </c>
      <c r="D470" s="239" t="s">
        <v>3725</v>
      </c>
      <c r="E470" s="58"/>
      <c r="F470" s="59" t="s">
        <v>3726</v>
      </c>
      <c r="G470" s="191" t="s">
        <v>2511</v>
      </c>
      <c r="H470" s="192" t="s">
        <v>356</v>
      </c>
      <c r="I470" s="61" t="s">
        <v>2511</v>
      </c>
      <c r="J470" s="61" t="s">
        <v>2511</v>
      </c>
      <c r="K470" s="62" t="s">
        <v>2511</v>
      </c>
      <c r="L470" s="60" t="s">
        <v>2511</v>
      </c>
      <c r="M470" s="61" t="s">
        <v>2389</v>
      </c>
      <c r="N470" s="61" t="s">
        <v>2511</v>
      </c>
      <c r="O470" s="61" t="s">
        <v>2511</v>
      </c>
      <c r="P470" s="62" t="s">
        <v>2511</v>
      </c>
      <c r="Q470" s="82"/>
      <c r="R470" s="82"/>
      <c r="S470" s="82"/>
      <c r="T470" s="82"/>
      <c r="U470" s="82"/>
      <c r="V470" s="138" t="s">
        <v>3727</v>
      </c>
      <c r="W470" s="57" t="s">
        <v>3660</v>
      </c>
      <c r="X470" s="126" t="s">
        <v>2511</v>
      </c>
      <c r="Y470" s="126" t="s">
        <v>2511</v>
      </c>
      <c r="Z470" s="57"/>
      <c r="AA470" s="57" t="s">
        <v>3661</v>
      </c>
      <c r="AB470" s="138"/>
      <c r="AC470" s="138" t="s">
        <v>2631</v>
      </c>
      <c r="AD470" s="96"/>
      <c r="AE470" s="80"/>
      <c r="AF470" s="80"/>
      <c r="AG470" s="80"/>
      <c r="AH470" s="83"/>
      <c r="AI470" s="83"/>
      <c r="AJ470" s="84"/>
      <c r="AK470" s="84"/>
      <c r="AL470" s="84"/>
      <c r="AM470" s="84"/>
      <c r="AN470" s="84"/>
      <c r="AO470" s="84"/>
      <c r="AP470" s="84"/>
      <c r="AQ470" s="95" t="s">
        <v>356</v>
      </c>
      <c r="AR470" s="72"/>
      <c r="AS470" s="72"/>
      <c r="AT470" s="72"/>
      <c r="AU470" s="72"/>
      <c r="AV470" s="72"/>
      <c r="AW470" s="72"/>
      <c r="AX470" s="72"/>
      <c r="AY470" s="72"/>
      <c r="AZ470" s="72"/>
      <c r="BA470" s="72"/>
      <c r="BB470" s="16"/>
      <c r="BC470" s="72"/>
      <c r="BD470" s="20"/>
      <c r="BE470" s="352"/>
    </row>
    <row r="471" spans="1:57" s="81" customFormat="1" ht="12.95" hidden="1" customHeight="1">
      <c r="A471" s="348"/>
      <c r="B471" s="350"/>
      <c r="C471" s="248" t="s">
        <v>1180</v>
      </c>
      <c r="D471" s="239" t="s">
        <v>3728</v>
      </c>
      <c r="E471" s="58"/>
      <c r="F471" s="59" t="s">
        <v>3729</v>
      </c>
      <c r="G471" s="191" t="s">
        <v>2511</v>
      </c>
      <c r="H471" s="192" t="s">
        <v>357</v>
      </c>
      <c r="I471" s="61" t="s">
        <v>2511</v>
      </c>
      <c r="J471" s="61" t="s">
        <v>2511</v>
      </c>
      <c r="K471" s="62" t="s">
        <v>2511</v>
      </c>
      <c r="L471" s="60" t="s">
        <v>2511</v>
      </c>
      <c r="M471" s="61" t="s">
        <v>2389</v>
      </c>
      <c r="N471" s="61" t="s">
        <v>2511</v>
      </c>
      <c r="O471" s="61" t="s">
        <v>2511</v>
      </c>
      <c r="P471" s="62" t="s">
        <v>2511</v>
      </c>
      <c r="Q471" s="82"/>
      <c r="R471" s="82"/>
      <c r="S471" s="82"/>
      <c r="T471" s="82"/>
      <c r="U471" s="82"/>
      <c r="V471" s="138" t="s">
        <v>3730</v>
      </c>
      <c r="W471" s="57" t="s">
        <v>3660</v>
      </c>
      <c r="X471" s="126" t="s">
        <v>2511</v>
      </c>
      <c r="Y471" s="126" t="s">
        <v>2511</v>
      </c>
      <c r="Z471" s="57"/>
      <c r="AA471" s="57" t="s">
        <v>3661</v>
      </c>
      <c r="AB471" s="138"/>
      <c r="AC471" s="138">
        <v>0</v>
      </c>
      <c r="AD471" s="96"/>
      <c r="AE471" s="80"/>
      <c r="AF471" s="80"/>
      <c r="AG471" s="80"/>
      <c r="AH471" s="83"/>
      <c r="AI471" s="83"/>
      <c r="AJ471" s="84"/>
      <c r="AK471" s="84"/>
      <c r="AL471" s="84"/>
      <c r="AM471" s="84"/>
      <c r="AN471" s="84"/>
      <c r="AO471" s="84"/>
      <c r="AP471" s="84"/>
      <c r="AQ471" s="95" t="s">
        <v>357</v>
      </c>
      <c r="AR471" s="72"/>
      <c r="AS471" s="72"/>
      <c r="AT471" s="72"/>
      <c r="AU471" s="72"/>
      <c r="AV471" s="72"/>
      <c r="AW471" s="72"/>
      <c r="AX471" s="72"/>
      <c r="AY471" s="72"/>
      <c r="AZ471" s="72"/>
      <c r="BA471" s="72"/>
      <c r="BB471" s="16"/>
      <c r="BC471" s="72"/>
      <c r="BD471" s="20"/>
      <c r="BE471" s="352"/>
    </row>
    <row r="472" spans="1:57" s="81" customFormat="1" ht="12.95" hidden="1" customHeight="1">
      <c r="A472" s="348"/>
      <c r="B472" s="350"/>
      <c r="C472" s="248" t="s">
        <v>1181</v>
      </c>
      <c r="D472" s="239" t="s">
        <v>3731</v>
      </c>
      <c r="E472" s="58"/>
      <c r="F472" s="59" t="s">
        <v>3732</v>
      </c>
      <c r="G472" s="191" t="s">
        <v>2511</v>
      </c>
      <c r="H472" s="192" t="s">
        <v>358</v>
      </c>
      <c r="I472" s="61" t="s">
        <v>2511</v>
      </c>
      <c r="J472" s="61" t="s">
        <v>2511</v>
      </c>
      <c r="K472" s="62" t="s">
        <v>2511</v>
      </c>
      <c r="L472" s="60" t="s">
        <v>2511</v>
      </c>
      <c r="M472" s="61" t="s">
        <v>2389</v>
      </c>
      <c r="N472" s="61" t="s">
        <v>2511</v>
      </c>
      <c r="O472" s="61" t="s">
        <v>2511</v>
      </c>
      <c r="P472" s="62" t="s">
        <v>2511</v>
      </c>
      <c r="Q472" s="82"/>
      <c r="R472" s="82"/>
      <c r="S472" s="82"/>
      <c r="T472" s="82"/>
      <c r="U472" s="82"/>
      <c r="V472" s="138" t="s">
        <v>3733</v>
      </c>
      <c r="W472" s="57" t="s">
        <v>3660</v>
      </c>
      <c r="X472" s="126" t="s">
        <v>2511</v>
      </c>
      <c r="Y472" s="126" t="s">
        <v>2511</v>
      </c>
      <c r="Z472" s="57"/>
      <c r="AA472" s="57" t="s">
        <v>3661</v>
      </c>
      <c r="AB472" s="138"/>
      <c r="AC472" s="138" t="s">
        <v>2631</v>
      </c>
      <c r="AD472" s="96"/>
      <c r="AE472" s="80"/>
      <c r="AF472" s="80"/>
      <c r="AG472" s="80"/>
      <c r="AH472" s="83"/>
      <c r="AI472" s="83"/>
      <c r="AJ472" s="84"/>
      <c r="AK472" s="84"/>
      <c r="AL472" s="84"/>
      <c r="AM472" s="84"/>
      <c r="AN472" s="84"/>
      <c r="AO472" s="84"/>
      <c r="AP472" s="84"/>
      <c r="AQ472" s="95" t="s">
        <v>358</v>
      </c>
      <c r="AR472" s="72"/>
      <c r="AS472" s="72"/>
      <c r="AT472" s="72"/>
      <c r="AU472" s="72"/>
      <c r="AV472" s="72"/>
      <c r="AW472" s="72"/>
      <c r="AX472" s="72"/>
      <c r="AY472" s="72"/>
      <c r="AZ472" s="72"/>
      <c r="BA472" s="72"/>
      <c r="BB472" s="16"/>
      <c r="BC472" s="72"/>
      <c r="BD472" s="20"/>
      <c r="BE472" s="352"/>
    </row>
    <row r="473" spans="1:57" s="81" customFormat="1" ht="12.95" hidden="1" customHeight="1">
      <c r="A473" s="348"/>
      <c r="B473" s="350"/>
      <c r="C473" s="248" t="s">
        <v>1182</v>
      </c>
      <c r="D473" s="239" t="s">
        <v>3734</v>
      </c>
      <c r="E473" s="58"/>
      <c r="F473" s="59" t="s">
        <v>3735</v>
      </c>
      <c r="G473" s="191" t="s">
        <v>2511</v>
      </c>
      <c r="H473" s="192" t="s">
        <v>359</v>
      </c>
      <c r="I473" s="61" t="s">
        <v>2511</v>
      </c>
      <c r="J473" s="61" t="s">
        <v>2511</v>
      </c>
      <c r="K473" s="62" t="s">
        <v>2511</v>
      </c>
      <c r="L473" s="60" t="s">
        <v>2511</v>
      </c>
      <c r="M473" s="61" t="s">
        <v>2389</v>
      </c>
      <c r="N473" s="61" t="s">
        <v>2511</v>
      </c>
      <c r="O473" s="61" t="s">
        <v>2511</v>
      </c>
      <c r="P473" s="62" t="s">
        <v>2511</v>
      </c>
      <c r="Q473" s="82"/>
      <c r="R473" s="82"/>
      <c r="S473" s="82"/>
      <c r="T473" s="82"/>
      <c r="U473" s="82"/>
      <c r="V473" s="138" t="s">
        <v>3736</v>
      </c>
      <c r="W473" s="57" t="s">
        <v>3660</v>
      </c>
      <c r="X473" s="126" t="s">
        <v>2511</v>
      </c>
      <c r="Y473" s="126" t="s">
        <v>2511</v>
      </c>
      <c r="Z473" s="57"/>
      <c r="AA473" s="57" t="s">
        <v>3661</v>
      </c>
      <c r="AB473" s="138"/>
      <c r="AC473" s="138" t="s">
        <v>2631</v>
      </c>
      <c r="AD473" s="96"/>
      <c r="AE473" s="80"/>
      <c r="AF473" s="80"/>
      <c r="AG473" s="80"/>
      <c r="AH473" s="83"/>
      <c r="AI473" s="83"/>
      <c r="AJ473" s="84"/>
      <c r="AK473" s="84"/>
      <c r="AL473" s="84"/>
      <c r="AM473" s="84"/>
      <c r="AN473" s="84"/>
      <c r="AO473" s="84"/>
      <c r="AP473" s="84"/>
      <c r="AQ473" s="95" t="s">
        <v>359</v>
      </c>
      <c r="AR473" s="72"/>
      <c r="AS473" s="72"/>
      <c r="AT473" s="72"/>
      <c r="AU473" s="72"/>
      <c r="AV473" s="72"/>
      <c r="AW473" s="72"/>
      <c r="AX473" s="72"/>
      <c r="AY473" s="72"/>
      <c r="AZ473" s="72"/>
      <c r="BA473" s="72"/>
      <c r="BB473" s="16"/>
      <c r="BC473" s="72"/>
      <c r="BD473" s="20"/>
      <c r="BE473" s="352"/>
    </row>
    <row r="474" spans="1:57" s="81" customFormat="1" ht="12.95" hidden="1" customHeight="1">
      <c r="A474" s="348"/>
      <c r="B474" s="350"/>
      <c r="C474" s="248" t="s">
        <v>1183</v>
      </c>
      <c r="D474" s="239" t="s">
        <v>3737</v>
      </c>
      <c r="E474" s="58"/>
      <c r="F474" s="59" t="s">
        <v>3738</v>
      </c>
      <c r="G474" s="191" t="s">
        <v>2511</v>
      </c>
      <c r="H474" s="192" t="s">
        <v>360</v>
      </c>
      <c r="I474" s="61" t="s">
        <v>2511</v>
      </c>
      <c r="J474" s="61" t="s">
        <v>2511</v>
      </c>
      <c r="K474" s="62" t="s">
        <v>2511</v>
      </c>
      <c r="L474" s="60" t="s">
        <v>2511</v>
      </c>
      <c r="M474" s="61" t="s">
        <v>2389</v>
      </c>
      <c r="N474" s="61" t="s">
        <v>2511</v>
      </c>
      <c r="O474" s="61" t="s">
        <v>2511</v>
      </c>
      <c r="P474" s="62" t="s">
        <v>2511</v>
      </c>
      <c r="Q474" s="82"/>
      <c r="R474" s="82"/>
      <c r="S474" s="82"/>
      <c r="T474" s="82"/>
      <c r="U474" s="82"/>
      <c r="V474" s="138" t="s">
        <v>3739</v>
      </c>
      <c r="W474" s="57" t="s">
        <v>3660</v>
      </c>
      <c r="X474" s="126" t="s">
        <v>2511</v>
      </c>
      <c r="Y474" s="126" t="s">
        <v>2511</v>
      </c>
      <c r="Z474" s="57"/>
      <c r="AA474" s="57" t="s">
        <v>3661</v>
      </c>
      <c r="AB474" s="138"/>
      <c r="AC474" s="138" t="s">
        <v>2631</v>
      </c>
      <c r="AD474" s="96"/>
      <c r="AE474" s="80"/>
      <c r="AF474" s="80"/>
      <c r="AG474" s="80"/>
      <c r="AH474" s="83"/>
      <c r="AI474" s="83"/>
      <c r="AJ474" s="84"/>
      <c r="AK474" s="84"/>
      <c r="AL474" s="84"/>
      <c r="AM474" s="84"/>
      <c r="AN474" s="84"/>
      <c r="AO474" s="84"/>
      <c r="AP474" s="84"/>
      <c r="AQ474" s="95" t="s">
        <v>360</v>
      </c>
      <c r="AR474" s="72"/>
      <c r="AS474" s="72"/>
      <c r="AT474" s="72"/>
      <c r="AU474" s="72"/>
      <c r="AV474" s="72"/>
      <c r="AW474" s="72"/>
      <c r="AX474" s="72"/>
      <c r="AY474" s="72"/>
      <c r="AZ474" s="72"/>
      <c r="BA474" s="72"/>
      <c r="BB474" s="16"/>
      <c r="BC474" s="72"/>
      <c r="BD474" s="20"/>
      <c r="BE474" s="352"/>
    </row>
    <row r="475" spans="1:57" s="81" customFormat="1" ht="12.95" hidden="1" customHeight="1">
      <c r="A475" s="348"/>
      <c r="B475" s="350"/>
      <c r="C475" s="248" t="s">
        <v>1184</v>
      </c>
      <c r="D475" s="239" t="s">
        <v>3740</v>
      </c>
      <c r="E475" s="58"/>
      <c r="F475" s="59" t="s">
        <v>3741</v>
      </c>
      <c r="G475" s="191" t="s">
        <v>2511</v>
      </c>
      <c r="H475" s="192" t="s">
        <v>361</v>
      </c>
      <c r="I475" s="61" t="s">
        <v>2511</v>
      </c>
      <c r="J475" s="61" t="s">
        <v>2511</v>
      </c>
      <c r="K475" s="62" t="s">
        <v>2511</v>
      </c>
      <c r="L475" s="60" t="s">
        <v>2511</v>
      </c>
      <c r="M475" s="61" t="s">
        <v>2389</v>
      </c>
      <c r="N475" s="61" t="s">
        <v>2511</v>
      </c>
      <c r="O475" s="61" t="s">
        <v>2511</v>
      </c>
      <c r="P475" s="62" t="s">
        <v>2511</v>
      </c>
      <c r="Q475" s="82"/>
      <c r="R475" s="82"/>
      <c r="S475" s="82"/>
      <c r="T475" s="82"/>
      <c r="U475" s="82"/>
      <c r="V475" s="138" t="s">
        <v>3742</v>
      </c>
      <c r="W475" s="57" t="s">
        <v>3660</v>
      </c>
      <c r="X475" s="126" t="s">
        <v>2511</v>
      </c>
      <c r="Y475" s="126" t="s">
        <v>2511</v>
      </c>
      <c r="Z475" s="57"/>
      <c r="AA475" s="57" t="s">
        <v>3661</v>
      </c>
      <c r="AB475" s="138"/>
      <c r="AC475" s="138" t="s">
        <v>2631</v>
      </c>
      <c r="AD475" s="96"/>
      <c r="AE475" s="80"/>
      <c r="AF475" s="80"/>
      <c r="AG475" s="80"/>
      <c r="AH475" s="83"/>
      <c r="AI475" s="83"/>
      <c r="AJ475" s="84"/>
      <c r="AK475" s="84"/>
      <c r="AL475" s="84"/>
      <c r="AM475" s="84"/>
      <c r="AN475" s="84"/>
      <c r="AO475" s="84"/>
      <c r="AP475" s="84"/>
      <c r="AQ475" s="95" t="s">
        <v>361</v>
      </c>
      <c r="AR475" s="72"/>
      <c r="AS475" s="72"/>
      <c r="AT475" s="72"/>
      <c r="AU475" s="72"/>
      <c r="AV475" s="72"/>
      <c r="AW475" s="72"/>
      <c r="AX475" s="72"/>
      <c r="AY475" s="72"/>
      <c r="AZ475" s="72"/>
      <c r="BA475" s="72"/>
      <c r="BB475" s="16"/>
      <c r="BC475" s="72"/>
      <c r="BD475" s="20"/>
      <c r="BE475" s="352"/>
    </row>
    <row r="476" spans="1:57" s="81" customFormat="1" ht="12.95" hidden="1" customHeight="1">
      <c r="A476" s="348"/>
      <c r="B476" s="350"/>
      <c r="C476" s="248" t="s">
        <v>1185</v>
      </c>
      <c r="D476" s="239" t="s">
        <v>3743</v>
      </c>
      <c r="E476" s="58"/>
      <c r="F476" s="59" t="s">
        <v>3744</v>
      </c>
      <c r="G476" s="191" t="s">
        <v>2511</v>
      </c>
      <c r="H476" s="192" t="s">
        <v>362</v>
      </c>
      <c r="I476" s="61" t="s">
        <v>2511</v>
      </c>
      <c r="J476" s="61" t="s">
        <v>2511</v>
      </c>
      <c r="K476" s="62" t="s">
        <v>2511</v>
      </c>
      <c r="L476" s="60" t="s">
        <v>2511</v>
      </c>
      <c r="M476" s="61" t="s">
        <v>2389</v>
      </c>
      <c r="N476" s="61" t="s">
        <v>2511</v>
      </c>
      <c r="O476" s="61" t="s">
        <v>2511</v>
      </c>
      <c r="P476" s="62" t="s">
        <v>2511</v>
      </c>
      <c r="Q476" s="82"/>
      <c r="R476" s="82"/>
      <c r="S476" s="82"/>
      <c r="T476" s="82"/>
      <c r="U476" s="82"/>
      <c r="V476" s="138" t="s">
        <v>3745</v>
      </c>
      <c r="W476" s="57" t="s">
        <v>3660</v>
      </c>
      <c r="X476" s="126" t="s">
        <v>2511</v>
      </c>
      <c r="Y476" s="126" t="s">
        <v>2511</v>
      </c>
      <c r="Z476" s="57"/>
      <c r="AA476" s="57" t="s">
        <v>3661</v>
      </c>
      <c r="AB476" s="138"/>
      <c r="AC476" s="138" t="s">
        <v>2631</v>
      </c>
      <c r="AD476" s="96"/>
      <c r="AE476" s="80"/>
      <c r="AF476" s="80"/>
      <c r="AG476" s="80"/>
      <c r="AH476" s="83"/>
      <c r="AI476" s="83"/>
      <c r="AJ476" s="84"/>
      <c r="AK476" s="84"/>
      <c r="AL476" s="84"/>
      <c r="AM476" s="84"/>
      <c r="AN476" s="84"/>
      <c r="AO476" s="84"/>
      <c r="AP476" s="84"/>
      <c r="AQ476" s="95" t="s">
        <v>362</v>
      </c>
      <c r="AR476" s="72"/>
      <c r="AS476" s="72"/>
      <c r="AT476" s="72"/>
      <c r="AU476" s="72"/>
      <c r="AV476" s="72"/>
      <c r="AW476" s="72"/>
      <c r="AX476" s="72"/>
      <c r="AY476" s="72"/>
      <c r="AZ476" s="72"/>
      <c r="BA476" s="72"/>
      <c r="BB476" s="16"/>
      <c r="BC476" s="72"/>
      <c r="BD476" s="20"/>
      <c r="BE476" s="352"/>
    </row>
    <row r="477" spans="1:57" s="81" customFormat="1" ht="12.95" hidden="1" customHeight="1">
      <c r="A477" s="348"/>
      <c r="B477" s="350"/>
      <c r="C477" s="248" t="s">
        <v>1186</v>
      </c>
      <c r="D477" s="239" t="s">
        <v>3746</v>
      </c>
      <c r="E477" s="58"/>
      <c r="F477" s="59" t="s">
        <v>3747</v>
      </c>
      <c r="G477" s="191" t="s">
        <v>2511</v>
      </c>
      <c r="H477" s="192" t="s">
        <v>363</v>
      </c>
      <c r="I477" s="61" t="s">
        <v>2511</v>
      </c>
      <c r="J477" s="61" t="s">
        <v>2511</v>
      </c>
      <c r="K477" s="62" t="s">
        <v>2511</v>
      </c>
      <c r="L477" s="60" t="s">
        <v>2511</v>
      </c>
      <c r="M477" s="61" t="s">
        <v>2389</v>
      </c>
      <c r="N477" s="61" t="s">
        <v>2511</v>
      </c>
      <c r="O477" s="61" t="s">
        <v>2511</v>
      </c>
      <c r="P477" s="62" t="s">
        <v>2511</v>
      </c>
      <c r="Q477" s="82"/>
      <c r="R477" s="82"/>
      <c r="S477" s="82"/>
      <c r="T477" s="82"/>
      <c r="U477" s="82"/>
      <c r="V477" s="138" t="s">
        <v>3748</v>
      </c>
      <c r="W477" s="57" t="s">
        <v>3660</v>
      </c>
      <c r="X477" s="126" t="s">
        <v>2511</v>
      </c>
      <c r="Y477" s="126" t="s">
        <v>2511</v>
      </c>
      <c r="Z477" s="57"/>
      <c r="AA477" s="57" t="s">
        <v>3661</v>
      </c>
      <c r="AB477" s="138"/>
      <c r="AC477" s="138" t="s">
        <v>2631</v>
      </c>
      <c r="AD477" s="96"/>
      <c r="AE477" s="80"/>
      <c r="AF477" s="80"/>
      <c r="AG477" s="80"/>
      <c r="AH477" s="83"/>
      <c r="AI477" s="83"/>
      <c r="AJ477" s="84"/>
      <c r="AK477" s="84"/>
      <c r="AL477" s="84"/>
      <c r="AM477" s="84"/>
      <c r="AN477" s="84"/>
      <c r="AO477" s="84"/>
      <c r="AP477" s="84"/>
      <c r="AQ477" s="95" t="s">
        <v>363</v>
      </c>
      <c r="AR477" s="72"/>
      <c r="AS477" s="72"/>
      <c r="AT477" s="72"/>
      <c r="AU477" s="72"/>
      <c r="AV477" s="72"/>
      <c r="AW477" s="72"/>
      <c r="AX477" s="72"/>
      <c r="AY477" s="72"/>
      <c r="AZ477" s="72"/>
      <c r="BA477" s="72"/>
      <c r="BB477" s="16"/>
      <c r="BC477" s="72"/>
      <c r="BD477" s="20"/>
      <c r="BE477" s="352"/>
    </row>
    <row r="478" spans="1:57" s="81" customFormat="1" ht="12.95" hidden="1" customHeight="1">
      <c r="A478" s="348"/>
      <c r="B478" s="350"/>
      <c r="C478" s="248" t="s">
        <v>1187</v>
      </c>
      <c r="D478" s="239" t="s">
        <v>3749</v>
      </c>
      <c r="E478" s="58"/>
      <c r="F478" s="59" t="s">
        <v>3750</v>
      </c>
      <c r="G478" s="191" t="s">
        <v>2511</v>
      </c>
      <c r="H478" s="192" t="s">
        <v>364</v>
      </c>
      <c r="I478" s="61" t="s">
        <v>2511</v>
      </c>
      <c r="J478" s="61" t="s">
        <v>2511</v>
      </c>
      <c r="K478" s="62" t="s">
        <v>2511</v>
      </c>
      <c r="L478" s="60" t="s">
        <v>2511</v>
      </c>
      <c r="M478" s="61" t="s">
        <v>2389</v>
      </c>
      <c r="N478" s="61" t="s">
        <v>2511</v>
      </c>
      <c r="O478" s="61" t="s">
        <v>2511</v>
      </c>
      <c r="P478" s="62" t="s">
        <v>2511</v>
      </c>
      <c r="Q478" s="82"/>
      <c r="R478" s="82"/>
      <c r="S478" s="82"/>
      <c r="T478" s="82"/>
      <c r="U478" s="82"/>
      <c r="V478" s="138" t="s">
        <v>3751</v>
      </c>
      <c r="W478" s="57" t="s">
        <v>3660</v>
      </c>
      <c r="X478" s="126" t="s">
        <v>2511</v>
      </c>
      <c r="Y478" s="126" t="s">
        <v>2511</v>
      </c>
      <c r="Z478" s="57"/>
      <c r="AA478" s="57" t="s">
        <v>3661</v>
      </c>
      <c r="AB478" s="138"/>
      <c r="AC478" s="138" t="s">
        <v>2631</v>
      </c>
      <c r="AD478" s="96"/>
      <c r="AE478" s="80"/>
      <c r="AF478" s="80"/>
      <c r="AG478" s="80"/>
      <c r="AH478" s="83"/>
      <c r="AI478" s="83"/>
      <c r="AJ478" s="84"/>
      <c r="AK478" s="84"/>
      <c r="AL478" s="84"/>
      <c r="AM478" s="84"/>
      <c r="AN478" s="84"/>
      <c r="AO478" s="84"/>
      <c r="AP478" s="84"/>
      <c r="AQ478" s="95" t="s">
        <v>364</v>
      </c>
      <c r="AR478" s="72"/>
      <c r="AS478" s="72"/>
      <c r="AT478" s="72"/>
      <c r="AU478" s="72"/>
      <c r="AV478" s="72"/>
      <c r="AW478" s="72"/>
      <c r="AX478" s="72"/>
      <c r="AY478" s="72"/>
      <c r="AZ478" s="72"/>
      <c r="BA478" s="72"/>
      <c r="BB478" s="16"/>
      <c r="BC478" s="72"/>
      <c r="BD478" s="20"/>
      <c r="BE478" s="352"/>
    </row>
    <row r="479" spans="1:57" s="81" customFormat="1" ht="12.95" hidden="1" customHeight="1">
      <c r="A479" s="348"/>
      <c r="B479" s="350"/>
      <c r="C479" s="248" t="s">
        <v>1188</v>
      </c>
      <c r="D479" s="239" t="s">
        <v>3752</v>
      </c>
      <c r="E479" s="58"/>
      <c r="F479" s="59" t="s">
        <v>3753</v>
      </c>
      <c r="G479" s="191" t="s">
        <v>2511</v>
      </c>
      <c r="H479" s="192" t="s">
        <v>365</v>
      </c>
      <c r="I479" s="61" t="s">
        <v>2511</v>
      </c>
      <c r="J479" s="61" t="s">
        <v>2511</v>
      </c>
      <c r="K479" s="62" t="s">
        <v>2511</v>
      </c>
      <c r="L479" s="60" t="s">
        <v>2511</v>
      </c>
      <c r="M479" s="61" t="s">
        <v>2389</v>
      </c>
      <c r="N479" s="61" t="s">
        <v>2511</v>
      </c>
      <c r="O479" s="61" t="s">
        <v>2511</v>
      </c>
      <c r="P479" s="62" t="s">
        <v>2511</v>
      </c>
      <c r="Q479" s="82"/>
      <c r="R479" s="82"/>
      <c r="S479" s="82"/>
      <c r="T479" s="82"/>
      <c r="U479" s="82"/>
      <c r="V479" s="138" t="s">
        <v>3754</v>
      </c>
      <c r="W479" s="57" t="s">
        <v>3660</v>
      </c>
      <c r="X479" s="126" t="s">
        <v>2511</v>
      </c>
      <c r="Y479" s="126" t="s">
        <v>2511</v>
      </c>
      <c r="Z479" s="57"/>
      <c r="AA479" s="57" t="s">
        <v>3661</v>
      </c>
      <c r="AB479" s="138"/>
      <c r="AC479" s="138" t="s">
        <v>2631</v>
      </c>
      <c r="AD479" s="96"/>
      <c r="AE479" s="80"/>
      <c r="AF479" s="80"/>
      <c r="AG479" s="80"/>
      <c r="AH479" s="83"/>
      <c r="AI479" s="83"/>
      <c r="AJ479" s="84"/>
      <c r="AK479" s="84"/>
      <c r="AL479" s="84"/>
      <c r="AM479" s="84"/>
      <c r="AN479" s="84"/>
      <c r="AO479" s="84"/>
      <c r="AP479" s="84"/>
      <c r="AQ479" s="95" t="s">
        <v>365</v>
      </c>
      <c r="AR479" s="72"/>
      <c r="AS479" s="72"/>
      <c r="AT479" s="72"/>
      <c r="AU479" s="72"/>
      <c r="AV479" s="72"/>
      <c r="AW479" s="72"/>
      <c r="AX479" s="72"/>
      <c r="AY479" s="72"/>
      <c r="AZ479" s="72"/>
      <c r="BA479" s="72"/>
      <c r="BB479" s="16"/>
      <c r="BC479" s="72"/>
      <c r="BD479" s="20"/>
      <c r="BE479" s="352"/>
    </row>
    <row r="480" spans="1:57" s="81" customFormat="1" ht="12.95" hidden="1" customHeight="1">
      <c r="A480" s="348"/>
      <c r="B480" s="350"/>
      <c r="C480" s="248" t="s">
        <v>1189</v>
      </c>
      <c r="D480" s="239" t="s">
        <v>3755</v>
      </c>
      <c r="E480" s="58"/>
      <c r="F480" s="59" t="s">
        <v>3756</v>
      </c>
      <c r="G480" s="191" t="s">
        <v>2511</v>
      </c>
      <c r="H480" s="192" t="s">
        <v>366</v>
      </c>
      <c r="I480" s="61" t="s">
        <v>2511</v>
      </c>
      <c r="J480" s="61" t="s">
        <v>2511</v>
      </c>
      <c r="K480" s="62" t="s">
        <v>2511</v>
      </c>
      <c r="L480" s="60" t="s">
        <v>2511</v>
      </c>
      <c r="M480" s="61" t="s">
        <v>2389</v>
      </c>
      <c r="N480" s="61" t="s">
        <v>2511</v>
      </c>
      <c r="O480" s="61" t="s">
        <v>2511</v>
      </c>
      <c r="P480" s="62" t="s">
        <v>2511</v>
      </c>
      <c r="Q480" s="82"/>
      <c r="R480" s="82"/>
      <c r="S480" s="82"/>
      <c r="T480" s="82"/>
      <c r="U480" s="82"/>
      <c r="V480" s="138" t="s">
        <v>3757</v>
      </c>
      <c r="W480" s="57" t="s">
        <v>3660</v>
      </c>
      <c r="X480" s="126" t="s">
        <v>2511</v>
      </c>
      <c r="Y480" s="126" t="s">
        <v>2511</v>
      </c>
      <c r="Z480" s="57"/>
      <c r="AA480" s="57" t="s">
        <v>3661</v>
      </c>
      <c r="AB480" s="138"/>
      <c r="AC480" s="138" t="s">
        <v>2631</v>
      </c>
      <c r="AD480" s="96"/>
      <c r="AE480" s="80"/>
      <c r="AF480" s="80"/>
      <c r="AG480" s="80"/>
      <c r="AH480" s="83"/>
      <c r="AI480" s="83"/>
      <c r="AJ480" s="84"/>
      <c r="AK480" s="84"/>
      <c r="AL480" s="84"/>
      <c r="AM480" s="84"/>
      <c r="AN480" s="84"/>
      <c r="AO480" s="84"/>
      <c r="AP480" s="84"/>
      <c r="AQ480" s="95" t="s">
        <v>366</v>
      </c>
      <c r="AR480" s="72"/>
      <c r="AS480" s="72"/>
      <c r="AT480" s="72"/>
      <c r="AU480" s="72"/>
      <c r="AV480" s="72"/>
      <c r="AW480" s="72"/>
      <c r="AX480" s="72"/>
      <c r="AY480" s="72"/>
      <c r="AZ480" s="72"/>
      <c r="BA480" s="72"/>
      <c r="BB480" s="16"/>
      <c r="BC480" s="72"/>
      <c r="BD480" s="20"/>
      <c r="BE480" s="352"/>
    </row>
    <row r="481" spans="1:57" s="81" customFormat="1" ht="12.95" hidden="1" customHeight="1">
      <c r="A481" s="348"/>
      <c r="B481" s="350"/>
      <c r="C481" s="270" t="s">
        <v>1190</v>
      </c>
      <c r="D481" s="239" t="s">
        <v>3758</v>
      </c>
      <c r="E481" s="58"/>
      <c r="F481" s="59" t="s">
        <v>3759</v>
      </c>
      <c r="G481" s="191" t="s">
        <v>2511</v>
      </c>
      <c r="H481" s="192" t="s">
        <v>367</v>
      </c>
      <c r="I481" s="61" t="s">
        <v>2511</v>
      </c>
      <c r="J481" s="61" t="s">
        <v>2511</v>
      </c>
      <c r="K481" s="62" t="s">
        <v>2511</v>
      </c>
      <c r="L481" s="60" t="s">
        <v>2511</v>
      </c>
      <c r="M481" s="61" t="s">
        <v>2389</v>
      </c>
      <c r="N481" s="61" t="s">
        <v>2511</v>
      </c>
      <c r="O481" s="61" t="s">
        <v>2511</v>
      </c>
      <c r="P481" s="62" t="s">
        <v>2511</v>
      </c>
      <c r="Q481" s="82"/>
      <c r="R481" s="82"/>
      <c r="S481" s="82"/>
      <c r="T481" s="82"/>
      <c r="U481" s="82"/>
      <c r="V481" s="138" t="s">
        <v>3760</v>
      </c>
      <c r="W481" s="57" t="s">
        <v>3660</v>
      </c>
      <c r="X481" s="126" t="s">
        <v>2511</v>
      </c>
      <c r="Y481" s="126" t="s">
        <v>2511</v>
      </c>
      <c r="Z481" s="57"/>
      <c r="AA481" s="57" t="s">
        <v>3661</v>
      </c>
      <c r="AB481" s="138"/>
      <c r="AC481" s="138" t="s">
        <v>2631</v>
      </c>
      <c r="AD481" s="96"/>
      <c r="AE481" s="80"/>
      <c r="AF481" s="80"/>
      <c r="AG481" s="80"/>
      <c r="AH481" s="83"/>
      <c r="AI481" s="83"/>
      <c r="AJ481" s="84"/>
      <c r="AK481" s="84"/>
      <c r="AL481" s="84"/>
      <c r="AM481" s="84"/>
      <c r="AN481" s="84"/>
      <c r="AO481" s="84"/>
      <c r="AP481" s="84"/>
      <c r="AQ481" s="95" t="s">
        <v>367</v>
      </c>
      <c r="AR481" s="72"/>
      <c r="AS481" s="72"/>
      <c r="AT481" s="72"/>
      <c r="AU481" s="72"/>
      <c r="AV481" s="72"/>
      <c r="AW481" s="72"/>
      <c r="AX481" s="72"/>
      <c r="AY481" s="72"/>
      <c r="AZ481" s="72"/>
      <c r="BA481" s="72"/>
      <c r="BB481" s="16"/>
      <c r="BC481" s="72"/>
      <c r="BD481" s="20"/>
      <c r="BE481" s="352"/>
    </row>
    <row r="482" spans="1:57" s="81" customFormat="1" ht="12.95" hidden="1" customHeight="1">
      <c r="A482" s="348"/>
      <c r="B482" s="350"/>
      <c r="C482" s="270" t="s">
        <v>1191</v>
      </c>
      <c r="D482" s="239" t="s">
        <v>3761</v>
      </c>
      <c r="E482" s="58"/>
      <c r="F482" s="59" t="s">
        <v>3762</v>
      </c>
      <c r="G482" s="191" t="s">
        <v>2511</v>
      </c>
      <c r="H482" s="192" t="s">
        <v>368</v>
      </c>
      <c r="I482" s="61" t="s">
        <v>2511</v>
      </c>
      <c r="J482" s="61" t="s">
        <v>2511</v>
      </c>
      <c r="K482" s="62" t="s">
        <v>2511</v>
      </c>
      <c r="L482" s="60" t="s">
        <v>2511</v>
      </c>
      <c r="M482" s="61" t="s">
        <v>2389</v>
      </c>
      <c r="N482" s="61" t="s">
        <v>2511</v>
      </c>
      <c r="O482" s="61" t="s">
        <v>2511</v>
      </c>
      <c r="P482" s="62" t="s">
        <v>2511</v>
      </c>
      <c r="Q482" s="82"/>
      <c r="R482" s="82"/>
      <c r="S482" s="82"/>
      <c r="T482" s="82"/>
      <c r="U482" s="82"/>
      <c r="V482" s="138" t="s">
        <v>3763</v>
      </c>
      <c r="W482" s="57" t="s">
        <v>3660</v>
      </c>
      <c r="X482" s="126" t="s">
        <v>2511</v>
      </c>
      <c r="Y482" s="126" t="s">
        <v>2511</v>
      </c>
      <c r="Z482" s="57"/>
      <c r="AA482" s="57" t="s">
        <v>3661</v>
      </c>
      <c r="AB482" s="138"/>
      <c r="AC482" s="138" t="s">
        <v>2631</v>
      </c>
      <c r="AD482" s="96"/>
      <c r="AE482" s="80"/>
      <c r="AF482" s="80"/>
      <c r="AG482" s="80"/>
      <c r="AH482" s="83"/>
      <c r="AI482" s="83"/>
      <c r="AJ482" s="84"/>
      <c r="AK482" s="84"/>
      <c r="AL482" s="84"/>
      <c r="AM482" s="84"/>
      <c r="AN482" s="84"/>
      <c r="AO482" s="84"/>
      <c r="AP482" s="84"/>
      <c r="AQ482" s="95" t="s">
        <v>368</v>
      </c>
      <c r="AR482" s="72"/>
      <c r="AS482" s="72"/>
      <c r="AT482" s="72"/>
      <c r="AU482" s="72"/>
      <c r="AV482" s="72"/>
      <c r="AW482" s="72"/>
      <c r="AX482" s="72"/>
      <c r="AY482" s="72"/>
      <c r="AZ482" s="72"/>
      <c r="BA482" s="72"/>
      <c r="BB482" s="16"/>
      <c r="BC482" s="72"/>
      <c r="BD482" s="20"/>
      <c r="BE482" s="352"/>
    </row>
    <row r="483" spans="1:57" s="81" customFormat="1" ht="12.95" hidden="1" customHeight="1">
      <c r="A483" s="348"/>
      <c r="B483" s="350"/>
      <c r="C483" s="248" t="s">
        <v>1192</v>
      </c>
      <c r="D483" s="239" t="s">
        <v>3764</v>
      </c>
      <c r="E483" s="58"/>
      <c r="F483" s="59" t="s">
        <v>3765</v>
      </c>
      <c r="G483" s="191" t="s">
        <v>2511</v>
      </c>
      <c r="H483" s="192" t="s">
        <v>369</v>
      </c>
      <c r="I483" s="61" t="s">
        <v>2511</v>
      </c>
      <c r="J483" s="61" t="s">
        <v>2511</v>
      </c>
      <c r="K483" s="62" t="s">
        <v>2511</v>
      </c>
      <c r="L483" s="60" t="s">
        <v>2511</v>
      </c>
      <c r="M483" s="61" t="s">
        <v>2389</v>
      </c>
      <c r="N483" s="61" t="s">
        <v>2511</v>
      </c>
      <c r="O483" s="61" t="s">
        <v>2511</v>
      </c>
      <c r="P483" s="62" t="s">
        <v>2511</v>
      </c>
      <c r="Q483" s="82"/>
      <c r="R483" s="82"/>
      <c r="S483" s="82"/>
      <c r="T483" s="82"/>
      <c r="U483" s="82"/>
      <c r="V483" s="138" t="s">
        <v>3766</v>
      </c>
      <c r="W483" s="57" t="s">
        <v>3660</v>
      </c>
      <c r="X483" s="126" t="s">
        <v>2511</v>
      </c>
      <c r="Y483" s="126" t="s">
        <v>2511</v>
      </c>
      <c r="Z483" s="57"/>
      <c r="AA483" s="57" t="s">
        <v>3661</v>
      </c>
      <c r="AB483" s="138"/>
      <c r="AC483" s="138">
        <v>0</v>
      </c>
      <c r="AD483" s="96"/>
      <c r="AE483" s="80"/>
      <c r="AF483" s="80"/>
      <c r="AG483" s="80"/>
      <c r="AH483" s="83"/>
      <c r="AI483" s="83"/>
      <c r="AJ483" s="84"/>
      <c r="AK483" s="84"/>
      <c r="AL483" s="84"/>
      <c r="AM483" s="84"/>
      <c r="AN483" s="84"/>
      <c r="AO483" s="84"/>
      <c r="AP483" s="84"/>
      <c r="AQ483" s="95" t="s">
        <v>369</v>
      </c>
      <c r="AR483" s="72"/>
      <c r="AS483" s="72"/>
      <c r="AT483" s="72"/>
      <c r="AU483" s="72"/>
      <c r="AV483" s="72"/>
      <c r="AW483" s="72"/>
      <c r="AX483" s="72"/>
      <c r="AY483" s="72"/>
      <c r="AZ483" s="72"/>
      <c r="BA483" s="72"/>
      <c r="BB483" s="16"/>
      <c r="BC483" s="72"/>
      <c r="BD483" s="20"/>
      <c r="BE483" s="352"/>
    </row>
    <row r="484" spans="1:57" s="81" customFormat="1" ht="12.95" hidden="1" customHeight="1">
      <c r="A484" s="348"/>
      <c r="B484" s="350"/>
      <c r="C484" s="248" t="s">
        <v>1193</v>
      </c>
      <c r="D484" s="239" t="s">
        <v>3767</v>
      </c>
      <c r="E484" s="58"/>
      <c r="F484" s="59" t="s">
        <v>3768</v>
      </c>
      <c r="G484" s="191" t="s">
        <v>2511</v>
      </c>
      <c r="H484" s="192" t="s">
        <v>370</v>
      </c>
      <c r="I484" s="61" t="s">
        <v>2511</v>
      </c>
      <c r="J484" s="61" t="s">
        <v>2511</v>
      </c>
      <c r="K484" s="62" t="s">
        <v>2511</v>
      </c>
      <c r="L484" s="60" t="s">
        <v>2511</v>
      </c>
      <c r="M484" s="61" t="s">
        <v>2389</v>
      </c>
      <c r="N484" s="61" t="s">
        <v>2511</v>
      </c>
      <c r="O484" s="61" t="s">
        <v>2511</v>
      </c>
      <c r="P484" s="62" t="s">
        <v>2511</v>
      </c>
      <c r="Q484" s="82"/>
      <c r="R484" s="82"/>
      <c r="S484" s="82"/>
      <c r="T484" s="82"/>
      <c r="U484" s="82"/>
      <c r="V484" s="138" t="s">
        <v>3769</v>
      </c>
      <c r="W484" s="57" t="s">
        <v>3660</v>
      </c>
      <c r="X484" s="126" t="s">
        <v>2511</v>
      </c>
      <c r="Y484" s="126" t="s">
        <v>2511</v>
      </c>
      <c r="Z484" s="57"/>
      <c r="AA484" s="57" t="s">
        <v>3661</v>
      </c>
      <c r="AB484" s="138"/>
      <c r="AC484" s="138" t="s">
        <v>2631</v>
      </c>
      <c r="AD484" s="96"/>
      <c r="AE484" s="80"/>
      <c r="AF484" s="80"/>
      <c r="AG484" s="80"/>
      <c r="AH484" s="83"/>
      <c r="AI484" s="83"/>
      <c r="AJ484" s="84"/>
      <c r="AK484" s="84"/>
      <c r="AL484" s="84"/>
      <c r="AM484" s="84"/>
      <c r="AN484" s="84"/>
      <c r="AO484" s="84"/>
      <c r="AP484" s="84"/>
      <c r="AQ484" s="95" t="s">
        <v>370</v>
      </c>
      <c r="AR484" s="72"/>
      <c r="AS484" s="72"/>
      <c r="AT484" s="72"/>
      <c r="AU484" s="72"/>
      <c r="AV484" s="72"/>
      <c r="AW484" s="72"/>
      <c r="AX484" s="72"/>
      <c r="AY484" s="72"/>
      <c r="AZ484" s="72"/>
      <c r="BA484" s="72"/>
      <c r="BB484" s="16"/>
      <c r="BC484" s="72"/>
      <c r="BD484" s="20"/>
      <c r="BE484" s="352"/>
    </row>
    <row r="485" spans="1:57" s="81" customFormat="1" ht="12.95" hidden="1" customHeight="1">
      <c r="A485" s="348"/>
      <c r="B485" s="350"/>
      <c r="C485" s="248" t="s">
        <v>1194</v>
      </c>
      <c r="D485" s="239" t="s">
        <v>3770</v>
      </c>
      <c r="E485" s="58"/>
      <c r="F485" s="59" t="s">
        <v>3771</v>
      </c>
      <c r="G485" s="191" t="s">
        <v>2511</v>
      </c>
      <c r="H485" s="192" t="s">
        <v>371</v>
      </c>
      <c r="I485" s="61" t="s">
        <v>2511</v>
      </c>
      <c r="J485" s="61" t="s">
        <v>2511</v>
      </c>
      <c r="K485" s="62" t="s">
        <v>2511</v>
      </c>
      <c r="L485" s="60" t="s">
        <v>2511</v>
      </c>
      <c r="M485" s="61" t="s">
        <v>2389</v>
      </c>
      <c r="N485" s="61" t="s">
        <v>2511</v>
      </c>
      <c r="O485" s="61" t="s">
        <v>2511</v>
      </c>
      <c r="P485" s="62" t="s">
        <v>2511</v>
      </c>
      <c r="Q485" s="82"/>
      <c r="R485" s="82"/>
      <c r="S485" s="82"/>
      <c r="T485" s="82"/>
      <c r="U485" s="82"/>
      <c r="V485" s="138" t="s">
        <v>3772</v>
      </c>
      <c r="W485" s="57" t="s">
        <v>3660</v>
      </c>
      <c r="X485" s="126" t="s">
        <v>2511</v>
      </c>
      <c r="Y485" s="126" t="s">
        <v>2511</v>
      </c>
      <c r="Z485" s="57"/>
      <c r="AA485" s="57" t="s">
        <v>3661</v>
      </c>
      <c r="AB485" s="138"/>
      <c r="AC485" s="138" t="s">
        <v>2631</v>
      </c>
      <c r="AD485" s="96"/>
      <c r="AE485" s="80"/>
      <c r="AF485" s="80"/>
      <c r="AG485" s="80"/>
      <c r="AH485" s="83"/>
      <c r="AI485" s="83"/>
      <c r="AJ485" s="84"/>
      <c r="AK485" s="84"/>
      <c r="AL485" s="84"/>
      <c r="AM485" s="84"/>
      <c r="AN485" s="84"/>
      <c r="AO485" s="84"/>
      <c r="AP485" s="84"/>
      <c r="AQ485" s="95" t="s">
        <v>371</v>
      </c>
      <c r="AR485" s="72"/>
      <c r="AS485" s="72"/>
      <c r="AT485" s="72"/>
      <c r="AU485" s="72"/>
      <c r="AV485" s="72"/>
      <c r="AW485" s="72"/>
      <c r="AX485" s="72"/>
      <c r="AY485" s="72"/>
      <c r="AZ485" s="72"/>
      <c r="BA485" s="72"/>
      <c r="BB485" s="16"/>
      <c r="BC485" s="72"/>
      <c r="BD485" s="20"/>
      <c r="BE485" s="352"/>
    </row>
    <row r="486" spans="1:57" s="81" customFormat="1" ht="12.95" hidden="1" customHeight="1">
      <c r="A486" s="348"/>
      <c r="B486" s="350"/>
      <c r="C486" s="248" t="s">
        <v>1195</v>
      </c>
      <c r="D486" s="239" t="s">
        <v>3773</v>
      </c>
      <c r="E486" s="58"/>
      <c r="F486" s="59" t="s">
        <v>3774</v>
      </c>
      <c r="G486" s="191" t="s">
        <v>2511</v>
      </c>
      <c r="H486" s="192" t="s">
        <v>372</v>
      </c>
      <c r="I486" s="61" t="s">
        <v>2511</v>
      </c>
      <c r="J486" s="61" t="s">
        <v>2511</v>
      </c>
      <c r="K486" s="62" t="s">
        <v>2511</v>
      </c>
      <c r="L486" s="60" t="s">
        <v>2511</v>
      </c>
      <c r="M486" s="61" t="s">
        <v>2389</v>
      </c>
      <c r="N486" s="61" t="s">
        <v>2511</v>
      </c>
      <c r="O486" s="61" t="s">
        <v>2511</v>
      </c>
      <c r="P486" s="62" t="s">
        <v>2511</v>
      </c>
      <c r="Q486" s="82"/>
      <c r="R486" s="82"/>
      <c r="S486" s="82"/>
      <c r="T486" s="82"/>
      <c r="U486" s="82"/>
      <c r="V486" s="138" t="s">
        <v>3775</v>
      </c>
      <c r="W486" s="57" t="s">
        <v>3660</v>
      </c>
      <c r="X486" s="126" t="s">
        <v>2511</v>
      </c>
      <c r="Y486" s="126" t="s">
        <v>2511</v>
      </c>
      <c r="Z486" s="57"/>
      <c r="AA486" s="57" t="s">
        <v>3661</v>
      </c>
      <c r="AB486" s="138"/>
      <c r="AC486" s="138" t="s">
        <v>2631</v>
      </c>
      <c r="AD486" s="96"/>
      <c r="AE486" s="80"/>
      <c r="AF486" s="80"/>
      <c r="AG486" s="80"/>
      <c r="AH486" s="83"/>
      <c r="AI486" s="83"/>
      <c r="AJ486" s="84"/>
      <c r="AK486" s="84"/>
      <c r="AL486" s="84"/>
      <c r="AM486" s="84"/>
      <c r="AN486" s="84"/>
      <c r="AO486" s="84"/>
      <c r="AP486" s="84"/>
      <c r="AQ486" s="95" t="s">
        <v>372</v>
      </c>
      <c r="AR486" s="72"/>
      <c r="AS486" s="72"/>
      <c r="AT486" s="72"/>
      <c r="AU486" s="72"/>
      <c r="AV486" s="72"/>
      <c r="AW486" s="72"/>
      <c r="AX486" s="72"/>
      <c r="AY486" s="72"/>
      <c r="AZ486" s="72"/>
      <c r="BA486" s="72"/>
      <c r="BB486" s="16"/>
      <c r="BC486" s="72"/>
      <c r="BD486" s="20"/>
      <c r="BE486" s="352"/>
    </row>
    <row r="487" spans="1:57" s="81" customFormat="1" ht="12.95" hidden="1" customHeight="1">
      <c r="A487" s="348"/>
      <c r="B487" s="350"/>
      <c r="C487" s="248" t="s">
        <v>1196</v>
      </c>
      <c r="D487" s="239" t="s">
        <v>3776</v>
      </c>
      <c r="E487" s="58"/>
      <c r="F487" s="59" t="s">
        <v>3777</v>
      </c>
      <c r="G487" s="191" t="s">
        <v>2511</v>
      </c>
      <c r="H487" s="192" t="s">
        <v>373</v>
      </c>
      <c r="I487" s="61" t="s">
        <v>2511</v>
      </c>
      <c r="J487" s="61" t="s">
        <v>2511</v>
      </c>
      <c r="K487" s="62" t="s">
        <v>2511</v>
      </c>
      <c r="L487" s="60" t="s">
        <v>2511</v>
      </c>
      <c r="M487" s="61" t="s">
        <v>2389</v>
      </c>
      <c r="N487" s="61" t="s">
        <v>2511</v>
      </c>
      <c r="O487" s="61" t="s">
        <v>2511</v>
      </c>
      <c r="P487" s="62" t="s">
        <v>2511</v>
      </c>
      <c r="Q487" s="82"/>
      <c r="R487" s="82"/>
      <c r="S487" s="82"/>
      <c r="T487" s="82"/>
      <c r="U487" s="82"/>
      <c r="V487" s="138" t="s">
        <v>3778</v>
      </c>
      <c r="W487" s="57" t="s">
        <v>3660</v>
      </c>
      <c r="X487" s="126" t="s">
        <v>2511</v>
      </c>
      <c r="Y487" s="126" t="s">
        <v>2511</v>
      </c>
      <c r="Z487" s="57"/>
      <c r="AA487" s="57" t="s">
        <v>3661</v>
      </c>
      <c r="AB487" s="138"/>
      <c r="AC487" s="138" t="s">
        <v>2631</v>
      </c>
      <c r="AD487" s="96"/>
      <c r="AE487" s="80"/>
      <c r="AF487" s="80"/>
      <c r="AG487" s="80"/>
      <c r="AH487" s="83"/>
      <c r="AI487" s="83"/>
      <c r="AJ487" s="84"/>
      <c r="AK487" s="84"/>
      <c r="AL487" s="84"/>
      <c r="AM487" s="84"/>
      <c r="AN487" s="84"/>
      <c r="AO487" s="84"/>
      <c r="AP487" s="84"/>
      <c r="AQ487" s="95" t="s">
        <v>373</v>
      </c>
      <c r="AR487" s="72"/>
      <c r="AS487" s="72"/>
      <c r="AT487" s="72"/>
      <c r="AU487" s="72"/>
      <c r="AV487" s="72"/>
      <c r="AW487" s="72"/>
      <c r="AX487" s="72"/>
      <c r="AY487" s="72"/>
      <c r="AZ487" s="72"/>
      <c r="BA487" s="72"/>
      <c r="BB487" s="16"/>
      <c r="BC487" s="72"/>
      <c r="BD487" s="20"/>
      <c r="BE487" s="352"/>
    </row>
    <row r="488" spans="1:57" s="81" customFormat="1" ht="12.95" hidden="1" customHeight="1">
      <c r="A488" s="348"/>
      <c r="B488" s="350"/>
      <c r="C488" s="248" t="s">
        <v>1197</v>
      </c>
      <c r="D488" s="239" t="s">
        <v>3779</v>
      </c>
      <c r="E488" s="58"/>
      <c r="F488" s="59" t="s">
        <v>3780</v>
      </c>
      <c r="G488" s="191" t="s">
        <v>2511</v>
      </c>
      <c r="H488" s="192" t="s">
        <v>374</v>
      </c>
      <c r="I488" s="61" t="s">
        <v>2511</v>
      </c>
      <c r="J488" s="61" t="s">
        <v>2511</v>
      </c>
      <c r="K488" s="62" t="s">
        <v>2511</v>
      </c>
      <c r="L488" s="60" t="s">
        <v>2511</v>
      </c>
      <c r="M488" s="61" t="s">
        <v>2389</v>
      </c>
      <c r="N488" s="61" t="s">
        <v>2511</v>
      </c>
      <c r="O488" s="61" t="s">
        <v>2511</v>
      </c>
      <c r="P488" s="62" t="s">
        <v>2511</v>
      </c>
      <c r="Q488" s="82"/>
      <c r="R488" s="82"/>
      <c r="S488" s="82"/>
      <c r="T488" s="82"/>
      <c r="U488" s="82"/>
      <c r="V488" s="138" t="s">
        <v>3781</v>
      </c>
      <c r="W488" s="57" t="s">
        <v>3660</v>
      </c>
      <c r="X488" s="126" t="s">
        <v>2511</v>
      </c>
      <c r="Y488" s="126" t="s">
        <v>2511</v>
      </c>
      <c r="Z488" s="57"/>
      <c r="AA488" s="57" t="s">
        <v>3661</v>
      </c>
      <c r="AB488" s="138"/>
      <c r="AC488" s="138" t="s">
        <v>2631</v>
      </c>
      <c r="AD488" s="96"/>
      <c r="AE488" s="80"/>
      <c r="AF488" s="80"/>
      <c r="AG488" s="80"/>
      <c r="AH488" s="83"/>
      <c r="AI488" s="83"/>
      <c r="AJ488" s="84"/>
      <c r="AK488" s="84"/>
      <c r="AL488" s="84"/>
      <c r="AM488" s="84"/>
      <c r="AN488" s="84"/>
      <c r="AO488" s="84"/>
      <c r="AP488" s="84"/>
      <c r="AQ488" s="95" t="s">
        <v>374</v>
      </c>
      <c r="AR488" s="72"/>
      <c r="AS488" s="72"/>
      <c r="AT488" s="72"/>
      <c r="AU488" s="72"/>
      <c r="AV488" s="72"/>
      <c r="AW488" s="72"/>
      <c r="AX488" s="72"/>
      <c r="AY488" s="72"/>
      <c r="AZ488" s="72"/>
      <c r="BA488" s="72"/>
      <c r="BB488" s="16"/>
      <c r="BC488" s="72"/>
      <c r="BD488" s="20"/>
      <c r="BE488" s="352"/>
    </row>
    <row r="489" spans="1:57" s="81" customFormat="1" ht="12.95" hidden="1" customHeight="1">
      <c r="A489" s="348"/>
      <c r="B489" s="350"/>
      <c r="C489" s="248" t="s">
        <v>1198</v>
      </c>
      <c r="D489" s="239" t="s">
        <v>3782</v>
      </c>
      <c r="E489" s="58"/>
      <c r="F489" s="59" t="s">
        <v>3783</v>
      </c>
      <c r="G489" s="191" t="s">
        <v>2511</v>
      </c>
      <c r="H489" s="192" t="s">
        <v>375</v>
      </c>
      <c r="I489" s="61" t="s">
        <v>2511</v>
      </c>
      <c r="J489" s="61" t="s">
        <v>2511</v>
      </c>
      <c r="K489" s="62" t="s">
        <v>2511</v>
      </c>
      <c r="L489" s="60" t="s">
        <v>2511</v>
      </c>
      <c r="M489" s="61" t="s">
        <v>2389</v>
      </c>
      <c r="N489" s="61" t="s">
        <v>2511</v>
      </c>
      <c r="O489" s="61" t="s">
        <v>2511</v>
      </c>
      <c r="P489" s="62" t="s">
        <v>2511</v>
      </c>
      <c r="Q489" s="82"/>
      <c r="R489" s="82"/>
      <c r="S489" s="82"/>
      <c r="T489" s="82"/>
      <c r="U489" s="82"/>
      <c r="V489" s="138" t="s">
        <v>3784</v>
      </c>
      <c r="W489" s="57" t="s">
        <v>3660</v>
      </c>
      <c r="X489" s="126" t="s">
        <v>2511</v>
      </c>
      <c r="Y489" s="126" t="s">
        <v>2511</v>
      </c>
      <c r="Z489" s="57"/>
      <c r="AA489" s="57" t="s">
        <v>3661</v>
      </c>
      <c r="AB489" s="138"/>
      <c r="AC489" s="138" t="s">
        <v>2631</v>
      </c>
      <c r="AD489" s="96"/>
      <c r="AE489" s="80"/>
      <c r="AF489" s="80"/>
      <c r="AG489" s="80"/>
      <c r="AH489" s="83"/>
      <c r="AI489" s="83"/>
      <c r="AJ489" s="84"/>
      <c r="AK489" s="84"/>
      <c r="AL489" s="84"/>
      <c r="AM489" s="84"/>
      <c r="AN489" s="84"/>
      <c r="AO489" s="84"/>
      <c r="AP489" s="84"/>
      <c r="AQ489" s="95" t="s">
        <v>375</v>
      </c>
      <c r="AR489" s="72"/>
      <c r="AS489" s="72"/>
      <c r="AT489" s="72"/>
      <c r="AU489" s="72"/>
      <c r="AV489" s="72"/>
      <c r="AW489" s="72"/>
      <c r="AX489" s="72"/>
      <c r="AY489" s="72"/>
      <c r="AZ489" s="72"/>
      <c r="BA489" s="72"/>
      <c r="BB489" s="16"/>
      <c r="BC489" s="72"/>
      <c r="BD489" s="20"/>
      <c r="BE489" s="352"/>
    </row>
    <row r="490" spans="1:57" s="81" customFormat="1" ht="12.95" hidden="1" customHeight="1">
      <c r="A490" s="348"/>
      <c r="B490" s="350"/>
      <c r="C490" s="248" t="s">
        <v>1199</v>
      </c>
      <c r="D490" s="239" t="s">
        <v>3785</v>
      </c>
      <c r="E490" s="58"/>
      <c r="F490" s="59" t="s">
        <v>3786</v>
      </c>
      <c r="G490" s="191" t="s">
        <v>2511</v>
      </c>
      <c r="H490" s="192" t="s">
        <v>376</v>
      </c>
      <c r="I490" s="61" t="s">
        <v>2511</v>
      </c>
      <c r="J490" s="61" t="s">
        <v>2511</v>
      </c>
      <c r="K490" s="62" t="s">
        <v>2511</v>
      </c>
      <c r="L490" s="60" t="s">
        <v>2511</v>
      </c>
      <c r="M490" s="61" t="s">
        <v>2389</v>
      </c>
      <c r="N490" s="61" t="s">
        <v>2511</v>
      </c>
      <c r="O490" s="61" t="s">
        <v>2511</v>
      </c>
      <c r="P490" s="62" t="s">
        <v>2511</v>
      </c>
      <c r="Q490" s="82"/>
      <c r="R490" s="82"/>
      <c r="S490" s="82"/>
      <c r="T490" s="82"/>
      <c r="U490" s="82"/>
      <c r="V490" s="138" t="s">
        <v>3787</v>
      </c>
      <c r="W490" s="57" t="s">
        <v>3660</v>
      </c>
      <c r="X490" s="126" t="s">
        <v>2511</v>
      </c>
      <c r="Y490" s="126" t="s">
        <v>2511</v>
      </c>
      <c r="Z490" s="57"/>
      <c r="AA490" s="57" t="s">
        <v>3661</v>
      </c>
      <c r="AB490" s="138"/>
      <c r="AC490" s="138" t="s">
        <v>2631</v>
      </c>
      <c r="AD490" s="96"/>
      <c r="AE490" s="80"/>
      <c r="AF490" s="80"/>
      <c r="AG490" s="80"/>
      <c r="AH490" s="83"/>
      <c r="AI490" s="83"/>
      <c r="AJ490" s="84"/>
      <c r="AK490" s="84"/>
      <c r="AL490" s="84"/>
      <c r="AM490" s="84"/>
      <c r="AN490" s="84"/>
      <c r="AO490" s="84"/>
      <c r="AP490" s="84"/>
      <c r="AQ490" s="95" t="s">
        <v>376</v>
      </c>
      <c r="AR490" s="72"/>
      <c r="AS490" s="72"/>
      <c r="AT490" s="72"/>
      <c r="AU490" s="72"/>
      <c r="AV490" s="72"/>
      <c r="AW490" s="72"/>
      <c r="AX490" s="72"/>
      <c r="AY490" s="72"/>
      <c r="AZ490" s="72"/>
      <c r="BA490" s="72"/>
      <c r="BB490" s="16"/>
      <c r="BC490" s="72"/>
      <c r="BD490" s="20"/>
      <c r="BE490" s="352"/>
    </row>
    <row r="491" spans="1:57" s="81" customFormat="1" ht="12.95" hidden="1" customHeight="1">
      <c r="A491" s="348"/>
      <c r="B491" s="350"/>
      <c r="C491" s="248" t="s">
        <v>1200</v>
      </c>
      <c r="D491" s="239" t="s">
        <v>3788</v>
      </c>
      <c r="E491" s="58"/>
      <c r="F491" s="59" t="s">
        <v>3789</v>
      </c>
      <c r="G491" s="191" t="s">
        <v>2511</v>
      </c>
      <c r="H491" s="192" t="s">
        <v>377</v>
      </c>
      <c r="I491" s="61" t="s">
        <v>2511</v>
      </c>
      <c r="J491" s="61" t="s">
        <v>2511</v>
      </c>
      <c r="K491" s="62" t="s">
        <v>2511</v>
      </c>
      <c r="L491" s="60" t="s">
        <v>2511</v>
      </c>
      <c r="M491" s="61" t="s">
        <v>2389</v>
      </c>
      <c r="N491" s="61" t="s">
        <v>2511</v>
      </c>
      <c r="O491" s="61" t="s">
        <v>2511</v>
      </c>
      <c r="P491" s="62" t="s">
        <v>2511</v>
      </c>
      <c r="Q491" s="82"/>
      <c r="R491" s="82"/>
      <c r="S491" s="82"/>
      <c r="T491" s="82"/>
      <c r="U491" s="82"/>
      <c r="V491" s="138" t="s">
        <v>3790</v>
      </c>
      <c r="W491" s="57" t="s">
        <v>3660</v>
      </c>
      <c r="X491" s="126" t="s">
        <v>2511</v>
      </c>
      <c r="Y491" s="126" t="s">
        <v>2511</v>
      </c>
      <c r="Z491" s="57"/>
      <c r="AA491" s="57" t="s">
        <v>3661</v>
      </c>
      <c r="AB491" s="138"/>
      <c r="AC491" s="138" t="s">
        <v>2631</v>
      </c>
      <c r="AD491" s="96"/>
      <c r="AE491" s="80"/>
      <c r="AF491" s="80"/>
      <c r="AG491" s="80"/>
      <c r="AH491" s="83"/>
      <c r="AI491" s="83"/>
      <c r="AJ491" s="84"/>
      <c r="AK491" s="84"/>
      <c r="AL491" s="84"/>
      <c r="AM491" s="84"/>
      <c r="AN491" s="84"/>
      <c r="AO491" s="84"/>
      <c r="AP491" s="84"/>
      <c r="AQ491" s="95" t="s">
        <v>377</v>
      </c>
      <c r="AR491" s="72"/>
      <c r="AS491" s="72"/>
      <c r="AT491" s="72"/>
      <c r="AU491" s="72"/>
      <c r="AV491" s="72"/>
      <c r="AW491" s="72"/>
      <c r="AX491" s="72"/>
      <c r="AY491" s="72"/>
      <c r="AZ491" s="72"/>
      <c r="BA491" s="72"/>
      <c r="BB491" s="16"/>
      <c r="BC491" s="72"/>
      <c r="BD491" s="20"/>
      <c r="BE491" s="352"/>
    </row>
    <row r="492" spans="1:57" s="81" customFormat="1" ht="12.95" hidden="1" customHeight="1">
      <c r="A492" s="348"/>
      <c r="B492" s="350"/>
      <c r="C492" s="248" t="s">
        <v>1201</v>
      </c>
      <c r="D492" s="239" t="s">
        <v>3791</v>
      </c>
      <c r="E492" s="58"/>
      <c r="F492" s="59" t="s">
        <v>3792</v>
      </c>
      <c r="G492" s="191" t="s">
        <v>2511</v>
      </c>
      <c r="H492" s="192" t="s">
        <v>378</v>
      </c>
      <c r="I492" s="61" t="s">
        <v>2511</v>
      </c>
      <c r="J492" s="61" t="s">
        <v>2511</v>
      </c>
      <c r="K492" s="62" t="s">
        <v>2511</v>
      </c>
      <c r="L492" s="60" t="s">
        <v>2511</v>
      </c>
      <c r="M492" s="61" t="s">
        <v>2389</v>
      </c>
      <c r="N492" s="61" t="s">
        <v>2511</v>
      </c>
      <c r="O492" s="61" t="s">
        <v>2511</v>
      </c>
      <c r="P492" s="62" t="s">
        <v>2511</v>
      </c>
      <c r="Q492" s="82"/>
      <c r="R492" s="82"/>
      <c r="S492" s="82"/>
      <c r="T492" s="82"/>
      <c r="U492" s="82"/>
      <c r="V492" s="138" t="s">
        <v>3793</v>
      </c>
      <c r="W492" s="57" t="s">
        <v>3660</v>
      </c>
      <c r="X492" s="126" t="s">
        <v>2511</v>
      </c>
      <c r="Y492" s="126" t="s">
        <v>2511</v>
      </c>
      <c r="Z492" s="57"/>
      <c r="AA492" s="57" t="s">
        <v>3661</v>
      </c>
      <c r="AB492" s="138"/>
      <c r="AC492" s="138" t="s">
        <v>2631</v>
      </c>
      <c r="AD492" s="96"/>
      <c r="AE492" s="80"/>
      <c r="AF492" s="80"/>
      <c r="AG492" s="80"/>
      <c r="AH492" s="83"/>
      <c r="AI492" s="83"/>
      <c r="AJ492" s="84"/>
      <c r="AK492" s="84"/>
      <c r="AL492" s="84"/>
      <c r="AM492" s="84"/>
      <c r="AN492" s="84"/>
      <c r="AO492" s="84"/>
      <c r="AP492" s="84"/>
      <c r="AQ492" s="95" t="s">
        <v>378</v>
      </c>
      <c r="AR492" s="72"/>
      <c r="AS492" s="72"/>
      <c r="AT492" s="72"/>
      <c r="AU492" s="72"/>
      <c r="AV492" s="72"/>
      <c r="AW492" s="72"/>
      <c r="AX492" s="72"/>
      <c r="AY492" s="72"/>
      <c r="AZ492" s="72"/>
      <c r="BA492" s="72"/>
      <c r="BB492" s="16"/>
      <c r="BC492" s="72"/>
      <c r="BD492" s="20"/>
      <c r="BE492" s="352"/>
    </row>
    <row r="493" spans="1:57" s="81" customFormat="1" ht="12.95" hidden="1" customHeight="1">
      <c r="A493" s="348"/>
      <c r="B493" s="350"/>
      <c r="C493" s="270" t="s">
        <v>1202</v>
      </c>
      <c r="D493" s="239" t="s">
        <v>3794</v>
      </c>
      <c r="E493" s="58"/>
      <c r="F493" s="59" t="s">
        <v>3795</v>
      </c>
      <c r="G493" s="191" t="s">
        <v>2511</v>
      </c>
      <c r="H493" s="192" t="s">
        <v>379</v>
      </c>
      <c r="I493" s="61" t="s">
        <v>2511</v>
      </c>
      <c r="J493" s="61" t="s">
        <v>2511</v>
      </c>
      <c r="K493" s="62" t="s">
        <v>2511</v>
      </c>
      <c r="L493" s="60" t="s">
        <v>2511</v>
      </c>
      <c r="M493" s="61" t="s">
        <v>2389</v>
      </c>
      <c r="N493" s="61" t="s">
        <v>2511</v>
      </c>
      <c r="O493" s="61" t="s">
        <v>2511</v>
      </c>
      <c r="P493" s="62" t="s">
        <v>2511</v>
      </c>
      <c r="Q493" s="82"/>
      <c r="R493" s="82"/>
      <c r="S493" s="82"/>
      <c r="T493" s="82"/>
      <c r="U493" s="82"/>
      <c r="V493" s="138" t="s">
        <v>3796</v>
      </c>
      <c r="W493" s="57" t="s">
        <v>3660</v>
      </c>
      <c r="X493" s="126" t="s">
        <v>2511</v>
      </c>
      <c r="Y493" s="126" t="s">
        <v>2511</v>
      </c>
      <c r="Z493" s="57"/>
      <c r="AA493" s="57" t="s">
        <v>3661</v>
      </c>
      <c r="AB493" s="138"/>
      <c r="AC493" s="138" t="s">
        <v>2631</v>
      </c>
      <c r="AD493" s="96"/>
      <c r="AE493" s="80"/>
      <c r="AF493" s="80"/>
      <c r="AG493" s="80"/>
      <c r="AH493" s="83"/>
      <c r="AI493" s="83"/>
      <c r="AJ493" s="84"/>
      <c r="AK493" s="84"/>
      <c r="AL493" s="84"/>
      <c r="AM493" s="84"/>
      <c r="AN493" s="84"/>
      <c r="AO493" s="84"/>
      <c r="AP493" s="84"/>
      <c r="AQ493" s="95" t="s">
        <v>379</v>
      </c>
      <c r="AR493" s="72"/>
      <c r="AS493" s="72"/>
      <c r="AT493" s="72"/>
      <c r="AU493" s="72"/>
      <c r="AV493" s="72"/>
      <c r="AW493" s="72"/>
      <c r="AX493" s="72"/>
      <c r="AY493" s="72"/>
      <c r="AZ493" s="72"/>
      <c r="BA493" s="72"/>
      <c r="BB493" s="16"/>
      <c r="BC493" s="72"/>
      <c r="BD493" s="20"/>
      <c r="BE493" s="352"/>
    </row>
    <row r="494" spans="1:57" s="81" customFormat="1" ht="12.95" hidden="1" customHeight="1">
      <c r="A494" s="348"/>
      <c r="B494" s="350"/>
      <c r="C494" s="270" t="s">
        <v>1203</v>
      </c>
      <c r="D494" s="239" t="s">
        <v>3797</v>
      </c>
      <c r="E494" s="58"/>
      <c r="F494" s="59" t="s">
        <v>3798</v>
      </c>
      <c r="G494" s="191" t="s">
        <v>2511</v>
      </c>
      <c r="H494" s="192" t="s">
        <v>380</v>
      </c>
      <c r="I494" s="61" t="s">
        <v>2511</v>
      </c>
      <c r="J494" s="61" t="s">
        <v>2511</v>
      </c>
      <c r="K494" s="62" t="s">
        <v>2511</v>
      </c>
      <c r="L494" s="60" t="s">
        <v>2511</v>
      </c>
      <c r="M494" s="61" t="s">
        <v>2389</v>
      </c>
      <c r="N494" s="61" t="s">
        <v>2511</v>
      </c>
      <c r="O494" s="61" t="s">
        <v>2511</v>
      </c>
      <c r="P494" s="62" t="s">
        <v>2511</v>
      </c>
      <c r="Q494" s="82"/>
      <c r="R494" s="82"/>
      <c r="S494" s="82"/>
      <c r="T494" s="82"/>
      <c r="U494" s="82"/>
      <c r="V494" s="138" t="s">
        <v>3799</v>
      </c>
      <c r="W494" s="57" t="s">
        <v>3660</v>
      </c>
      <c r="X494" s="126" t="s">
        <v>2511</v>
      </c>
      <c r="Y494" s="126" t="s">
        <v>2511</v>
      </c>
      <c r="Z494" s="57"/>
      <c r="AA494" s="57" t="s">
        <v>3661</v>
      </c>
      <c r="AB494" s="138"/>
      <c r="AC494" s="138" t="s">
        <v>2631</v>
      </c>
      <c r="AD494" s="96"/>
      <c r="AE494" s="80"/>
      <c r="AF494" s="80"/>
      <c r="AG494" s="80"/>
      <c r="AH494" s="83"/>
      <c r="AI494" s="83"/>
      <c r="AJ494" s="84"/>
      <c r="AK494" s="84"/>
      <c r="AL494" s="84"/>
      <c r="AM494" s="84"/>
      <c r="AN494" s="84"/>
      <c r="AO494" s="84"/>
      <c r="AP494" s="84"/>
      <c r="AQ494" s="95" t="s">
        <v>380</v>
      </c>
      <c r="AR494" s="72"/>
      <c r="AS494" s="72"/>
      <c r="AT494" s="72"/>
      <c r="AU494" s="72"/>
      <c r="AV494" s="72"/>
      <c r="AW494" s="72"/>
      <c r="AX494" s="72"/>
      <c r="AY494" s="72"/>
      <c r="AZ494" s="72"/>
      <c r="BA494" s="72"/>
      <c r="BB494" s="16"/>
      <c r="BC494" s="72"/>
      <c r="BD494" s="20"/>
      <c r="BE494" s="352"/>
    </row>
    <row r="495" spans="1:57" s="81" customFormat="1" ht="12.95" hidden="1" customHeight="1">
      <c r="A495" s="348"/>
      <c r="B495" s="350"/>
      <c r="C495" s="248" t="s">
        <v>1204</v>
      </c>
      <c r="D495" s="239" t="s">
        <v>3800</v>
      </c>
      <c r="E495" s="58"/>
      <c r="F495" s="59" t="s">
        <v>3801</v>
      </c>
      <c r="G495" s="191" t="s">
        <v>2511</v>
      </c>
      <c r="H495" s="192" t="s">
        <v>381</v>
      </c>
      <c r="I495" s="61" t="s">
        <v>2511</v>
      </c>
      <c r="J495" s="61" t="s">
        <v>2511</v>
      </c>
      <c r="K495" s="62" t="s">
        <v>2511</v>
      </c>
      <c r="L495" s="60" t="s">
        <v>2511</v>
      </c>
      <c r="M495" s="61" t="s">
        <v>2389</v>
      </c>
      <c r="N495" s="61" t="s">
        <v>2511</v>
      </c>
      <c r="O495" s="61" t="s">
        <v>2511</v>
      </c>
      <c r="P495" s="62" t="s">
        <v>2511</v>
      </c>
      <c r="Q495" s="82"/>
      <c r="R495" s="82"/>
      <c r="S495" s="82"/>
      <c r="T495" s="82"/>
      <c r="U495" s="82"/>
      <c r="V495" s="138" t="s">
        <v>3802</v>
      </c>
      <c r="W495" s="57" t="s">
        <v>3660</v>
      </c>
      <c r="X495" s="126" t="s">
        <v>2511</v>
      </c>
      <c r="Y495" s="126" t="s">
        <v>2511</v>
      </c>
      <c r="Z495" s="57"/>
      <c r="AA495" s="57" t="s">
        <v>3661</v>
      </c>
      <c r="AB495" s="138"/>
      <c r="AC495" s="138">
        <v>0</v>
      </c>
      <c r="AD495" s="96"/>
      <c r="AE495" s="80"/>
      <c r="AF495" s="80"/>
      <c r="AG495" s="80"/>
      <c r="AH495" s="83"/>
      <c r="AI495" s="83"/>
      <c r="AJ495" s="84"/>
      <c r="AK495" s="84"/>
      <c r="AL495" s="84"/>
      <c r="AM495" s="84"/>
      <c r="AN495" s="84"/>
      <c r="AO495" s="84"/>
      <c r="AP495" s="84"/>
      <c r="AQ495" s="95" t="s">
        <v>381</v>
      </c>
      <c r="AR495" s="72"/>
      <c r="AS495" s="72"/>
      <c r="AT495" s="72"/>
      <c r="AU495" s="72"/>
      <c r="AV495" s="72"/>
      <c r="AW495" s="72"/>
      <c r="AX495" s="72"/>
      <c r="AY495" s="72"/>
      <c r="AZ495" s="72"/>
      <c r="BA495" s="72"/>
      <c r="BB495" s="16"/>
      <c r="BC495" s="72"/>
      <c r="BD495" s="20"/>
      <c r="BE495" s="352"/>
    </row>
    <row r="496" spans="1:57" s="81" customFormat="1" ht="12.95" hidden="1" customHeight="1">
      <c r="A496" s="348"/>
      <c r="B496" s="350"/>
      <c r="C496" s="248" t="s">
        <v>1205</v>
      </c>
      <c r="D496" s="239" t="s">
        <v>3803</v>
      </c>
      <c r="E496" s="58"/>
      <c r="F496" s="59" t="s">
        <v>3804</v>
      </c>
      <c r="G496" s="191" t="s">
        <v>2511</v>
      </c>
      <c r="H496" s="192" t="s">
        <v>382</v>
      </c>
      <c r="I496" s="61" t="s">
        <v>2511</v>
      </c>
      <c r="J496" s="61" t="s">
        <v>2511</v>
      </c>
      <c r="K496" s="62" t="s">
        <v>2511</v>
      </c>
      <c r="L496" s="60" t="s">
        <v>2511</v>
      </c>
      <c r="M496" s="61" t="s">
        <v>2389</v>
      </c>
      <c r="N496" s="61" t="s">
        <v>2511</v>
      </c>
      <c r="O496" s="61" t="s">
        <v>2511</v>
      </c>
      <c r="P496" s="62" t="s">
        <v>2511</v>
      </c>
      <c r="Q496" s="82"/>
      <c r="R496" s="82"/>
      <c r="S496" s="82"/>
      <c r="T496" s="82"/>
      <c r="U496" s="82"/>
      <c r="V496" s="138" t="s">
        <v>3805</v>
      </c>
      <c r="W496" s="57" t="s">
        <v>3660</v>
      </c>
      <c r="X496" s="126" t="s">
        <v>2511</v>
      </c>
      <c r="Y496" s="126" t="s">
        <v>2511</v>
      </c>
      <c r="Z496" s="57"/>
      <c r="AA496" s="57" t="s">
        <v>3661</v>
      </c>
      <c r="AB496" s="138"/>
      <c r="AC496" s="138" t="s">
        <v>2631</v>
      </c>
      <c r="AD496" s="96"/>
      <c r="AE496" s="80"/>
      <c r="AF496" s="80"/>
      <c r="AG496" s="80"/>
      <c r="AH496" s="83"/>
      <c r="AI496" s="83"/>
      <c r="AJ496" s="84"/>
      <c r="AK496" s="84"/>
      <c r="AL496" s="84"/>
      <c r="AM496" s="84"/>
      <c r="AN496" s="84"/>
      <c r="AO496" s="84"/>
      <c r="AP496" s="84"/>
      <c r="AQ496" s="95" t="s">
        <v>382</v>
      </c>
      <c r="AR496" s="72"/>
      <c r="AS496" s="72"/>
      <c r="AT496" s="72"/>
      <c r="AU496" s="72"/>
      <c r="AV496" s="72"/>
      <c r="AW496" s="72"/>
      <c r="AX496" s="72"/>
      <c r="AY496" s="72"/>
      <c r="AZ496" s="72"/>
      <c r="BA496" s="72"/>
      <c r="BB496" s="16"/>
      <c r="BC496" s="72"/>
      <c r="BD496" s="20"/>
      <c r="BE496" s="352"/>
    </row>
    <row r="497" spans="1:57" s="81" customFormat="1" ht="12.95" hidden="1" customHeight="1">
      <c r="A497" s="348"/>
      <c r="B497" s="350"/>
      <c r="C497" s="248" t="s">
        <v>1206</v>
      </c>
      <c r="D497" s="239" t="s">
        <v>3806</v>
      </c>
      <c r="E497" s="58"/>
      <c r="F497" s="59" t="s">
        <v>3807</v>
      </c>
      <c r="G497" s="191" t="s">
        <v>2511</v>
      </c>
      <c r="H497" s="192" t="s">
        <v>383</v>
      </c>
      <c r="I497" s="61" t="s">
        <v>2511</v>
      </c>
      <c r="J497" s="61" t="s">
        <v>2511</v>
      </c>
      <c r="K497" s="62" t="s">
        <v>2511</v>
      </c>
      <c r="L497" s="60" t="s">
        <v>2511</v>
      </c>
      <c r="M497" s="61" t="s">
        <v>2389</v>
      </c>
      <c r="N497" s="61" t="s">
        <v>2511</v>
      </c>
      <c r="O497" s="61" t="s">
        <v>2511</v>
      </c>
      <c r="P497" s="62" t="s">
        <v>2511</v>
      </c>
      <c r="Q497" s="82"/>
      <c r="R497" s="82"/>
      <c r="S497" s="82"/>
      <c r="T497" s="82"/>
      <c r="U497" s="82"/>
      <c r="V497" s="138" t="s">
        <v>3808</v>
      </c>
      <c r="W497" s="57" t="s">
        <v>3660</v>
      </c>
      <c r="X497" s="126" t="s">
        <v>2511</v>
      </c>
      <c r="Y497" s="126" t="s">
        <v>2511</v>
      </c>
      <c r="Z497" s="57"/>
      <c r="AA497" s="57" t="s">
        <v>3661</v>
      </c>
      <c r="AB497" s="138"/>
      <c r="AC497" s="138" t="s">
        <v>2631</v>
      </c>
      <c r="AD497" s="96"/>
      <c r="AE497" s="80"/>
      <c r="AF497" s="80"/>
      <c r="AG497" s="80"/>
      <c r="AH497" s="83"/>
      <c r="AI497" s="83"/>
      <c r="AJ497" s="84"/>
      <c r="AK497" s="84"/>
      <c r="AL497" s="84"/>
      <c r="AM497" s="84"/>
      <c r="AN497" s="84"/>
      <c r="AO497" s="84"/>
      <c r="AP497" s="84"/>
      <c r="AQ497" s="95" t="s">
        <v>383</v>
      </c>
      <c r="AR497" s="72"/>
      <c r="AS497" s="72"/>
      <c r="AT497" s="72"/>
      <c r="AU497" s="72"/>
      <c r="AV497" s="72"/>
      <c r="AW497" s="72"/>
      <c r="AX497" s="72"/>
      <c r="AY497" s="72"/>
      <c r="AZ497" s="72"/>
      <c r="BA497" s="72"/>
      <c r="BB497" s="16"/>
      <c r="BC497" s="72"/>
      <c r="BD497" s="20"/>
      <c r="BE497" s="352"/>
    </row>
    <row r="498" spans="1:57" s="81" customFormat="1" ht="12.95" hidden="1" customHeight="1">
      <c r="A498" s="348"/>
      <c r="B498" s="350"/>
      <c r="C498" s="248" t="s">
        <v>1207</v>
      </c>
      <c r="D498" s="239" t="s">
        <v>3809</v>
      </c>
      <c r="E498" s="58"/>
      <c r="F498" s="59" t="s">
        <v>3810</v>
      </c>
      <c r="G498" s="191" t="s">
        <v>2511</v>
      </c>
      <c r="H498" s="192" t="s">
        <v>384</v>
      </c>
      <c r="I498" s="61" t="s">
        <v>2511</v>
      </c>
      <c r="J498" s="61" t="s">
        <v>2511</v>
      </c>
      <c r="K498" s="62" t="s">
        <v>2511</v>
      </c>
      <c r="L498" s="60" t="s">
        <v>2511</v>
      </c>
      <c r="M498" s="61" t="s">
        <v>2389</v>
      </c>
      <c r="N498" s="61" t="s">
        <v>2511</v>
      </c>
      <c r="O498" s="61" t="s">
        <v>2511</v>
      </c>
      <c r="P498" s="62" t="s">
        <v>2511</v>
      </c>
      <c r="Q498" s="82"/>
      <c r="R498" s="82"/>
      <c r="S498" s="82"/>
      <c r="T498" s="82"/>
      <c r="U498" s="82"/>
      <c r="V498" s="138" t="s">
        <v>3811</v>
      </c>
      <c r="W498" s="57" t="s">
        <v>3660</v>
      </c>
      <c r="X498" s="126" t="s">
        <v>2511</v>
      </c>
      <c r="Y498" s="126" t="s">
        <v>2511</v>
      </c>
      <c r="Z498" s="57"/>
      <c r="AA498" s="57" t="s">
        <v>3661</v>
      </c>
      <c r="AB498" s="138"/>
      <c r="AC498" s="138" t="s">
        <v>2631</v>
      </c>
      <c r="AD498" s="96"/>
      <c r="AE498" s="80"/>
      <c r="AF498" s="80"/>
      <c r="AG498" s="80"/>
      <c r="AH498" s="83"/>
      <c r="AI498" s="83"/>
      <c r="AJ498" s="84"/>
      <c r="AK498" s="84"/>
      <c r="AL498" s="84"/>
      <c r="AM498" s="84"/>
      <c r="AN498" s="84"/>
      <c r="AO498" s="84"/>
      <c r="AP498" s="84"/>
      <c r="AQ498" s="95" t="s">
        <v>384</v>
      </c>
      <c r="AR498" s="72"/>
      <c r="AS498" s="72"/>
      <c r="AT498" s="72"/>
      <c r="AU498" s="72"/>
      <c r="AV498" s="72"/>
      <c r="AW498" s="72"/>
      <c r="AX498" s="72"/>
      <c r="AY498" s="72"/>
      <c r="AZ498" s="72"/>
      <c r="BA498" s="72"/>
      <c r="BB498" s="16"/>
      <c r="BC498" s="72"/>
      <c r="BD498" s="20"/>
      <c r="BE498" s="352"/>
    </row>
    <row r="499" spans="1:57" s="81" customFormat="1" ht="12.95" hidden="1" customHeight="1">
      <c r="A499" s="348"/>
      <c r="B499" s="350"/>
      <c r="C499" s="248" t="s">
        <v>1208</v>
      </c>
      <c r="D499" s="239" t="s">
        <v>3812</v>
      </c>
      <c r="E499" s="58"/>
      <c r="F499" s="59" t="s">
        <v>3813</v>
      </c>
      <c r="G499" s="191" t="s">
        <v>2511</v>
      </c>
      <c r="H499" s="192" t="s">
        <v>385</v>
      </c>
      <c r="I499" s="61" t="s">
        <v>2511</v>
      </c>
      <c r="J499" s="61" t="s">
        <v>2511</v>
      </c>
      <c r="K499" s="62" t="s">
        <v>2511</v>
      </c>
      <c r="L499" s="60" t="s">
        <v>2511</v>
      </c>
      <c r="M499" s="61" t="s">
        <v>2389</v>
      </c>
      <c r="N499" s="61" t="s">
        <v>2511</v>
      </c>
      <c r="O499" s="61" t="s">
        <v>2511</v>
      </c>
      <c r="P499" s="62" t="s">
        <v>2511</v>
      </c>
      <c r="Q499" s="82"/>
      <c r="R499" s="82"/>
      <c r="S499" s="82"/>
      <c r="T499" s="82"/>
      <c r="U499" s="82"/>
      <c r="V499" s="138" t="s">
        <v>3814</v>
      </c>
      <c r="W499" s="57" t="s">
        <v>3660</v>
      </c>
      <c r="X499" s="126" t="s">
        <v>2511</v>
      </c>
      <c r="Y499" s="126" t="s">
        <v>2511</v>
      </c>
      <c r="Z499" s="57"/>
      <c r="AA499" s="57" t="s">
        <v>3661</v>
      </c>
      <c r="AB499" s="138"/>
      <c r="AC499" s="138" t="s">
        <v>2631</v>
      </c>
      <c r="AD499" s="96"/>
      <c r="AE499" s="80"/>
      <c r="AF499" s="80"/>
      <c r="AG499" s="80"/>
      <c r="AH499" s="83"/>
      <c r="AI499" s="83"/>
      <c r="AJ499" s="84"/>
      <c r="AK499" s="84"/>
      <c r="AL499" s="84"/>
      <c r="AM499" s="84"/>
      <c r="AN499" s="84"/>
      <c r="AO499" s="84"/>
      <c r="AP499" s="84"/>
      <c r="AQ499" s="95" t="s">
        <v>385</v>
      </c>
      <c r="AR499" s="72"/>
      <c r="AS499" s="72"/>
      <c r="AT499" s="72"/>
      <c r="AU499" s="72"/>
      <c r="AV499" s="72"/>
      <c r="AW499" s="72"/>
      <c r="AX499" s="72"/>
      <c r="AY499" s="72"/>
      <c r="AZ499" s="72"/>
      <c r="BA499" s="72"/>
      <c r="BB499" s="16"/>
      <c r="BC499" s="72"/>
      <c r="BD499" s="20"/>
      <c r="BE499" s="352"/>
    </row>
    <row r="500" spans="1:57" s="81" customFormat="1" ht="12.95" hidden="1" customHeight="1">
      <c r="A500" s="348"/>
      <c r="B500" s="350"/>
      <c r="C500" s="248" t="s">
        <v>1209</v>
      </c>
      <c r="D500" s="239" t="s">
        <v>3815</v>
      </c>
      <c r="E500" s="58"/>
      <c r="F500" s="59" t="s">
        <v>3816</v>
      </c>
      <c r="G500" s="191" t="s">
        <v>2511</v>
      </c>
      <c r="H500" s="192" t="s">
        <v>386</v>
      </c>
      <c r="I500" s="61" t="s">
        <v>2511</v>
      </c>
      <c r="J500" s="61" t="s">
        <v>2511</v>
      </c>
      <c r="K500" s="62" t="s">
        <v>2511</v>
      </c>
      <c r="L500" s="60" t="s">
        <v>2511</v>
      </c>
      <c r="M500" s="61" t="s">
        <v>2389</v>
      </c>
      <c r="N500" s="61" t="s">
        <v>2511</v>
      </c>
      <c r="O500" s="61" t="s">
        <v>2511</v>
      </c>
      <c r="P500" s="62" t="s">
        <v>2511</v>
      </c>
      <c r="Q500" s="82"/>
      <c r="R500" s="82"/>
      <c r="S500" s="82"/>
      <c r="T500" s="82"/>
      <c r="U500" s="82"/>
      <c r="V500" s="138" t="s">
        <v>3817</v>
      </c>
      <c r="W500" s="57" t="s">
        <v>3660</v>
      </c>
      <c r="X500" s="126" t="s">
        <v>2511</v>
      </c>
      <c r="Y500" s="126" t="s">
        <v>2511</v>
      </c>
      <c r="Z500" s="57"/>
      <c r="AA500" s="57" t="s">
        <v>3661</v>
      </c>
      <c r="AB500" s="138"/>
      <c r="AC500" s="138" t="s">
        <v>2631</v>
      </c>
      <c r="AD500" s="96"/>
      <c r="AE500" s="80"/>
      <c r="AF500" s="80"/>
      <c r="AG500" s="80"/>
      <c r="AH500" s="83"/>
      <c r="AI500" s="83"/>
      <c r="AJ500" s="84"/>
      <c r="AK500" s="84"/>
      <c r="AL500" s="84"/>
      <c r="AM500" s="84"/>
      <c r="AN500" s="84"/>
      <c r="AO500" s="84"/>
      <c r="AP500" s="84"/>
      <c r="AQ500" s="95" t="s">
        <v>386</v>
      </c>
      <c r="AR500" s="72"/>
      <c r="AS500" s="72"/>
      <c r="AT500" s="72"/>
      <c r="AU500" s="72"/>
      <c r="AV500" s="72"/>
      <c r="AW500" s="72"/>
      <c r="AX500" s="72"/>
      <c r="AY500" s="72"/>
      <c r="AZ500" s="72"/>
      <c r="BA500" s="72"/>
      <c r="BB500" s="16"/>
      <c r="BC500" s="72"/>
      <c r="BD500" s="20"/>
      <c r="BE500" s="352"/>
    </row>
    <row r="501" spans="1:57" s="81" customFormat="1" ht="12.95" hidden="1" customHeight="1">
      <c r="A501" s="348"/>
      <c r="B501" s="350"/>
      <c r="C501" s="248" t="s">
        <v>1210</v>
      </c>
      <c r="D501" s="239" t="s">
        <v>3818</v>
      </c>
      <c r="E501" s="58"/>
      <c r="F501" s="59" t="s">
        <v>3819</v>
      </c>
      <c r="G501" s="191" t="s">
        <v>2511</v>
      </c>
      <c r="H501" s="192" t="s">
        <v>387</v>
      </c>
      <c r="I501" s="61" t="s">
        <v>2511</v>
      </c>
      <c r="J501" s="61" t="s">
        <v>2511</v>
      </c>
      <c r="K501" s="62" t="s">
        <v>2511</v>
      </c>
      <c r="L501" s="60" t="s">
        <v>2511</v>
      </c>
      <c r="M501" s="61" t="s">
        <v>2389</v>
      </c>
      <c r="N501" s="61" t="s">
        <v>2511</v>
      </c>
      <c r="O501" s="61" t="s">
        <v>2511</v>
      </c>
      <c r="P501" s="62" t="s">
        <v>2511</v>
      </c>
      <c r="Q501" s="82"/>
      <c r="R501" s="82"/>
      <c r="S501" s="82"/>
      <c r="T501" s="82"/>
      <c r="U501" s="82"/>
      <c r="V501" s="138" t="s">
        <v>3820</v>
      </c>
      <c r="W501" s="57" t="s">
        <v>3660</v>
      </c>
      <c r="X501" s="126" t="s">
        <v>2511</v>
      </c>
      <c r="Y501" s="126" t="s">
        <v>2511</v>
      </c>
      <c r="Z501" s="57"/>
      <c r="AA501" s="57" t="s">
        <v>3661</v>
      </c>
      <c r="AB501" s="138"/>
      <c r="AC501" s="138" t="s">
        <v>2631</v>
      </c>
      <c r="AD501" s="96"/>
      <c r="AE501" s="80"/>
      <c r="AF501" s="80"/>
      <c r="AG501" s="80"/>
      <c r="AH501" s="83"/>
      <c r="AI501" s="83"/>
      <c r="AJ501" s="84"/>
      <c r="AK501" s="84"/>
      <c r="AL501" s="84"/>
      <c r="AM501" s="84"/>
      <c r="AN501" s="84"/>
      <c r="AO501" s="84"/>
      <c r="AP501" s="84"/>
      <c r="AQ501" s="95" t="s">
        <v>387</v>
      </c>
      <c r="AR501" s="72"/>
      <c r="AS501" s="72"/>
      <c r="AT501" s="72"/>
      <c r="AU501" s="72"/>
      <c r="AV501" s="72"/>
      <c r="AW501" s="72"/>
      <c r="AX501" s="72"/>
      <c r="AY501" s="72"/>
      <c r="AZ501" s="72"/>
      <c r="BA501" s="72"/>
      <c r="BB501" s="16"/>
      <c r="BC501" s="72"/>
      <c r="BD501" s="20"/>
      <c r="BE501" s="352"/>
    </row>
    <row r="502" spans="1:57" s="81" customFormat="1" ht="12.95" hidden="1" customHeight="1">
      <c r="A502" s="348"/>
      <c r="B502" s="350"/>
      <c r="C502" s="248" t="s">
        <v>1211</v>
      </c>
      <c r="D502" s="239" t="s">
        <v>3821</v>
      </c>
      <c r="E502" s="58"/>
      <c r="F502" s="59" t="s">
        <v>3822</v>
      </c>
      <c r="G502" s="191" t="s">
        <v>2511</v>
      </c>
      <c r="H502" s="192" t="s">
        <v>388</v>
      </c>
      <c r="I502" s="61" t="s">
        <v>2511</v>
      </c>
      <c r="J502" s="61" t="s">
        <v>2511</v>
      </c>
      <c r="K502" s="62" t="s">
        <v>2511</v>
      </c>
      <c r="L502" s="60" t="s">
        <v>2511</v>
      </c>
      <c r="M502" s="61" t="s">
        <v>2389</v>
      </c>
      <c r="N502" s="61" t="s">
        <v>2511</v>
      </c>
      <c r="O502" s="61" t="s">
        <v>2511</v>
      </c>
      <c r="P502" s="62" t="s">
        <v>2511</v>
      </c>
      <c r="Q502" s="82"/>
      <c r="R502" s="82"/>
      <c r="S502" s="82"/>
      <c r="T502" s="82"/>
      <c r="U502" s="82"/>
      <c r="V502" s="138" t="s">
        <v>3823</v>
      </c>
      <c r="W502" s="57" t="s">
        <v>3660</v>
      </c>
      <c r="X502" s="126" t="s">
        <v>2511</v>
      </c>
      <c r="Y502" s="126" t="s">
        <v>2511</v>
      </c>
      <c r="Z502" s="57"/>
      <c r="AA502" s="57" t="s">
        <v>3661</v>
      </c>
      <c r="AB502" s="138"/>
      <c r="AC502" s="138" t="s">
        <v>2631</v>
      </c>
      <c r="AD502" s="96"/>
      <c r="AE502" s="80"/>
      <c r="AF502" s="80"/>
      <c r="AG502" s="80"/>
      <c r="AH502" s="83"/>
      <c r="AI502" s="83"/>
      <c r="AJ502" s="84"/>
      <c r="AK502" s="84"/>
      <c r="AL502" s="84"/>
      <c r="AM502" s="84"/>
      <c r="AN502" s="84"/>
      <c r="AO502" s="84"/>
      <c r="AP502" s="84"/>
      <c r="AQ502" s="95" t="s">
        <v>388</v>
      </c>
      <c r="AR502" s="72"/>
      <c r="AS502" s="72"/>
      <c r="AT502" s="72"/>
      <c r="AU502" s="72"/>
      <c r="AV502" s="72"/>
      <c r="AW502" s="72"/>
      <c r="AX502" s="72"/>
      <c r="AY502" s="72"/>
      <c r="AZ502" s="72"/>
      <c r="BA502" s="72"/>
      <c r="BB502" s="16"/>
      <c r="BC502" s="72"/>
      <c r="BD502" s="20"/>
      <c r="BE502" s="352"/>
    </row>
    <row r="503" spans="1:57" s="81" customFormat="1" ht="12.95" hidden="1" customHeight="1">
      <c r="A503" s="348"/>
      <c r="B503" s="350"/>
      <c r="C503" s="248" t="s">
        <v>1212</v>
      </c>
      <c r="D503" s="239" t="s">
        <v>3824</v>
      </c>
      <c r="E503" s="58"/>
      <c r="F503" s="59" t="s">
        <v>3825</v>
      </c>
      <c r="G503" s="191" t="s">
        <v>2511</v>
      </c>
      <c r="H503" s="192" t="s">
        <v>389</v>
      </c>
      <c r="I503" s="61" t="s">
        <v>2511</v>
      </c>
      <c r="J503" s="61" t="s">
        <v>2511</v>
      </c>
      <c r="K503" s="62" t="s">
        <v>2511</v>
      </c>
      <c r="L503" s="60" t="s">
        <v>2511</v>
      </c>
      <c r="M503" s="61" t="s">
        <v>2389</v>
      </c>
      <c r="N503" s="61" t="s">
        <v>2511</v>
      </c>
      <c r="O503" s="61" t="s">
        <v>2511</v>
      </c>
      <c r="P503" s="62" t="s">
        <v>2511</v>
      </c>
      <c r="Q503" s="82"/>
      <c r="R503" s="82"/>
      <c r="S503" s="82"/>
      <c r="T503" s="82"/>
      <c r="U503" s="82"/>
      <c r="V503" s="138" t="s">
        <v>3826</v>
      </c>
      <c r="W503" s="57" t="s">
        <v>3660</v>
      </c>
      <c r="X503" s="126" t="s">
        <v>2511</v>
      </c>
      <c r="Y503" s="126" t="s">
        <v>2511</v>
      </c>
      <c r="Z503" s="57"/>
      <c r="AA503" s="57" t="s">
        <v>3661</v>
      </c>
      <c r="AB503" s="138"/>
      <c r="AC503" s="138" t="s">
        <v>2631</v>
      </c>
      <c r="AD503" s="96"/>
      <c r="AE503" s="80"/>
      <c r="AF503" s="80"/>
      <c r="AG503" s="80"/>
      <c r="AH503" s="83"/>
      <c r="AI503" s="83"/>
      <c r="AJ503" s="84"/>
      <c r="AK503" s="84"/>
      <c r="AL503" s="84"/>
      <c r="AM503" s="84"/>
      <c r="AN503" s="84"/>
      <c r="AO503" s="84"/>
      <c r="AP503" s="84"/>
      <c r="AQ503" s="95" t="s">
        <v>389</v>
      </c>
      <c r="AR503" s="72"/>
      <c r="AS503" s="72"/>
      <c r="AT503" s="72"/>
      <c r="AU503" s="72"/>
      <c r="AV503" s="72"/>
      <c r="AW503" s="72"/>
      <c r="AX503" s="72"/>
      <c r="AY503" s="72"/>
      <c r="AZ503" s="72"/>
      <c r="BA503" s="72"/>
      <c r="BB503" s="16"/>
      <c r="BC503" s="72"/>
      <c r="BD503" s="20"/>
      <c r="BE503" s="352"/>
    </row>
    <row r="504" spans="1:57" s="81" customFormat="1" ht="12.95" hidden="1" customHeight="1">
      <c r="A504" s="348"/>
      <c r="B504" s="350"/>
      <c r="C504" s="248" t="s">
        <v>1213</v>
      </c>
      <c r="D504" s="239" t="s">
        <v>3827</v>
      </c>
      <c r="E504" s="58"/>
      <c r="F504" s="59" t="s">
        <v>3828</v>
      </c>
      <c r="G504" s="191" t="s">
        <v>2511</v>
      </c>
      <c r="H504" s="192" t="s">
        <v>390</v>
      </c>
      <c r="I504" s="61" t="s">
        <v>2511</v>
      </c>
      <c r="J504" s="61" t="s">
        <v>2511</v>
      </c>
      <c r="K504" s="62" t="s">
        <v>2511</v>
      </c>
      <c r="L504" s="60" t="s">
        <v>2511</v>
      </c>
      <c r="M504" s="61" t="s">
        <v>2389</v>
      </c>
      <c r="N504" s="61" t="s">
        <v>2511</v>
      </c>
      <c r="O504" s="61" t="s">
        <v>2511</v>
      </c>
      <c r="P504" s="62" t="s">
        <v>2511</v>
      </c>
      <c r="Q504" s="82"/>
      <c r="R504" s="82"/>
      <c r="S504" s="82"/>
      <c r="T504" s="82"/>
      <c r="U504" s="82"/>
      <c r="V504" s="138" t="s">
        <v>3829</v>
      </c>
      <c r="W504" s="57" t="s">
        <v>3660</v>
      </c>
      <c r="X504" s="126" t="s">
        <v>2511</v>
      </c>
      <c r="Y504" s="126" t="s">
        <v>2511</v>
      </c>
      <c r="Z504" s="57"/>
      <c r="AA504" s="57" t="s">
        <v>3661</v>
      </c>
      <c r="AB504" s="138"/>
      <c r="AC504" s="138" t="s">
        <v>2631</v>
      </c>
      <c r="AD504" s="96"/>
      <c r="AE504" s="80"/>
      <c r="AF504" s="80"/>
      <c r="AG504" s="80"/>
      <c r="AH504" s="83"/>
      <c r="AI504" s="83"/>
      <c r="AJ504" s="84"/>
      <c r="AK504" s="84"/>
      <c r="AL504" s="84"/>
      <c r="AM504" s="84"/>
      <c r="AN504" s="84"/>
      <c r="AO504" s="84"/>
      <c r="AP504" s="84"/>
      <c r="AQ504" s="95" t="s">
        <v>390</v>
      </c>
      <c r="AR504" s="72"/>
      <c r="AS504" s="72"/>
      <c r="AT504" s="72"/>
      <c r="AU504" s="72"/>
      <c r="AV504" s="72"/>
      <c r="AW504" s="72"/>
      <c r="AX504" s="72"/>
      <c r="AY504" s="72"/>
      <c r="AZ504" s="72"/>
      <c r="BA504" s="72"/>
      <c r="BB504" s="16"/>
      <c r="BC504" s="72"/>
      <c r="BD504" s="20"/>
      <c r="BE504" s="352"/>
    </row>
    <row r="505" spans="1:57" s="81" customFormat="1" ht="12.95" hidden="1" customHeight="1">
      <c r="A505" s="348"/>
      <c r="B505" s="350"/>
      <c r="C505" s="270" t="s">
        <v>1214</v>
      </c>
      <c r="D505" s="239" t="s">
        <v>3830</v>
      </c>
      <c r="E505" s="58"/>
      <c r="F505" s="59" t="s">
        <v>3831</v>
      </c>
      <c r="G505" s="191" t="s">
        <v>2511</v>
      </c>
      <c r="H505" s="192" t="s">
        <v>391</v>
      </c>
      <c r="I505" s="61" t="s">
        <v>2511</v>
      </c>
      <c r="J505" s="61" t="s">
        <v>2511</v>
      </c>
      <c r="K505" s="62" t="s">
        <v>2511</v>
      </c>
      <c r="L505" s="60" t="s">
        <v>2511</v>
      </c>
      <c r="M505" s="61" t="s">
        <v>2389</v>
      </c>
      <c r="N505" s="61" t="s">
        <v>2511</v>
      </c>
      <c r="O505" s="61" t="s">
        <v>2511</v>
      </c>
      <c r="P505" s="62" t="s">
        <v>2511</v>
      </c>
      <c r="Q505" s="82"/>
      <c r="R505" s="82"/>
      <c r="S505" s="82"/>
      <c r="T505" s="82"/>
      <c r="U505" s="82"/>
      <c r="V505" s="138" t="s">
        <v>3832</v>
      </c>
      <c r="W505" s="57" t="s">
        <v>3660</v>
      </c>
      <c r="X505" s="126" t="s">
        <v>2511</v>
      </c>
      <c r="Y505" s="126" t="s">
        <v>2511</v>
      </c>
      <c r="Z505" s="57"/>
      <c r="AA505" s="57" t="s">
        <v>3661</v>
      </c>
      <c r="AB505" s="138"/>
      <c r="AC505" s="138" t="s">
        <v>2631</v>
      </c>
      <c r="AD505" s="96"/>
      <c r="AE505" s="80"/>
      <c r="AF505" s="80"/>
      <c r="AG505" s="80"/>
      <c r="AH505" s="83"/>
      <c r="AI505" s="83"/>
      <c r="AJ505" s="84"/>
      <c r="AK505" s="84"/>
      <c r="AL505" s="84"/>
      <c r="AM505" s="84"/>
      <c r="AN505" s="84"/>
      <c r="AO505" s="84"/>
      <c r="AP505" s="84"/>
      <c r="AQ505" s="95" t="s">
        <v>391</v>
      </c>
      <c r="AR505" s="72"/>
      <c r="AS505" s="72"/>
      <c r="AT505" s="72"/>
      <c r="AU505" s="72"/>
      <c r="AV505" s="72"/>
      <c r="AW505" s="72"/>
      <c r="AX505" s="72"/>
      <c r="AY505" s="72"/>
      <c r="AZ505" s="72"/>
      <c r="BA505" s="72"/>
      <c r="BB505" s="16"/>
      <c r="BC505" s="72"/>
      <c r="BD505" s="20"/>
      <c r="BE505" s="352"/>
    </row>
    <row r="506" spans="1:57" s="81" customFormat="1" ht="12.95" hidden="1" customHeight="1">
      <c r="A506" s="348"/>
      <c r="B506" s="350"/>
      <c r="C506" s="270" t="s">
        <v>1215</v>
      </c>
      <c r="D506" s="239" t="s">
        <v>3833</v>
      </c>
      <c r="E506" s="58"/>
      <c r="F506" s="59" t="s">
        <v>3834</v>
      </c>
      <c r="G506" s="191" t="s">
        <v>2511</v>
      </c>
      <c r="H506" s="192" t="s">
        <v>392</v>
      </c>
      <c r="I506" s="61" t="s">
        <v>2511</v>
      </c>
      <c r="J506" s="61" t="s">
        <v>2511</v>
      </c>
      <c r="K506" s="62" t="s">
        <v>2511</v>
      </c>
      <c r="L506" s="60" t="s">
        <v>2511</v>
      </c>
      <c r="M506" s="61" t="s">
        <v>2389</v>
      </c>
      <c r="N506" s="61" t="s">
        <v>2511</v>
      </c>
      <c r="O506" s="61" t="s">
        <v>2511</v>
      </c>
      <c r="P506" s="62" t="s">
        <v>2511</v>
      </c>
      <c r="Q506" s="82"/>
      <c r="R506" s="82"/>
      <c r="S506" s="82"/>
      <c r="T506" s="82"/>
      <c r="U506" s="82"/>
      <c r="V506" s="138" t="s">
        <v>3835</v>
      </c>
      <c r="W506" s="57" t="s">
        <v>3660</v>
      </c>
      <c r="X506" s="126" t="s">
        <v>2511</v>
      </c>
      <c r="Y506" s="126" t="s">
        <v>2511</v>
      </c>
      <c r="Z506" s="57"/>
      <c r="AA506" s="57" t="s">
        <v>3661</v>
      </c>
      <c r="AB506" s="138"/>
      <c r="AC506" s="138" t="s">
        <v>2631</v>
      </c>
      <c r="AD506" s="96"/>
      <c r="AE506" s="80"/>
      <c r="AF506" s="80"/>
      <c r="AG506" s="80"/>
      <c r="AH506" s="83"/>
      <c r="AI506" s="83"/>
      <c r="AJ506" s="84"/>
      <c r="AK506" s="84"/>
      <c r="AL506" s="84"/>
      <c r="AM506" s="84"/>
      <c r="AN506" s="84"/>
      <c r="AO506" s="84"/>
      <c r="AP506" s="84"/>
      <c r="AQ506" s="95" t="s">
        <v>392</v>
      </c>
      <c r="AR506" s="72"/>
      <c r="AS506" s="72"/>
      <c r="AT506" s="72"/>
      <c r="AU506" s="72"/>
      <c r="AV506" s="72"/>
      <c r="AW506" s="72"/>
      <c r="AX506" s="72"/>
      <c r="AY506" s="72"/>
      <c r="AZ506" s="72"/>
      <c r="BA506" s="72"/>
      <c r="BB506" s="16"/>
      <c r="BC506" s="72"/>
      <c r="BD506" s="20"/>
      <c r="BE506" s="352"/>
    </row>
    <row r="507" spans="1:57" s="81" customFormat="1" ht="12.95" hidden="1" customHeight="1">
      <c r="A507" s="348"/>
      <c r="B507" s="350"/>
      <c r="C507" s="248" t="s">
        <v>1216</v>
      </c>
      <c r="D507" s="239" t="s">
        <v>3836</v>
      </c>
      <c r="E507" s="58"/>
      <c r="F507" s="59" t="s">
        <v>3837</v>
      </c>
      <c r="G507" s="191" t="s">
        <v>2511</v>
      </c>
      <c r="H507" s="192" t="s">
        <v>393</v>
      </c>
      <c r="I507" s="61" t="s">
        <v>2511</v>
      </c>
      <c r="J507" s="61" t="s">
        <v>2511</v>
      </c>
      <c r="K507" s="62" t="s">
        <v>2511</v>
      </c>
      <c r="L507" s="60" t="s">
        <v>2511</v>
      </c>
      <c r="M507" s="61" t="s">
        <v>2389</v>
      </c>
      <c r="N507" s="61" t="s">
        <v>2511</v>
      </c>
      <c r="O507" s="61" t="s">
        <v>2511</v>
      </c>
      <c r="P507" s="62" t="s">
        <v>2511</v>
      </c>
      <c r="Q507" s="82"/>
      <c r="R507" s="82"/>
      <c r="S507" s="82"/>
      <c r="T507" s="82"/>
      <c r="U507" s="82"/>
      <c r="V507" s="138" t="s">
        <v>3838</v>
      </c>
      <c r="W507" s="57" t="s">
        <v>3660</v>
      </c>
      <c r="X507" s="126" t="s">
        <v>2511</v>
      </c>
      <c r="Y507" s="126" t="s">
        <v>2511</v>
      </c>
      <c r="Z507" s="57"/>
      <c r="AA507" s="57" t="s">
        <v>3661</v>
      </c>
      <c r="AB507" s="138"/>
      <c r="AC507" s="138">
        <v>0</v>
      </c>
      <c r="AD507" s="96"/>
      <c r="AE507" s="80"/>
      <c r="AF507" s="80"/>
      <c r="AG507" s="80"/>
      <c r="AH507" s="83"/>
      <c r="AI507" s="83"/>
      <c r="AJ507" s="84"/>
      <c r="AK507" s="84"/>
      <c r="AL507" s="84"/>
      <c r="AM507" s="84"/>
      <c r="AN507" s="84"/>
      <c r="AO507" s="84"/>
      <c r="AP507" s="84"/>
      <c r="AQ507" s="95" t="s">
        <v>393</v>
      </c>
      <c r="AR507" s="72"/>
      <c r="AS507" s="72"/>
      <c r="AT507" s="72"/>
      <c r="AU507" s="72"/>
      <c r="AV507" s="72"/>
      <c r="AW507" s="72"/>
      <c r="AX507" s="72"/>
      <c r="AY507" s="72"/>
      <c r="AZ507" s="72"/>
      <c r="BA507" s="72"/>
      <c r="BB507" s="16"/>
      <c r="BC507" s="72"/>
      <c r="BD507" s="20"/>
      <c r="BE507" s="352"/>
    </row>
    <row r="508" spans="1:57" s="81" customFormat="1" ht="12.95" hidden="1" customHeight="1">
      <c r="A508" s="348"/>
      <c r="B508" s="350"/>
      <c r="C508" s="248" t="s">
        <v>1217</v>
      </c>
      <c r="D508" s="239" t="s">
        <v>3839</v>
      </c>
      <c r="E508" s="58"/>
      <c r="F508" s="59" t="s">
        <v>3840</v>
      </c>
      <c r="G508" s="191" t="s">
        <v>2511</v>
      </c>
      <c r="H508" s="192" t="s">
        <v>394</v>
      </c>
      <c r="I508" s="61" t="s">
        <v>2511</v>
      </c>
      <c r="J508" s="61" t="s">
        <v>2511</v>
      </c>
      <c r="K508" s="62" t="s">
        <v>2511</v>
      </c>
      <c r="L508" s="60" t="s">
        <v>2511</v>
      </c>
      <c r="M508" s="61" t="s">
        <v>2389</v>
      </c>
      <c r="N508" s="61" t="s">
        <v>2511</v>
      </c>
      <c r="O508" s="61" t="s">
        <v>2511</v>
      </c>
      <c r="P508" s="62" t="s">
        <v>2511</v>
      </c>
      <c r="Q508" s="82"/>
      <c r="R508" s="82"/>
      <c r="S508" s="82"/>
      <c r="T508" s="82"/>
      <c r="U508" s="82"/>
      <c r="V508" s="138" t="s">
        <v>3841</v>
      </c>
      <c r="W508" s="57" t="s">
        <v>3660</v>
      </c>
      <c r="X508" s="126" t="s">
        <v>2511</v>
      </c>
      <c r="Y508" s="126" t="s">
        <v>2511</v>
      </c>
      <c r="Z508" s="57"/>
      <c r="AA508" s="57" t="s">
        <v>3661</v>
      </c>
      <c r="AB508" s="138"/>
      <c r="AC508" s="138" t="s">
        <v>2631</v>
      </c>
      <c r="AD508" s="96"/>
      <c r="AE508" s="80"/>
      <c r="AF508" s="80"/>
      <c r="AG508" s="80"/>
      <c r="AH508" s="83"/>
      <c r="AI508" s="83"/>
      <c r="AJ508" s="84"/>
      <c r="AK508" s="84"/>
      <c r="AL508" s="84"/>
      <c r="AM508" s="84"/>
      <c r="AN508" s="84"/>
      <c r="AO508" s="84"/>
      <c r="AP508" s="84"/>
      <c r="AQ508" s="95" t="s">
        <v>394</v>
      </c>
      <c r="AR508" s="72"/>
      <c r="AS508" s="72"/>
      <c r="AT508" s="72"/>
      <c r="AU508" s="72"/>
      <c r="AV508" s="72"/>
      <c r="AW508" s="72"/>
      <c r="AX508" s="72"/>
      <c r="AY508" s="72"/>
      <c r="AZ508" s="72"/>
      <c r="BA508" s="72"/>
      <c r="BB508" s="16"/>
      <c r="BC508" s="72"/>
      <c r="BD508" s="20"/>
      <c r="BE508" s="352"/>
    </row>
    <row r="509" spans="1:57" s="81" customFormat="1" ht="12.95" hidden="1" customHeight="1">
      <c r="A509" s="348"/>
      <c r="B509" s="350"/>
      <c r="C509" s="248" t="s">
        <v>1218</v>
      </c>
      <c r="D509" s="239" t="s">
        <v>3842</v>
      </c>
      <c r="E509" s="58"/>
      <c r="F509" s="59" t="s">
        <v>3843</v>
      </c>
      <c r="G509" s="191" t="s">
        <v>2511</v>
      </c>
      <c r="H509" s="192" t="s">
        <v>395</v>
      </c>
      <c r="I509" s="61" t="s">
        <v>2511</v>
      </c>
      <c r="J509" s="61" t="s">
        <v>2511</v>
      </c>
      <c r="K509" s="62" t="s">
        <v>2511</v>
      </c>
      <c r="L509" s="60" t="s">
        <v>2511</v>
      </c>
      <c r="M509" s="61" t="s">
        <v>2389</v>
      </c>
      <c r="N509" s="61" t="s">
        <v>2511</v>
      </c>
      <c r="O509" s="61" t="s">
        <v>2511</v>
      </c>
      <c r="P509" s="62" t="s">
        <v>2511</v>
      </c>
      <c r="Q509" s="82"/>
      <c r="R509" s="82"/>
      <c r="S509" s="82"/>
      <c r="T509" s="82"/>
      <c r="U509" s="82"/>
      <c r="V509" s="138" t="s">
        <v>3844</v>
      </c>
      <c r="W509" s="57" t="s">
        <v>3660</v>
      </c>
      <c r="X509" s="126" t="s">
        <v>2511</v>
      </c>
      <c r="Y509" s="126" t="s">
        <v>2511</v>
      </c>
      <c r="Z509" s="57"/>
      <c r="AA509" s="57" t="s">
        <v>3661</v>
      </c>
      <c r="AB509" s="138"/>
      <c r="AC509" s="138" t="s">
        <v>2631</v>
      </c>
      <c r="AD509" s="96"/>
      <c r="AE509" s="80"/>
      <c r="AF509" s="80"/>
      <c r="AG509" s="80"/>
      <c r="AH509" s="83"/>
      <c r="AI509" s="83"/>
      <c r="AJ509" s="84"/>
      <c r="AK509" s="84"/>
      <c r="AL509" s="84"/>
      <c r="AM509" s="84"/>
      <c r="AN509" s="84"/>
      <c r="AO509" s="84"/>
      <c r="AP509" s="84"/>
      <c r="AQ509" s="95" t="s">
        <v>395</v>
      </c>
      <c r="AR509" s="72"/>
      <c r="AS509" s="72"/>
      <c r="AT509" s="72"/>
      <c r="AU509" s="72"/>
      <c r="AV509" s="72"/>
      <c r="AW509" s="72"/>
      <c r="AX509" s="72"/>
      <c r="AY509" s="72"/>
      <c r="AZ509" s="72"/>
      <c r="BA509" s="72"/>
      <c r="BB509" s="16"/>
      <c r="BC509" s="72"/>
      <c r="BD509" s="20"/>
      <c r="BE509" s="352"/>
    </row>
    <row r="510" spans="1:57" s="81" customFormat="1" ht="12.95" hidden="1" customHeight="1">
      <c r="A510" s="348"/>
      <c r="B510" s="350"/>
      <c r="C510" s="248" t="s">
        <v>1219</v>
      </c>
      <c r="D510" s="239" t="s">
        <v>3845</v>
      </c>
      <c r="E510" s="58"/>
      <c r="F510" s="59" t="s">
        <v>3846</v>
      </c>
      <c r="G510" s="191" t="s">
        <v>2511</v>
      </c>
      <c r="H510" s="192" t="s">
        <v>396</v>
      </c>
      <c r="I510" s="61" t="s">
        <v>2511</v>
      </c>
      <c r="J510" s="61" t="s">
        <v>2511</v>
      </c>
      <c r="K510" s="62" t="s">
        <v>2511</v>
      </c>
      <c r="L510" s="60" t="s">
        <v>2511</v>
      </c>
      <c r="M510" s="61" t="s">
        <v>2389</v>
      </c>
      <c r="N510" s="61" t="s">
        <v>2511</v>
      </c>
      <c r="O510" s="61" t="s">
        <v>2511</v>
      </c>
      <c r="P510" s="62" t="s">
        <v>2511</v>
      </c>
      <c r="Q510" s="82"/>
      <c r="R510" s="82"/>
      <c r="S510" s="82"/>
      <c r="T510" s="82"/>
      <c r="U510" s="82"/>
      <c r="V510" s="138" t="s">
        <v>3847</v>
      </c>
      <c r="W510" s="57" t="s">
        <v>3660</v>
      </c>
      <c r="X510" s="126" t="s">
        <v>2511</v>
      </c>
      <c r="Y510" s="126" t="s">
        <v>2511</v>
      </c>
      <c r="Z510" s="57"/>
      <c r="AA510" s="57" t="s">
        <v>3661</v>
      </c>
      <c r="AB510" s="138"/>
      <c r="AC510" s="138" t="s">
        <v>2631</v>
      </c>
      <c r="AD510" s="96"/>
      <c r="AE510" s="80"/>
      <c r="AF510" s="80"/>
      <c r="AG510" s="80"/>
      <c r="AH510" s="83"/>
      <c r="AI510" s="83"/>
      <c r="AJ510" s="84"/>
      <c r="AK510" s="84"/>
      <c r="AL510" s="84"/>
      <c r="AM510" s="84"/>
      <c r="AN510" s="84"/>
      <c r="AO510" s="84"/>
      <c r="AP510" s="84"/>
      <c r="AQ510" s="95" t="s">
        <v>396</v>
      </c>
      <c r="AR510" s="72"/>
      <c r="AS510" s="72"/>
      <c r="AT510" s="72"/>
      <c r="AU510" s="72"/>
      <c r="AV510" s="72"/>
      <c r="AW510" s="72"/>
      <c r="AX510" s="72"/>
      <c r="AY510" s="72"/>
      <c r="AZ510" s="72"/>
      <c r="BA510" s="72"/>
      <c r="BB510" s="16"/>
      <c r="BC510" s="72"/>
      <c r="BD510" s="20"/>
      <c r="BE510" s="352"/>
    </row>
    <row r="511" spans="1:57" s="81" customFormat="1" ht="12.95" hidden="1" customHeight="1">
      <c r="A511" s="348"/>
      <c r="B511" s="350"/>
      <c r="C511" s="248" t="s">
        <v>1220</v>
      </c>
      <c r="D511" s="239" t="s">
        <v>3848</v>
      </c>
      <c r="E511" s="58"/>
      <c r="F511" s="59" t="s">
        <v>3849</v>
      </c>
      <c r="G511" s="191" t="s">
        <v>2511</v>
      </c>
      <c r="H511" s="192" t="s">
        <v>397</v>
      </c>
      <c r="I511" s="61" t="s">
        <v>2511</v>
      </c>
      <c r="J511" s="61" t="s">
        <v>2511</v>
      </c>
      <c r="K511" s="62" t="s">
        <v>2511</v>
      </c>
      <c r="L511" s="60" t="s">
        <v>2511</v>
      </c>
      <c r="M511" s="61" t="s">
        <v>2389</v>
      </c>
      <c r="N511" s="61" t="s">
        <v>2511</v>
      </c>
      <c r="O511" s="61" t="s">
        <v>2511</v>
      </c>
      <c r="P511" s="62" t="s">
        <v>2511</v>
      </c>
      <c r="Q511" s="82"/>
      <c r="R511" s="82"/>
      <c r="S511" s="82"/>
      <c r="T511" s="82"/>
      <c r="U511" s="82"/>
      <c r="V511" s="138" t="s">
        <v>3850</v>
      </c>
      <c r="W511" s="57" t="s">
        <v>3660</v>
      </c>
      <c r="X511" s="126" t="s">
        <v>2511</v>
      </c>
      <c r="Y511" s="126" t="s">
        <v>2511</v>
      </c>
      <c r="Z511" s="57"/>
      <c r="AA511" s="57" t="s">
        <v>3661</v>
      </c>
      <c r="AB511" s="138"/>
      <c r="AC511" s="138" t="s">
        <v>2631</v>
      </c>
      <c r="AD511" s="96"/>
      <c r="AE511" s="80"/>
      <c r="AF511" s="80"/>
      <c r="AG511" s="80"/>
      <c r="AH511" s="83"/>
      <c r="AI511" s="83"/>
      <c r="AJ511" s="84"/>
      <c r="AK511" s="84"/>
      <c r="AL511" s="84"/>
      <c r="AM511" s="84"/>
      <c r="AN511" s="84"/>
      <c r="AO511" s="84"/>
      <c r="AP511" s="84"/>
      <c r="AQ511" s="95" t="s">
        <v>397</v>
      </c>
      <c r="AR511" s="72"/>
      <c r="AS511" s="72"/>
      <c r="AT511" s="72"/>
      <c r="AU511" s="72"/>
      <c r="AV511" s="72"/>
      <c r="AW511" s="72"/>
      <c r="AX511" s="72"/>
      <c r="AY511" s="72"/>
      <c r="AZ511" s="72"/>
      <c r="BA511" s="72"/>
      <c r="BB511" s="16"/>
      <c r="BC511" s="72"/>
      <c r="BD511" s="20"/>
      <c r="BE511" s="352"/>
    </row>
    <row r="512" spans="1:57" s="81" customFormat="1" ht="12.95" hidden="1" customHeight="1">
      <c r="A512" s="348"/>
      <c r="B512" s="350"/>
      <c r="C512" s="248" t="s">
        <v>1221</v>
      </c>
      <c r="D512" s="239" t="s">
        <v>3851</v>
      </c>
      <c r="E512" s="58"/>
      <c r="F512" s="59" t="s">
        <v>3852</v>
      </c>
      <c r="G512" s="191" t="s">
        <v>2511</v>
      </c>
      <c r="H512" s="192" t="s">
        <v>398</v>
      </c>
      <c r="I512" s="61" t="s">
        <v>2511</v>
      </c>
      <c r="J512" s="61" t="s">
        <v>2511</v>
      </c>
      <c r="K512" s="62" t="s">
        <v>2511</v>
      </c>
      <c r="L512" s="60" t="s">
        <v>2511</v>
      </c>
      <c r="M512" s="61" t="s">
        <v>2389</v>
      </c>
      <c r="N512" s="61" t="s">
        <v>2511</v>
      </c>
      <c r="O512" s="61" t="s">
        <v>2511</v>
      </c>
      <c r="P512" s="62" t="s">
        <v>2511</v>
      </c>
      <c r="Q512" s="82"/>
      <c r="R512" s="82"/>
      <c r="S512" s="82"/>
      <c r="T512" s="82"/>
      <c r="U512" s="82"/>
      <c r="V512" s="138" t="s">
        <v>3853</v>
      </c>
      <c r="W512" s="57" t="s">
        <v>3660</v>
      </c>
      <c r="X512" s="126" t="s">
        <v>2511</v>
      </c>
      <c r="Y512" s="126" t="s">
        <v>2511</v>
      </c>
      <c r="Z512" s="57"/>
      <c r="AA512" s="57" t="s">
        <v>3661</v>
      </c>
      <c r="AB512" s="138"/>
      <c r="AC512" s="138" t="s">
        <v>2631</v>
      </c>
      <c r="AD512" s="96"/>
      <c r="AE512" s="80"/>
      <c r="AF512" s="80"/>
      <c r="AG512" s="80"/>
      <c r="AH512" s="83"/>
      <c r="AI512" s="83"/>
      <c r="AJ512" s="84"/>
      <c r="AK512" s="84"/>
      <c r="AL512" s="84"/>
      <c r="AM512" s="84"/>
      <c r="AN512" s="84"/>
      <c r="AO512" s="84"/>
      <c r="AP512" s="84"/>
      <c r="AQ512" s="95" t="s">
        <v>398</v>
      </c>
      <c r="AR512" s="72"/>
      <c r="AS512" s="72"/>
      <c r="AT512" s="72"/>
      <c r="AU512" s="72"/>
      <c r="AV512" s="72"/>
      <c r="AW512" s="72"/>
      <c r="AX512" s="72"/>
      <c r="AY512" s="72"/>
      <c r="AZ512" s="72"/>
      <c r="BA512" s="72"/>
      <c r="BB512" s="16"/>
      <c r="BC512" s="72"/>
      <c r="BD512" s="20"/>
      <c r="BE512" s="352"/>
    </row>
    <row r="513" spans="1:57" s="81" customFormat="1" ht="12.95" hidden="1" customHeight="1">
      <c r="A513" s="348"/>
      <c r="B513" s="350"/>
      <c r="C513" s="248" t="s">
        <v>1222</v>
      </c>
      <c r="D513" s="239" t="s">
        <v>3854</v>
      </c>
      <c r="E513" s="58"/>
      <c r="F513" s="59" t="s">
        <v>3855</v>
      </c>
      <c r="G513" s="191" t="s">
        <v>2511</v>
      </c>
      <c r="H513" s="192" t="s">
        <v>399</v>
      </c>
      <c r="I513" s="61" t="s">
        <v>2511</v>
      </c>
      <c r="J513" s="61" t="s">
        <v>2511</v>
      </c>
      <c r="K513" s="62" t="s">
        <v>2511</v>
      </c>
      <c r="L513" s="60" t="s">
        <v>2511</v>
      </c>
      <c r="M513" s="61" t="s">
        <v>2389</v>
      </c>
      <c r="N513" s="61" t="s">
        <v>2511</v>
      </c>
      <c r="O513" s="61" t="s">
        <v>2511</v>
      </c>
      <c r="P513" s="62" t="s">
        <v>2511</v>
      </c>
      <c r="Q513" s="82"/>
      <c r="R513" s="82"/>
      <c r="S513" s="82"/>
      <c r="T513" s="82"/>
      <c r="U513" s="82"/>
      <c r="V513" s="138" t="s">
        <v>3856</v>
      </c>
      <c r="W513" s="57" t="s">
        <v>3660</v>
      </c>
      <c r="X513" s="126" t="s">
        <v>2511</v>
      </c>
      <c r="Y513" s="126" t="s">
        <v>2511</v>
      </c>
      <c r="Z513" s="57"/>
      <c r="AA513" s="57" t="s">
        <v>3661</v>
      </c>
      <c r="AB513" s="138"/>
      <c r="AC513" s="138" t="s">
        <v>2631</v>
      </c>
      <c r="AD513" s="96"/>
      <c r="AE513" s="80"/>
      <c r="AF513" s="80"/>
      <c r="AG513" s="80"/>
      <c r="AH513" s="83"/>
      <c r="AI513" s="83"/>
      <c r="AJ513" s="84"/>
      <c r="AK513" s="84"/>
      <c r="AL513" s="84"/>
      <c r="AM513" s="84"/>
      <c r="AN513" s="84"/>
      <c r="AO513" s="84"/>
      <c r="AP513" s="84"/>
      <c r="AQ513" s="95" t="s">
        <v>399</v>
      </c>
      <c r="AR513" s="72"/>
      <c r="AS513" s="72"/>
      <c r="AT513" s="72"/>
      <c r="AU513" s="72"/>
      <c r="AV513" s="72"/>
      <c r="AW513" s="72"/>
      <c r="AX513" s="72"/>
      <c r="AY513" s="72"/>
      <c r="AZ513" s="72"/>
      <c r="BA513" s="72"/>
      <c r="BB513" s="16"/>
      <c r="BC513" s="72"/>
      <c r="BD513" s="20"/>
      <c r="BE513" s="352"/>
    </row>
    <row r="514" spans="1:57" s="81" customFormat="1" ht="12.95" hidden="1" customHeight="1">
      <c r="A514" s="348"/>
      <c r="B514" s="350"/>
      <c r="C514" s="248" t="s">
        <v>1223</v>
      </c>
      <c r="D514" s="239" t="s">
        <v>3857</v>
      </c>
      <c r="E514" s="58"/>
      <c r="F514" s="59" t="s">
        <v>3858</v>
      </c>
      <c r="G514" s="191" t="s">
        <v>2511</v>
      </c>
      <c r="H514" s="192" t="s">
        <v>400</v>
      </c>
      <c r="I514" s="61" t="s">
        <v>2511</v>
      </c>
      <c r="J514" s="61" t="s">
        <v>2511</v>
      </c>
      <c r="K514" s="62" t="s">
        <v>2511</v>
      </c>
      <c r="L514" s="60" t="s">
        <v>2511</v>
      </c>
      <c r="M514" s="61" t="s">
        <v>2389</v>
      </c>
      <c r="N514" s="61" t="s">
        <v>2511</v>
      </c>
      <c r="O514" s="61" t="s">
        <v>2511</v>
      </c>
      <c r="P514" s="62" t="s">
        <v>2511</v>
      </c>
      <c r="Q514" s="82"/>
      <c r="R514" s="82"/>
      <c r="S514" s="82"/>
      <c r="T514" s="82"/>
      <c r="U514" s="82"/>
      <c r="V514" s="138" t="s">
        <v>3859</v>
      </c>
      <c r="W514" s="57" t="s">
        <v>3660</v>
      </c>
      <c r="X514" s="126" t="s">
        <v>2511</v>
      </c>
      <c r="Y514" s="126" t="s">
        <v>2511</v>
      </c>
      <c r="Z514" s="57"/>
      <c r="AA514" s="57" t="s">
        <v>3661</v>
      </c>
      <c r="AB514" s="138"/>
      <c r="AC514" s="138" t="s">
        <v>2631</v>
      </c>
      <c r="AD514" s="96"/>
      <c r="AE514" s="80"/>
      <c r="AF514" s="80"/>
      <c r="AG514" s="80"/>
      <c r="AH514" s="83"/>
      <c r="AI514" s="83"/>
      <c r="AJ514" s="84"/>
      <c r="AK514" s="84"/>
      <c r="AL514" s="84"/>
      <c r="AM514" s="84"/>
      <c r="AN514" s="84"/>
      <c r="AO514" s="84"/>
      <c r="AP514" s="84"/>
      <c r="AQ514" s="95" t="s">
        <v>400</v>
      </c>
      <c r="AR514" s="72"/>
      <c r="AS514" s="72"/>
      <c r="AT514" s="72"/>
      <c r="AU514" s="72"/>
      <c r="AV514" s="72"/>
      <c r="AW514" s="72"/>
      <c r="AX514" s="72"/>
      <c r="AY514" s="72"/>
      <c r="AZ514" s="72"/>
      <c r="BA514" s="72"/>
      <c r="BB514" s="16"/>
      <c r="BC514" s="72"/>
      <c r="BD514" s="20"/>
      <c r="BE514" s="352"/>
    </row>
    <row r="515" spans="1:57" s="81" customFormat="1" ht="12.95" hidden="1" customHeight="1">
      <c r="A515" s="348"/>
      <c r="B515" s="350"/>
      <c r="C515" s="248" t="s">
        <v>1224</v>
      </c>
      <c r="D515" s="239" t="s">
        <v>3860</v>
      </c>
      <c r="E515" s="58"/>
      <c r="F515" s="59" t="s">
        <v>3861</v>
      </c>
      <c r="G515" s="191" t="s">
        <v>2511</v>
      </c>
      <c r="H515" s="192" t="s">
        <v>401</v>
      </c>
      <c r="I515" s="61" t="s">
        <v>2511</v>
      </c>
      <c r="J515" s="61" t="s">
        <v>2511</v>
      </c>
      <c r="K515" s="62" t="s">
        <v>2511</v>
      </c>
      <c r="L515" s="60" t="s">
        <v>2511</v>
      </c>
      <c r="M515" s="61" t="s">
        <v>2389</v>
      </c>
      <c r="N515" s="61" t="s">
        <v>2511</v>
      </c>
      <c r="O515" s="61" t="s">
        <v>2511</v>
      </c>
      <c r="P515" s="62" t="s">
        <v>2511</v>
      </c>
      <c r="Q515" s="82"/>
      <c r="R515" s="82"/>
      <c r="S515" s="82"/>
      <c r="T515" s="82"/>
      <c r="U515" s="82"/>
      <c r="V515" s="138" t="s">
        <v>3862</v>
      </c>
      <c r="W515" s="57" t="s">
        <v>3660</v>
      </c>
      <c r="X515" s="126" t="s">
        <v>2511</v>
      </c>
      <c r="Y515" s="126" t="s">
        <v>2511</v>
      </c>
      <c r="Z515" s="57"/>
      <c r="AA515" s="57" t="s">
        <v>3661</v>
      </c>
      <c r="AB515" s="138"/>
      <c r="AC515" s="138" t="s">
        <v>2631</v>
      </c>
      <c r="AD515" s="96"/>
      <c r="AE515" s="80"/>
      <c r="AF515" s="80"/>
      <c r="AG515" s="80"/>
      <c r="AH515" s="83"/>
      <c r="AI515" s="83"/>
      <c r="AJ515" s="84"/>
      <c r="AK515" s="84"/>
      <c r="AL515" s="84"/>
      <c r="AM515" s="84"/>
      <c r="AN515" s="84"/>
      <c r="AO515" s="84"/>
      <c r="AP515" s="84"/>
      <c r="AQ515" s="95" t="s">
        <v>401</v>
      </c>
      <c r="AR515" s="72"/>
      <c r="AS515" s="72"/>
      <c r="AT515" s="72"/>
      <c r="AU515" s="72"/>
      <c r="AV515" s="72"/>
      <c r="AW515" s="72"/>
      <c r="AX515" s="72"/>
      <c r="AY515" s="72"/>
      <c r="AZ515" s="72"/>
      <c r="BA515" s="72"/>
      <c r="BB515" s="16"/>
      <c r="BC515" s="72"/>
      <c r="BD515" s="20"/>
      <c r="BE515" s="352"/>
    </row>
    <row r="516" spans="1:57" s="81" customFormat="1" ht="12.95" hidden="1" customHeight="1">
      <c r="A516" s="348"/>
      <c r="B516" s="350"/>
      <c r="C516" s="248" t="s">
        <v>1225</v>
      </c>
      <c r="D516" s="239" t="s">
        <v>3863</v>
      </c>
      <c r="E516" s="58"/>
      <c r="F516" s="59" t="s">
        <v>3864</v>
      </c>
      <c r="G516" s="191" t="s">
        <v>2511</v>
      </c>
      <c r="H516" s="192" t="s">
        <v>402</v>
      </c>
      <c r="I516" s="61" t="s">
        <v>2511</v>
      </c>
      <c r="J516" s="61" t="s">
        <v>2511</v>
      </c>
      <c r="K516" s="62" t="s">
        <v>2511</v>
      </c>
      <c r="L516" s="60" t="s">
        <v>2511</v>
      </c>
      <c r="M516" s="61" t="s">
        <v>2389</v>
      </c>
      <c r="N516" s="61" t="s">
        <v>2511</v>
      </c>
      <c r="O516" s="61" t="s">
        <v>2511</v>
      </c>
      <c r="P516" s="62" t="s">
        <v>2511</v>
      </c>
      <c r="Q516" s="82"/>
      <c r="R516" s="82"/>
      <c r="S516" s="82"/>
      <c r="T516" s="82"/>
      <c r="U516" s="82"/>
      <c r="V516" s="138" t="s">
        <v>3865</v>
      </c>
      <c r="W516" s="57" t="s">
        <v>3660</v>
      </c>
      <c r="X516" s="126" t="s">
        <v>2511</v>
      </c>
      <c r="Y516" s="126" t="s">
        <v>2511</v>
      </c>
      <c r="Z516" s="57"/>
      <c r="AA516" s="57" t="s">
        <v>3661</v>
      </c>
      <c r="AB516" s="138"/>
      <c r="AC516" s="138" t="s">
        <v>2631</v>
      </c>
      <c r="AD516" s="96"/>
      <c r="AE516" s="80"/>
      <c r="AF516" s="80"/>
      <c r="AG516" s="80"/>
      <c r="AH516" s="83"/>
      <c r="AI516" s="83"/>
      <c r="AJ516" s="84"/>
      <c r="AK516" s="84"/>
      <c r="AL516" s="84"/>
      <c r="AM516" s="84"/>
      <c r="AN516" s="84"/>
      <c r="AO516" s="84"/>
      <c r="AP516" s="84"/>
      <c r="AQ516" s="95" t="s">
        <v>402</v>
      </c>
      <c r="AR516" s="72"/>
      <c r="AS516" s="72"/>
      <c r="AT516" s="72"/>
      <c r="AU516" s="72"/>
      <c r="AV516" s="72"/>
      <c r="AW516" s="72"/>
      <c r="AX516" s="72"/>
      <c r="AY516" s="72"/>
      <c r="AZ516" s="72"/>
      <c r="BA516" s="72"/>
      <c r="BB516" s="16"/>
      <c r="BC516" s="72"/>
      <c r="BD516" s="20"/>
      <c r="BE516" s="352"/>
    </row>
    <row r="517" spans="1:57" s="81" customFormat="1" ht="12.95" hidden="1" customHeight="1">
      <c r="A517" s="348"/>
      <c r="B517" s="350"/>
      <c r="C517" s="270" t="s">
        <v>1226</v>
      </c>
      <c r="D517" s="239" t="s">
        <v>3866</v>
      </c>
      <c r="E517" s="58"/>
      <c r="F517" s="59" t="s">
        <v>3867</v>
      </c>
      <c r="G517" s="191" t="s">
        <v>2511</v>
      </c>
      <c r="H517" s="192" t="s">
        <v>403</v>
      </c>
      <c r="I517" s="61" t="s">
        <v>2511</v>
      </c>
      <c r="J517" s="61" t="s">
        <v>2511</v>
      </c>
      <c r="K517" s="62" t="s">
        <v>2511</v>
      </c>
      <c r="L517" s="60" t="s">
        <v>2511</v>
      </c>
      <c r="M517" s="61" t="s">
        <v>2389</v>
      </c>
      <c r="N517" s="61" t="s">
        <v>2511</v>
      </c>
      <c r="O517" s="61" t="s">
        <v>2511</v>
      </c>
      <c r="P517" s="62" t="s">
        <v>2511</v>
      </c>
      <c r="Q517" s="82"/>
      <c r="R517" s="82"/>
      <c r="S517" s="82"/>
      <c r="T517" s="82"/>
      <c r="U517" s="82"/>
      <c r="V517" s="138" t="s">
        <v>3868</v>
      </c>
      <c r="W517" s="57" t="s">
        <v>3660</v>
      </c>
      <c r="X517" s="126" t="s">
        <v>2511</v>
      </c>
      <c r="Y517" s="126" t="s">
        <v>2511</v>
      </c>
      <c r="Z517" s="57"/>
      <c r="AA517" s="57" t="s">
        <v>3661</v>
      </c>
      <c r="AB517" s="138"/>
      <c r="AC517" s="138" t="s">
        <v>2631</v>
      </c>
      <c r="AD517" s="96"/>
      <c r="AE517" s="80"/>
      <c r="AF517" s="80"/>
      <c r="AG517" s="80"/>
      <c r="AH517" s="83"/>
      <c r="AI517" s="83"/>
      <c r="AJ517" s="84"/>
      <c r="AK517" s="84"/>
      <c r="AL517" s="84"/>
      <c r="AM517" s="84"/>
      <c r="AN517" s="84"/>
      <c r="AO517" s="84"/>
      <c r="AP517" s="84"/>
      <c r="AQ517" s="95" t="s">
        <v>403</v>
      </c>
      <c r="AR517" s="72"/>
      <c r="AS517" s="72"/>
      <c r="AT517" s="72"/>
      <c r="AU517" s="72"/>
      <c r="AV517" s="72"/>
      <c r="AW517" s="72"/>
      <c r="AX517" s="72"/>
      <c r="AY517" s="72"/>
      <c r="AZ517" s="72"/>
      <c r="BA517" s="72"/>
      <c r="BB517" s="16"/>
      <c r="BC517" s="72"/>
      <c r="BD517" s="20"/>
      <c r="BE517" s="352"/>
    </row>
    <row r="518" spans="1:57" s="81" customFormat="1" ht="12.95" hidden="1" customHeight="1">
      <c r="A518" s="348"/>
      <c r="B518" s="350"/>
      <c r="C518" s="270" t="s">
        <v>1227</v>
      </c>
      <c r="D518" s="239" t="s">
        <v>3869</v>
      </c>
      <c r="E518" s="58"/>
      <c r="F518" s="59" t="s">
        <v>3870</v>
      </c>
      <c r="G518" s="191" t="s">
        <v>2511</v>
      </c>
      <c r="H518" s="192" t="s">
        <v>404</v>
      </c>
      <c r="I518" s="61" t="s">
        <v>2511</v>
      </c>
      <c r="J518" s="61" t="s">
        <v>2511</v>
      </c>
      <c r="K518" s="62" t="s">
        <v>2511</v>
      </c>
      <c r="L518" s="60" t="s">
        <v>2511</v>
      </c>
      <c r="M518" s="61" t="s">
        <v>2389</v>
      </c>
      <c r="N518" s="61" t="s">
        <v>2511</v>
      </c>
      <c r="O518" s="61" t="s">
        <v>2511</v>
      </c>
      <c r="P518" s="62" t="s">
        <v>2511</v>
      </c>
      <c r="Q518" s="82"/>
      <c r="R518" s="82"/>
      <c r="S518" s="82"/>
      <c r="T518" s="82"/>
      <c r="U518" s="82"/>
      <c r="V518" s="138" t="s">
        <v>3871</v>
      </c>
      <c r="W518" s="57" t="s">
        <v>3660</v>
      </c>
      <c r="X518" s="126" t="s">
        <v>2511</v>
      </c>
      <c r="Y518" s="126" t="s">
        <v>2511</v>
      </c>
      <c r="Z518" s="57"/>
      <c r="AA518" s="57" t="s">
        <v>3661</v>
      </c>
      <c r="AB518" s="138"/>
      <c r="AC518" s="138" t="s">
        <v>2631</v>
      </c>
      <c r="AD518" s="96"/>
      <c r="AE518" s="80"/>
      <c r="AF518" s="80"/>
      <c r="AG518" s="80"/>
      <c r="AH518" s="83"/>
      <c r="AI518" s="83"/>
      <c r="AJ518" s="84"/>
      <c r="AK518" s="84"/>
      <c r="AL518" s="84"/>
      <c r="AM518" s="84"/>
      <c r="AN518" s="84"/>
      <c r="AO518" s="84"/>
      <c r="AP518" s="84"/>
      <c r="AQ518" s="95" t="s">
        <v>404</v>
      </c>
      <c r="AR518" s="72"/>
      <c r="AS518" s="72"/>
      <c r="AT518" s="72"/>
      <c r="AU518" s="72"/>
      <c r="AV518" s="72"/>
      <c r="AW518" s="72"/>
      <c r="AX518" s="72"/>
      <c r="AY518" s="72"/>
      <c r="AZ518" s="72"/>
      <c r="BA518" s="72"/>
      <c r="BB518" s="16"/>
      <c r="BC518" s="72"/>
      <c r="BD518" s="20"/>
      <c r="BE518" s="352"/>
    </row>
    <row r="519" spans="1:57" s="81" customFormat="1" ht="12.95" hidden="1" customHeight="1">
      <c r="A519" s="348"/>
      <c r="B519" s="350"/>
      <c r="C519" s="248" t="s">
        <v>1228</v>
      </c>
      <c r="D519" s="239" t="s">
        <v>3872</v>
      </c>
      <c r="E519" s="58"/>
      <c r="F519" s="59" t="s">
        <v>3873</v>
      </c>
      <c r="G519" s="191" t="s">
        <v>2511</v>
      </c>
      <c r="H519" s="192" t="s">
        <v>405</v>
      </c>
      <c r="I519" s="61" t="s">
        <v>2511</v>
      </c>
      <c r="J519" s="61" t="s">
        <v>2511</v>
      </c>
      <c r="K519" s="62" t="s">
        <v>2511</v>
      </c>
      <c r="L519" s="60" t="s">
        <v>2511</v>
      </c>
      <c r="M519" s="61" t="s">
        <v>2389</v>
      </c>
      <c r="N519" s="61" t="s">
        <v>2511</v>
      </c>
      <c r="O519" s="61" t="s">
        <v>2511</v>
      </c>
      <c r="P519" s="62" t="s">
        <v>2511</v>
      </c>
      <c r="Q519" s="82"/>
      <c r="R519" s="82"/>
      <c r="S519" s="82"/>
      <c r="T519" s="82"/>
      <c r="U519" s="82"/>
      <c r="V519" s="138" t="s">
        <v>3874</v>
      </c>
      <c r="W519" s="57" t="s">
        <v>3660</v>
      </c>
      <c r="X519" s="126" t="s">
        <v>2511</v>
      </c>
      <c r="Y519" s="126" t="s">
        <v>2511</v>
      </c>
      <c r="Z519" s="57"/>
      <c r="AA519" s="57" t="s">
        <v>3661</v>
      </c>
      <c r="AB519" s="138"/>
      <c r="AC519" s="138">
        <v>0</v>
      </c>
      <c r="AD519" s="96"/>
      <c r="AE519" s="80"/>
      <c r="AF519" s="80"/>
      <c r="AG519" s="80"/>
      <c r="AH519" s="83"/>
      <c r="AI519" s="83"/>
      <c r="AJ519" s="84"/>
      <c r="AK519" s="84"/>
      <c r="AL519" s="84"/>
      <c r="AM519" s="84"/>
      <c r="AN519" s="84"/>
      <c r="AO519" s="84"/>
      <c r="AP519" s="84"/>
      <c r="AQ519" s="95" t="s">
        <v>405</v>
      </c>
      <c r="AR519" s="72"/>
      <c r="AS519" s="72"/>
      <c r="AT519" s="72"/>
      <c r="AU519" s="72"/>
      <c r="AV519" s="72"/>
      <c r="AW519" s="72"/>
      <c r="AX519" s="72"/>
      <c r="AY519" s="72"/>
      <c r="AZ519" s="72"/>
      <c r="BA519" s="72"/>
      <c r="BB519" s="16"/>
      <c r="BC519" s="72"/>
      <c r="BD519" s="20"/>
      <c r="BE519" s="352"/>
    </row>
    <row r="520" spans="1:57" s="81" customFormat="1" ht="12.95" hidden="1" customHeight="1">
      <c r="A520" s="348"/>
      <c r="B520" s="350"/>
      <c r="C520" s="248" t="s">
        <v>1229</v>
      </c>
      <c r="D520" s="239" t="s">
        <v>3875</v>
      </c>
      <c r="E520" s="58"/>
      <c r="F520" s="59" t="s">
        <v>3876</v>
      </c>
      <c r="G520" s="191" t="s">
        <v>2511</v>
      </c>
      <c r="H520" s="192" t="s">
        <v>406</v>
      </c>
      <c r="I520" s="61" t="s">
        <v>2511</v>
      </c>
      <c r="J520" s="61" t="s">
        <v>2511</v>
      </c>
      <c r="K520" s="62" t="s">
        <v>2511</v>
      </c>
      <c r="L520" s="60" t="s">
        <v>2511</v>
      </c>
      <c r="M520" s="61" t="s">
        <v>2389</v>
      </c>
      <c r="N520" s="61" t="s">
        <v>2511</v>
      </c>
      <c r="O520" s="61" t="s">
        <v>2511</v>
      </c>
      <c r="P520" s="62" t="s">
        <v>2511</v>
      </c>
      <c r="Q520" s="82"/>
      <c r="R520" s="82"/>
      <c r="S520" s="82"/>
      <c r="T520" s="82"/>
      <c r="U520" s="82"/>
      <c r="V520" s="138" t="s">
        <v>3877</v>
      </c>
      <c r="W520" s="57" t="s">
        <v>3660</v>
      </c>
      <c r="X520" s="126" t="s">
        <v>2511</v>
      </c>
      <c r="Y520" s="126" t="s">
        <v>2511</v>
      </c>
      <c r="Z520" s="57"/>
      <c r="AA520" s="57" t="s">
        <v>3661</v>
      </c>
      <c r="AB520" s="138"/>
      <c r="AC520" s="138" t="s">
        <v>2631</v>
      </c>
      <c r="AD520" s="96"/>
      <c r="AE520" s="80"/>
      <c r="AF520" s="80"/>
      <c r="AG520" s="80"/>
      <c r="AH520" s="83"/>
      <c r="AI520" s="83"/>
      <c r="AJ520" s="84"/>
      <c r="AK520" s="84"/>
      <c r="AL520" s="84"/>
      <c r="AM520" s="84"/>
      <c r="AN520" s="84"/>
      <c r="AO520" s="84"/>
      <c r="AP520" s="84"/>
      <c r="AQ520" s="95" t="s">
        <v>406</v>
      </c>
      <c r="AR520" s="72"/>
      <c r="AS520" s="72"/>
      <c r="AT520" s="72"/>
      <c r="AU520" s="72"/>
      <c r="AV520" s="72"/>
      <c r="AW520" s="72"/>
      <c r="AX520" s="72"/>
      <c r="AY520" s="72"/>
      <c r="AZ520" s="72"/>
      <c r="BA520" s="72"/>
      <c r="BB520" s="16"/>
      <c r="BC520" s="72"/>
      <c r="BD520" s="20"/>
      <c r="BE520" s="352"/>
    </row>
    <row r="521" spans="1:57" s="81" customFormat="1" ht="12.95" hidden="1" customHeight="1">
      <c r="A521" s="348"/>
      <c r="B521" s="350"/>
      <c r="C521" s="248" t="s">
        <v>1230</v>
      </c>
      <c r="D521" s="239" t="s">
        <v>3878</v>
      </c>
      <c r="E521" s="58"/>
      <c r="F521" s="59" t="s">
        <v>3879</v>
      </c>
      <c r="G521" s="191" t="s">
        <v>2511</v>
      </c>
      <c r="H521" s="192" t="s">
        <v>407</v>
      </c>
      <c r="I521" s="61" t="s">
        <v>2511</v>
      </c>
      <c r="J521" s="61" t="s">
        <v>2511</v>
      </c>
      <c r="K521" s="62" t="s">
        <v>2511</v>
      </c>
      <c r="L521" s="60" t="s">
        <v>2511</v>
      </c>
      <c r="M521" s="61" t="s">
        <v>2389</v>
      </c>
      <c r="N521" s="61" t="s">
        <v>2511</v>
      </c>
      <c r="O521" s="61" t="s">
        <v>2511</v>
      </c>
      <c r="P521" s="62" t="s">
        <v>2511</v>
      </c>
      <c r="Q521" s="82"/>
      <c r="R521" s="82"/>
      <c r="S521" s="82"/>
      <c r="T521" s="82"/>
      <c r="U521" s="82"/>
      <c r="V521" s="138" t="s">
        <v>3880</v>
      </c>
      <c r="W521" s="57" t="s">
        <v>3660</v>
      </c>
      <c r="X521" s="126" t="s">
        <v>2511</v>
      </c>
      <c r="Y521" s="126" t="s">
        <v>2511</v>
      </c>
      <c r="Z521" s="57"/>
      <c r="AA521" s="57" t="s">
        <v>3661</v>
      </c>
      <c r="AB521" s="138"/>
      <c r="AC521" s="138" t="s">
        <v>2631</v>
      </c>
      <c r="AD521" s="96"/>
      <c r="AE521" s="80"/>
      <c r="AF521" s="80"/>
      <c r="AG521" s="80"/>
      <c r="AH521" s="83"/>
      <c r="AI521" s="83"/>
      <c r="AJ521" s="84"/>
      <c r="AK521" s="84"/>
      <c r="AL521" s="84"/>
      <c r="AM521" s="84"/>
      <c r="AN521" s="84"/>
      <c r="AO521" s="84"/>
      <c r="AP521" s="84"/>
      <c r="AQ521" s="95" t="s">
        <v>407</v>
      </c>
      <c r="AR521" s="72"/>
      <c r="AS521" s="72"/>
      <c r="AT521" s="72"/>
      <c r="AU521" s="72"/>
      <c r="AV521" s="72"/>
      <c r="AW521" s="72"/>
      <c r="AX521" s="72"/>
      <c r="AY521" s="72"/>
      <c r="AZ521" s="72"/>
      <c r="BA521" s="72"/>
      <c r="BB521" s="16"/>
      <c r="BC521" s="72"/>
      <c r="BD521" s="20"/>
      <c r="BE521" s="352"/>
    </row>
    <row r="522" spans="1:57" s="81" customFormat="1" ht="12.95" hidden="1" customHeight="1">
      <c r="A522" s="348"/>
      <c r="B522" s="350"/>
      <c r="C522" s="248" t="s">
        <v>1231</v>
      </c>
      <c r="D522" s="239" t="s">
        <v>3881</v>
      </c>
      <c r="E522" s="58"/>
      <c r="F522" s="59" t="s">
        <v>3882</v>
      </c>
      <c r="G522" s="191" t="s">
        <v>2511</v>
      </c>
      <c r="H522" s="192" t="s">
        <v>408</v>
      </c>
      <c r="I522" s="61" t="s">
        <v>2511</v>
      </c>
      <c r="J522" s="61" t="s">
        <v>2511</v>
      </c>
      <c r="K522" s="62" t="s">
        <v>2511</v>
      </c>
      <c r="L522" s="60" t="s">
        <v>2511</v>
      </c>
      <c r="M522" s="61" t="s">
        <v>2389</v>
      </c>
      <c r="N522" s="61" t="s">
        <v>2511</v>
      </c>
      <c r="O522" s="61" t="s">
        <v>2511</v>
      </c>
      <c r="P522" s="62" t="s">
        <v>2511</v>
      </c>
      <c r="Q522" s="82"/>
      <c r="R522" s="82"/>
      <c r="S522" s="82"/>
      <c r="T522" s="82"/>
      <c r="U522" s="82"/>
      <c r="V522" s="138" t="s">
        <v>3883</v>
      </c>
      <c r="W522" s="57" t="s">
        <v>3660</v>
      </c>
      <c r="X522" s="126" t="s">
        <v>2511</v>
      </c>
      <c r="Y522" s="126" t="s">
        <v>2511</v>
      </c>
      <c r="Z522" s="57"/>
      <c r="AA522" s="57" t="s">
        <v>3661</v>
      </c>
      <c r="AB522" s="138"/>
      <c r="AC522" s="138" t="s">
        <v>2631</v>
      </c>
      <c r="AD522" s="96"/>
      <c r="AE522" s="80"/>
      <c r="AF522" s="80"/>
      <c r="AG522" s="80"/>
      <c r="AH522" s="83"/>
      <c r="AI522" s="83"/>
      <c r="AJ522" s="84"/>
      <c r="AK522" s="84"/>
      <c r="AL522" s="84"/>
      <c r="AM522" s="84"/>
      <c r="AN522" s="84"/>
      <c r="AO522" s="84"/>
      <c r="AP522" s="84"/>
      <c r="AQ522" s="95" t="s">
        <v>408</v>
      </c>
      <c r="AR522" s="72"/>
      <c r="AS522" s="72"/>
      <c r="AT522" s="72"/>
      <c r="AU522" s="72"/>
      <c r="AV522" s="72"/>
      <c r="AW522" s="72"/>
      <c r="AX522" s="72"/>
      <c r="AY522" s="72"/>
      <c r="AZ522" s="72"/>
      <c r="BA522" s="72"/>
      <c r="BB522" s="16"/>
      <c r="BC522" s="72"/>
      <c r="BD522" s="20"/>
      <c r="BE522" s="352"/>
    </row>
    <row r="523" spans="1:57" s="81" customFormat="1" ht="12.95" hidden="1" customHeight="1">
      <c r="A523" s="348"/>
      <c r="B523" s="350"/>
      <c r="C523" s="248" t="s">
        <v>1232</v>
      </c>
      <c r="D523" s="239" t="s">
        <v>3884</v>
      </c>
      <c r="E523" s="58"/>
      <c r="F523" s="59" t="s">
        <v>3885</v>
      </c>
      <c r="G523" s="191" t="s">
        <v>2511</v>
      </c>
      <c r="H523" s="192" t="s">
        <v>409</v>
      </c>
      <c r="I523" s="61" t="s">
        <v>2511</v>
      </c>
      <c r="J523" s="61" t="s">
        <v>2511</v>
      </c>
      <c r="K523" s="62" t="s">
        <v>2511</v>
      </c>
      <c r="L523" s="60" t="s">
        <v>2511</v>
      </c>
      <c r="M523" s="61" t="s">
        <v>2389</v>
      </c>
      <c r="N523" s="61" t="s">
        <v>2511</v>
      </c>
      <c r="O523" s="61" t="s">
        <v>2511</v>
      </c>
      <c r="P523" s="62" t="s">
        <v>2511</v>
      </c>
      <c r="Q523" s="82"/>
      <c r="R523" s="82"/>
      <c r="S523" s="82"/>
      <c r="T523" s="82"/>
      <c r="U523" s="82"/>
      <c r="V523" s="138" t="s">
        <v>3886</v>
      </c>
      <c r="W523" s="57" t="s">
        <v>3660</v>
      </c>
      <c r="X523" s="126" t="s">
        <v>2511</v>
      </c>
      <c r="Y523" s="126" t="s">
        <v>2511</v>
      </c>
      <c r="Z523" s="57"/>
      <c r="AA523" s="57" t="s">
        <v>3661</v>
      </c>
      <c r="AB523" s="138"/>
      <c r="AC523" s="138" t="s">
        <v>2631</v>
      </c>
      <c r="AD523" s="96"/>
      <c r="AE523" s="80"/>
      <c r="AF523" s="80"/>
      <c r="AG523" s="80"/>
      <c r="AH523" s="83"/>
      <c r="AI523" s="83"/>
      <c r="AJ523" s="84"/>
      <c r="AK523" s="84"/>
      <c r="AL523" s="84"/>
      <c r="AM523" s="84"/>
      <c r="AN523" s="84"/>
      <c r="AO523" s="84"/>
      <c r="AP523" s="84"/>
      <c r="AQ523" s="95" t="s">
        <v>409</v>
      </c>
      <c r="AR523" s="72"/>
      <c r="AS523" s="72"/>
      <c r="AT523" s="72"/>
      <c r="AU523" s="72"/>
      <c r="AV523" s="72"/>
      <c r="AW523" s="72"/>
      <c r="AX523" s="72"/>
      <c r="AY523" s="72"/>
      <c r="AZ523" s="72"/>
      <c r="BA523" s="72"/>
      <c r="BB523" s="16"/>
      <c r="BC523" s="72"/>
      <c r="BD523" s="20"/>
      <c r="BE523" s="352"/>
    </row>
    <row r="524" spans="1:57" s="81" customFormat="1" ht="12.95" hidden="1" customHeight="1">
      <c r="A524" s="348"/>
      <c r="B524" s="350"/>
      <c r="C524" s="248" t="s">
        <v>1233</v>
      </c>
      <c r="D524" s="239" t="s">
        <v>3887</v>
      </c>
      <c r="E524" s="58"/>
      <c r="F524" s="59" t="s">
        <v>3888</v>
      </c>
      <c r="G524" s="191" t="s">
        <v>2511</v>
      </c>
      <c r="H524" s="192" t="s">
        <v>410</v>
      </c>
      <c r="I524" s="61" t="s">
        <v>2511</v>
      </c>
      <c r="J524" s="61" t="s">
        <v>2511</v>
      </c>
      <c r="K524" s="62" t="s">
        <v>2511</v>
      </c>
      <c r="L524" s="60" t="s">
        <v>2511</v>
      </c>
      <c r="M524" s="61" t="s">
        <v>2389</v>
      </c>
      <c r="N524" s="61" t="s">
        <v>2511</v>
      </c>
      <c r="O524" s="61" t="s">
        <v>2511</v>
      </c>
      <c r="P524" s="62" t="s">
        <v>2511</v>
      </c>
      <c r="Q524" s="82"/>
      <c r="R524" s="82"/>
      <c r="S524" s="82"/>
      <c r="T524" s="82"/>
      <c r="U524" s="82"/>
      <c r="V524" s="138" t="s">
        <v>3889</v>
      </c>
      <c r="W524" s="57" t="s">
        <v>3660</v>
      </c>
      <c r="X524" s="126" t="s">
        <v>2511</v>
      </c>
      <c r="Y524" s="126" t="s">
        <v>2511</v>
      </c>
      <c r="Z524" s="57"/>
      <c r="AA524" s="57" t="s">
        <v>3661</v>
      </c>
      <c r="AB524" s="138"/>
      <c r="AC524" s="138" t="s">
        <v>2631</v>
      </c>
      <c r="AD524" s="96"/>
      <c r="AE524" s="80"/>
      <c r="AF524" s="80"/>
      <c r="AG524" s="80"/>
      <c r="AH524" s="83"/>
      <c r="AI524" s="83"/>
      <c r="AJ524" s="84"/>
      <c r="AK524" s="84"/>
      <c r="AL524" s="84"/>
      <c r="AM524" s="84"/>
      <c r="AN524" s="84"/>
      <c r="AO524" s="84"/>
      <c r="AP524" s="84"/>
      <c r="AQ524" s="95" t="s">
        <v>410</v>
      </c>
      <c r="AR524" s="72"/>
      <c r="AS524" s="72"/>
      <c r="AT524" s="72"/>
      <c r="AU524" s="72"/>
      <c r="AV524" s="72"/>
      <c r="AW524" s="72"/>
      <c r="AX524" s="72"/>
      <c r="AY524" s="72"/>
      <c r="AZ524" s="72"/>
      <c r="BA524" s="72"/>
      <c r="BB524" s="16"/>
      <c r="BC524" s="72"/>
      <c r="BD524" s="20"/>
      <c r="BE524" s="352"/>
    </row>
    <row r="525" spans="1:57" s="81" customFormat="1" ht="12.95" hidden="1" customHeight="1">
      <c r="A525" s="348"/>
      <c r="B525" s="350"/>
      <c r="C525" s="248" t="s">
        <v>1234</v>
      </c>
      <c r="D525" s="239" t="s">
        <v>3890</v>
      </c>
      <c r="E525" s="58"/>
      <c r="F525" s="59" t="s">
        <v>3891</v>
      </c>
      <c r="G525" s="191" t="s">
        <v>2511</v>
      </c>
      <c r="H525" s="192" t="s">
        <v>411</v>
      </c>
      <c r="I525" s="61" t="s">
        <v>2511</v>
      </c>
      <c r="J525" s="61" t="s">
        <v>2511</v>
      </c>
      <c r="K525" s="62" t="s">
        <v>2511</v>
      </c>
      <c r="L525" s="60" t="s">
        <v>2511</v>
      </c>
      <c r="M525" s="61" t="s">
        <v>2389</v>
      </c>
      <c r="N525" s="61" t="s">
        <v>2511</v>
      </c>
      <c r="O525" s="61" t="s">
        <v>2511</v>
      </c>
      <c r="P525" s="62" t="s">
        <v>2511</v>
      </c>
      <c r="Q525" s="82"/>
      <c r="R525" s="82"/>
      <c r="S525" s="82"/>
      <c r="T525" s="82"/>
      <c r="U525" s="82"/>
      <c r="V525" s="138" t="s">
        <v>3892</v>
      </c>
      <c r="W525" s="57" t="s">
        <v>3660</v>
      </c>
      <c r="X525" s="126" t="s">
        <v>2511</v>
      </c>
      <c r="Y525" s="126" t="s">
        <v>2511</v>
      </c>
      <c r="Z525" s="57"/>
      <c r="AA525" s="57" t="s">
        <v>3661</v>
      </c>
      <c r="AB525" s="138"/>
      <c r="AC525" s="138" t="s">
        <v>2631</v>
      </c>
      <c r="AD525" s="96"/>
      <c r="AE525" s="80"/>
      <c r="AF525" s="80"/>
      <c r="AG525" s="80"/>
      <c r="AH525" s="83"/>
      <c r="AI525" s="83"/>
      <c r="AJ525" s="84"/>
      <c r="AK525" s="84"/>
      <c r="AL525" s="84"/>
      <c r="AM525" s="84"/>
      <c r="AN525" s="84"/>
      <c r="AO525" s="84"/>
      <c r="AP525" s="84"/>
      <c r="AQ525" s="95" t="s">
        <v>411</v>
      </c>
      <c r="AR525" s="72"/>
      <c r="AS525" s="72"/>
      <c r="AT525" s="72"/>
      <c r="AU525" s="72"/>
      <c r="AV525" s="72"/>
      <c r="AW525" s="72"/>
      <c r="AX525" s="72"/>
      <c r="AY525" s="72"/>
      <c r="AZ525" s="72"/>
      <c r="BA525" s="72"/>
      <c r="BB525" s="16"/>
      <c r="BC525" s="72"/>
      <c r="BD525" s="20"/>
      <c r="BE525" s="352"/>
    </row>
    <row r="526" spans="1:57" s="81" customFormat="1" ht="12.95" hidden="1" customHeight="1">
      <c r="A526" s="348"/>
      <c r="B526" s="350"/>
      <c r="C526" s="248" t="s">
        <v>1235</v>
      </c>
      <c r="D526" s="239" t="s">
        <v>3893</v>
      </c>
      <c r="E526" s="58"/>
      <c r="F526" s="59" t="s">
        <v>3894</v>
      </c>
      <c r="G526" s="191" t="s">
        <v>2511</v>
      </c>
      <c r="H526" s="192" t="s">
        <v>412</v>
      </c>
      <c r="I526" s="61" t="s">
        <v>2511</v>
      </c>
      <c r="J526" s="61" t="s">
        <v>2511</v>
      </c>
      <c r="K526" s="62" t="s">
        <v>2511</v>
      </c>
      <c r="L526" s="60" t="s">
        <v>2511</v>
      </c>
      <c r="M526" s="61" t="s">
        <v>2389</v>
      </c>
      <c r="N526" s="61" t="s">
        <v>2511</v>
      </c>
      <c r="O526" s="61" t="s">
        <v>2511</v>
      </c>
      <c r="P526" s="62" t="s">
        <v>2511</v>
      </c>
      <c r="Q526" s="82"/>
      <c r="R526" s="82"/>
      <c r="S526" s="82"/>
      <c r="T526" s="82"/>
      <c r="U526" s="82"/>
      <c r="V526" s="138" t="s">
        <v>3895</v>
      </c>
      <c r="W526" s="57" t="s">
        <v>3660</v>
      </c>
      <c r="X526" s="126" t="s">
        <v>2511</v>
      </c>
      <c r="Y526" s="126" t="s">
        <v>2511</v>
      </c>
      <c r="Z526" s="57"/>
      <c r="AA526" s="57" t="s">
        <v>3661</v>
      </c>
      <c r="AB526" s="138"/>
      <c r="AC526" s="138" t="s">
        <v>2631</v>
      </c>
      <c r="AD526" s="96"/>
      <c r="AE526" s="80"/>
      <c r="AF526" s="80"/>
      <c r="AG526" s="80"/>
      <c r="AH526" s="83"/>
      <c r="AI526" s="83"/>
      <c r="AJ526" s="84"/>
      <c r="AK526" s="84"/>
      <c r="AL526" s="84"/>
      <c r="AM526" s="84"/>
      <c r="AN526" s="84"/>
      <c r="AO526" s="84"/>
      <c r="AP526" s="84"/>
      <c r="AQ526" s="95" t="s">
        <v>412</v>
      </c>
      <c r="AR526" s="72"/>
      <c r="AS526" s="72"/>
      <c r="AT526" s="72"/>
      <c r="AU526" s="72"/>
      <c r="AV526" s="72"/>
      <c r="AW526" s="72"/>
      <c r="AX526" s="72"/>
      <c r="AY526" s="72"/>
      <c r="AZ526" s="72"/>
      <c r="BA526" s="72"/>
      <c r="BB526" s="16"/>
      <c r="BC526" s="72"/>
      <c r="BD526" s="20"/>
      <c r="BE526" s="352"/>
    </row>
    <row r="527" spans="1:57" s="81" customFormat="1" ht="12.95" hidden="1" customHeight="1">
      <c r="A527" s="348"/>
      <c r="B527" s="350"/>
      <c r="C527" s="248" t="s">
        <v>1236</v>
      </c>
      <c r="D527" s="239" t="s">
        <v>3896</v>
      </c>
      <c r="E527" s="58"/>
      <c r="F527" s="59" t="s">
        <v>3897</v>
      </c>
      <c r="G527" s="191" t="s">
        <v>2511</v>
      </c>
      <c r="H527" s="192" t="s">
        <v>413</v>
      </c>
      <c r="I527" s="61" t="s">
        <v>2511</v>
      </c>
      <c r="J527" s="61" t="s">
        <v>2511</v>
      </c>
      <c r="K527" s="62" t="s">
        <v>2511</v>
      </c>
      <c r="L527" s="60" t="s">
        <v>2511</v>
      </c>
      <c r="M527" s="61" t="s">
        <v>2389</v>
      </c>
      <c r="N527" s="61" t="s">
        <v>2511</v>
      </c>
      <c r="O527" s="61" t="s">
        <v>2511</v>
      </c>
      <c r="P527" s="62" t="s">
        <v>2511</v>
      </c>
      <c r="Q527" s="82"/>
      <c r="R527" s="82"/>
      <c r="S527" s="82"/>
      <c r="T527" s="82"/>
      <c r="U527" s="82"/>
      <c r="V527" s="138" t="s">
        <v>3898</v>
      </c>
      <c r="W527" s="57" t="s">
        <v>3660</v>
      </c>
      <c r="X527" s="126" t="s">
        <v>2511</v>
      </c>
      <c r="Y527" s="126" t="s">
        <v>2511</v>
      </c>
      <c r="Z527" s="57"/>
      <c r="AA527" s="57" t="s">
        <v>3661</v>
      </c>
      <c r="AB527" s="138"/>
      <c r="AC527" s="138" t="s">
        <v>2631</v>
      </c>
      <c r="AD527" s="96"/>
      <c r="AE527" s="80"/>
      <c r="AF527" s="80"/>
      <c r="AG527" s="80"/>
      <c r="AH527" s="83"/>
      <c r="AI527" s="83"/>
      <c r="AJ527" s="84"/>
      <c r="AK527" s="84"/>
      <c r="AL527" s="84"/>
      <c r="AM527" s="84"/>
      <c r="AN527" s="84"/>
      <c r="AO527" s="84"/>
      <c r="AP527" s="84"/>
      <c r="AQ527" s="95" t="s">
        <v>413</v>
      </c>
      <c r="AR527" s="72"/>
      <c r="AS527" s="72"/>
      <c r="AT527" s="72"/>
      <c r="AU527" s="72"/>
      <c r="AV527" s="72"/>
      <c r="AW527" s="72"/>
      <c r="AX527" s="72"/>
      <c r="AY527" s="72"/>
      <c r="AZ527" s="72"/>
      <c r="BA527" s="72"/>
      <c r="BB527" s="16"/>
      <c r="BC527" s="72"/>
      <c r="BD527" s="20"/>
      <c r="BE527" s="352"/>
    </row>
    <row r="528" spans="1:57" s="81" customFormat="1" ht="12.95" hidden="1" customHeight="1">
      <c r="A528" s="348"/>
      <c r="B528" s="350"/>
      <c r="C528" s="248" t="s">
        <v>1237</v>
      </c>
      <c r="D528" s="239" t="s">
        <v>3899</v>
      </c>
      <c r="E528" s="58"/>
      <c r="F528" s="59" t="s">
        <v>3900</v>
      </c>
      <c r="G528" s="191" t="s">
        <v>2511</v>
      </c>
      <c r="H528" s="192" t="s">
        <v>414</v>
      </c>
      <c r="I528" s="61" t="s">
        <v>2511</v>
      </c>
      <c r="J528" s="61" t="s">
        <v>2511</v>
      </c>
      <c r="K528" s="62" t="s">
        <v>2511</v>
      </c>
      <c r="L528" s="60" t="s">
        <v>2511</v>
      </c>
      <c r="M528" s="61" t="s">
        <v>2389</v>
      </c>
      <c r="N528" s="61" t="s">
        <v>2511</v>
      </c>
      <c r="O528" s="61" t="s">
        <v>2511</v>
      </c>
      <c r="P528" s="62" t="s">
        <v>2511</v>
      </c>
      <c r="Q528" s="82"/>
      <c r="R528" s="82"/>
      <c r="S528" s="82"/>
      <c r="T528" s="82"/>
      <c r="U528" s="82"/>
      <c r="V528" s="138" t="s">
        <v>3901</v>
      </c>
      <c r="W528" s="57" t="s">
        <v>3660</v>
      </c>
      <c r="X528" s="126" t="s">
        <v>2511</v>
      </c>
      <c r="Y528" s="126" t="s">
        <v>2511</v>
      </c>
      <c r="Z528" s="57"/>
      <c r="AA528" s="57" t="s">
        <v>3661</v>
      </c>
      <c r="AB528" s="138"/>
      <c r="AC528" s="138" t="s">
        <v>2631</v>
      </c>
      <c r="AD528" s="96"/>
      <c r="AE528" s="80"/>
      <c r="AF528" s="80"/>
      <c r="AG528" s="80"/>
      <c r="AH528" s="83"/>
      <c r="AI528" s="83"/>
      <c r="AJ528" s="84"/>
      <c r="AK528" s="84"/>
      <c r="AL528" s="84"/>
      <c r="AM528" s="84"/>
      <c r="AN528" s="84"/>
      <c r="AO528" s="84"/>
      <c r="AP528" s="84"/>
      <c r="AQ528" s="95" t="s">
        <v>414</v>
      </c>
      <c r="AR528" s="72"/>
      <c r="AS528" s="72"/>
      <c r="AT528" s="72"/>
      <c r="AU528" s="72"/>
      <c r="AV528" s="72"/>
      <c r="AW528" s="72"/>
      <c r="AX528" s="72"/>
      <c r="AY528" s="72"/>
      <c r="AZ528" s="72"/>
      <c r="BA528" s="72"/>
      <c r="BB528" s="16"/>
      <c r="BC528" s="72"/>
      <c r="BD528" s="20"/>
      <c r="BE528" s="352"/>
    </row>
    <row r="529" spans="1:57" s="81" customFormat="1" ht="12.95" hidden="1" customHeight="1">
      <c r="A529" s="348"/>
      <c r="B529" s="350"/>
      <c r="C529" s="270" t="s">
        <v>1238</v>
      </c>
      <c r="D529" s="239" t="s">
        <v>3902</v>
      </c>
      <c r="E529" s="58"/>
      <c r="F529" s="59" t="s">
        <v>3903</v>
      </c>
      <c r="G529" s="191" t="s">
        <v>2511</v>
      </c>
      <c r="H529" s="192" t="s">
        <v>415</v>
      </c>
      <c r="I529" s="61" t="s">
        <v>2511</v>
      </c>
      <c r="J529" s="61" t="s">
        <v>2511</v>
      </c>
      <c r="K529" s="62" t="s">
        <v>2511</v>
      </c>
      <c r="L529" s="60" t="s">
        <v>2511</v>
      </c>
      <c r="M529" s="61" t="s">
        <v>2389</v>
      </c>
      <c r="N529" s="61" t="s">
        <v>2511</v>
      </c>
      <c r="O529" s="61" t="s">
        <v>2511</v>
      </c>
      <c r="P529" s="62" t="s">
        <v>2511</v>
      </c>
      <c r="Q529" s="82"/>
      <c r="R529" s="82"/>
      <c r="S529" s="82"/>
      <c r="T529" s="82"/>
      <c r="U529" s="82"/>
      <c r="V529" s="138" t="s">
        <v>3904</v>
      </c>
      <c r="W529" s="57" t="s">
        <v>3660</v>
      </c>
      <c r="X529" s="126" t="s">
        <v>2511</v>
      </c>
      <c r="Y529" s="126" t="s">
        <v>2511</v>
      </c>
      <c r="Z529" s="57"/>
      <c r="AA529" s="57" t="s">
        <v>3661</v>
      </c>
      <c r="AB529" s="138"/>
      <c r="AC529" s="138" t="s">
        <v>2631</v>
      </c>
      <c r="AD529" s="96"/>
      <c r="AE529" s="80"/>
      <c r="AF529" s="80"/>
      <c r="AG529" s="80"/>
      <c r="AH529" s="83"/>
      <c r="AI529" s="83"/>
      <c r="AJ529" s="84"/>
      <c r="AK529" s="84"/>
      <c r="AL529" s="84"/>
      <c r="AM529" s="84"/>
      <c r="AN529" s="84"/>
      <c r="AO529" s="84"/>
      <c r="AP529" s="84"/>
      <c r="AQ529" s="95" t="s">
        <v>415</v>
      </c>
      <c r="AR529" s="72"/>
      <c r="AS529" s="72"/>
      <c r="AT529" s="72"/>
      <c r="AU529" s="72"/>
      <c r="AV529" s="72"/>
      <c r="AW529" s="72"/>
      <c r="AX529" s="72"/>
      <c r="AY529" s="72"/>
      <c r="AZ529" s="72"/>
      <c r="BA529" s="72"/>
      <c r="BB529" s="16"/>
      <c r="BC529" s="72"/>
      <c r="BD529" s="20"/>
      <c r="BE529" s="352"/>
    </row>
    <row r="530" spans="1:57" s="81" customFormat="1" ht="12.95" hidden="1" customHeight="1">
      <c r="A530" s="348"/>
      <c r="B530" s="350"/>
      <c r="C530" s="270" t="s">
        <v>1239</v>
      </c>
      <c r="D530" s="239" t="s">
        <v>3905</v>
      </c>
      <c r="E530" s="58"/>
      <c r="F530" s="59" t="s">
        <v>3906</v>
      </c>
      <c r="G530" s="191" t="s">
        <v>2511</v>
      </c>
      <c r="H530" s="192" t="s">
        <v>416</v>
      </c>
      <c r="I530" s="61" t="s">
        <v>2511</v>
      </c>
      <c r="J530" s="61" t="s">
        <v>2511</v>
      </c>
      <c r="K530" s="62" t="s">
        <v>2511</v>
      </c>
      <c r="L530" s="60" t="s">
        <v>2511</v>
      </c>
      <c r="M530" s="61" t="s">
        <v>2389</v>
      </c>
      <c r="N530" s="61" t="s">
        <v>2511</v>
      </c>
      <c r="O530" s="61" t="s">
        <v>2511</v>
      </c>
      <c r="P530" s="62" t="s">
        <v>2511</v>
      </c>
      <c r="Q530" s="82"/>
      <c r="R530" s="82"/>
      <c r="S530" s="82"/>
      <c r="T530" s="82"/>
      <c r="U530" s="82"/>
      <c r="V530" s="138" t="s">
        <v>3907</v>
      </c>
      <c r="W530" s="57" t="s">
        <v>3660</v>
      </c>
      <c r="X530" s="126" t="s">
        <v>2511</v>
      </c>
      <c r="Y530" s="126" t="s">
        <v>2511</v>
      </c>
      <c r="Z530" s="57"/>
      <c r="AA530" s="57" t="s">
        <v>3661</v>
      </c>
      <c r="AB530" s="138"/>
      <c r="AC530" s="138" t="s">
        <v>2631</v>
      </c>
      <c r="AD530" s="96"/>
      <c r="AE530" s="80"/>
      <c r="AF530" s="80"/>
      <c r="AG530" s="80"/>
      <c r="AH530" s="83"/>
      <c r="AI530" s="83"/>
      <c r="AJ530" s="84"/>
      <c r="AK530" s="84"/>
      <c r="AL530" s="84"/>
      <c r="AM530" s="84"/>
      <c r="AN530" s="84"/>
      <c r="AO530" s="84"/>
      <c r="AP530" s="84"/>
      <c r="AQ530" s="95" t="s">
        <v>416</v>
      </c>
      <c r="AR530" s="72"/>
      <c r="AS530" s="72"/>
      <c r="AT530" s="72"/>
      <c r="AU530" s="72"/>
      <c r="AV530" s="72"/>
      <c r="AW530" s="72"/>
      <c r="AX530" s="72"/>
      <c r="AY530" s="72"/>
      <c r="AZ530" s="72"/>
      <c r="BA530" s="72"/>
      <c r="BB530" s="16"/>
      <c r="BC530" s="72"/>
      <c r="BD530" s="20"/>
      <c r="BE530" s="352"/>
    </row>
    <row r="531" spans="1:57" s="81" customFormat="1" ht="12.75" hidden="1" customHeight="1">
      <c r="A531" s="348"/>
      <c r="B531" s="350"/>
      <c r="C531" s="248" t="s">
        <v>1240</v>
      </c>
      <c r="D531" s="239" t="s">
        <v>3908</v>
      </c>
      <c r="E531" s="58"/>
      <c r="F531" s="59" t="s">
        <v>3909</v>
      </c>
      <c r="G531" s="191" t="s">
        <v>2511</v>
      </c>
      <c r="H531" s="192" t="s">
        <v>417</v>
      </c>
      <c r="I531" s="61" t="s">
        <v>2511</v>
      </c>
      <c r="J531" s="61" t="s">
        <v>2511</v>
      </c>
      <c r="K531" s="62" t="s">
        <v>2511</v>
      </c>
      <c r="L531" s="60" t="s">
        <v>2511</v>
      </c>
      <c r="M531" s="61" t="s">
        <v>2389</v>
      </c>
      <c r="N531" s="61" t="s">
        <v>2511</v>
      </c>
      <c r="O531" s="61" t="s">
        <v>2511</v>
      </c>
      <c r="P531" s="62" t="s">
        <v>2511</v>
      </c>
      <c r="Q531" s="82"/>
      <c r="R531" s="82"/>
      <c r="S531" s="82"/>
      <c r="T531" s="82"/>
      <c r="U531" s="82"/>
      <c r="V531" s="138" t="s">
        <v>3910</v>
      </c>
      <c r="W531" s="57" t="s">
        <v>3660</v>
      </c>
      <c r="X531" s="126" t="s">
        <v>2511</v>
      </c>
      <c r="Y531" s="126" t="s">
        <v>2511</v>
      </c>
      <c r="Z531" s="57"/>
      <c r="AA531" s="57" t="s">
        <v>3661</v>
      </c>
      <c r="AB531" s="138"/>
      <c r="AC531" s="138">
        <v>0</v>
      </c>
      <c r="AD531" s="96"/>
      <c r="AE531" s="80"/>
      <c r="AF531" s="80"/>
      <c r="AG531" s="80"/>
      <c r="AH531" s="83"/>
      <c r="AI531" s="83"/>
      <c r="AJ531" s="84"/>
      <c r="AK531" s="84"/>
      <c r="AL531" s="84"/>
      <c r="AM531" s="84"/>
      <c r="AN531" s="84"/>
      <c r="AO531" s="84"/>
      <c r="AP531" s="84"/>
      <c r="AQ531" s="95" t="s">
        <v>417</v>
      </c>
      <c r="AR531" s="72"/>
      <c r="AS531" s="72"/>
      <c r="AT531" s="72"/>
      <c r="AU531" s="72"/>
      <c r="AV531" s="72"/>
      <c r="AW531" s="72"/>
      <c r="AX531" s="72"/>
      <c r="AY531" s="72"/>
      <c r="AZ531" s="72"/>
      <c r="BA531" s="72"/>
      <c r="BB531" s="16"/>
      <c r="BC531" s="72"/>
      <c r="BD531" s="20"/>
      <c r="BE531" s="352"/>
    </row>
    <row r="532" spans="1:57" s="81" customFormat="1" ht="12.95" hidden="1" customHeight="1">
      <c r="A532" s="348"/>
      <c r="B532" s="350"/>
      <c r="C532" s="248" t="s">
        <v>1241</v>
      </c>
      <c r="D532" s="239" t="s">
        <v>3911</v>
      </c>
      <c r="E532" s="58"/>
      <c r="F532" s="59" t="s">
        <v>3912</v>
      </c>
      <c r="G532" s="191" t="s">
        <v>2511</v>
      </c>
      <c r="H532" s="192" t="s">
        <v>418</v>
      </c>
      <c r="I532" s="61" t="s">
        <v>2511</v>
      </c>
      <c r="J532" s="61" t="s">
        <v>2511</v>
      </c>
      <c r="K532" s="62" t="s">
        <v>2511</v>
      </c>
      <c r="L532" s="60" t="s">
        <v>2511</v>
      </c>
      <c r="M532" s="61" t="s">
        <v>2389</v>
      </c>
      <c r="N532" s="61" t="s">
        <v>2511</v>
      </c>
      <c r="O532" s="61" t="s">
        <v>2511</v>
      </c>
      <c r="P532" s="62" t="s">
        <v>2511</v>
      </c>
      <c r="Q532" s="82"/>
      <c r="R532" s="82"/>
      <c r="S532" s="82"/>
      <c r="T532" s="82"/>
      <c r="U532" s="82"/>
      <c r="V532" s="138" t="s">
        <v>3913</v>
      </c>
      <c r="W532" s="57" t="s">
        <v>3660</v>
      </c>
      <c r="X532" s="126" t="s">
        <v>2511</v>
      </c>
      <c r="Y532" s="126" t="s">
        <v>2511</v>
      </c>
      <c r="Z532" s="57"/>
      <c r="AA532" s="57" t="s">
        <v>3661</v>
      </c>
      <c r="AB532" s="138"/>
      <c r="AC532" s="138" t="s">
        <v>2631</v>
      </c>
      <c r="AD532" s="96"/>
      <c r="AE532" s="80"/>
      <c r="AF532" s="80"/>
      <c r="AG532" s="80"/>
      <c r="AH532" s="83"/>
      <c r="AI532" s="83"/>
      <c r="AJ532" s="84"/>
      <c r="AK532" s="84"/>
      <c r="AL532" s="84"/>
      <c r="AM532" s="84"/>
      <c r="AN532" s="84"/>
      <c r="AO532" s="84"/>
      <c r="AP532" s="84"/>
      <c r="AQ532" s="95" t="s">
        <v>418</v>
      </c>
      <c r="AR532" s="72"/>
      <c r="AS532" s="72"/>
      <c r="AT532" s="72"/>
      <c r="AU532" s="72"/>
      <c r="AV532" s="72"/>
      <c r="AW532" s="72"/>
      <c r="AX532" s="72"/>
      <c r="AY532" s="72"/>
      <c r="AZ532" s="72"/>
      <c r="BA532" s="72"/>
      <c r="BB532" s="16"/>
      <c r="BC532" s="72"/>
      <c r="BD532" s="20"/>
      <c r="BE532" s="352"/>
    </row>
    <row r="533" spans="1:57" s="81" customFormat="1" ht="12.95" hidden="1" customHeight="1">
      <c r="A533" s="348"/>
      <c r="B533" s="350"/>
      <c r="C533" s="248" t="s">
        <v>1242</v>
      </c>
      <c r="D533" s="239" t="s">
        <v>3914</v>
      </c>
      <c r="E533" s="58"/>
      <c r="F533" s="59" t="s">
        <v>3915</v>
      </c>
      <c r="G533" s="191" t="s">
        <v>2511</v>
      </c>
      <c r="H533" s="192" t="s">
        <v>419</v>
      </c>
      <c r="I533" s="61" t="s">
        <v>2511</v>
      </c>
      <c r="J533" s="61" t="s">
        <v>2511</v>
      </c>
      <c r="K533" s="62" t="s">
        <v>2511</v>
      </c>
      <c r="L533" s="60" t="s">
        <v>2511</v>
      </c>
      <c r="M533" s="61" t="s">
        <v>2389</v>
      </c>
      <c r="N533" s="61" t="s">
        <v>2511</v>
      </c>
      <c r="O533" s="61" t="s">
        <v>2511</v>
      </c>
      <c r="P533" s="62" t="s">
        <v>2511</v>
      </c>
      <c r="Q533" s="82"/>
      <c r="R533" s="82"/>
      <c r="S533" s="82"/>
      <c r="T533" s="82"/>
      <c r="U533" s="82"/>
      <c r="V533" s="138" t="s">
        <v>3916</v>
      </c>
      <c r="W533" s="57" t="s">
        <v>3660</v>
      </c>
      <c r="X533" s="126" t="s">
        <v>2511</v>
      </c>
      <c r="Y533" s="126" t="s">
        <v>2511</v>
      </c>
      <c r="Z533" s="57"/>
      <c r="AA533" s="57" t="s">
        <v>3661</v>
      </c>
      <c r="AB533" s="138"/>
      <c r="AC533" s="138" t="s">
        <v>2631</v>
      </c>
      <c r="AD533" s="96"/>
      <c r="AE533" s="80"/>
      <c r="AF533" s="80"/>
      <c r="AG533" s="80"/>
      <c r="AH533" s="83"/>
      <c r="AI533" s="83"/>
      <c r="AJ533" s="84"/>
      <c r="AK533" s="84"/>
      <c r="AL533" s="84"/>
      <c r="AM533" s="84"/>
      <c r="AN533" s="84"/>
      <c r="AO533" s="84"/>
      <c r="AP533" s="84"/>
      <c r="AQ533" s="95" t="s">
        <v>419</v>
      </c>
      <c r="AR533" s="72"/>
      <c r="AS533" s="72"/>
      <c r="AT533" s="72"/>
      <c r="AU533" s="72"/>
      <c r="AV533" s="72"/>
      <c r="AW533" s="72"/>
      <c r="AX533" s="72"/>
      <c r="AY533" s="72"/>
      <c r="AZ533" s="72"/>
      <c r="BA533" s="72"/>
      <c r="BB533" s="16"/>
      <c r="BC533" s="72"/>
      <c r="BD533" s="20"/>
      <c r="BE533" s="352"/>
    </row>
    <row r="534" spans="1:57" s="81" customFormat="1" ht="12.95" hidden="1" customHeight="1">
      <c r="A534" s="348"/>
      <c r="B534" s="350"/>
      <c r="C534" s="248" t="s">
        <v>1243</v>
      </c>
      <c r="D534" s="239" t="s">
        <v>3917</v>
      </c>
      <c r="E534" s="58"/>
      <c r="F534" s="59" t="s">
        <v>3918</v>
      </c>
      <c r="G534" s="191" t="s">
        <v>2511</v>
      </c>
      <c r="H534" s="192" t="s">
        <v>420</v>
      </c>
      <c r="I534" s="61" t="s">
        <v>2511</v>
      </c>
      <c r="J534" s="61" t="s">
        <v>2511</v>
      </c>
      <c r="K534" s="62" t="s">
        <v>2511</v>
      </c>
      <c r="L534" s="60" t="s">
        <v>2511</v>
      </c>
      <c r="M534" s="61" t="s">
        <v>2389</v>
      </c>
      <c r="N534" s="61" t="s">
        <v>2511</v>
      </c>
      <c r="O534" s="61" t="s">
        <v>2511</v>
      </c>
      <c r="P534" s="62" t="s">
        <v>2511</v>
      </c>
      <c r="Q534" s="82"/>
      <c r="R534" s="82"/>
      <c r="S534" s="82"/>
      <c r="T534" s="82"/>
      <c r="U534" s="82"/>
      <c r="V534" s="138" t="s">
        <v>3919</v>
      </c>
      <c r="W534" s="57" t="s">
        <v>3660</v>
      </c>
      <c r="X534" s="126" t="s">
        <v>2511</v>
      </c>
      <c r="Y534" s="126" t="s">
        <v>2511</v>
      </c>
      <c r="Z534" s="57"/>
      <c r="AA534" s="57" t="s">
        <v>3661</v>
      </c>
      <c r="AB534" s="138"/>
      <c r="AC534" s="138" t="s">
        <v>2631</v>
      </c>
      <c r="AD534" s="96"/>
      <c r="AE534" s="80"/>
      <c r="AF534" s="80"/>
      <c r="AG534" s="80"/>
      <c r="AH534" s="83"/>
      <c r="AI534" s="83"/>
      <c r="AJ534" s="84"/>
      <c r="AK534" s="84"/>
      <c r="AL534" s="84"/>
      <c r="AM534" s="84"/>
      <c r="AN534" s="84"/>
      <c r="AO534" s="84"/>
      <c r="AP534" s="84"/>
      <c r="AQ534" s="95" t="s">
        <v>420</v>
      </c>
      <c r="AR534" s="72"/>
      <c r="AS534" s="72"/>
      <c r="AT534" s="72"/>
      <c r="AU534" s="72"/>
      <c r="AV534" s="72"/>
      <c r="AW534" s="72"/>
      <c r="AX534" s="72"/>
      <c r="AY534" s="72"/>
      <c r="AZ534" s="72"/>
      <c r="BA534" s="72"/>
      <c r="BB534" s="16"/>
      <c r="BC534" s="72"/>
      <c r="BD534" s="20"/>
      <c r="BE534" s="352"/>
    </row>
    <row r="535" spans="1:57" s="81" customFormat="1" ht="12.95" hidden="1" customHeight="1">
      <c r="A535" s="348"/>
      <c r="B535" s="350"/>
      <c r="C535" s="248" t="s">
        <v>1244</v>
      </c>
      <c r="D535" s="239" t="s">
        <v>3920</v>
      </c>
      <c r="E535" s="58"/>
      <c r="F535" s="59" t="s">
        <v>3921</v>
      </c>
      <c r="G535" s="191" t="s">
        <v>2511</v>
      </c>
      <c r="H535" s="192" t="s">
        <v>421</v>
      </c>
      <c r="I535" s="61" t="s">
        <v>2511</v>
      </c>
      <c r="J535" s="61" t="s">
        <v>2511</v>
      </c>
      <c r="K535" s="62" t="s">
        <v>2511</v>
      </c>
      <c r="L535" s="60" t="s">
        <v>2511</v>
      </c>
      <c r="M535" s="61" t="s">
        <v>2389</v>
      </c>
      <c r="N535" s="61" t="s">
        <v>2511</v>
      </c>
      <c r="O535" s="61" t="s">
        <v>2511</v>
      </c>
      <c r="P535" s="62" t="s">
        <v>2511</v>
      </c>
      <c r="Q535" s="82"/>
      <c r="R535" s="82"/>
      <c r="S535" s="82"/>
      <c r="T535" s="82"/>
      <c r="U535" s="82"/>
      <c r="V535" s="138" t="s">
        <v>3922</v>
      </c>
      <c r="W535" s="57" t="s">
        <v>3660</v>
      </c>
      <c r="X535" s="126" t="s">
        <v>2511</v>
      </c>
      <c r="Y535" s="126" t="s">
        <v>2511</v>
      </c>
      <c r="Z535" s="57"/>
      <c r="AA535" s="57" t="s">
        <v>3661</v>
      </c>
      <c r="AB535" s="138"/>
      <c r="AC535" s="138" t="s">
        <v>2631</v>
      </c>
      <c r="AD535" s="96"/>
      <c r="AE535" s="80"/>
      <c r="AF535" s="80"/>
      <c r="AG535" s="80"/>
      <c r="AH535" s="83"/>
      <c r="AI535" s="83"/>
      <c r="AJ535" s="84"/>
      <c r="AK535" s="84"/>
      <c r="AL535" s="84"/>
      <c r="AM535" s="84"/>
      <c r="AN535" s="84"/>
      <c r="AO535" s="84"/>
      <c r="AP535" s="84"/>
      <c r="AQ535" s="95" t="s">
        <v>421</v>
      </c>
      <c r="AR535" s="72"/>
      <c r="AS535" s="72"/>
      <c r="AT535" s="72"/>
      <c r="AU535" s="72"/>
      <c r="AV535" s="72"/>
      <c r="AW535" s="72"/>
      <c r="AX535" s="72"/>
      <c r="AY535" s="72"/>
      <c r="AZ535" s="72"/>
      <c r="BA535" s="72"/>
      <c r="BB535" s="16"/>
      <c r="BC535" s="72"/>
      <c r="BD535" s="20"/>
      <c r="BE535" s="352"/>
    </row>
    <row r="536" spans="1:57" s="81" customFormat="1" ht="12.95" hidden="1" customHeight="1">
      <c r="A536" s="348"/>
      <c r="B536" s="350"/>
      <c r="C536" s="248" t="s">
        <v>1245</v>
      </c>
      <c r="D536" s="239" t="s">
        <v>3923</v>
      </c>
      <c r="E536" s="58"/>
      <c r="F536" s="59" t="s">
        <v>3924</v>
      </c>
      <c r="G536" s="191" t="s">
        <v>2511</v>
      </c>
      <c r="H536" s="192" t="s">
        <v>422</v>
      </c>
      <c r="I536" s="61" t="s">
        <v>2511</v>
      </c>
      <c r="J536" s="61" t="s">
        <v>2511</v>
      </c>
      <c r="K536" s="62" t="s">
        <v>2511</v>
      </c>
      <c r="L536" s="60" t="s">
        <v>2511</v>
      </c>
      <c r="M536" s="61" t="s">
        <v>2389</v>
      </c>
      <c r="N536" s="61" t="s">
        <v>2511</v>
      </c>
      <c r="O536" s="61" t="s">
        <v>2511</v>
      </c>
      <c r="P536" s="62" t="s">
        <v>2511</v>
      </c>
      <c r="Q536" s="82"/>
      <c r="R536" s="82"/>
      <c r="S536" s="82"/>
      <c r="T536" s="82"/>
      <c r="U536" s="82"/>
      <c r="V536" s="138" t="s">
        <v>3925</v>
      </c>
      <c r="W536" s="57" t="s">
        <v>3660</v>
      </c>
      <c r="X536" s="126" t="s">
        <v>2511</v>
      </c>
      <c r="Y536" s="126" t="s">
        <v>2511</v>
      </c>
      <c r="Z536" s="57"/>
      <c r="AA536" s="57" t="s">
        <v>3661</v>
      </c>
      <c r="AB536" s="138"/>
      <c r="AC536" s="138" t="s">
        <v>2631</v>
      </c>
      <c r="AD536" s="96"/>
      <c r="AE536" s="80"/>
      <c r="AF536" s="80"/>
      <c r="AG536" s="80"/>
      <c r="AH536" s="83"/>
      <c r="AI536" s="83"/>
      <c r="AJ536" s="84"/>
      <c r="AK536" s="84"/>
      <c r="AL536" s="84"/>
      <c r="AM536" s="84"/>
      <c r="AN536" s="84"/>
      <c r="AO536" s="84"/>
      <c r="AP536" s="84"/>
      <c r="AQ536" s="95" t="s">
        <v>422</v>
      </c>
      <c r="AR536" s="72"/>
      <c r="AS536" s="72"/>
      <c r="AT536" s="72"/>
      <c r="AU536" s="72"/>
      <c r="AV536" s="72"/>
      <c r="AW536" s="72"/>
      <c r="AX536" s="72"/>
      <c r="AY536" s="72"/>
      <c r="AZ536" s="72"/>
      <c r="BA536" s="72"/>
      <c r="BB536" s="16"/>
      <c r="BC536" s="72"/>
      <c r="BD536" s="20"/>
      <c r="BE536" s="352"/>
    </row>
    <row r="537" spans="1:57" s="81" customFormat="1" ht="12.95" hidden="1" customHeight="1">
      <c r="A537" s="348"/>
      <c r="B537" s="350"/>
      <c r="C537" s="248" t="s">
        <v>1246</v>
      </c>
      <c r="D537" s="239" t="s">
        <v>3926</v>
      </c>
      <c r="E537" s="58"/>
      <c r="F537" s="59" t="s">
        <v>3927</v>
      </c>
      <c r="G537" s="191" t="s">
        <v>2511</v>
      </c>
      <c r="H537" s="192" t="s">
        <v>423</v>
      </c>
      <c r="I537" s="61" t="s">
        <v>2511</v>
      </c>
      <c r="J537" s="61" t="s">
        <v>2511</v>
      </c>
      <c r="K537" s="62" t="s">
        <v>2511</v>
      </c>
      <c r="L537" s="60" t="s">
        <v>2511</v>
      </c>
      <c r="M537" s="61" t="s">
        <v>2389</v>
      </c>
      <c r="N537" s="61" t="s">
        <v>2511</v>
      </c>
      <c r="O537" s="61" t="s">
        <v>2511</v>
      </c>
      <c r="P537" s="62" t="s">
        <v>2511</v>
      </c>
      <c r="Q537" s="82"/>
      <c r="R537" s="82"/>
      <c r="S537" s="82"/>
      <c r="T537" s="82"/>
      <c r="U537" s="82"/>
      <c r="V537" s="138" t="s">
        <v>3928</v>
      </c>
      <c r="W537" s="57" t="s">
        <v>3660</v>
      </c>
      <c r="X537" s="126" t="s">
        <v>2511</v>
      </c>
      <c r="Y537" s="126" t="s">
        <v>2511</v>
      </c>
      <c r="Z537" s="57"/>
      <c r="AA537" s="57" t="s">
        <v>3661</v>
      </c>
      <c r="AB537" s="138"/>
      <c r="AC537" s="138" t="s">
        <v>2631</v>
      </c>
      <c r="AD537" s="96"/>
      <c r="AE537" s="80"/>
      <c r="AF537" s="80"/>
      <c r="AG537" s="80"/>
      <c r="AH537" s="83"/>
      <c r="AI537" s="83"/>
      <c r="AJ537" s="84"/>
      <c r="AK537" s="84"/>
      <c r="AL537" s="84"/>
      <c r="AM537" s="84"/>
      <c r="AN537" s="84"/>
      <c r="AO537" s="84"/>
      <c r="AP537" s="84"/>
      <c r="AQ537" s="95" t="s">
        <v>423</v>
      </c>
      <c r="AR537" s="72"/>
      <c r="AS537" s="72"/>
      <c r="AT537" s="72"/>
      <c r="AU537" s="72"/>
      <c r="AV537" s="72"/>
      <c r="AW537" s="72"/>
      <c r="AX537" s="72"/>
      <c r="AY537" s="72"/>
      <c r="AZ537" s="72"/>
      <c r="BA537" s="72"/>
      <c r="BB537" s="16"/>
      <c r="BC537" s="72"/>
      <c r="BD537" s="20"/>
      <c r="BE537" s="352"/>
    </row>
    <row r="538" spans="1:57" s="81" customFormat="1" ht="12.95" hidden="1" customHeight="1">
      <c r="A538" s="348"/>
      <c r="B538" s="350"/>
      <c r="C538" s="248" t="s">
        <v>1247</v>
      </c>
      <c r="D538" s="239" t="s">
        <v>3929</v>
      </c>
      <c r="E538" s="58"/>
      <c r="F538" s="59" t="s">
        <v>3930</v>
      </c>
      <c r="G538" s="191" t="s">
        <v>2511</v>
      </c>
      <c r="H538" s="192" t="s">
        <v>424</v>
      </c>
      <c r="I538" s="61" t="s">
        <v>2511</v>
      </c>
      <c r="J538" s="61" t="s">
        <v>2511</v>
      </c>
      <c r="K538" s="62" t="s">
        <v>2511</v>
      </c>
      <c r="L538" s="60" t="s">
        <v>2511</v>
      </c>
      <c r="M538" s="61" t="s">
        <v>2389</v>
      </c>
      <c r="N538" s="61" t="s">
        <v>2511</v>
      </c>
      <c r="O538" s="61" t="s">
        <v>2511</v>
      </c>
      <c r="P538" s="62" t="s">
        <v>2511</v>
      </c>
      <c r="Q538" s="82"/>
      <c r="R538" s="82"/>
      <c r="S538" s="82"/>
      <c r="T538" s="82"/>
      <c r="U538" s="82"/>
      <c r="V538" s="138" t="s">
        <v>3931</v>
      </c>
      <c r="W538" s="57" t="s">
        <v>3660</v>
      </c>
      <c r="X538" s="126" t="s">
        <v>2511</v>
      </c>
      <c r="Y538" s="126" t="s">
        <v>2511</v>
      </c>
      <c r="Z538" s="57"/>
      <c r="AA538" s="57" t="s">
        <v>3661</v>
      </c>
      <c r="AB538" s="138"/>
      <c r="AC538" s="138" t="s">
        <v>2631</v>
      </c>
      <c r="AD538" s="96"/>
      <c r="AE538" s="80"/>
      <c r="AF538" s="80"/>
      <c r="AG538" s="80"/>
      <c r="AH538" s="83"/>
      <c r="AI538" s="83"/>
      <c r="AJ538" s="84"/>
      <c r="AK538" s="84"/>
      <c r="AL538" s="84"/>
      <c r="AM538" s="84"/>
      <c r="AN538" s="84"/>
      <c r="AO538" s="84"/>
      <c r="AP538" s="84"/>
      <c r="AQ538" s="95" t="s">
        <v>424</v>
      </c>
      <c r="AR538" s="72"/>
      <c r="AS538" s="72"/>
      <c r="AT538" s="72"/>
      <c r="AU538" s="72"/>
      <c r="AV538" s="72"/>
      <c r="AW538" s="72"/>
      <c r="AX538" s="72"/>
      <c r="AY538" s="72"/>
      <c r="AZ538" s="72"/>
      <c r="BA538" s="72"/>
      <c r="BB538" s="16"/>
      <c r="BC538" s="72"/>
      <c r="BD538" s="20"/>
      <c r="BE538" s="352"/>
    </row>
    <row r="539" spans="1:57" s="81" customFormat="1" ht="12.95" hidden="1" customHeight="1">
      <c r="A539" s="348"/>
      <c r="B539" s="350"/>
      <c r="C539" s="248" t="s">
        <v>1248</v>
      </c>
      <c r="D539" s="239" t="s">
        <v>3932</v>
      </c>
      <c r="E539" s="58"/>
      <c r="F539" s="59" t="s">
        <v>3933</v>
      </c>
      <c r="G539" s="191" t="s">
        <v>2511</v>
      </c>
      <c r="H539" s="192" t="s">
        <v>425</v>
      </c>
      <c r="I539" s="61" t="s">
        <v>2511</v>
      </c>
      <c r="J539" s="61" t="s">
        <v>2511</v>
      </c>
      <c r="K539" s="62" t="s">
        <v>2511</v>
      </c>
      <c r="L539" s="60" t="s">
        <v>2511</v>
      </c>
      <c r="M539" s="61" t="s">
        <v>2389</v>
      </c>
      <c r="N539" s="61" t="s">
        <v>2511</v>
      </c>
      <c r="O539" s="61" t="s">
        <v>2511</v>
      </c>
      <c r="P539" s="62" t="s">
        <v>2511</v>
      </c>
      <c r="Q539" s="82"/>
      <c r="R539" s="82"/>
      <c r="S539" s="82"/>
      <c r="T539" s="82"/>
      <c r="U539" s="82"/>
      <c r="V539" s="138" t="s">
        <v>3934</v>
      </c>
      <c r="W539" s="57" t="s">
        <v>3660</v>
      </c>
      <c r="X539" s="126" t="s">
        <v>2511</v>
      </c>
      <c r="Y539" s="126" t="s">
        <v>2511</v>
      </c>
      <c r="Z539" s="57"/>
      <c r="AA539" s="57" t="s">
        <v>3661</v>
      </c>
      <c r="AB539" s="138"/>
      <c r="AC539" s="138" t="s">
        <v>2631</v>
      </c>
      <c r="AD539" s="96"/>
      <c r="AE539" s="80"/>
      <c r="AF539" s="80"/>
      <c r="AG539" s="80"/>
      <c r="AH539" s="83"/>
      <c r="AI539" s="83"/>
      <c r="AJ539" s="84"/>
      <c r="AK539" s="84"/>
      <c r="AL539" s="84"/>
      <c r="AM539" s="84"/>
      <c r="AN539" s="84"/>
      <c r="AO539" s="84"/>
      <c r="AP539" s="84"/>
      <c r="AQ539" s="95" t="s">
        <v>425</v>
      </c>
      <c r="AR539" s="72"/>
      <c r="AS539" s="72"/>
      <c r="AT539" s="72"/>
      <c r="AU539" s="72"/>
      <c r="AV539" s="72"/>
      <c r="AW539" s="72"/>
      <c r="AX539" s="72"/>
      <c r="AY539" s="72"/>
      <c r="AZ539" s="72"/>
      <c r="BA539" s="72"/>
      <c r="BB539" s="16"/>
      <c r="BC539" s="72"/>
      <c r="BD539" s="20"/>
      <c r="BE539" s="352"/>
    </row>
    <row r="540" spans="1:57" s="81" customFormat="1" ht="12.95" hidden="1" customHeight="1">
      <c r="A540" s="348"/>
      <c r="B540" s="350"/>
      <c r="C540" s="248" t="s">
        <v>1249</v>
      </c>
      <c r="D540" s="239" t="s">
        <v>3935</v>
      </c>
      <c r="E540" s="58"/>
      <c r="F540" s="59" t="s">
        <v>3936</v>
      </c>
      <c r="G540" s="191" t="s">
        <v>2511</v>
      </c>
      <c r="H540" s="192" t="s">
        <v>426</v>
      </c>
      <c r="I540" s="61" t="s">
        <v>2511</v>
      </c>
      <c r="J540" s="61" t="s">
        <v>2511</v>
      </c>
      <c r="K540" s="62" t="s">
        <v>2511</v>
      </c>
      <c r="L540" s="60" t="s">
        <v>2511</v>
      </c>
      <c r="M540" s="61" t="s">
        <v>2389</v>
      </c>
      <c r="N540" s="61" t="s">
        <v>2511</v>
      </c>
      <c r="O540" s="61" t="s">
        <v>2511</v>
      </c>
      <c r="P540" s="62" t="s">
        <v>2511</v>
      </c>
      <c r="Q540" s="82"/>
      <c r="R540" s="82"/>
      <c r="S540" s="82"/>
      <c r="T540" s="82"/>
      <c r="U540" s="82"/>
      <c r="V540" s="138" t="s">
        <v>3937</v>
      </c>
      <c r="W540" s="57" t="s">
        <v>3660</v>
      </c>
      <c r="X540" s="126" t="s">
        <v>2511</v>
      </c>
      <c r="Y540" s="126" t="s">
        <v>2511</v>
      </c>
      <c r="Z540" s="57"/>
      <c r="AA540" s="57" t="s">
        <v>3661</v>
      </c>
      <c r="AB540" s="138"/>
      <c r="AC540" s="138" t="s">
        <v>2631</v>
      </c>
      <c r="AD540" s="96"/>
      <c r="AE540" s="80"/>
      <c r="AF540" s="80"/>
      <c r="AG540" s="80"/>
      <c r="AH540" s="83"/>
      <c r="AI540" s="83"/>
      <c r="AJ540" s="84"/>
      <c r="AK540" s="84"/>
      <c r="AL540" s="84"/>
      <c r="AM540" s="84"/>
      <c r="AN540" s="84"/>
      <c r="AO540" s="84"/>
      <c r="AP540" s="84"/>
      <c r="AQ540" s="95" t="s">
        <v>426</v>
      </c>
      <c r="AR540" s="72"/>
      <c r="AS540" s="72"/>
      <c r="AT540" s="72"/>
      <c r="AU540" s="72"/>
      <c r="AV540" s="72"/>
      <c r="AW540" s="72"/>
      <c r="AX540" s="72"/>
      <c r="AY540" s="72"/>
      <c r="AZ540" s="72"/>
      <c r="BA540" s="72"/>
      <c r="BB540" s="16"/>
      <c r="BC540" s="72"/>
      <c r="BD540" s="20"/>
      <c r="BE540" s="352"/>
    </row>
    <row r="541" spans="1:57" s="81" customFormat="1" ht="12.95" hidden="1" customHeight="1">
      <c r="A541" s="348"/>
      <c r="B541" s="350"/>
      <c r="C541" s="270" t="s">
        <v>1250</v>
      </c>
      <c r="D541" s="239" t="s">
        <v>3938</v>
      </c>
      <c r="E541" s="58"/>
      <c r="F541" s="59" t="s">
        <v>3939</v>
      </c>
      <c r="G541" s="191" t="s">
        <v>2511</v>
      </c>
      <c r="H541" s="192" t="s">
        <v>427</v>
      </c>
      <c r="I541" s="61" t="s">
        <v>2511</v>
      </c>
      <c r="J541" s="61" t="s">
        <v>2511</v>
      </c>
      <c r="K541" s="62" t="s">
        <v>2511</v>
      </c>
      <c r="L541" s="60" t="s">
        <v>2511</v>
      </c>
      <c r="M541" s="61" t="s">
        <v>2389</v>
      </c>
      <c r="N541" s="61" t="s">
        <v>2511</v>
      </c>
      <c r="O541" s="61" t="s">
        <v>2511</v>
      </c>
      <c r="P541" s="62" t="s">
        <v>2511</v>
      </c>
      <c r="Q541" s="82"/>
      <c r="R541" s="82"/>
      <c r="S541" s="82"/>
      <c r="T541" s="82"/>
      <c r="U541" s="82"/>
      <c r="V541" s="138" t="s">
        <v>3940</v>
      </c>
      <c r="W541" s="57" t="s">
        <v>3660</v>
      </c>
      <c r="X541" s="126" t="s">
        <v>2511</v>
      </c>
      <c r="Y541" s="126" t="s">
        <v>2511</v>
      </c>
      <c r="Z541" s="57"/>
      <c r="AA541" s="57" t="s">
        <v>3661</v>
      </c>
      <c r="AB541" s="138"/>
      <c r="AC541" s="138" t="s">
        <v>2631</v>
      </c>
      <c r="AD541" s="96"/>
      <c r="AE541" s="80"/>
      <c r="AF541" s="80"/>
      <c r="AG541" s="80"/>
      <c r="AH541" s="83"/>
      <c r="AI541" s="83"/>
      <c r="AJ541" s="84"/>
      <c r="AK541" s="84"/>
      <c r="AL541" s="84"/>
      <c r="AM541" s="84"/>
      <c r="AN541" s="84"/>
      <c r="AO541" s="84"/>
      <c r="AP541" s="84"/>
      <c r="AQ541" s="95" t="s">
        <v>427</v>
      </c>
      <c r="AR541" s="72"/>
      <c r="AS541" s="72"/>
      <c r="AT541" s="72"/>
      <c r="AU541" s="72"/>
      <c r="AV541" s="72"/>
      <c r="AW541" s="72"/>
      <c r="AX541" s="72"/>
      <c r="AY541" s="72"/>
      <c r="AZ541" s="72"/>
      <c r="BA541" s="72"/>
      <c r="BB541" s="16"/>
      <c r="BC541" s="72"/>
      <c r="BD541" s="20"/>
      <c r="BE541" s="352"/>
    </row>
    <row r="542" spans="1:57" s="81" customFormat="1" ht="12.95" hidden="1" customHeight="1">
      <c r="A542" s="348"/>
      <c r="B542" s="350"/>
      <c r="C542" s="270" t="s">
        <v>1251</v>
      </c>
      <c r="D542" s="239" t="s">
        <v>3941</v>
      </c>
      <c r="E542" s="58"/>
      <c r="F542" s="59" t="s">
        <v>3942</v>
      </c>
      <c r="G542" s="191" t="s">
        <v>2511</v>
      </c>
      <c r="H542" s="192" t="s">
        <v>428</v>
      </c>
      <c r="I542" s="61" t="s">
        <v>2511</v>
      </c>
      <c r="J542" s="61" t="s">
        <v>2511</v>
      </c>
      <c r="K542" s="62" t="s">
        <v>2511</v>
      </c>
      <c r="L542" s="60" t="s">
        <v>2511</v>
      </c>
      <c r="M542" s="61" t="s">
        <v>2389</v>
      </c>
      <c r="N542" s="61" t="s">
        <v>2511</v>
      </c>
      <c r="O542" s="61" t="s">
        <v>2511</v>
      </c>
      <c r="P542" s="62" t="s">
        <v>2511</v>
      </c>
      <c r="Q542" s="82"/>
      <c r="R542" s="82"/>
      <c r="S542" s="82"/>
      <c r="T542" s="82"/>
      <c r="U542" s="82"/>
      <c r="V542" s="138" t="s">
        <v>3943</v>
      </c>
      <c r="W542" s="57" t="s">
        <v>3660</v>
      </c>
      <c r="X542" s="126" t="s">
        <v>2511</v>
      </c>
      <c r="Y542" s="126" t="s">
        <v>2511</v>
      </c>
      <c r="Z542" s="57"/>
      <c r="AA542" s="57" t="s">
        <v>3661</v>
      </c>
      <c r="AB542" s="138"/>
      <c r="AC542" s="138" t="s">
        <v>2631</v>
      </c>
      <c r="AD542" s="96"/>
      <c r="AE542" s="80"/>
      <c r="AF542" s="80"/>
      <c r="AG542" s="80"/>
      <c r="AH542" s="83"/>
      <c r="AI542" s="83"/>
      <c r="AJ542" s="84"/>
      <c r="AK542" s="84"/>
      <c r="AL542" s="84"/>
      <c r="AM542" s="84"/>
      <c r="AN542" s="84"/>
      <c r="AO542" s="84"/>
      <c r="AP542" s="84"/>
      <c r="AQ542" s="95" t="s">
        <v>428</v>
      </c>
      <c r="AR542" s="72"/>
      <c r="AS542" s="72"/>
      <c r="AT542" s="72"/>
      <c r="AU542" s="72"/>
      <c r="AV542" s="72"/>
      <c r="AW542" s="72"/>
      <c r="AX542" s="72"/>
      <c r="AY542" s="72"/>
      <c r="AZ542" s="72"/>
      <c r="BA542" s="72"/>
      <c r="BB542" s="16"/>
      <c r="BC542" s="72"/>
      <c r="BD542" s="20"/>
      <c r="BE542" s="352"/>
    </row>
    <row r="543" spans="1:57" s="81" customFormat="1" ht="12.95" hidden="1" customHeight="1">
      <c r="A543" s="348"/>
      <c r="B543" s="350"/>
      <c r="C543" s="248" t="s">
        <v>1252</v>
      </c>
      <c r="D543" s="239" t="s">
        <v>3944</v>
      </c>
      <c r="E543" s="58"/>
      <c r="F543" s="59" t="s">
        <v>3945</v>
      </c>
      <c r="G543" s="191" t="s">
        <v>2511</v>
      </c>
      <c r="H543" s="192" t="s">
        <v>429</v>
      </c>
      <c r="I543" s="61" t="s">
        <v>2511</v>
      </c>
      <c r="J543" s="61" t="s">
        <v>2511</v>
      </c>
      <c r="K543" s="62" t="s">
        <v>2511</v>
      </c>
      <c r="L543" s="60" t="s">
        <v>2511</v>
      </c>
      <c r="M543" s="61" t="s">
        <v>2389</v>
      </c>
      <c r="N543" s="61" t="s">
        <v>2511</v>
      </c>
      <c r="O543" s="61" t="s">
        <v>2511</v>
      </c>
      <c r="P543" s="62" t="s">
        <v>2511</v>
      </c>
      <c r="Q543" s="82"/>
      <c r="R543" s="82"/>
      <c r="S543" s="82"/>
      <c r="T543" s="82"/>
      <c r="U543" s="82"/>
      <c r="V543" s="138" t="s">
        <v>3946</v>
      </c>
      <c r="W543" s="57" t="s">
        <v>3660</v>
      </c>
      <c r="X543" s="126" t="s">
        <v>2511</v>
      </c>
      <c r="Y543" s="126" t="s">
        <v>2511</v>
      </c>
      <c r="Z543" s="57"/>
      <c r="AA543" s="57" t="s">
        <v>3661</v>
      </c>
      <c r="AB543" s="138"/>
      <c r="AC543" s="138">
        <v>0</v>
      </c>
      <c r="AD543" s="96"/>
      <c r="AE543" s="80"/>
      <c r="AF543" s="80"/>
      <c r="AG543" s="80"/>
      <c r="AH543" s="83"/>
      <c r="AI543" s="83"/>
      <c r="AJ543" s="84"/>
      <c r="AK543" s="84"/>
      <c r="AL543" s="84"/>
      <c r="AM543" s="84"/>
      <c r="AN543" s="84"/>
      <c r="AO543" s="84"/>
      <c r="AP543" s="84"/>
      <c r="AQ543" s="95" t="s">
        <v>429</v>
      </c>
      <c r="AR543" s="72"/>
      <c r="AS543" s="72"/>
      <c r="AT543" s="72"/>
      <c r="AU543" s="72"/>
      <c r="AV543" s="72"/>
      <c r="AW543" s="72"/>
      <c r="AX543" s="72"/>
      <c r="AY543" s="72"/>
      <c r="AZ543" s="72"/>
      <c r="BA543" s="72"/>
      <c r="BB543" s="16"/>
      <c r="BC543" s="72"/>
      <c r="BD543" s="20"/>
      <c r="BE543" s="352"/>
    </row>
    <row r="544" spans="1:57" s="81" customFormat="1" ht="12.95" hidden="1" customHeight="1">
      <c r="A544" s="348"/>
      <c r="B544" s="350"/>
      <c r="C544" s="248" t="s">
        <v>1253</v>
      </c>
      <c r="D544" s="239" t="s">
        <v>3947</v>
      </c>
      <c r="E544" s="58"/>
      <c r="F544" s="59" t="s">
        <v>3948</v>
      </c>
      <c r="G544" s="191" t="s">
        <v>2511</v>
      </c>
      <c r="H544" s="192" t="s">
        <v>430</v>
      </c>
      <c r="I544" s="61" t="s">
        <v>2511</v>
      </c>
      <c r="J544" s="61" t="s">
        <v>2511</v>
      </c>
      <c r="K544" s="62" t="s">
        <v>2511</v>
      </c>
      <c r="L544" s="60" t="s">
        <v>2511</v>
      </c>
      <c r="M544" s="61" t="s">
        <v>2389</v>
      </c>
      <c r="N544" s="61" t="s">
        <v>2511</v>
      </c>
      <c r="O544" s="61" t="s">
        <v>2511</v>
      </c>
      <c r="P544" s="62" t="s">
        <v>2511</v>
      </c>
      <c r="Q544" s="82"/>
      <c r="R544" s="82"/>
      <c r="S544" s="82"/>
      <c r="T544" s="82"/>
      <c r="U544" s="82"/>
      <c r="V544" s="138" t="s">
        <v>3949</v>
      </c>
      <c r="W544" s="57" t="s">
        <v>3660</v>
      </c>
      <c r="X544" s="126" t="s">
        <v>2511</v>
      </c>
      <c r="Y544" s="126" t="s">
        <v>2511</v>
      </c>
      <c r="Z544" s="57"/>
      <c r="AA544" s="57" t="s">
        <v>3661</v>
      </c>
      <c r="AB544" s="138"/>
      <c r="AC544" s="138" t="s">
        <v>2631</v>
      </c>
      <c r="AD544" s="96"/>
      <c r="AE544" s="80"/>
      <c r="AF544" s="80"/>
      <c r="AG544" s="80"/>
      <c r="AH544" s="83"/>
      <c r="AI544" s="83"/>
      <c r="AJ544" s="84"/>
      <c r="AK544" s="84"/>
      <c r="AL544" s="84"/>
      <c r="AM544" s="84"/>
      <c r="AN544" s="84"/>
      <c r="AO544" s="84"/>
      <c r="AP544" s="84"/>
      <c r="AQ544" s="95" t="s">
        <v>430</v>
      </c>
      <c r="AR544" s="72"/>
      <c r="AS544" s="72"/>
      <c r="AT544" s="72"/>
      <c r="AU544" s="72"/>
      <c r="AV544" s="72"/>
      <c r="AW544" s="72"/>
      <c r="AX544" s="72"/>
      <c r="AY544" s="72"/>
      <c r="AZ544" s="72"/>
      <c r="BA544" s="72"/>
      <c r="BB544" s="16"/>
      <c r="BC544" s="72"/>
      <c r="BD544" s="20"/>
      <c r="BE544" s="352"/>
    </row>
    <row r="545" spans="1:57" s="81" customFormat="1" ht="12.95" hidden="1" customHeight="1">
      <c r="A545" s="348"/>
      <c r="B545" s="350"/>
      <c r="C545" s="248" t="s">
        <v>1254</v>
      </c>
      <c r="D545" s="239" t="s">
        <v>3950</v>
      </c>
      <c r="E545" s="58"/>
      <c r="F545" s="59" t="s">
        <v>3951</v>
      </c>
      <c r="G545" s="191" t="s">
        <v>2511</v>
      </c>
      <c r="H545" s="192" t="s">
        <v>431</v>
      </c>
      <c r="I545" s="61" t="s">
        <v>2511</v>
      </c>
      <c r="J545" s="61" t="s">
        <v>2511</v>
      </c>
      <c r="K545" s="62" t="s">
        <v>2511</v>
      </c>
      <c r="L545" s="60" t="s">
        <v>2511</v>
      </c>
      <c r="M545" s="61" t="s">
        <v>2389</v>
      </c>
      <c r="N545" s="61" t="s">
        <v>2511</v>
      </c>
      <c r="O545" s="61" t="s">
        <v>2511</v>
      </c>
      <c r="P545" s="62" t="s">
        <v>2511</v>
      </c>
      <c r="Q545" s="82"/>
      <c r="R545" s="82"/>
      <c r="S545" s="82"/>
      <c r="T545" s="82"/>
      <c r="U545" s="82"/>
      <c r="V545" s="138" t="s">
        <v>3952</v>
      </c>
      <c r="W545" s="57" t="s">
        <v>3660</v>
      </c>
      <c r="X545" s="126" t="s">
        <v>2511</v>
      </c>
      <c r="Y545" s="126" t="s">
        <v>2511</v>
      </c>
      <c r="Z545" s="57"/>
      <c r="AA545" s="57" t="s">
        <v>3661</v>
      </c>
      <c r="AB545" s="138"/>
      <c r="AC545" s="138" t="s">
        <v>2631</v>
      </c>
      <c r="AD545" s="96"/>
      <c r="AE545" s="80"/>
      <c r="AF545" s="80"/>
      <c r="AG545" s="80"/>
      <c r="AH545" s="83"/>
      <c r="AI545" s="83"/>
      <c r="AJ545" s="84"/>
      <c r="AK545" s="84"/>
      <c r="AL545" s="84"/>
      <c r="AM545" s="84"/>
      <c r="AN545" s="84"/>
      <c r="AO545" s="84"/>
      <c r="AP545" s="84"/>
      <c r="AQ545" s="95" t="s">
        <v>431</v>
      </c>
      <c r="AR545" s="72"/>
      <c r="AS545" s="72"/>
      <c r="AT545" s="72"/>
      <c r="AU545" s="72"/>
      <c r="AV545" s="72"/>
      <c r="AW545" s="72"/>
      <c r="AX545" s="72"/>
      <c r="AY545" s="72"/>
      <c r="AZ545" s="72"/>
      <c r="BA545" s="72"/>
      <c r="BB545" s="16"/>
      <c r="BC545" s="72"/>
      <c r="BD545" s="20"/>
      <c r="BE545" s="352"/>
    </row>
    <row r="546" spans="1:57" s="81" customFormat="1" ht="12.95" hidden="1" customHeight="1">
      <c r="A546" s="348"/>
      <c r="B546" s="350"/>
      <c r="C546" s="248" t="s">
        <v>1255</v>
      </c>
      <c r="D546" s="239" t="s">
        <v>3953</v>
      </c>
      <c r="E546" s="58"/>
      <c r="F546" s="59" t="s">
        <v>3954</v>
      </c>
      <c r="G546" s="191" t="s">
        <v>2511</v>
      </c>
      <c r="H546" s="192" t="s">
        <v>432</v>
      </c>
      <c r="I546" s="61" t="s">
        <v>2511</v>
      </c>
      <c r="J546" s="61" t="s">
        <v>2511</v>
      </c>
      <c r="K546" s="62" t="s">
        <v>2511</v>
      </c>
      <c r="L546" s="60" t="s">
        <v>2511</v>
      </c>
      <c r="M546" s="61" t="s">
        <v>2389</v>
      </c>
      <c r="N546" s="61" t="s">
        <v>2511</v>
      </c>
      <c r="O546" s="61" t="s">
        <v>2511</v>
      </c>
      <c r="P546" s="62" t="s">
        <v>2511</v>
      </c>
      <c r="Q546" s="82"/>
      <c r="R546" s="82"/>
      <c r="S546" s="82"/>
      <c r="T546" s="82"/>
      <c r="U546" s="82"/>
      <c r="V546" s="138" t="s">
        <v>3955</v>
      </c>
      <c r="W546" s="57" t="s">
        <v>3660</v>
      </c>
      <c r="X546" s="126" t="s">
        <v>2511</v>
      </c>
      <c r="Y546" s="126" t="s">
        <v>2511</v>
      </c>
      <c r="Z546" s="57"/>
      <c r="AA546" s="57" t="s">
        <v>3661</v>
      </c>
      <c r="AB546" s="138"/>
      <c r="AC546" s="138" t="s">
        <v>2631</v>
      </c>
      <c r="AD546" s="96"/>
      <c r="AE546" s="80"/>
      <c r="AF546" s="80"/>
      <c r="AG546" s="80"/>
      <c r="AH546" s="83"/>
      <c r="AI546" s="83"/>
      <c r="AJ546" s="84"/>
      <c r="AK546" s="84"/>
      <c r="AL546" s="84"/>
      <c r="AM546" s="84"/>
      <c r="AN546" s="84"/>
      <c r="AO546" s="84"/>
      <c r="AP546" s="84"/>
      <c r="AQ546" s="95" t="s">
        <v>432</v>
      </c>
      <c r="AR546" s="72"/>
      <c r="AS546" s="72"/>
      <c r="AT546" s="72"/>
      <c r="AU546" s="72"/>
      <c r="AV546" s="72"/>
      <c r="AW546" s="72"/>
      <c r="AX546" s="72"/>
      <c r="AY546" s="72"/>
      <c r="AZ546" s="72"/>
      <c r="BA546" s="72"/>
      <c r="BB546" s="16"/>
      <c r="BC546" s="72"/>
      <c r="BD546" s="20"/>
      <c r="BE546" s="352"/>
    </row>
    <row r="547" spans="1:57" s="81" customFormat="1" ht="12.95" hidden="1" customHeight="1">
      <c r="A547" s="348"/>
      <c r="B547" s="350"/>
      <c r="C547" s="248" t="s">
        <v>1256</v>
      </c>
      <c r="D547" s="239" t="s">
        <v>3956</v>
      </c>
      <c r="E547" s="58"/>
      <c r="F547" s="59" t="s">
        <v>3957</v>
      </c>
      <c r="G547" s="191" t="s">
        <v>2511</v>
      </c>
      <c r="H547" s="192" t="s">
        <v>433</v>
      </c>
      <c r="I547" s="61" t="s">
        <v>2511</v>
      </c>
      <c r="J547" s="61" t="s">
        <v>2511</v>
      </c>
      <c r="K547" s="62" t="s">
        <v>2511</v>
      </c>
      <c r="L547" s="60" t="s">
        <v>2511</v>
      </c>
      <c r="M547" s="61" t="s">
        <v>2389</v>
      </c>
      <c r="N547" s="61" t="s">
        <v>2511</v>
      </c>
      <c r="O547" s="61" t="s">
        <v>2511</v>
      </c>
      <c r="P547" s="62" t="s">
        <v>2511</v>
      </c>
      <c r="Q547" s="82"/>
      <c r="R547" s="82"/>
      <c r="S547" s="82"/>
      <c r="T547" s="82"/>
      <c r="U547" s="82"/>
      <c r="V547" s="138" t="s">
        <v>3958</v>
      </c>
      <c r="W547" s="57" t="s">
        <v>3660</v>
      </c>
      <c r="X547" s="126" t="s">
        <v>2511</v>
      </c>
      <c r="Y547" s="126" t="s">
        <v>2511</v>
      </c>
      <c r="Z547" s="57"/>
      <c r="AA547" s="57" t="s">
        <v>3661</v>
      </c>
      <c r="AB547" s="138"/>
      <c r="AC547" s="138" t="s">
        <v>2631</v>
      </c>
      <c r="AD547" s="96"/>
      <c r="AE547" s="80"/>
      <c r="AF547" s="80"/>
      <c r="AG547" s="80"/>
      <c r="AH547" s="83"/>
      <c r="AI547" s="83"/>
      <c r="AJ547" s="84"/>
      <c r="AK547" s="84"/>
      <c r="AL547" s="84"/>
      <c r="AM547" s="84"/>
      <c r="AN547" s="84"/>
      <c r="AO547" s="84"/>
      <c r="AP547" s="84"/>
      <c r="AQ547" s="95" t="s">
        <v>433</v>
      </c>
      <c r="AR547" s="72"/>
      <c r="AS547" s="72"/>
      <c r="AT547" s="72"/>
      <c r="AU547" s="72"/>
      <c r="AV547" s="72"/>
      <c r="AW547" s="72"/>
      <c r="AX547" s="72"/>
      <c r="AY547" s="72"/>
      <c r="AZ547" s="72"/>
      <c r="BA547" s="72"/>
      <c r="BB547" s="16"/>
      <c r="BC547" s="72"/>
      <c r="BD547" s="20"/>
      <c r="BE547" s="352"/>
    </row>
    <row r="548" spans="1:57" s="81" customFormat="1" ht="12.95" hidden="1" customHeight="1">
      <c r="A548" s="348"/>
      <c r="B548" s="350"/>
      <c r="C548" s="248" t="s">
        <v>1257</v>
      </c>
      <c r="D548" s="239" t="s">
        <v>3959</v>
      </c>
      <c r="E548" s="58"/>
      <c r="F548" s="59" t="s">
        <v>3960</v>
      </c>
      <c r="G548" s="191" t="s">
        <v>2511</v>
      </c>
      <c r="H548" s="192" t="s">
        <v>434</v>
      </c>
      <c r="I548" s="61" t="s">
        <v>2511</v>
      </c>
      <c r="J548" s="61" t="s">
        <v>2511</v>
      </c>
      <c r="K548" s="62" t="s">
        <v>2511</v>
      </c>
      <c r="L548" s="60" t="s">
        <v>2511</v>
      </c>
      <c r="M548" s="61" t="s">
        <v>2389</v>
      </c>
      <c r="N548" s="61" t="s">
        <v>2511</v>
      </c>
      <c r="O548" s="61" t="s">
        <v>2511</v>
      </c>
      <c r="P548" s="62" t="s">
        <v>2511</v>
      </c>
      <c r="Q548" s="82"/>
      <c r="R548" s="82"/>
      <c r="S548" s="82"/>
      <c r="T548" s="82"/>
      <c r="U548" s="82"/>
      <c r="V548" s="138" t="s">
        <v>3961</v>
      </c>
      <c r="W548" s="57" t="s">
        <v>3660</v>
      </c>
      <c r="X548" s="126" t="s">
        <v>2511</v>
      </c>
      <c r="Y548" s="126" t="s">
        <v>2511</v>
      </c>
      <c r="Z548" s="57"/>
      <c r="AA548" s="57" t="s">
        <v>3661</v>
      </c>
      <c r="AB548" s="138"/>
      <c r="AC548" s="138" t="s">
        <v>2631</v>
      </c>
      <c r="AD548" s="96"/>
      <c r="AE548" s="80"/>
      <c r="AF548" s="80"/>
      <c r="AG548" s="80"/>
      <c r="AH548" s="83"/>
      <c r="AI548" s="83"/>
      <c r="AJ548" s="84"/>
      <c r="AK548" s="84"/>
      <c r="AL548" s="84"/>
      <c r="AM548" s="84"/>
      <c r="AN548" s="84"/>
      <c r="AO548" s="84"/>
      <c r="AP548" s="84"/>
      <c r="AQ548" s="95" t="s">
        <v>434</v>
      </c>
      <c r="AR548" s="72"/>
      <c r="AS548" s="72"/>
      <c r="AT548" s="72"/>
      <c r="AU548" s="72"/>
      <c r="AV548" s="72"/>
      <c r="AW548" s="72"/>
      <c r="AX548" s="72"/>
      <c r="AY548" s="72"/>
      <c r="AZ548" s="72"/>
      <c r="BA548" s="72"/>
      <c r="BB548" s="16"/>
      <c r="BC548" s="72"/>
      <c r="BD548" s="20"/>
      <c r="BE548" s="352"/>
    </row>
    <row r="549" spans="1:57" s="81" customFormat="1" ht="12.95" hidden="1" customHeight="1">
      <c r="A549" s="348"/>
      <c r="B549" s="350"/>
      <c r="C549" s="248" t="s">
        <v>1258</v>
      </c>
      <c r="D549" s="239" t="s">
        <v>3962</v>
      </c>
      <c r="E549" s="58"/>
      <c r="F549" s="59" t="s">
        <v>3963</v>
      </c>
      <c r="G549" s="191" t="s">
        <v>2511</v>
      </c>
      <c r="H549" s="192" t="s">
        <v>435</v>
      </c>
      <c r="I549" s="61" t="s">
        <v>2511</v>
      </c>
      <c r="J549" s="61" t="s">
        <v>2511</v>
      </c>
      <c r="K549" s="62" t="s">
        <v>2511</v>
      </c>
      <c r="L549" s="60" t="s">
        <v>2511</v>
      </c>
      <c r="M549" s="61" t="s">
        <v>2389</v>
      </c>
      <c r="N549" s="61" t="s">
        <v>2511</v>
      </c>
      <c r="O549" s="61" t="s">
        <v>2511</v>
      </c>
      <c r="P549" s="62" t="s">
        <v>2511</v>
      </c>
      <c r="Q549" s="82"/>
      <c r="R549" s="82"/>
      <c r="S549" s="82"/>
      <c r="T549" s="82"/>
      <c r="U549" s="82"/>
      <c r="V549" s="138" t="s">
        <v>3964</v>
      </c>
      <c r="W549" s="57" t="s">
        <v>3660</v>
      </c>
      <c r="X549" s="126" t="s">
        <v>2511</v>
      </c>
      <c r="Y549" s="126" t="s">
        <v>2511</v>
      </c>
      <c r="Z549" s="57"/>
      <c r="AA549" s="57" t="s">
        <v>3661</v>
      </c>
      <c r="AB549" s="138"/>
      <c r="AC549" s="138" t="s">
        <v>2631</v>
      </c>
      <c r="AD549" s="96"/>
      <c r="AE549" s="80"/>
      <c r="AF549" s="80"/>
      <c r="AG549" s="80"/>
      <c r="AH549" s="83"/>
      <c r="AI549" s="83"/>
      <c r="AJ549" s="84"/>
      <c r="AK549" s="84"/>
      <c r="AL549" s="84"/>
      <c r="AM549" s="84"/>
      <c r="AN549" s="84"/>
      <c r="AO549" s="84"/>
      <c r="AP549" s="84"/>
      <c r="AQ549" s="95" t="s">
        <v>435</v>
      </c>
      <c r="AR549" s="72"/>
      <c r="AS549" s="72"/>
      <c r="AT549" s="72"/>
      <c r="AU549" s="72"/>
      <c r="AV549" s="72"/>
      <c r="AW549" s="72"/>
      <c r="AX549" s="72"/>
      <c r="AY549" s="72"/>
      <c r="AZ549" s="72"/>
      <c r="BA549" s="72"/>
      <c r="BB549" s="16"/>
      <c r="BC549" s="72"/>
      <c r="BD549" s="20"/>
      <c r="BE549" s="352"/>
    </row>
    <row r="550" spans="1:57" s="81" customFormat="1" ht="12.95" hidden="1" customHeight="1">
      <c r="A550" s="348"/>
      <c r="B550" s="350"/>
      <c r="C550" s="248" t="s">
        <v>1259</v>
      </c>
      <c r="D550" s="239" t="s">
        <v>3965</v>
      </c>
      <c r="E550" s="58"/>
      <c r="F550" s="59" t="s">
        <v>3966</v>
      </c>
      <c r="G550" s="191" t="s">
        <v>2511</v>
      </c>
      <c r="H550" s="192" t="s">
        <v>436</v>
      </c>
      <c r="I550" s="61" t="s">
        <v>2511</v>
      </c>
      <c r="J550" s="61" t="s">
        <v>2511</v>
      </c>
      <c r="K550" s="62" t="s">
        <v>2511</v>
      </c>
      <c r="L550" s="60" t="s">
        <v>2511</v>
      </c>
      <c r="M550" s="61" t="s">
        <v>2389</v>
      </c>
      <c r="N550" s="61" t="s">
        <v>2511</v>
      </c>
      <c r="O550" s="61" t="s">
        <v>2511</v>
      </c>
      <c r="P550" s="62" t="s">
        <v>2511</v>
      </c>
      <c r="Q550" s="82"/>
      <c r="R550" s="82"/>
      <c r="S550" s="82"/>
      <c r="T550" s="82"/>
      <c r="U550" s="82"/>
      <c r="V550" s="138" t="s">
        <v>3967</v>
      </c>
      <c r="W550" s="57" t="s">
        <v>3660</v>
      </c>
      <c r="X550" s="126" t="s">
        <v>2511</v>
      </c>
      <c r="Y550" s="126" t="s">
        <v>2511</v>
      </c>
      <c r="Z550" s="57"/>
      <c r="AA550" s="57" t="s">
        <v>3661</v>
      </c>
      <c r="AB550" s="138"/>
      <c r="AC550" s="138" t="s">
        <v>2631</v>
      </c>
      <c r="AD550" s="96"/>
      <c r="AE550" s="80"/>
      <c r="AF550" s="80"/>
      <c r="AG550" s="80"/>
      <c r="AH550" s="83"/>
      <c r="AI550" s="83"/>
      <c r="AJ550" s="84"/>
      <c r="AK550" s="84"/>
      <c r="AL550" s="84"/>
      <c r="AM550" s="84"/>
      <c r="AN550" s="84"/>
      <c r="AO550" s="84"/>
      <c r="AP550" s="84"/>
      <c r="AQ550" s="95" t="s">
        <v>436</v>
      </c>
      <c r="AR550" s="72"/>
      <c r="AS550" s="72"/>
      <c r="AT550" s="72"/>
      <c r="AU550" s="72"/>
      <c r="AV550" s="72"/>
      <c r="AW550" s="72"/>
      <c r="AX550" s="72"/>
      <c r="AY550" s="72"/>
      <c r="AZ550" s="72"/>
      <c r="BA550" s="72"/>
      <c r="BB550" s="16"/>
      <c r="BC550" s="72"/>
      <c r="BD550" s="20"/>
      <c r="BE550" s="352"/>
    </row>
    <row r="551" spans="1:57" s="81" customFormat="1" ht="12.95" hidden="1" customHeight="1">
      <c r="A551" s="348"/>
      <c r="B551" s="350"/>
      <c r="C551" s="248" t="s">
        <v>1260</v>
      </c>
      <c r="D551" s="239" t="s">
        <v>3968</v>
      </c>
      <c r="E551" s="58"/>
      <c r="F551" s="59" t="s">
        <v>3969</v>
      </c>
      <c r="G551" s="191" t="s">
        <v>2511</v>
      </c>
      <c r="H551" s="192" t="s">
        <v>437</v>
      </c>
      <c r="I551" s="61" t="s">
        <v>2511</v>
      </c>
      <c r="J551" s="61" t="s">
        <v>2511</v>
      </c>
      <c r="K551" s="62" t="s">
        <v>2511</v>
      </c>
      <c r="L551" s="60" t="s">
        <v>2511</v>
      </c>
      <c r="M551" s="61" t="s">
        <v>2389</v>
      </c>
      <c r="N551" s="61" t="s">
        <v>2511</v>
      </c>
      <c r="O551" s="61" t="s">
        <v>2511</v>
      </c>
      <c r="P551" s="62" t="s">
        <v>2511</v>
      </c>
      <c r="Q551" s="82"/>
      <c r="R551" s="82"/>
      <c r="S551" s="82"/>
      <c r="T551" s="82"/>
      <c r="U551" s="82"/>
      <c r="V551" s="138" t="s">
        <v>3970</v>
      </c>
      <c r="W551" s="57" t="s">
        <v>3660</v>
      </c>
      <c r="X551" s="126" t="s">
        <v>2511</v>
      </c>
      <c r="Y551" s="126" t="s">
        <v>2511</v>
      </c>
      <c r="Z551" s="57"/>
      <c r="AA551" s="57" t="s">
        <v>3661</v>
      </c>
      <c r="AB551" s="138"/>
      <c r="AC551" s="138" t="s">
        <v>2631</v>
      </c>
      <c r="AD551" s="96"/>
      <c r="AE551" s="80"/>
      <c r="AF551" s="80"/>
      <c r="AG551" s="80"/>
      <c r="AH551" s="83"/>
      <c r="AI551" s="83"/>
      <c r="AJ551" s="84"/>
      <c r="AK551" s="84"/>
      <c r="AL551" s="84"/>
      <c r="AM551" s="84"/>
      <c r="AN551" s="84"/>
      <c r="AO551" s="84"/>
      <c r="AP551" s="84"/>
      <c r="AQ551" s="95" t="s">
        <v>437</v>
      </c>
      <c r="AR551" s="72"/>
      <c r="AS551" s="72"/>
      <c r="AT551" s="72"/>
      <c r="AU551" s="72"/>
      <c r="AV551" s="72"/>
      <c r="AW551" s="72"/>
      <c r="AX551" s="72"/>
      <c r="AY551" s="72"/>
      <c r="AZ551" s="72"/>
      <c r="BA551" s="72"/>
      <c r="BB551" s="16"/>
      <c r="BC551" s="72"/>
      <c r="BD551" s="20"/>
      <c r="BE551" s="352"/>
    </row>
    <row r="552" spans="1:57" s="81" customFormat="1" ht="12.95" hidden="1" customHeight="1">
      <c r="A552" s="348"/>
      <c r="B552" s="350"/>
      <c r="C552" s="248" t="s">
        <v>1261</v>
      </c>
      <c r="D552" s="239" t="s">
        <v>3971</v>
      </c>
      <c r="E552" s="58"/>
      <c r="F552" s="59" t="s">
        <v>3972</v>
      </c>
      <c r="G552" s="191" t="s">
        <v>2511</v>
      </c>
      <c r="H552" s="192" t="s">
        <v>438</v>
      </c>
      <c r="I552" s="61" t="s">
        <v>2511</v>
      </c>
      <c r="J552" s="61" t="s">
        <v>2511</v>
      </c>
      <c r="K552" s="62" t="s">
        <v>2511</v>
      </c>
      <c r="L552" s="60" t="s">
        <v>2511</v>
      </c>
      <c r="M552" s="61" t="s">
        <v>2389</v>
      </c>
      <c r="N552" s="61" t="s">
        <v>2511</v>
      </c>
      <c r="O552" s="61" t="s">
        <v>2511</v>
      </c>
      <c r="P552" s="62" t="s">
        <v>2511</v>
      </c>
      <c r="Q552" s="82"/>
      <c r="R552" s="82"/>
      <c r="S552" s="82"/>
      <c r="T552" s="82"/>
      <c r="U552" s="82"/>
      <c r="V552" s="138" t="s">
        <v>3973</v>
      </c>
      <c r="W552" s="57" t="s">
        <v>3660</v>
      </c>
      <c r="X552" s="126" t="s">
        <v>2511</v>
      </c>
      <c r="Y552" s="126" t="s">
        <v>2511</v>
      </c>
      <c r="Z552" s="57"/>
      <c r="AA552" s="57" t="s">
        <v>3661</v>
      </c>
      <c r="AB552" s="138"/>
      <c r="AC552" s="138" t="s">
        <v>2631</v>
      </c>
      <c r="AD552" s="96"/>
      <c r="AE552" s="80"/>
      <c r="AF552" s="80"/>
      <c r="AG552" s="80"/>
      <c r="AH552" s="83"/>
      <c r="AI552" s="83"/>
      <c r="AJ552" s="84"/>
      <c r="AK552" s="84"/>
      <c r="AL552" s="84"/>
      <c r="AM552" s="84"/>
      <c r="AN552" s="84"/>
      <c r="AO552" s="84"/>
      <c r="AP552" s="84"/>
      <c r="AQ552" s="95" t="s">
        <v>438</v>
      </c>
      <c r="AR552" s="72"/>
      <c r="AS552" s="72"/>
      <c r="AT552" s="72"/>
      <c r="AU552" s="72"/>
      <c r="AV552" s="72"/>
      <c r="AW552" s="72"/>
      <c r="AX552" s="72"/>
      <c r="AY552" s="72"/>
      <c r="AZ552" s="72"/>
      <c r="BA552" s="72"/>
      <c r="BB552" s="16"/>
      <c r="BC552" s="72"/>
      <c r="BD552" s="20"/>
      <c r="BE552" s="352"/>
    </row>
    <row r="553" spans="1:57" s="81" customFormat="1" ht="12.95" hidden="1" customHeight="1">
      <c r="A553" s="348"/>
      <c r="B553" s="350"/>
      <c r="C553" s="270" t="s">
        <v>1262</v>
      </c>
      <c r="D553" s="239" t="s">
        <v>3974</v>
      </c>
      <c r="E553" s="58"/>
      <c r="F553" s="59" t="s">
        <v>3975</v>
      </c>
      <c r="G553" s="191" t="s">
        <v>2511</v>
      </c>
      <c r="H553" s="192" t="s">
        <v>439</v>
      </c>
      <c r="I553" s="61" t="s">
        <v>2511</v>
      </c>
      <c r="J553" s="61" t="s">
        <v>2511</v>
      </c>
      <c r="K553" s="62" t="s">
        <v>2511</v>
      </c>
      <c r="L553" s="60" t="s">
        <v>2511</v>
      </c>
      <c r="M553" s="61" t="s">
        <v>2389</v>
      </c>
      <c r="N553" s="61" t="s">
        <v>2511</v>
      </c>
      <c r="O553" s="61" t="s">
        <v>2511</v>
      </c>
      <c r="P553" s="62" t="s">
        <v>2511</v>
      </c>
      <c r="Q553" s="82"/>
      <c r="R553" s="82"/>
      <c r="S553" s="82"/>
      <c r="T553" s="82"/>
      <c r="U553" s="82"/>
      <c r="V553" s="138" t="s">
        <v>3976</v>
      </c>
      <c r="W553" s="57" t="s">
        <v>3660</v>
      </c>
      <c r="X553" s="126" t="s">
        <v>2511</v>
      </c>
      <c r="Y553" s="126" t="s">
        <v>2511</v>
      </c>
      <c r="Z553" s="57"/>
      <c r="AA553" s="57" t="s">
        <v>3661</v>
      </c>
      <c r="AB553" s="138"/>
      <c r="AC553" s="138" t="s">
        <v>2631</v>
      </c>
      <c r="AD553" s="96"/>
      <c r="AE553" s="80"/>
      <c r="AF553" s="80"/>
      <c r="AG553" s="80"/>
      <c r="AH553" s="83"/>
      <c r="AI553" s="83"/>
      <c r="AJ553" s="84"/>
      <c r="AK553" s="84"/>
      <c r="AL553" s="84"/>
      <c r="AM553" s="84"/>
      <c r="AN553" s="84"/>
      <c r="AO553" s="84"/>
      <c r="AP553" s="84"/>
      <c r="AQ553" s="95" t="s">
        <v>439</v>
      </c>
      <c r="AR553" s="72"/>
      <c r="AS553" s="72"/>
      <c r="AT553" s="72"/>
      <c r="AU553" s="72"/>
      <c r="AV553" s="72"/>
      <c r="AW553" s="72"/>
      <c r="AX553" s="72"/>
      <c r="AY553" s="72"/>
      <c r="AZ553" s="72"/>
      <c r="BA553" s="72"/>
      <c r="BB553" s="16"/>
      <c r="BC553" s="72"/>
      <c r="BD553" s="20"/>
      <c r="BE553" s="352"/>
    </row>
    <row r="554" spans="1:57" s="81" customFormat="1" ht="12.95" hidden="1" customHeight="1">
      <c r="A554" s="348"/>
      <c r="B554" s="350"/>
      <c r="C554" s="270" t="s">
        <v>1263</v>
      </c>
      <c r="D554" s="239" t="s">
        <v>3977</v>
      </c>
      <c r="E554" s="58"/>
      <c r="F554" s="59" t="s">
        <v>3978</v>
      </c>
      <c r="G554" s="191" t="s">
        <v>2511</v>
      </c>
      <c r="H554" s="192" t="s">
        <v>440</v>
      </c>
      <c r="I554" s="61" t="s">
        <v>2511</v>
      </c>
      <c r="J554" s="61" t="s">
        <v>2511</v>
      </c>
      <c r="K554" s="62" t="s">
        <v>2511</v>
      </c>
      <c r="L554" s="60" t="s">
        <v>2511</v>
      </c>
      <c r="M554" s="61" t="s">
        <v>2389</v>
      </c>
      <c r="N554" s="61" t="s">
        <v>2511</v>
      </c>
      <c r="O554" s="61" t="s">
        <v>2511</v>
      </c>
      <c r="P554" s="62" t="s">
        <v>2511</v>
      </c>
      <c r="Q554" s="82"/>
      <c r="R554" s="82"/>
      <c r="S554" s="82"/>
      <c r="T554" s="82"/>
      <c r="U554" s="82"/>
      <c r="V554" s="138" t="s">
        <v>3979</v>
      </c>
      <c r="W554" s="57" t="s">
        <v>3660</v>
      </c>
      <c r="X554" s="126" t="s">
        <v>2511</v>
      </c>
      <c r="Y554" s="126" t="s">
        <v>2511</v>
      </c>
      <c r="Z554" s="57"/>
      <c r="AA554" s="57" t="s">
        <v>3661</v>
      </c>
      <c r="AB554" s="138"/>
      <c r="AC554" s="138" t="s">
        <v>2631</v>
      </c>
      <c r="AD554" s="96"/>
      <c r="AE554" s="80"/>
      <c r="AF554" s="80"/>
      <c r="AG554" s="80"/>
      <c r="AH554" s="83"/>
      <c r="AI554" s="83"/>
      <c r="AJ554" s="84"/>
      <c r="AK554" s="84"/>
      <c r="AL554" s="84"/>
      <c r="AM554" s="84"/>
      <c r="AN554" s="84"/>
      <c r="AO554" s="84"/>
      <c r="AP554" s="84"/>
      <c r="AQ554" s="95" t="s">
        <v>440</v>
      </c>
      <c r="AR554" s="72"/>
      <c r="AS554" s="72"/>
      <c r="AT554" s="72"/>
      <c r="AU554" s="72"/>
      <c r="AV554" s="72"/>
      <c r="AW554" s="72"/>
      <c r="AX554" s="72"/>
      <c r="AY554" s="72"/>
      <c r="AZ554" s="72"/>
      <c r="BA554" s="72"/>
      <c r="BB554" s="16"/>
      <c r="BC554" s="72"/>
      <c r="BD554" s="20"/>
      <c r="BE554" s="352"/>
    </row>
    <row r="555" spans="1:57" s="81" customFormat="1" ht="12.95" hidden="1" customHeight="1">
      <c r="A555" s="348"/>
      <c r="B555" s="350"/>
      <c r="C555" s="248" t="s">
        <v>1264</v>
      </c>
      <c r="D555" s="239" t="s">
        <v>3980</v>
      </c>
      <c r="E555" s="58"/>
      <c r="F555" s="59" t="s">
        <v>3981</v>
      </c>
      <c r="G555" s="191" t="s">
        <v>2511</v>
      </c>
      <c r="H555" s="192" t="s">
        <v>441</v>
      </c>
      <c r="I555" s="61" t="s">
        <v>2511</v>
      </c>
      <c r="J555" s="61" t="s">
        <v>2511</v>
      </c>
      <c r="K555" s="62" t="s">
        <v>2511</v>
      </c>
      <c r="L555" s="60" t="s">
        <v>2511</v>
      </c>
      <c r="M555" s="61" t="s">
        <v>2389</v>
      </c>
      <c r="N555" s="61" t="s">
        <v>2511</v>
      </c>
      <c r="O555" s="61" t="s">
        <v>2511</v>
      </c>
      <c r="P555" s="62" t="s">
        <v>2511</v>
      </c>
      <c r="Q555" s="82"/>
      <c r="R555" s="82"/>
      <c r="S555" s="82"/>
      <c r="T555" s="82"/>
      <c r="U555" s="82"/>
      <c r="V555" s="138" t="s">
        <v>3982</v>
      </c>
      <c r="W555" s="57" t="s">
        <v>3660</v>
      </c>
      <c r="X555" s="126" t="s">
        <v>2511</v>
      </c>
      <c r="Y555" s="126" t="s">
        <v>2511</v>
      </c>
      <c r="Z555" s="57"/>
      <c r="AA555" s="57" t="s">
        <v>3661</v>
      </c>
      <c r="AB555" s="138"/>
      <c r="AC555" s="138">
        <v>0</v>
      </c>
      <c r="AD555" s="96"/>
      <c r="AE555" s="80"/>
      <c r="AF555" s="80"/>
      <c r="AG555" s="80"/>
      <c r="AH555" s="83"/>
      <c r="AI555" s="83"/>
      <c r="AJ555" s="84"/>
      <c r="AK555" s="84"/>
      <c r="AL555" s="84"/>
      <c r="AM555" s="84"/>
      <c r="AN555" s="84"/>
      <c r="AO555" s="84"/>
      <c r="AP555" s="84"/>
      <c r="AQ555" s="95" t="s">
        <v>441</v>
      </c>
      <c r="AR555" s="72"/>
      <c r="AS555" s="72"/>
      <c r="AT555" s="72"/>
      <c r="AU555" s="72"/>
      <c r="AV555" s="72"/>
      <c r="AW555" s="72"/>
      <c r="AX555" s="72"/>
      <c r="AY555" s="72"/>
      <c r="AZ555" s="72"/>
      <c r="BA555" s="72"/>
      <c r="BB555" s="16"/>
      <c r="BC555" s="72"/>
      <c r="BD555" s="20"/>
      <c r="BE555" s="352"/>
    </row>
    <row r="556" spans="1:57" s="81" customFormat="1" ht="12.95" hidden="1" customHeight="1">
      <c r="A556" s="348"/>
      <c r="B556" s="350"/>
      <c r="C556" s="248" t="s">
        <v>1265</v>
      </c>
      <c r="D556" s="239" t="s">
        <v>3983</v>
      </c>
      <c r="E556" s="58"/>
      <c r="F556" s="59" t="s">
        <v>3984</v>
      </c>
      <c r="G556" s="191" t="s">
        <v>2511</v>
      </c>
      <c r="H556" s="192" t="s">
        <v>442</v>
      </c>
      <c r="I556" s="61" t="s">
        <v>2511</v>
      </c>
      <c r="J556" s="61" t="s">
        <v>2511</v>
      </c>
      <c r="K556" s="62" t="s">
        <v>2511</v>
      </c>
      <c r="L556" s="60" t="s">
        <v>2511</v>
      </c>
      <c r="M556" s="61" t="s">
        <v>2389</v>
      </c>
      <c r="N556" s="61" t="s">
        <v>2511</v>
      </c>
      <c r="O556" s="61" t="s">
        <v>2511</v>
      </c>
      <c r="P556" s="62" t="s">
        <v>2511</v>
      </c>
      <c r="Q556" s="82"/>
      <c r="R556" s="82"/>
      <c r="S556" s="82"/>
      <c r="T556" s="82"/>
      <c r="U556" s="82"/>
      <c r="V556" s="138" t="s">
        <v>3985</v>
      </c>
      <c r="W556" s="57" t="s">
        <v>3660</v>
      </c>
      <c r="X556" s="126" t="s">
        <v>2511</v>
      </c>
      <c r="Y556" s="126" t="s">
        <v>2511</v>
      </c>
      <c r="Z556" s="57"/>
      <c r="AA556" s="57" t="s">
        <v>3661</v>
      </c>
      <c r="AB556" s="138"/>
      <c r="AC556" s="138" t="s">
        <v>2631</v>
      </c>
      <c r="AD556" s="96"/>
      <c r="AE556" s="80"/>
      <c r="AF556" s="80"/>
      <c r="AG556" s="80"/>
      <c r="AH556" s="83"/>
      <c r="AI556" s="83"/>
      <c r="AJ556" s="84"/>
      <c r="AK556" s="84"/>
      <c r="AL556" s="84"/>
      <c r="AM556" s="84"/>
      <c r="AN556" s="84"/>
      <c r="AO556" s="84"/>
      <c r="AP556" s="84"/>
      <c r="AQ556" s="95" t="s">
        <v>442</v>
      </c>
      <c r="AR556" s="72"/>
      <c r="AS556" s="72"/>
      <c r="AT556" s="72"/>
      <c r="AU556" s="72"/>
      <c r="AV556" s="72"/>
      <c r="AW556" s="72"/>
      <c r="AX556" s="72"/>
      <c r="AY556" s="72"/>
      <c r="AZ556" s="72"/>
      <c r="BA556" s="72"/>
      <c r="BB556" s="16"/>
      <c r="BC556" s="72"/>
      <c r="BD556" s="20"/>
      <c r="BE556" s="352"/>
    </row>
    <row r="557" spans="1:57" s="81" customFormat="1" ht="12.95" hidden="1" customHeight="1">
      <c r="A557" s="348"/>
      <c r="B557" s="350"/>
      <c r="C557" s="248" t="s">
        <v>1266</v>
      </c>
      <c r="D557" s="239" t="s">
        <v>3986</v>
      </c>
      <c r="E557" s="58"/>
      <c r="F557" s="59" t="s">
        <v>3987</v>
      </c>
      <c r="G557" s="191" t="s">
        <v>2511</v>
      </c>
      <c r="H557" s="192" t="s">
        <v>443</v>
      </c>
      <c r="I557" s="61" t="s">
        <v>2511</v>
      </c>
      <c r="J557" s="61" t="s">
        <v>2511</v>
      </c>
      <c r="K557" s="62" t="s">
        <v>2511</v>
      </c>
      <c r="L557" s="60" t="s">
        <v>2511</v>
      </c>
      <c r="M557" s="61" t="s">
        <v>2389</v>
      </c>
      <c r="N557" s="61" t="s">
        <v>2511</v>
      </c>
      <c r="O557" s="61" t="s">
        <v>2511</v>
      </c>
      <c r="P557" s="62" t="s">
        <v>2511</v>
      </c>
      <c r="Q557" s="82"/>
      <c r="R557" s="82"/>
      <c r="S557" s="82"/>
      <c r="T557" s="82"/>
      <c r="U557" s="82"/>
      <c r="V557" s="138" t="s">
        <v>3988</v>
      </c>
      <c r="W557" s="57" t="s">
        <v>3660</v>
      </c>
      <c r="X557" s="126" t="s">
        <v>2511</v>
      </c>
      <c r="Y557" s="126" t="s">
        <v>2511</v>
      </c>
      <c r="Z557" s="57"/>
      <c r="AA557" s="57" t="s">
        <v>3661</v>
      </c>
      <c r="AB557" s="138"/>
      <c r="AC557" s="138" t="s">
        <v>2631</v>
      </c>
      <c r="AD557" s="96"/>
      <c r="AE557" s="80"/>
      <c r="AF557" s="80"/>
      <c r="AG557" s="80"/>
      <c r="AH557" s="83"/>
      <c r="AI557" s="83"/>
      <c r="AJ557" s="84"/>
      <c r="AK557" s="84"/>
      <c r="AL557" s="84"/>
      <c r="AM557" s="84"/>
      <c r="AN557" s="84"/>
      <c r="AO557" s="84"/>
      <c r="AP557" s="84"/>
      <c r="AQ557" s="95" t="s">
        <v>443</v>
      </c>
      <c r="AR557" s="72"/>
      <c r="AS557" s="72"/>
      <c r="AT557" s="72"/>
      <c r="AU557" s="72"/>
      <c r="AV557" s="72"/>
      <c r="AW557" s="72"/>
      <c r="AX557" s="72"/>
      <c r="AY557" s="72"/>
      <c r="AZ557" s="72"/>
      <c r="BA557" s="72"/>
      <c r="BB557" s="16"/>
      <c r="BC557" s="72"/>
      <c r="BD557" s="20"/>
      <c r="BE557" s="352"/>
    </row>
    <row r="558" spans="1:57" s="81" customFormat="1" ht="12.95" hidden="1" customHeight="1">
      <c r="A558" s="348"/>
      <c r="B558" s="350"/>
      <c r="C558" s="248" t="s">
        <v>1267</v>
      </c>
      <c r="D558" s="239" t="s">
        <v>3989</v>
      </c>
      <c r="E558" s="58"/>
      <c r="F558" s="59" t="s">
        <v>3990</v>
      </c>
      <c r="G558" s="191" t="s">
        <v>2511</v>
      </c>
      <c r="H558" s="192" t="s">
        <v>444</v>
      </c>
      <c r="I558" s="61" t="s">
        <v>2511</v>
      </c>
      <c r="J558" s="61" t="s">
        <v>2511</v>
      </c>
      <c r="K558" s="62" t="s">
        <v>2511</v>
      </c>
      <c r="L558" s="60" t="s">
        <v>2511</v>
      </c>
      <c r="M558" s="61" t="s">
        <v>2389</v>
      </c>
      <c r="N558" s="61" t="s">
        <v>2511</v>
      </c>
      <c r="O558" s="61" t="s">
        <v>2511</v>
      </c>
      <c r="P558" s="62" t="s">
        <v>2511</v>
      </c>
      <c r="Q558" s="82"/>
      <c r="R558" s="82"/>
      <c r="S558" s="82"/>
      <c r="T558" s="82"/>
      <c r="U558" s="82"/>
      <c r="V558" s="138" t="s">
        <v>3991</v>
      </c>
      <c r="W558" s="57" t="s">
        <v>3660</v>
      </c>
      <c r="X558" s="126" t="s">
        <v>2511</v>
      </c>
      <c r="Y558" s="126" t="s">
        <v>2511</v>
      </c>
      <c r="Z558" s="57"/>
      <c r="AA558" s="57" t="s">
        <v>3661</v>
      </c>
      <c r="AB558" s="138"/>
      <c r="AC558" s="138" t="s">
        <v>2631</v>
      </c>
      <c r="AD558" s="96"/>
      <c r="AE558" s="80"/>
      <c r="AF558" s="80"/>
      <c r="AG558" s="80"/>
      <c r="AH558" s="83"/>
      <c r="AI558" s="83"/>
      <c r="AJ558" s="84"/>
      <c r="AK558" s="84"/>
      <c r="AL558" s="84"/>
      <c r="AM558" s="84"/>
      <c r="AN558" s="84"/>
      <c r="AO558" s="84"/>
      <c r="AP558" s="84"/>
      <c r="AQ558" s="95" t="s">
        <v>444</v>
      </c>
      <c r="AR558" s="72"/>
      <c r="AS558" s="72"/>
      <c r="AT558" s="72"/>
      <c r="AU558" s="72"/>
      <c r="AV558" s="72"/>
      <c r="AW558" s="72"/>
      <c r="AX558" s="72"/>
      <c r="AY558" s="72"/>
      <c r="AZ558" s="72"/>
      <c r="BA558" s="72"/>
      <c r="BB558" s="16"/>
      <c r="BC558" s="72"/>
      <c r="BD558" s="20"/>
      <c r="BE558" s="352"/>
    </row>
    <row r="559" spans="1:57" s="81" customFormat="1" ht="12.95" hidden="1" customHeight="1">
      <c r="A559" s="348"/>
      <c r="B559" s="350"/>
      <c r="C559" s="248" t="s">
        <v>1268</v>
      </c>
      <c r="D559" s="239" t="s">
        <v>3992</v>
      </c>
      <c r="E559" s="58"/>
      <c r="F559" s="59" t="s">
        <v>3993</v>
      </c>
      <c r="G559" s="191" t="s">
        <v>2511</v>
      </c>
      <c r="H559" s="192" t="s">
        <v>445</v>
      </c>
      <c r="I559" s="61" t="s">
        <v>2511</v>
      </c>
      <c r="J559" s="61" t="s">
        <v>2511</v>
      </c>
      <c r="K559" s="62" t="s">
        <v>2511</v>
      </c>
      <c r="L559" s="60" t="s">
        <v>2511</v>
      </c>
      <c r="M559" s="61" t="s">
        <v>2389</v>
      </c>
      <c r="N559" s="61" t="s">
        <v>2511</v>
      </c>
      <c r="O559" s="61" t="s">
        <v>2511</v>
      </c>
      <c r="P559" s="62" t="s">
        <v>2511</v>
      </c>
      <c r="Q559" s="82"/>
      <c r="R559" s="82"/>
      <c r="S559" s="82"/>
      <c r="T559" s="82"/>
      <c r="U559" s="82"/>
      <c r="V559" s="138" t="s">
        <v>3994</v>
      </c>
      <c r="W559" s="57" t="s">
        <v>3660</v>
      </c>
      <c r="X559" s="126" t="s">
        <v>2511</v>
      </c>
      <c r="Y559" s="126" t="s">
        <v>2511</v>
      </c>
      <c r="Z559" s="57"/>
      <c r="AA559" s="57" t="s">
        <v>3661</v>
      </c>
      <c r="AB559" s="138"/>
      <c r="AC559" s="138" t="s">
        <v>2631</v>
      </c>
      <c r="AD559" s="96"/>
      <c r="AE559" s="80"/>
      <c r="AF559" s="80"/>
      <c r="AG559" s="80"/>
      <c r="AH559" s="83"/>
      <c r="AI559" s="83"/>
      <c r="AJ559" s="84"/>
      <c r="AK559" s="84"/>
      <c r="AL559" s="84"/>
      <c r="AM559" s="84"/>
      <c r="AN559" s="84"/>
      <c r="AO559" s="84"/>
      <c r="AP559" s="84"/>
      <c r="AQ559" s="95" t="s">
        <v>445</v>
      </c>
      <c r="AR559" s="72"/>
      <c r="AS559" s="72"/>
      <c r="AT559" s="72"/>
      <c r="AU559" s="72"/>
      <c r="AV559" s="72"/>
      <c r="AW559" s="72"/>
      <c r="AX559" s="72"/>
      <c r="AY559" s="72"/>
      <c r="AZ559" s="72"/>
      <c r="BA559" s="72"/>
      <c r="BB559" s="16"/>
      <c r="BC559" s="72"/>
      <c r="BD559" s="20"/>
      <c r="BE559" s="352"/>
    </row>
    <row r="560" spans="1:57" s="81" customFormat="1" ht="12.95" hidden="1" customHeight="1">
      <c r="A560" s="348"/>
      <c r="B560" s="350"/>
      <c r="C560" s="248" t="s">
        <v>1269</v>
      </c>
      <c r="D560" s="239" t="s">
        <v>3995</v>
      </c>
      <c r="E560" s="58"/>
      <c r="F560" s="59" t="s">
        <v>3996</v>
      </c>
      <c r="G560" s="191" t="s">
        <v>2511</v>
      </c>
      <c r="H560" s="192" t="s">
        <v>446</v>
      </c>
      <c r="I560" s="61" t="s">
        <v>2511</v>
      </c>
      <c r="J560" s="61" t="s">
        <v>2511</v>
      </c>
      <c r="K560" s="62" t="s">
        <v>2511</v>
      </c>
      <c r="L560" s="60" t="s">
        <v>2511</v>
      </c>
      <c r="M560" s="61" t="s">
        <v>2389</v>
      </c>
      <c r="N560" s="61" t="s">
        <v>2511</v>
      </c>
      <c r="O560" s="61" t="s">
        <v>2511</v>
      </c>
      <c r="P560" s="62" t="s">
        <v>2511</v>
      </c>
      <c r="Q560" s="82"/>
      <c r="R560" s="82"/>
      <c r="S560" s="82"/>
      <c r="T560" s="82"/>
      <c r="U560" s="82"/>
      <c r="V560" s="138" t="s">
        <v>3997</v>
      </c>
      <c r="W560" s="57" t="s">
        <v>3660</v>
      </c>
      <c r="X560" s="126" t="s">
        <v>2511</v>
      </c>
      <c r="Y560" s="126" t="s">
        <v>2511</v>
      </c>
      <c r="Z560" s="57"/>
      <c r="AA560" s="57" t="s">
        <v>3661</v>
      </c>
      <c r="AB560" s="138"/>
      <c r="AC560" s="138" t="s">
        <v>2631</v>
      </c>
      <c r="AD560" s="96"/>
      <c r="AE560" s="80"/>
      <c r="AF560" s="80"/>
      <c r="AG560" s="80"/>
      <c r="AH560" s="83"/>
      <c r="AI560" s="83"/>
      <c r="AJ560" s="84"/>
      <c r="AK560" s="84"/>
      <c r="AL560" s="84"/>
      <c r="AM560" s="84"/>
      <c r="AN560" s="84"/>
      <c r="AO560" s="84"/>
      <c r="AP560" s="84"/>
      <c r="AQ560" s="95" t="s">
        <v>446</v>
      </c>
      <c r="AR560" s="72"/>
      <c r="AS560" s="72"/>
      <c r="AT560" s="72"/>
      <c r="AU560" s="72"/>
      <c r="AV560" s="72"/>
      <c r="AW560" s="72"/>
      <c r="AX560" s="72"/>
      <c r="AY560" s="72"/>
      <c r="AZ560" s="72"/>
      <c r="BA560" s="72"/>
      <c r="BB560" s="16"/>
      <c r="BC560" s="72"/>
      <c r="BD560" s="20"/>
      <c r="BE560" s="352"/>
    </row>
    <row r="561" spans="1:57" s="81" customFormat="1" ht="12.95" hidden="1" customHeight="1">
      <c r="A561" s="348"/>
      <c r="B561" s="350"/>
      <c r="C561" s="248" t="s">
        <v>1270</v>
      </c>
      <c r="D561" s="239" t="s">
        <v>3998</v>
      </c>
      <c r="E561" s="58"/>
      <c r="F561" s="59" t="s">
        <v>3999</v>
      </c>
      <c r="G561" s="191" t="s">
        <v>2511</v>
      </c>
      <c r="H561" s="192" t="s">
        <v>447</v>
      </c>
      <c r="I561" s="61" t="s">
        <v>2511</v>
      </c>
      <c r="J561" s="61" t="s">
        <v>2511</v>
      </c>
      <c r="K561" s="62" t="s">
        <v>2511</v>
      </c>
      <c r="L561" s="60" t="s">
        <v>2511</v>
      </c>
      <c r="M561" s="61" t="s">
        <v>2389</v>
      </c>
      <c r="N561" s="61" t="s">
        <v>2511</v>
      </c>
      <c r="O561" s="61" t="s">
        <v>2511</v>
      </c>
      <c r="P561" s="62" t="s">
        <v>2511</v>
      </c>
      <c r="Q561" s="82"/>
      <c r="R561" s="82"/>
      <c r="S561" s="82"/>
      <c r="T561" s="82"/>
      <c r="U561" s="82"/>
      <c r="V561" s="138" t="s">
        <v>4000</v>
      </c>
      <c r="W561" s="57" t="s">
        <v>3660</v>
      </c>
      <c r="X561" s="126" t="s">
        <v>2511</v>
      </c>
      <c r="Y561" s="126" t="s">
        <v>2511</v>
      </c>
      <c r="Z561" s="57"/>
      <c r="AA561" s="57" t="s">
        <v>3661</v>
      </c>
      <c r="AB561" s="138"/>
      <c r="AC561" s="138" t="s">
        <v>2631</v>
      </c>
      <c r="AD561" s="96"/>
      <c r="AE561" s="80"/>
      <c r="AF561" s="80"/>
      <c r="AG561" s="80"/>
      <c r="AH561" s="83"/>
      <c r="AI561" s="83"/>
      <c r="AJ561" s="84"/>
      <c r="AK561" s="84"/>
      <c r="AL561" s="84"/>
      <c r="AM561" s="84"/>
      <c r="AN561" s="84"/>
      <c r="AO561" s="84"/>
      <c r="AP561" s="84"/>
      <c r="AQ561" s="95" t="s">
        <v>447</v>
      </c>
      <c r="AR561" s="72"/>
      <c r="AS561" s="72"/>
      <c r="AT561" s="72"/>
      <c r="AU561" s="72"/>
      <c r="AV561" s="72"/>
      <c r="AW561" s="72"/>
      <c r="AX561" s="72"/>
      <c r="AY561" s="72"/>
      <c r="AZ561" s="72"/>
      <c r="BA561" s="72"/>
      <c r="BB561" s="16"/>
      <c r="BC561" s="72"/>
      <c r="BD561" s="20"/>
      <c r="BE561" s="352"/>
    </row>
    <row r="562" spans="1:57" s="81" customFormat="1" ht="12.95" hidden="1" customHeight="1">
      <c r="A562" s="348"/>
      <c r="B562" s="350"/>
      <c r="C562" s="248" t="s">
        <v>1271</v>
      </c>
      <c r="D562" s="239" t="s">
        <v>4001</v>
      </c>
      <c r="E562" s="58"/>
      <c r="F562" s="59" t="s">
        <v>4002</v>
      </c>
      <c r="G562" s="191" t="s">
        <v>2511</v>
      </c>
      <c r="H562" s="192" t="s">
        <v>448</v>
      </c>
      <c r="I562" s="61" t="s">
        <v>2511</v>
      </c>
      <c r="J562" s="61" t="s">
        <v>2511</v>
      </c>
      <c r="K562" s="62" t="s">
        <v>2511</v>
      </c>
      <c r="L562" s="60" t="s">
        <v>2511</v>
      </c>
      <c r="M562" s="61" t="s">
        <v>2389</v>
      </c>
      <c r="N562" s="61" t="s">
        <v>2511</v>
      </c>
      <c r="O562" s="61" t="s">
        <v>2511</v>
      </c>
      <c r="P562" s="62" t="s">
        <v>2511</v>
      </c>
      <c r="Q562" s="82"/>
      <c r="R562" s="82"/>
      <c r="S562" s="82"/>
      <c r="T562" s="82"/>
      <c r="U562" s="82"/>
      <c r="V562" s="138" t="s">
        <v>4003</v>
      </c>
      <c r="W562" s="57" t="s">
        <v>3660</v>
      </c>
      <c r="X562" s="126" t="s">
        <v>2511</v>
      </c>
      <c r="Y562" s="126" t="s">
        <v>2511</v>
      </c>
      <c r="Z562" s="57"/>
      <c r="AA562" s="57" t="s">
        <v>3661</v>
      </c>
      <c r="AB562" s="138"/>
      <c r="AC562" s="138" t="s">
        <v>2631</v>
      </c>
      <c r="AD562" s="96"/>
      <c r="AE562" s="80"/>
      <c r="AF562" s="80"/>
      <c r="AG562" s="80"/>
      <c r="AH562" s="83"/>
      <c r="AI562" s="83"/>
      <c r="AJ562" s="84"/>
      <c r="AK562" s="84"/>
      <c r="AL562" s="84"/>
      <c r="AM562" s="84"/>
      <c r="AN562" s="84"/>
      <c r="AO562" s="84"/>
      <c r="AP562" s="84"/>
      <c r="AQ562" s="95" t="s">
        <v>448</v>
      </c>
      <c r="AR562" s="72"/>
      <c r="AS562" s="72"/>
      <c r="AT562" s="72"/>
      <c r="AU562" s="72"/>
      <c r="AV562" s="72"/>
      <c r="AW562" s="72"/>
      <c r="AX562" s="72"/>
      <c r="AY562" s="72"/>
      <c r="AZ562" s="72"/>
      <c r="BA562" s="72"/>
      <c r="BB562" s="16"/>
      <c r="BC562" s="72"/>
      <c r="BD562" s="20"/>
      <c r="BE562" s="352"/>
    </row>
    <row r="563" spans="1:57" s="81" customFormat="1" ht="12.95" hidden="1" customHeight="1">
      <c r="A563" s="348"/>
      <c r="B563" s="350"/>
      <c r="C563" s="248" t="s">
        <v>1272</v>
      </c>
      <c r="D563" s="239" t="s">
        <v>4004</v>
      </c>
      <c r="E563" s="58"/>
      <c r="F563" s="59" t="s">
        <v>4005</v>
      </c>
      <c r="G563" s="191" t="s">
        <v>2511</v>
      </c>
      <c r="H563" s="192" t="s">
        <v>449</v>
      </c>
      <c r="I563" s="61" t="s">
        <v>2511</v>
      </c>
      <c r="J563" s="61" t="s">
        <v>2511</v>
      </c>
      <c r="K563" s="62" t="s">
        <v>2511</v>
      </c>
      <c r="L563" s="60" t="s">
        <v>2511</v>
      </c>
      <c r="M563" s="61" t="s">
        <v>2389</v>
      </c>
      <c r="N563" s="61" t="s">
        <v>2511</v>
      </c>
      <c r="O563" s="61" t="s">
        <v>2511</v>
      </c>
      <c r="P563" s="62" t="s">
        <v>2511</v>
      </c>
      <c r="Q563" s="82"/>
      <c r="R563" s="82"/>
      <c r="S563" s="82"/>
      <c r="T563" s="82"/>
      <c r="U563" s="82"/>
      <c r="V563" s="138" t="s">
        <v>4006</v>
      </c>
      <c r="W563" s="57" t="s">
        <v>3660</v>
      </c>
      <c r="X563" s="126" t="s">
        <v>2511</v>
      </c>
      <c r="Y563" s="126" t="s">
        <v>2511</v>
      </c>
      <c r="Z563" s="57"/>
      <c r="AA563" s="57" t="s">
        <v>3661</v>
      </c>
      <c r="AB563" s="138"/>
      <c r="AC563" s="138" t="s">
        <v>2631</v>
      </c>
      <c r="AD563" s="96"/>
      <c r="AE563" s="80"/>
      <c r="AF563" s="80"/>
      <c r="AG563" s="80"/>
      <c r="AH563" s="83"/>
      <c r="AI563" s="83"/>
      <c r="AJ563" s="84"/>
      <c r="AK563" s="84"/>
      <c r="AL563" s="84"/>
      <c r="AM563" s="84"/>
      <c r="AN563" s="84"/>
      <c r="AO563" s="84"/>
      <c r="AP563" s="84"/>
      <c r="AQ563" s="95" t="s">
        <v>449</v>
      </c>
      <c r="AR563" s="72"/>
      <c r="AS563" s="72"/>
      <c r="AT563" s="72"/>
      <c r="AU563" s="72"/>
      <c r="AV563" s="72"/>
      <c r="AW563" s="72"/>
      <c r="AX563" s="72"/>
      <c r="AY563" s="72"/>
      <c r="AZ563" s="72"/>
      <c r="BA563" s="72"/>
      <c r="BB563" s="16"/>
      <c r="BC563" s="72"/>
      <c r="BD563" s="20"/>
      <c r="BE563" s="352"/>
    </row>
    <row r="564" spans="1:57" s="81" customFormat="1" ht="12.95" hidden="1" customHeight="1">
      <c r="A564" s="348"/>
      <c r="B564" s="350"/>
      <c r="C564" s="248" t="s">
        <v>1273</v>
      </c>
      <c r="D564" s="239" t="s">
        <v>4007</v>
      </c>
      <c r="E564" s="58"/>
      <c r="F564" s="59" t="s">
        <v>4008</v>
      </c>
      <c r="G564" s="191" t="s">
        <v>2511</v>
      </c>
      <c r="H564" s="192" t="s">
        <v>450</v>
      </c>
      <c r="I564" s="61" t="s">
        <v>2511</v>
      </c>
      <c r="J564" s="61" t="s">
        <v>2511</v>
      </c>
      <c r="K564" s="62" t="s">
        <v>2511</v>
      </c>
      <c r="L564" s="60" t="s">
        <v>2511</v>
      </c>
      <c r="M564" s="61" t="s">
        <v>2389</v>
      </c>
      <c r="N564" s="61" t="s">
        <v>2511</v>
      </c>
      <c r="O564" s="61" t="s">
        <v>2511</v>
      </c>
      <c r="P564" s="62" t="s">
        <v>2511</v>
      </c>
      <c r="Q564" s="82"/>
      <c r="R564" s="82"/>
      <c r="S564" s="82"/>
      <c r="T564" s="82"/>
      <c r="U564" s="82"/>
      <c r="V564" s="138" t="s">
        <v>4009</v>
      </c>
      <c r="W564" s="57" t="s">
        <v>3660</v>
      </c>
      <c r="X564" s="126" t="s">
        <v>2511</v>
      </c>
      <c r="Y564" s="126" t="s">
        <v>2511</v>
      </c>
      <c r="Z564" s="57"/>
      <c r="AA564" s="57" t="s">
        <v>3661</v>
      </c>
      <c r="AB564" s="138"/>
      <c r="AC564" s="138" t="s">
        <v>2631</v>
      </c>
      <c r="AD564" s="96"/>
      <c r="AE564" s="80"/>
      <c r="AF564" s="80"/>
      <c r="AG564" s="80"/>
      <c r="AH564" s="83"/>
      <c r="AI564" s="83"/>
      <c r="AJ564" s="84"/>
      <c r="AK564" s="84"/>
      <c r="AL564" s="84"/>
      <c r="AM564" s="84"/>
      <c r="AN564" s="84"/>
      <c r="AO564" s="84"/>
      <c r="AP564" s="84"/>
      <c r="AQ564" s="95" t="s">
        <v>450</v>
      </c>
      <c r="AR564" s="72"/>
      <c r="AS564" s="72"/>
      <c r="AT564" s="72"/>
      <c r="AU564" s="72"/>
      <c r="AV564" s="72"/>
      <c r="AW564" s="72"/>
      <c r="AX564" s="72"/>
      <c r="AY564" s="72"/>
      <c r="AZ564" s="72"/>
      <c r="BA564" s="72"/>
      <c r="BB564" s="16"/>
      <c r="BC564" s="72"/>
      <c r="BD564" s="20"/>
      <c r="BE564" s="352"/>
    </row>
    <row r="565" spans="1:57" s="81" customFormat="1" ht="12.95" hidden="1" customHeight="1">
      <c r="A565" s="348"/>
      <c r="B565" s="350"/>
      <c r="C565" s="270" t="s">
        <v>1274</v>
      </c>
      <c r="D565" s="239" t="s">
        <v>4010</v>
      </c>
      <c r="E565" s="58"/>
      <c r="F565" s="59" t="s">
        <v>4011</v>
      </c>
      <c r="G565" s="191" t="s">
        <v>2511</v>
      </c>
      <c r="H565" s="192" t="s">
        <v>451</v>
      </c>
      <c r="I565" s="61" t="s">
        <v>2511</v>
      </c>
      <c r="J565" s="61" t="s">
        <v>2511</v>
      </c>
      <c r="K565" s="62" t="s">
        <v>2511</v>
      </c>
      <c r="L565" s="60" t="s">
        <v>2511</v>
      </c>
      <c r="M565" s="61" t="s">
        <v>2389</v>
      </c>
      <c r="N565" s="61" t="s">
        <v>2511</v>
      </c>
      <c r="O565" s="61" t="s">
        <v>2511</v>
      </c>
      <c r="P565" s="62" t="s">
        <v>2511</v>
      </c>
      <c r="Q565" s="82"/>
      <c r="R565" s="82"/>
      <c r="S565" s="82"/>
      <c r="T565" s="82"/>
      <c r="U565" s="82"/>
      <c r="V565" s="138" t="s">
        <v>4012</v>
      </c>
      <c r="W565" s="57" t="s">
        <v>3660</v>
      </c>
      <c r="X565" s="126" t="s">
        <v>2511</v>
      </c>
      <c r="Y565" s="126" t="s">
        <v>2511</v>
      </c>
      <c r="Z565" s="57"/>
      <c r="AA565" s="57" t="s">
        <v>3661</v>
      </c>
      <c r="AB565" s="138"/>
      <c r="AC565" s="138" t="s">
        <v>2631</v>
      </c>
      <c r="AD565" s="96"/>
      <c r="AE565" s="80"/>
      <c r="AF565" s="80"/>
      <c r="AG565" s="80"/>
      <c r="AH565" s="83"/>
      <c r="AI565" s="83"/>
      <c r="AJ565" s="84"/>
      <c r="AK565" s="84"/>
      <c r="AL565" s="84"/>
      <c r="AM565" s="84"/>
      <c r="AN565" s="84"/>
      <c r="AO565" s="84"/>
      <c r="AP565" s="84"/>
      <c r="AQ565" s="95" t="s">
        <v>451</v>
      </c>
      <c r="AR565" s="72"/>
      <c r="AS565" s="72"/>
      <c r="AT565" s="72"/>
      <c r="AU565" s="72"/>
      <c r="AV565" s="72"/>
      <c r="AW565" s="72"/>
      <c r="AX565" s="72"/>
      <c r="AY565" s="72"/>
      <c r="AZ565" s="72"/>
      <c r="BA565" s="72"/>
      <c r="BB565" s="16"/>
      <c r="BC565" s="72"/>
      <c r="BD565" s="20"/>
      <c r="BE565" s="352"/>
    </row>
    <row r="566" spans="1:57" s="81" customFormat="1" ht="12.95" hidden="1" customHeight="1">
      <c r="A566" s="348"/>
      <c r="B566" s="350"/>
      <c r="C566" s="270" t="s">
        <v>1275</v>
      </c>
      <c r="D566" s="239" t="s">
        <v>4013</v>
      </c>
      <c r="E566" s="58"/>
      <c r="F566" s="59" t="s">
        <v>4014</v>
      </c>
      <c r="G566" s="191" t="s">
        <v>2511</v>
      </c>
      <c r="H566" s="192" t="s">
        <v>452</v>
      </c>
      <c r="I566" s="61" t="s">
        <v>2511</v>
      </c>
      <c r="J566" s="61" t="s">
        <v>2511</v>
      </c>
      <c r="K566" s="62" t="s">
        <v>2511</v>
      </c>
      <c r="L566" s="60" t="s">
        <v>2511</v>
      </c>
      <c r="M566" s="61" t="s">
        <v>2389</v>
      </c>
      <c r="N566" s="61" t="s">
        <v>2511</v>
      </c>
      <c r="O566" s="61" t="s">
        <v>2511</v>
      </c>
      <c r="P566" s="62" t="s">
        <v>2511</v>
      </c>
      <c r="Q566" s="82"/>
      <c r="R566" s="82"/>
      <c r="S566" s="82"/>
      <c r="T566" s="82"/>
      <c r="U566" s="82"/>
      <c r="V566" s="138" t="s">
        <v>4015</v>
      </c>
      <c r="W566" s="57" t="s">
        <v>3660</v>
      </c>
      <c r="X566" s="126" t="s">
        <v>2511</v>
      </c>
      <c r="Y566" s="126" t="s">
        <v>2511</v>
      </c>
      <c r="Z566" s="57"/>
      <c r="AA566" s="57" t="s">
        <v>3661</v>
      </c>
      <c r="AB566" s="138"/>
      <c r="AC566" s="138" t="s">
        <v>2631</v>
      </c>
      <c r="AD566" s="96"/>
      <c r="AE566" s="80"/>
      <c r="AF566" s="80"/>
      <c r="AG566" s="80"/>
      <c r="AH566" s="83"/>
      <c r="AI566" s="83"/>
      <c r="AJ566" s="84"/>
      <c r="AK566" s="84"/>
      <c r="AL566" s="84"/>
      <c r="AM566" s="84"/>
      <c r="AN566" s="84"/>
      <c r="AO566" s="84"/>
      <c r="AP566" s="84"/>
      <c r="AQ566" s="95" t="s">
        <v>452</v>
      </c>
      <c r="AR566" s="72"/>
      <c r="AS566" s="72"/>
      <c r="AT566" s="72"/>
      <c r="AU566" s="72"/>
      <c r="AV566" s="72"/>
      <c r="AW566" s="72"/>
      <c r="AX566" s="72"/>
      <c r="AY566" s="72"/>
      <c r="AZ566" s="72"/>
      <c r="BA566" s="72"/>
      <c r="BB566" s="16"/>
      <c r="BC566" s="72"/>
      <c r="BD566" s="20"/>
      <c r="BE566" s="352"/>
    </row>
    <row r="567" spans="1:57" s="81" customFormat="1" ht="12.95" hidden="1" customHeight="1">
      <c r="A567" s="348"/>
      <c r="B567" s="350"/>
      <c r="C567" s="248" t="s">
        <v>1276</v>
      </c>
      <c r="D567" s="239" t="s">
        <v>4016</v>
      </c>
      <c r="E567" s="58"/>
      <c r="F567" s="59" t="s">
        <v>4017</v>
      </c>
      <c r="G567" s="191" t="s">
        <v>2511</v>
      </c>
      <c r="H567" s="192" t="s">
        <v>453</v>
      </c>
      <c r="I567" s="61" t="s">
        <v>2511</v>
      </c>
      <c r="J567" s="61" t="s">
        <v>2511</v>
      </c>
      <c r="K567" s="62" t="s">
        <v>2511</v>
      </c>
      <c r="L567" s="60" t="s">
        <v>2511</v>
      </c>
      <c r="M567" s="61" t="s">
        <v>2389</v>
      </c>
      <c r="N567" s="61" t="s">
        <v>2511</v>
      </c>
      <c r="O567" s="61" t="s">
        <v>2511</v>
      </c>
      <c r="P567" s="62" t="s">
        <v>2511</v>
      </c>
      <c r="Q567" s="82"/>
      <c r="R567" s="82"/>
      <c r="S567" s="82"/>
      <c r="T567" s="82"/>
      <c r="U567" s="82"/>
      <c r="V567" s="138" t="s">
        <v>4018</v>
      </c>
      <c r="W567" s="57" t="s">
        <v>3660</v>
      </c>
      <c r="X567" s="126" t="s">
        <v>2511</v>
      </c>
      <c r="Y567" s="126" t="s">
        <v>2511</v>
      </c>
      <c r="Z567" s="57"/>
      <c r="AA567" s="57" t="s">
        <v>3661</v>
      </c>
      <c r="AB567" s="138"/>
      <c r="AC567" s="138">
        <v>0</v>
      </c>
      <c r="AD567" s="96"/>
      <c r="AE567" s="80"/>
      <c r="AF567" s="80"/>
      <c r="AG567" s="80"/>
      <c r="AH567" s="83"/>
      <c r="AI567" s="83"/>
      <c r="AJ567" s="84"/>
      <c r="AK567" s="84"/>
      <c r="AL567" s="84"/>
      <c r="AM567" s="84"/>
      <c r="AN567" s="84"/>
      <c r="AO567" s="84"/>
      <c r="AP567" s="84"/>
      <c r="AQ567" s="95" t="s">
        <v>453</v>
      </c>
      <c r="AR567" s="72"/>
      <c r="AS567" s="72"/>
      <c r="AT567" s="72"/>
      <c r="AU567" s="72"/>
      <c r="AV567" s="72"/>
      <c r="AW567" s="72"/>
      <c r="AX567" s="72"/>
      <c r="AY567" s="72"/>
      <c r="AZ567" s="72"/>
      <c r="BA567" s="72"/>
      <c r="BB567" s="16"/>
      <c r="BC567" s="72"/>
      <c r="BD567" s="20"/>
      <c r="BE567" s="352"/>
    </row>
    <row r="568" spans="1:57" s="81" customFormat="1" ht="12.95" hidden="1" customHeight="1">
      <c r="A568" s="348"/>
      <c r="B568" s="350"/>
      <c r="C568" s="248" t="s">
        <v>1277</v>
      </c>
      <c r="D568" s="239" t="s">
        <v>4019</v>
      </c>
      <c r="E568" s="58"/>
      <c r="F568" s="59" t="s">
        <v>4020</v>
      </c>
      <c r="G568" s="191" t="s">
        <v>2511</v>
      </c>
      <c r="H568" s="192" t="s">
        <v>454</v>
      </c>
      <c r="I568" s="61" t="s">
        <v>2511</v>
      </c>
      <c r="J568" s="61" t="s">
        <v>2511</v>
      </c>
      <c r="K568" s="62" t="s">
        <v>2511</v>
      </c>
      <c r="L568" s="60" t="s">
        <v>2511</v>
      </c>
      <c r="M568" s="61" t="s">
        <v>2389</v>
      </c>
      <c r="N568" s="61" t="s">
        <v>2511</v>
      </c>
      <c r="O568" s="61" t="s">
        <v>2511</v>
      </c>
      <c r="P568" s="62" t="s">
        <v>2511</v>
      </c>
      <c r="Q568" s="82"/>
      <c r="R568" s="82"/>
      <c r="S568" s="82"/>
      <c r="T568" s="82"/>
      <c r="U568" s="82"/>
      <c r="V568" s="138" t="s">
        <v>4021</v>
      </c>
      <c r="W568" s="57" t="s">
        <v>3660</v>
      </c>
      <c r="X568" s="126" t="s">
        <v>2511</v>
      </c>
      <c r="Y568" s="126" t="s">
        <v>2511</v>
      </c>
      <c r="Z568" s="57"/>
      <c r="AA568" s="57" t="s">
        <v>3661</v>
      </c>
      <c r="AB568" s="138"/>
      <c r="AC568" s="138" t="s">
        <v>2631</v>
      </c>
      <c r="AD568" s="96"/>
      <c r="AE568" s="80"/>
      <c r="AF568" s="80"/>
      <c r="AG568" s="80"/>
      <c r="AH568" s="83"/>
      <c r="AI568" s="83"/>
      <c r="AJ568" s="84"/>
      <c r="AK568" s="84"/>
      <c r="AL568" s="84"/>
      <c r="AM568" s="84"/>
      <c r="AN568" s="84"/>
      <c r="AO568" s="84"/>
      <c r="AP568" s="84"/>
      <c r="AQ568" s="95" t="s">
        <v>454</v>
      </c>
      <c r="AR568" s="72"/>
      <c r="AS568" s="72"/>
      <c r="AT568" s="72"/>
      <c r="AU568" s="72"/>
      <c r="AV568" s="72"/>
      <c r="AW568" s="72"/>
      <c r="AX568" s="72"/>
      <c r="AY568" s="72"/>
      <c r="AZ568" s="72"/>
      <c r="BA568" s="72"/>
      <c r="BB568" s="16"/>
      <c r="BC568" s="72"/>
      <c r="BD568" s="20"/>
      <c r="BE568" s="352"/>
    </row>
    <row r="569" spans="1:57" s="81" customFormat="1" ht="12.95" hidden="1" customHeight="1">
      <c r="A569" s="348"/>
      <c r="B569" s="350"/>
      <c r="C569" s="248" t="s">
        <v>1278</v>
      </c>
      <c r="D569" s="239" t="s">
        <v>4022</v>
      </c>
      <c r="E569" s="58"/>
      <c r="F569" s="59" t="s">
        <v>4023</v>
      </c>
      <c r="G569" s="191" t="s">
        <v>2511</v>
      </c>
      <c r="H569" s="192" t="s">
        <v>455</v>
      </c>
      <c r="I569" s="61" t="s">
        <v>2511</v>
      </c>
      <c r="J569" s="61" t="s">
        <v>2511</v>
      </c>
      <c r="K569" s="62" t="s">
        <v>2511</v>
      </c>
      <c r="L569" s="60" t="s">
        <v>2511</v>
      </c>
      <c r="M569" s="61" t="s">
        <v>2389</v>
      </c>
      <c r="N569" s="61" t="s">
        <v>2511</v>
      </c>
      <c r="O569" s="61" t="s">
        <v>2511</v>
      </c>
      <c r="P569" s="62" t="s">
        <v>2511</v>
      </c>
      <c r="Q569" s="82"/>
      <c r="R569" s="82"/>
      <c r="S569" s="82"/>
      <c r="T569" s="82"/>
      <c r="U569" s="82"/>
      <c r="V569" s="138" t="s">
        <v>4024</v>
      </c>
      <c r="W569" s="57" t="s">
        <v>3660</v>
      </c>
      <c r="X569" s="126" t="s">
        <v>2511</v>
      </c>
      <c r="Y569" s="126" t="s">
        <v>2511</v>
      </c>
      <c r="Z569" s="57"/>
      <c r="AA569" s="57" t="s">
        <v>3661</v>
      </c>
      <c r="AB569" s="138"/>
      <c r="AC569" s="138" t="s">
        <v>2631</v>
      </c>
      <c r="AD569" s="96"/>
      <c r="AE569" s="80"/>
      <c r="AF569" s="80"/>
      <c r="AG569" s="80"/>
      <c r="AH569" s="83"/>
      <c r="AI569" s="83"/>
      <c r="AJ569" s="84"/>
      <c r="AK569" s="84"/>
      <c r="AL569" s="84"/>
      <c r="AM569" s="84"/>
      <c r="AN569" s="84"/>
      <c r="AO569" s="84"/>
      <c r="AP569" s="84"/>
      <c r="AQ569" s="95" t="s">
        <v>455</v>
      </c>
      <c r="AR569" s="72"/>
      <c r="AS569" s="72"/>
      <c r="AT569" s="72"/>
      <c r="AU569" s="72"/>
      <c r="AV569" s="72"/>
      <c r="AW569" s="72"/>
      <c r="AX569" s="72"/>
      <c r="AY569" s="72"/>
      <c r="AZ569" s="72"/>
      <c r="BA569" s="72"/>
      <c r="BB569" s="16"/>
      <c r="BC569" s="72"/>
      <c r="BD569" s="20"/>
      <c r="BE569" s="352"/>
    </row>
    <row r="570" spans="1:57" s="81" customFormat="1" ht="12.95" hidden="1" customHeight="1">
      <c r="A570" s="348"/>
      <c r="B570" s="350"/>
      <c r="C570" s="248" t="s">
        <v>1279</v>
      </c>
      <c r="D570" s="239" t="s">
        <v>4025</v>
      </c>
      <c r="E570" s="58"/>
      <c r="F570" s="59" t="s">
        <v>4026</v>
      </c>
      <c r="G570" s="191" t="s">
        <v>2511</v>
      </c>
      <c r="H570" s="192" t="s">
        <v>456</v>
      </c>
      <c r="I570" s="61" t="s">
        <v>2511</v>
      </c>
      <c r="J570" s="61" t="s">
        <v>2511</v>
      </c>
      <c r="K570" s="62" t="s">
        <v>2511</v>
      </c>
      <c r="L570" s="60" t="s">
        <v>2511</v>
      </c>
      <c r="M570" s="61" t="s">
        <v>2389</v>
      </c>
      <c r="N570" s="61" t="s">
        <v>2511</v>
      </c>
      <c r="O570" s="61" t="s">
        <v>2511</v>
      </c>
      <c r="P570" s="62" t="s">
        <v>2511</v>
      </c>
      <c r="Q570" s="82"/>
      <c r="R570" s="82"/>
      <c r="S570" s="82"/>
      <c r="T570" s="82"/>
      <c r="U570" s="82"/>
      <c r="V570" s="138" t="s">
        <v>4027</v>
      </c>
      <c r="W570" s="57" t="s">
        <v>3660</v>
      </c>
      <c r="X570" s="126" t="s">
        <v>2511</v>
      </c>
      <c r="Y570" s="126" t="s">
        <v>2511</v>
      </c>
      <c r="Z570" s="57"/>
      <c r="AA570" s="57" t="s">
        <v>3661</v>
      </c>
      <c r="AB570" s="138"/>
      <c r="AC570" s="138" t="s">
        <v>2631</v>
      </c>
      <c r="AD570" s="96"/>
      <c r="AE570" s="80"/>
      <c r="AF570" s="80"/>
      <c r="AG570" s="80"/>
      <c r="AH570" s="83"/>
      <c r="AI570" s="83"/>
      <c r="AJ570" s="84"/>
      <c r="AK570" s="84"/>
      <c r="AL570" s="84"/>
      <c r="AM570" s="84"/>
      <c r="AN570" s="84"/>
      <c r="AO570" s="84"/>
      <c r="AP570" s="84"/>
      <c r="AQ570" s="95" t="s">
        <v>456</v>
      </c>
      <c r="AR570" s="72"/>
      <c r="AS570" s="72"/>
      <c r="AT570" s="72"/>
      <c r="AU570" s="72"/>
      <c r="AV570" s="72"/>
      <c r="AW570" s="72"/>
      <c r="AX570" s="72"/>
      <c r="AY570" s="72"/>
      <c r="AZ570" s="72"/>
      <c r="BA570" s="72"/>
      <c r="BB570" s="16"/>
      <c r="BC570" s="72"/>
      <c r="BD570" s="20"/>
      <c r="BE570" s="352"/>
    </row>
    <row r="571" spans="1:57" s="81" customFormat="1" ht="12.95" hidden="1" customHeight="1">
      <c r="A571" s="348"/>
      <c r="B571" s="350"/>
      <c r="C571" s="248" t="s">
        <v>1280</v>
      </c>
      <c r="D571" s="239" t="s">
        <v>4028</v>
      </c>
      <c r="E571" s="58"/>
      <c r="F571" s="59" t="s">
        <v>4029</v>
      </c>
      <c r="G571" s="191" t="s">
        <v>2511</v>
      </c>
      <c r="H571" s="192" t="s">
        <v>457</v>
      </c>
      <c r="I571" s="61" t="s">
        <v>2511</v>
      </c>
      <c r="J571" s="61" t="s">
        <v>2511</v>
      </c>
      <c r="K571" s="62" t="s">
        <v>2511</v>
      </c>
      <c r="L571" s="60" t="s">
        <v>2511</v>
      </c>
      <c r="M571" s="61" t="s">
        <v>2389</v>
      </c>
      <c r="N571" s="61" t="s">
        <v>2511</v>
      </c>
      <c r="O571" s="61" t="s">
        <v>2511</v>
      </c>
      <c r="P571" s="62" t="s">
        <v>2511</v>
      </c>
      <c r="Q571" s="82"/>
      <c r="R571" s="82"/>
      <c r="S571" s="82"/>
      <c r="T571" s="82"/>
      <c r="U571" s="82"/>
      <c r="V571" s="138" t="s">
        <v>4030</v>
      </c>
      <c r="W571" s="57" t="s">
        <v>3660</v>
      </c>
      <c r="X571" s="126" t="s">
        <v>2511</v>
      </c>
      <c r="Y571" s="126" t="s">
        <v>2511</v>
      </c>
      <c r="Z571" s="57"/>
      <c r="AA571" s="57" t="s">
        <v>3661</v>
      </c>
      <c r="AB571" s="138"/>
      <c r="AC571" s="138" t="s">
        <v>2631</v>
      </c>
      <c r="AD571" s="96"/>
      <c r="AE571" s="80"/>
      <c r="AF571" s="80"/>
      <c r="AG571" s="80"/>
      <c r="AH571" s="83"/>
      <c r="AI571" s="83"/>
      <c r="AJ571" s="84"/>
      <c r="AK571" s="84"/>
      <c r="AL571" s="84"/>
      <c r="AM571" s="84"/>
      <c r="AN571" s="84"/>
      <c r="AO571" s="84"/>
      <c r="AP571" s="84"/>
      <c r="AQ571" s="95" t="s">
        <v>457</v>
      </c>
      <c r="AR571" s="72"/>
      <c r="AS571" s="72"/>
      <c r="AT571" s="72"/>
      <c r="AU571" s="72"/>
      <c r="AV571" s="72"/>
      <c r="AW571" s="72"/>
      <c r="AX571" s="72"/>
      <c r="AY571" s="72"/>
      <c r="AZ571" s="72"/>
      <c r="BA571" s="72"/>
      <c r="BB571" s="16"/>
      <c r="BC571" s="72"/>
      <c r="BD571" s="20"/>
      <c r="BE571" s="352"/>
    </row>
    <row r="572" spans="1:57" s="81" customFormat="1" ht="12.95" hidden="1" customHeight="1">
      <c r="A572" s="348"/>
      <c r="B572" s="350"/>
      <c r="C572" s="248" t="s">
        <v>1281</v>
      </c>
      <c r="D572" s="239" t="s">
        <v>4031</v>
      </c>
      <c r="E572" s="58"/>
      <c r="F572" s="59" t="s">
        <v>4032</v>
      </c>
      <c r="G572" s="191" t="s">
        <v>2511</v>
      </c>
      <c r="H572" s="192" t="s">
        <v>458</v>
      </c>
      <c r="I572" s="61" t="s">
        <v>2511</v>
      </c>
      <c r="J572" s="61" t="s">
        <v>2511</v>
      </c>
      <c r="K572" s="62" t="s">
        <v>2511</v>
      </c>
      <c r="L572" s="60" t="s">
        <v>2511</v>
      </c>
      <c r="M572" s="61" t="s">
        <v>2389</v>
      </c>
      <c r="N572" s="61" t="s">
        <v>2511</v>
      </c>
      <c r="O572" s="61" t="s">
        <v>2511</v>
      </c>
      <c r="P572" s="62" t="s">
        <v>2511</v>
      </c>
      <c r="Q572" s="82"/>
      <c r="R572" s="82"/>
      <c r="S572" s="82"/>
      <c r="T572" s="82"/>
      <c r="U572" s="82"/>
      <c r="V572" s="138" t="s">
        <v>4033</v>
      </c>
      <c r="W572" s="57" t="s">
        <v>3660</v>
      </c>
      <c r="X572" s="126" t="s">
        <v>2511</v>
      </c>
      <c r="Y572" s="126" t="s">
        <v>2511</v>
      </c>
      <c r="Z572" s="57"/>
      <c r="AA572" s="57" t="s">
        <v>3661</v>
      </c>
      <c r="AB572" s="138"/>
      <c r="AC572" s="138" t="s">
        <v>2631</v>
      </c>
      <c r="AD572" s="96"/>
      <c r="AE572" s="80"/>
      <c r="AF572" s="80"/>
      <c r="AG572" s="80"/>
      <c r="AH572" s="83"/>
      <c r="AI572" s="83"/>
      <c r="AJ572" s="84"/>
      <c r="AK572" s="84"/>
      <c r="AL572" s="84"/>
      <c r="AM572" s="84"/>
      <c r="AN572" s="84"/>
      <c r="AO572" s="84"/>
      <c r="AP572" s="84"/>
      <c r="AQ572" s="95" t="s">
        <v>458</v>
      </c>
      <c r="AR572" s="72"/>
      <c r="AS572" s="72"/>
      <c r="AT572" s="72"/>
      <c r="AU572" s="72"/>
      <c r="AV572" s="72"/>
      <c r="AW572" s="72"/>
      <c r="AX572" s="72"/>
      <c r="AY572" s="72"/>
      <c r="AZ572" s="72"/>
      <c r="BA572" s="72"/>
      <c r="BB572" s="16"/>
      <c r="BC572" s="72"/>
      <c r="BD572" s="20"/>
      <c r="BE572" s="352"/>
    </row>
    <row r="573" spans="1:57" s="81" customFormat="1" ht="12.95" hidden="1" customHeight="1">
      <c r="A573" s="348"/>
      <c r="B573" s="350"/>
      <c r="C573" s="248" t="s">
        <v>1282</v>
      </c>
      <c r="D573" s="239" t="s">
        <v>4034</v>
      </c>
      <c r="E573" s="58"/>
      <c r="F573" s="59" t="s">
        <v>4035</v>
      </c>
      <c r="G573" s="191" t="s">
        <v>2511</v>
      </c>
      <c r="H573" s="192" t="s">
        <v>459</v>
      </c>
      <c r="I573" s="61" t="s">
        <v>2511</v>
      </c>
      <c r="J573" s="61" t="s">
        <v>2511</v>
      </c>
      <c r="K573" s="62" t="s">
        <v>2511</v>
      </c>
      <c r="L573" s="60" t="s">
        <v>2511</v>
      </c>
      <c r="M573" s="61" t="s">
        <v>2389</v>
      </c>
      <c r="N573" s="61" t="s">
        <v>2511</v>
      </c>
      <c r="O573" s="61" t="s">
        <v>2511</v>
      </c>
      <c r="P573" s="62" t="s">
        <v>2511</v>
      </c>
      <c r="Q573" s="82"/>
      <c r="R573" s="82"/>
      <c r="S573" s="82"/>
      <c r="T573" s="82"/>
      <c r="U573" s="82"/>
      <c r="V573" s="138" t="s">
        <v>4036</v>
      </c>
      <c r="W573" s="57" t="s">
        <v>3660</v>
      </c>
      <c r="X573" s="126" t="s">
        <v>2511</v>
      </c>
      <c r="Y573" s="126" t="s">
        <v>2511</v>
      </c>
      <c r="Z573" s="57"/>
      <c r="AA573" s="57" t="s">
        <v>3661</v>
      </c>
      <c r="AB573" s="138"/>
      <c r="AC573" s="138" t="s">
        <v>2631</v>
      </c>
      <c r="AD573" s="96"/>
      <c r="AE573" s="80"/>
      <c r="AF573" s="80"/>
      <c r="AG573" s="80"/>
      <c r="AH573" s="83"/>
      <c r="AI573" s="83"/>
      <c r="AJ573" s="84"/>
      <c r="AK573" s="84"/>
      <c r="AL573" s="84"/>
      <c r="AM573" s="84"/>
      <c r="AN573" s="84"/>
      <c r="AO573" s="84"/>
      <c r="AP573" s="84"/>
      <c r="AQ573" s="95" t="s">
        <v>459</v>
      </c>
      <c r="AR573" s="72"/>
      <c r="AS573" s="72"/>
      <c r="AT573" s="72"/>
      <c r="AU573" s="72"/>
      <c r="AV573" s="72"/>
      <c r="AW573" s="72"/>
      <c r="AX573" s="72"/>
      <c r="AY573" s="72"/>
      <c r="AZ573" s="72"/>
      <c r="BA573" s="72"/>
      <c r="BB573" s="16"/>
      <c r="BC573" s="72"/>
      <c r="BD573" s="20"/>
      <c r="BE573" s="352"/>
    </row>
    <row r="574" spans="1:57" s="81" customFormat="1" ht="12.95" hidden="1" customHeight="1">
      <c r="A574" s="348"/>
      <c r="B574" s="350"/>
      <c r="C574" s="248" t="s">
        <v>1283</v>
      </c>
      <c r="D574" s="239" t="s">
        <v>4037</v>
      </c>
      <c r="E574" s="58"/>
      <c r="F574" s="59" t="s">
        <v>4038</v>
      </c>
      <c r="G574" s="191" t="s">
        <v>2511</v>
      </c>
      <c r="H574" s="192" t="s">
        <v>460</v>
      </c>
      <c r="I574" s="61" t="s">
        <v>2511</v>
      </c>
      <c r="J574" s="61" t="s">
        <v>2511</v>
      </c>
      <c r="K574" s="62" t="s">
        <v>2511</v>
      </c>
      <c r="L574" s="60" t="s">
        <v>2511</v>
      </c>
      <c r="M574" s="61" t="s">
        <v>2389</v>
      </c>
      <c r="N574" s="61" t="s">
        <v>2511</v>
      </c>
      <c r="O574" s="61" t="s">
        <v>2511</v>
      </c>
      <c r="P574" s="62" t="s">
        <v>2511</v>
      </c>
      <c r="Q574" s="82"/>
      <c r="R574" s="82"/>
      <c r="S574" s="82"/>
      <c r="T574" s="82"/>
      <c r="U574" s="82"/>
      <c r="V574" s="138" t="s">
        <v>4039</v>
      </c>
      <c r="W574" s="57" t="s">
        <v>3660</v>
      </c>
      <c r="X574" s="126" t="s">
        <v>2511</v>
      </c>
      <c r="Y574" s="126" t="s">
        <v>2511</v>
      </c>
      <c r="Z574" s="57"/>
      <c r="AA574" s="57" t="s">
        <v>3661</v>
      </c>
      <c r="AB574" s="138"/>
      <c r="AC574" s="138" t="s">
        <v>2631</v>
      </c>
      <c r="AD574" s="96"/>
      <c r="AE574" s="80"/>
      <c r="AF574" s="80"/>
      <c r="AG574" s="80"/>
      <c r="AH574" s="83"/>
      <c r="AI574" s="83"/>
      <c r="AJ574" s="84"/>
      <c r="AK574" s="84"/>
      <c r="AL574" s="84"/>
      <c r="AM574" s="84"/>
      <c r="AN574" s="84"/>
      <c r="AO574" s="84"/>
      <c r="AP574" s="84"/>
      <c r="AQ574" s="95" t="s">
        <v>460</v>
      </c>
      <c r="AR574" s="72"/>
      <c r="AS574" s="72"/>
      <c r="AT574" s="72"/>
      <c r="AU574" s="72"/>
      <c r="AV574" s="72"/>
      <c r="AW574" s="72"/>
      <c r="AX574" s="72"/>
      <c r="AY574" s="72"/>
      <c r="AZ574" s="72"/>
      <c r="BA574" s="72"/>
      <c r="BB574" s="16"/>
      <c r="BC574" s="72"/>
      <c r="BD574" s="20"/>
      <c r="BE574" s="352"/>
    </row>
    <row r="575" spans="1:57" s="81" customFormat="1" ht="12.95" hidden="1" customHeight="1">
      <c r="A575" s="348"/>
      <c r="B575" s="350"/>
      <c r="C575" s="248" t="s">
        <v>1284</v>
      </c>
      <c r="D575" s="239" t="s">
        <v>4040</v>
      </c>
      <c r="E575" s="58"/>
      <c r="F575" s="59" t="s">
        <v>4041</v>
      </c>
      <c r="G575" s="191" t="s">
        <v>2511</v>
      </c>
      <c r="H575" s="192" t="s">
        <v>461</v>
      </c>
      <c r="I575" s="61" t="s">
        <v>2511</v>
      </c>
      <c r="J575" s="61" t="s">
        <v>2511</v>
      </c>
      <c r="K575" s="62" t="s">
        <v>2511</v>
      </c>
      <c r="L575" s="60" t="s">
        <v>2511</v>
      </c>
      <c r="M575" s="61" t="s">
        <v>2389</v>
      </c>
      <c r="N575" s="61" t="s">
        <v>2511</v>
      </c>
      <c r="O575" s="61" t="s">
        <v>2511</v>
      </c>
      <c r="P575" s="62" t="s">
        <v>2511</v>
      </c>
      <c r="Q575" s="82"/>
      <c r="R575" s="82"/>
      <c r="S575" s="82"/>
      <c r="T575" s="82"/>
      <c r="U575" s="82"/>
      <c r="V575" s="138" t="s">
        <v>4042</v>
      </c>
      <c r="W575" s="57" t="s">
        <v>3660</v>
      </c>
      <c r="X575" s="126" t="s">
        <v>2511</v>
      </c>
      <c r="Y575" s="126" t="s">
        <v>2511</v>
      </c>
      <c r="Z575" s="57"/>
      <c r="AA575" s="57" t="s">
        <v>3661</v>
      </c>
      <c r="AB575" s="138"/>
      <c r="AC575" s="138" t="s">
        <v>2631</v>
      </c>
      <c r="AD575" s="96"/>
      <c r="AE575" s="80"/>
      <c r="AF575" s="80"/>
      <c r="AG575" s="80"/>
      <c r="AH575" s="83"/>
      <c r="AI575" s="83"/>
      <c r="AJ575" s="84"/>
      <c r="AK575" s="84"/>
      <c r="AL575" s="84"/>
      <c r="AM575" s="84"/>
      <c r="AN575" s="84"/>
      <c r="AO575" s="84"/>
      <c r="AP575" s="84"/>
      <c r="AQ575" s="95" t="s">
        <v>461</v>
      </c>
      <c r="AR575" s="72"/>
      <c r="AS575" s="72"/>
      <c r="AT575" s="72"/>
      <c r="AU575" s="72"/>
      <c r="AV575" s="72"/>
      <c r="AW575" s="72"/>
      <c r="AX575" s="72"/>
      <c r="AY575" s="72"/>
      <c r="AZ575" s="72"/>
      <c r="BA575" s="72"/>
      <c r="BB575" s="16"/>
      <c r="BC575" s="72"/>
      <c r="BD575" s="20"/>
      <c r="BE575" s="352"/>
    </row>
    <row r="576" spans="1:57" s="81" customFormat="1" ht="12.95" hidden="1" customHeight="1">
      <c r="A576" s="348"/>
      <c r="B576" s="350"/>
      <c r="C576" s="248" t="s">
        <v>1285</v>
      </c>
      <c r="D576" s="239" t="s">
        <v>4043</v>
      </c>
      <c r="E576" s="58"/>
      <c r="F576" s="59" t="s">
        <v>4044</v>
      </c>
      <c r="G576" s="191" t="s">
        <v>2511</v>
      </c>
      <c r="H576" s="192" t="s">
        <v>462</v>
      </c>
      <c r="I576" s="61" t="s">
        <v>2511</v>
      </c>
      <c r="J576" s="61" t="s">
        <v>2511</v>
      </c>
      <c r="K576" s="62" t="s">
        <v>2511</v>
      </c>
      <c r="L576" s="60" t="s">
        <v>2511</v>
      </c>
      <c r="M576" s="61" t="s">
        <v>2389</v>
      </c>
      <c r="N576" s="61" t="s">
        <v>2511</v>
      </c>
      <c r="O576" s="61" t="s">
        <v>2511</v>
      </c>
      <c r="P576" s="62" t="s">
        <v>2511</v>
      </c>
      <c r="Q576" s="82"/>
      <c r="R576" s="82"/>
      <c r="S576" s="82"/>
      <c r="T576" s="82"/>
      <c r="U576" s="82"/>
      <c r="V576" s="138" t="s">
        <v>4045</v>
      </c>
      <c r="W576" s="57" t="s">
        <v>3660</v>
      </c>
      <c r="X576" s="126" t="s">
        <v>2511</v>
      </c>
      <c r="Y576" s="126" t="s">
        <v>2511</v>
      </c>
      <c r="Z576" s="57"/>
      <c r="AA576" s="57" t="s">
        <v>3661</v>
      </c>
      <c r="AB576" s="138"/>
      <c r="AC576" s="138" t="s">
        <v>2631</v>
      </c>
      <c r="AD576" s="96"/>
      <c r="AE576" s="80"/>
      <c r="AF576" s="80"/>
      <c r="AG576" s="80"/>
      <c r="AH576" s="83"/>
      <c r="AI576" s="83"/>
      <c r="AJ576" s="84"/>
      <c r="AK576" s="84"/>
      <c r="AL576" s="84"/>
      <c r="AM576" s="84"/>
      <c r="AN576" s="84"/>
      <c r="AO576" s="84"/>
      <c r="AP576" s="84"/>
      <c r="AQ576" s="95" t="s">
        <v>462</v>
      </c>
      <c r="AR576" s="72"/>
      <c r="AS576" s="72"/>
      <c r="AT576" s="72"/>
      <c r="AU576" s="72"/>
      <c r="AV576" s="72"/>
      <c r="AW576" s="72"/>
      <c r="AX576" s="72"/>
      <c r="AY576" s="72"/>
      <c r="AZ576" s="72"/>
      <c r="BA576" s="72"/>
      <c r="BB576" s="16"/>
      <c r="BC576" s="72"/>
      <c r="BD576" s="20"/>
      <c r="BE576" s="352"/>
    </row>
    <row r="577" spans="1:57" s="81" customFormat="1" ht="12.95" hidden="1" customHeight="1">
      <c r="A577" s="348"/>
      <c r="B577" s="350"/>
      <c r="C577" s="270" t="s">
        <v>1286</v>
      </c>
      <c r="D577" s="239" t="s">
        <v>4046</v>
      </c>
      <c r="E577" s="58"/>
      <c r="F577" s="59" t="s">
        <v>4047</v>
      </c>
      <c r="G577" s="191" t="s">
        <v>2511</v>
      </c>
      <c r="H577" s="192" t="s">
        <v>463</v>
      </c>
      <c r="I577" s="61" t="s">
        <v>2511</v>
      </c>
      <c r="J577" s="61" t="s">
        <v>2511</v>
      </c>
      <c r="K577" s="62" t="s">
        <v>2511</v>
      </c>
      <c r="L577" s="60" t="s">
        <v>2511</v>
      </c>
      <c r="M577" s="61" t="s">
        <v>2389</v>
      </c>
      <c r="N577" s="61" t="s">
        <v>2511</v>
      </c>
      <c r="O577" s="61" t="s">
        <v>2511</v>
      </c>
      <c r="P577" s="62" t="s">
        <v>2511</v>
      </c>
      <c r="Q577" s="82"/>
      <c r="R577" s="82"/>
      <c r="S577" s="82"/>
      <c r="T577" s="82"/>
      <c r="U577" s="82"/>
      <c r="V577" s="138" t="s">
        <v>4048</v>
      </c>
      <c r="W577" s="57" t="s">
        <v>3660</v>
      </c>
      <c r="X577" s="126" t="s">
        <v>2511</v>
      </c>
      <c r="Y577" s="126" t="s">
        <v>2511</v>
      </c>
      <c r="Z577" s="57"/>
      <c r="AA577" s="57" t="s">
        <v>3661</v>
      </c>
      <c r="AB577" s="138"/>
      <c r="AC577" s="138" t="s">
        <v>2631</v>
      </c>
      <c r="AD577" s="96"/>
      <c r="AE577" s="80"/>
      <c r="AF577" s="80"/>
      <c r="AG577" s="80"/>
      <c r="AH577" s="83"/>
      <c r="AI577" s="83"/>
      <c r="AJ577" s="84"/>
      <c r="AK577" s="84"/>
      <c r="AL577" s="84"/>
      <c r="AM577" s="84"/>
      <c r="AN577" s="84"/>
      <c r="AO577" s="84"/>
      <c r="AP577" s="84"/>
      <c r="AQ577" s="95" t="s">
        <v>463</v>
      </c>
      <c r="AR577" s="72"/>
      <c r="AS577" s="72"/>
      <c r="AT577" s="72"/>
      <c r="AU577" s="72"/>
      <c r="AV577" s="72"/>
      <c r="AW577" s="72"/>
      <c r="AX577" s="72"/>
      <c r="AY577" s="72"/>
      <c r="AZ577" s="72"/>
      <c r="BA577" s="72"/>
      <c r="BB577" s="16"/>
      <c r="BC577" s="72"/>
      <c r="BD577" s="20"/>
      <c r="BE577" s="352"/>
    </row>
    <row r="578" spans="1:57" s="81" customFormat="1" ht="12.95" hidden="1" customHeight="1">
      <c r="A578" s="348"/>
      <c r="B578" s="350"/>
      <c r="C578" s="270" t="s">
        <v>1287</v>
      </c>
      <c r="D578" s="239" t="s">
        <v>4049</v>
      </c>
      <c r="E578" s="58"/>
      <c r="F578" s="59" t="s">
        <v>4050</v>
      </c>
      <c r="G578" s="191" t="s">
        <v>2511</v>
      </c>
      <c r="H578" s="192" t="s">
        <v>464</v>
      </c>
      <c r="I578" s="61" t="s">
        <v>2511</v>
      </c>
      <c r="J578" s="61" t="s">
        <v>2511</v>
      </c>
      <c r="K578" s="62" t="s">
        <v>2511</v>
      </c>
      <c r="L578" s="60" t="s">
        <v>2511</v>
      </c>
      <c r="M578" s="61" t="s">
        <v>2389</v>
      </c>
      <c r="N578" s="61" t="s">
        <v>2511</v>
      </c>
      <c r="O578" s="61" t="s">
        <v>2511</v>
      </c>
      <c r="P578" s="62" t="s">
        <v>2511</v>
      </c>
      <c r="Q578" s="82"/>
      <c r="R578" s="82"/>
      <c r="S578" s="82"/>
      <c r="T578" s="82"/>
      <c r="U578" s="82"/>
      <c r="V578" s="138" t="s">
        <v>4051</v>
      </c>
      <c r="W578" s="57" t="s">
        <v>3660</v>
      </c>
      <c r="X578" s="126" t="s">
        <v>2511</v>
      </c>
      <c r="Y578" s="126" t="s">
        <v>2511</v>
      </c>
      <c r="Z578" s="57"/>
      <c r="AA578" s="57" t="s">
        <v>3661</v>
      </c>
      <c r="AB578" s="138"/>
      <c r="AC578" s="138" t="s">
        <v>2631</v>
      </c>
      <c r="AD578" s="96"/>
      <c r="AE578" s="80"/>
      <c r="AF578" s="80"/>
      <c r="AG578" s="80"/>
      <c r="AH578" s="83"/>
      <c r="AI578" s="83"/>
      <c r="AJ578" s="84"/>
      <c r="AK578" s="84"/>
      <c r="AL578" s="84"/>
      <c r="AM578" s="84"/>
      <c r="AN578" s="84"/>
      <c r="AO578" s="84"/>
      <c r="AP578" s="84"/>
      <c r="AQ578" s="95" t="s">
        <v>464</v>
      </c>
      <c r="AR578" s="72"/>
      <c r="AS578" s="72"/>
      <c r="AT578" s="72"/>
      <c r="AU578" s="72"/>
      <c r="AV578" s="72"/>
      <c r="AW578" s="72"/>
      <c r="AX578" s="72"/>
      <c r="AY578" s="72"/>
      <c r="AZ578" s="72"/>
      <c r="BA578" s="72"/>
      <c r="BB578" s="16"/>
      <c r="BC578" s="72"/>
      <c r="BD578" s="20"/>
      <c r="BE578" s="352"/>
    </row>
    <row r="579" spans="1:57" s="81" customFormat="1" ht="12.95" hidden="1" customHeight="1">
      <c r="A579" s="348"/>
      <c r="B579" s="350"/>
      <c r="C579" s="248" t="s">
        <v>1288</v>
      </c>
      <c r="D579" s="239" t="s">
        <v>4052</v>
      </c>
      <c r="E579" s="58"/>
      <c r="F579" s="59" t="s">
        <v>4053</v>
      </c>
      <c r="G579" s="191" t="s">
        <v>2511</v>
      </c>
      <c r="H579" s="192" t="s">
        <v>465</v>
      </c>
      <c r="I579" s="61" t="s">
        <v>2511</v>
      </c>
      <c r="J579" s="61" t="s">
        <v>2511</v>
      </c>
      <c r="K579" s="62" t="s">
        <v>2511</v>
      </c>
      <c r="L579" s="60" t="s">
        <v>2511</v>
      </c>
      <c r="M579" s="61" t="s">
        <v>2389</v>
      </c>
      <c r="N579" s="61" t="s">
        <v>2511</v>
      </c>
      <c r="O579" s="61" t="s">
        <v>2511</v>
      </c>
      <c r="P579" s="62" t="s">
        <v>2511</v>
      </c>
      <c r="Q579" s="82"/>
      <c r="R579" s="82"/>
      <c r="S579" s="82"/>
      <c r="T579" s="82"/>
      <c r="U579" s="82"/>
      <c r="V579" s="138" t="s">
        <v>4054</v>
      </c>
      <c r="W579" s="57" t="s">
        <v>3660</v>
      </c>
      <c r="X579" s="126" t="s">
        <v>2511</v>
      </c>
      <c r="Y579" s="126" t="s">
        <v>2511</v>
      </c>
      <c r="Z579" s="57"/>
      <c r="AA579" s="57" t="s">
        <v>3661</v>
      </c>
      <c r="AB579" s="138"/>
      <c r="AC579" s="138">
        <v>0</v>
      </c>
      <c r="AD579" s="96"/>
      <c r="AE579" s="80"/>
      <c r="AF579" s="80"/>
      <c r="AG579" s="80"/>
      <c r="AH579" s="83"/>
      <c r="AI579" s="83"/>
      <c r="AJ579" s="84"/>
      <c r="AK579" s="84"/>
      <c r="AL579" s="84"/>
      <c r="AM579" s="84"/>
      <c r="AN579" s="84"/>
      <c r="AO579" s="84"/>
      <c r="AP579" s="84"/>
      <c r="AQ579" s="95" t="s">
        <v>465</v>
      </c>
      <c r="AR579" s="72"/>
      <c r="AS579" s="72"/>
      <c r="AT579" s="72"/>
      <c r="AU579" s="72"/>
      <c r="AV579" s="72"/>
      <c r="AW579" s="72"/>
      <c r="AX579" s="72"/>
      <c r="AY579" s="72"/>
      <c r="AZ579" s="72"/>
      <c r="BA579" s="72"/>
      <c r="BB579" s="16"/>
      <c r="BC579" s="72"/>
      <c r="BD579" s="20"/>
      <c r="BE579" s="352"/>
    </row>
    <row r="580" spans="1:57" s="81" customFormat="1" ht="12.95" hidden="1" customHeight="1">
      <c r="A580" s="348"/>
      <c r="B580" s="350"/>
      <c r="C580" s="248" t="s">
        <v>1289</v>
      </c>
      <c r="D580" s="239" t="s">
        <v>4055</v>
      </c>
      <c r="E580" s="58"/>
      <c r="F580" s="59" t="s">
        <v>4056</v>
      </c>
      <c r="G580" s="191" t="s">
        <v>2511</v>
      </c>
      <c r="H580" s="192" t="s">
        <v>466</v>
      </c>
      <c r="I580" s="61" t="s">
        <v>2511</v>
      </c>
      <c r="J580" s="61" t="s">
        <v>2511</v>
      </c>
      <c r="K580" s="62" t="s">
        <v>2511</v>
      </c>
      <c r="L580" s="60" t="s">
        <v>2511</v>
      </c>
      <c r="M580" s="61" t="s">
        <v>2389</v>
      </c>
      <c r="N580" s="61" t="s">
        <v>2511</v>
      </c>
      <c r="O580" s="61" t="s">
        <v>2511</v>
      </c>
      <c r="P580" s="62" t="s">
        <v>2511</v>
      </c>
      <c r="Q580" s="82"/>
      <c r="R580" s="82"/>
      <c r="S580" s="82"/>
      <c r="T580" s="82"/>
      <c r="U580" s="82"/>
      <c r="V580" s="138" t="s">
        <v>4057</v>
      </c>
      <c r="W580" s="57" t="s">
        <v>3660</v>
      </c>
      <c r="X580" s="126" t="s">
        <v>2511</v>
      </c>
      <c r="Y580" s="126" t="s">
        <v>2511</v>
      </c>
      <c r="Z580" s="57"/>
      <c r="AA580" s="57" t="s">
        <v>3661</v>
      </c>
      <c r="AB580" s="138"/>
      <c r="AC580" s="138" t="s">
        <v>2631</v>
      </c>
      <c r="AD580" s="96"/>
      <c r="AE580" s="80"/>
      <c r="AF580" s="80"/>
      <c r="AG580" s="80"/>
      <c r="AH580" s="83"/>
      <c r="AI580" s="83"/>
      <c r="AJ580" s="84"/>
      <c r="AK580" s="84"/>
      <c r="AL580" s="84"/>
      <c r="AM580" s="84"/>
      <c r="AN580" s="84"/>
      <c r="AO580" s="84"/>
      <c r="AP580" s="84"/>
      <c r="AQ580" s="95" t="s">
        <v>466</v>
      </c>
      <c r="AR580" s="72"/>
      <c r="AS580" s="72"/>
      <c r="AT580" s="72"/>
      <c r="AU580" s="72"/>
      <c r="AV580" s="72"/>
      <c r="AW580" s="72"/>
      <c r="AX580" s="72"/>
      <c r="AY580" s="72"/>
      <c r="AZ580" s="72"/>
      <c r="BA580" s="72"/>
      <c r="BB580" s="16"/>
      <c r="BC580" s="72"/>
      <c r="BD580" s="20"/>
      <c r="BE580" s="352"/>
    </row>
    <row r="581" spans="1:57" s="81" customFormat="1" ht="12.95" hidden="1" customHeight="1">
      <c r="A581" s="348"/>
      <c r="B581" s="350"/>
      <c r="C581" s="248" t="s">
        <v>1290</v>
      </c>
      <c r="D581" s="239" t="s">
        <v>4058</v>
      </c>
      <c r="E581" s="58"/>
      <c r="F581" s="59" t="s">
        <v>4059</v>
      </c>
      <c r="G581" s="191" t="s">
        <v>2511</v>
      </c>
      <c r="H581" s="192" t="s">
        <v>467</v>
      </c>
      <c r="I581" s="61" t="s">
        <v>2511</v>
      </c>
      <c r="J581" s="61" t="s">
        <v>2511</v>
      </c>
      <c r="K581" s="62" t="s">
        <v>2511</v>
      </c>
      <c r="L581" s="60" t="s">
        <v>2511</v>
      </c>
      <c r="M581" s="61" t="s">
        <v>2389</v>
      </c>
      <c r="N581" s="61" t="s">
        <v>2511</v>
      </c>
      <c r="O581" s="61" t="s">
        <v>2511</v>
      </c>
      <c r="P581" s="62" t="s">
        <v>2511</v>
      </c>
      <c r="Q581" s="82"/>
      <c r="R581" s="82"/>
      <c r="S581" s="82"/>
      <c r="T581" s="82"/>
      <c r="U581" s="82"/>
      <c r="V581" s="138" t="s">
        <v>4060</v>
      </c>
      <c r="W581" s="57" t="s">
        <v>3660</v>
      </c>
      <c r="X581" s="126" t="s">
        <v>2511</v>
      </c>
      <c r="Y581" s="126" t="s">
        <v>2511</v>
      </c>
      <c r="Z581" s="57"/>
      <c r="AA581" s="57" t="s">
        <v>3661</v>
      </c>
      <c r="AB581" s="138"/>
      <c r="AC581" s="138" t="s">
        <v>2631</v>
      </c>
      <c r="AD581" s="96"/>
      <c r="AE581" s="80"/>
      <c r="AF581" s="80"/>
      <c r="AG581" s="80"/>
      <c r="AH581" s="83"/>
      <c r="AI581" s="83"/>
      <c r="AJ581" s="84"/>
      <c r="AK581" s="84"/>
      <c r="AL581" s="84"/>
      <c r="AM581" s="84"/>
      <c r="AN581" s="84"/>
      <c r="AO581" s="84"/>
      <c r="AP581" s="84"/>
      <c r="AQ581" s="95" t="s">
        <v>467</v>
      </c>
      <c r="AR581" s="72"/>
      <c r="AS581" s="72"/>
      <c r="AT581" s="72"/>
      <c r="AU581" s="72"/>
      <c r="AV581" s="72"/>
      <c r="AW581" s="72"/>
      <c r="AX581" s="72"/>
      <c r="AY581" s="72"/>
      <c r="AZ581" s="72"/>
      <c r="BA581" s="72"/>
      <c r="BB581" s="16"/>
      <c r="BC581" s="72"/>
      <c r="BD581" s="20"/>
      <c r="BE581" s="352"/>
    </row>
    <row r="582" spans="1:57" s="81" customFormat="1" ht="12.95" hidden="1" customHeight="1">
      <c r="A582" s="348"/>
      <c r="B582" s="350"/>
      <c r="C582" s="248" t="s">
        <v>1291</v>
      </c>
      <c r="D582" s="239" t="s">
        <v>4061</v>
      </c>
      <c r="E582" s="58"/>
      <c r="F582" s="59" t="s">
        <v>4062</v>
      </c>
      <c r="G582" s="191" t="s">
        <v>2511</v>
      </c>
      <c r="H582" s="192" t="s">
        <v>468</v>
      </c>
      <c r="I582" s="61" t="s">
        <v>2511</v>
      </c>
      <c r="J582" s="61" t="s">
        <v>2511</v>
      </c>
      <c r="K582" s="62" t="s">
        <v>2511</v>
      </c>
      <c r="L582" s="60" t="s">
        <v>2511</v>
      </c>
      <c r="M582" s="61" t="s">
        <v>2389</v>
      </c>
      <c r="N582" s="61" t="s">
        <v>2511</v>
      </c>
      <c r="O582" s="61" t="s">
        <v>2511</v>
      </c>
      <c r="P582" s="62" t="s">
        <v>2511</v>
      </c>
      <c r="Q582" s="82"/>
      <c r="R582" s="82"/>
      <c r="S582" s="82"/>
      <c r="T582" s="82"/>
      <c r="U582" s="82"/>
      <c r="V582" s="138" t="s">
        <v>4063</v>
      </c>
      <c r="W582" s="57" t="s">
        <v>3660</v>
      </c>
      <c r="X582" s="126" t="s">
        <v>2511</v>
      </c>
      <c r="Y582" s="126" t="s">
        <v>2511</v>
      </c>
      <c r="Z582" s="57"/>
      <c r="AA582" s="57" t="s">
        <v>3661</v>
      </c>
      <c r="AB582" s="138"/>
      <c r="AC582" s="138" t="s">
        <v>2631</v>
      </c>
      <c r="AD582" s="96"/>
      <c r="AE582" s="80"/>
      <c r="AF582" s="80"/>
      <c r="AG582" s="80"/>
      <c r="AH582" s="83"/>
      <c r="AI582" s="83"/>
      <c r="AJ582" s="84"/>
      <c r="AK582" s="84"/>
      <c r="AL582" s="84"/>
      <c r="AM582" s="84"/>
      <c r="AN582" s="84"/>
      <c r="AO582" s="84"/>
      <c r="AP582" s="84"/>
      <c r="AQ582" s="95" t="s">
        <v>468</v>
      </c>
      <c r="AR582" s="72"/>
      <c r="AS582" s="72"/>
      <c r="AT582" s="72"/>
      <c r="AU582" s="72"/>
      <c r="AV582" s="72"/>
      <c r="AW582" s="72"/>
      <c r="AX582" s="72"/>
      <c r="AY582" s="72"/>
      <c r="AZ582" s="72"/>
      <c r="BA582" s="72"/>
      <c r="BB582" s="16"/>
      <c r="BC582" s="72"/>
      <c r="BD582" s="20"/>
      <c r="BE582" s="352"/>
    </row>
    <row r="583" spans="1:57" s="81" customFormat="1" ht="12.95" hidden="1" customHeight="1">
      <c r="A583" s="348"/>
      <c r="B583" s="350"/>
      <c r="C583" s="248" t="s">
        <v>1292</v>
      </c>
      <c r="D583" s="239" t="s">
        <v>4064</v>
      </c>
      <c r="E583" s="58"/>
      <c r="F583" s="59" t="s">
        <v>4065</v>
      </c>
      <c r="G583" s="191" t="s">
        <v>2511</v>
      </c>
      <c r="H583" s="192" t="s">
        <v>469</v>
      </c>
      <c r="I583" s="61" t="s">
        <v>2511</v>
      </c>
      <c r="J583" s="61" t="s">
        <v>2511</v>
      </c>
      <c r="K583" s="62" t="s">
        <v>2511</v>
      </c>
      <c r="L583" s="60" t="s">
        <v>2511</v>
      </c>
      <c r="M583" s="61" t="s">
        <v>2389</v>
      </c>
      <c r="N583" s="61" t="s">
        <v>2511</v>
      </c>
      <c r="O583" s="61" t="s">
        <v>2511</v>
      </c>
      <c r="P583" s="62" t="s">
        <v>2511</v>
      </c>
      <c r="Q583" s="82"/>
      <c r="R583" s="82"/>
      <c r="S583" s="82"/>
      <c r="T583" s="82"/>
      <c r="U583" s="82"/>
      <c r="V583" s="138" t="s">
        <v>4066</v>
      </c>
      <c r="W583" s="57" t="s">
        <v>3660</v>
      </c>
      <c r="X583" s="126" t="s">
        <v>2511</v>
      </c>
      <c r="Y583" s="126" t="s">
        <v>2511</v>
      </c>
      <c r="Z583" s="57"/>
      <c r="AA583" s="57" t="s">
        <v>3661</v>
      </c>
      <c r="AB583" s="138"/>
      <c r="AC583" s="138" t="s">
        <v>2631</v>
      </c>
      <c r="AD583" s="96"/>
      <c r="AE583" s="80"/>
      <c r="AF583" s="80"/>
      <c r="AG583" s="80"/>
      <c r="AH583" s="83"/>
      <c r="AI583" s="83"/>
      <c r="AJ583" s="84"/>
      <c r="AK583" s="84"/>
      <c r="AL583" s="84"/>
      <c r="AM583" s="84"/>
      <c r="AN583" s="84"/>
      <c r="AO583" s="84"/>
      <c r="AP583" s="84"/>
      <c r="AQ583" s="95" t="s">
        <v>469</v>
      </c>
      <c r="AR583" s="72"/>
      <c r="AS583" s="72"/>
      <c r="AT583" s="72"/>
      <c r="AU583" s="72"/>
      <c r="AV583" s="72"/>
      <c r="AW583" s="72"/>
      <c r="AX583" s="72"/>
      <c r="AY583" s="72"/>
      <c r="AZ583" s="72"/>
      <c r="BA583" s="72"/>
      <c r="BB583" s="16"/>
      <c r="BC583" s="72"/>
      <c r="BD583" s="20"/>
      <c r="BE583" s="352"/>
    </row>
    <row r="584" spans="1:57" s="81" customFormat="1" ht="12.95" hidden="1" customHeight="1">
      <c r="A584" s="348"/>
      <c r="B584" s="350"/>
      <c r="C584" s="248" t="s">
        <v>1293</v>
      </c>
      <c r="D584" s="239" t="s">
        <v>4067</v>
      </c>
      <c r="E584" s="58"/>
      <c r="F584" s="59" t="s">
        <v>4068</v>
      </c>
      <c r="G584" s="191" t="s">
        <v>2511</v>
      </c>
      <c r="H584" s="192" t="s">
        <v>470</v>
      </c>
      <c r="I584" s="61" t="s">
        <v>2511</v>
      </c>
      <c r="J584" s="61" t="s">
        <v>2511</v>
      </c>
      <c r="K584" s="62" t="s">
        <v>2511</v>
      </c>
      <c r="L584" s="60" t="s">
        <v>2511</v>
      </c>
      <c r="M584" s="61" t="s">
        <v>2389</v>
      </c>
      <c r="N584" s="61" t="s">
        <v>2511</v>
      </c>
      <c r="O584" s="61" t="s">
        <v>2511</v>
      </c>
      <c r="P584" s="62" t="s">
        <v>2511</v>
      </c>
      <c r="Q584" s="82"/>
      <c r="R584" s="82"/>
      <c r="S584" s="82"/>
      <c r="T584" s="82"/>
      <c r="U584" s="82"/>
      <c r="V584" s="138" t="s">
        <v>4069</v>
      </c>
      <c r="W584" s="57" t="s">
        <v>3660</v>
      </c>
      <c r="X584" s="126" t="s">
        <v>2511</v>
      </c>
      <c r="Y584" s="126" t="s">
        <v>2511</v>
      </c>
      <c r="Z584" s="57"/>
      <c r="AA584" s="57" t="s">
        <v>3661</v>
      </c>
      <c r="AB584" s="138"/>
      <c r="AC584" s="138" t="s">
        <v>2631</v>
      </c>
      <c r="AD584" s="96"/>
      <c r="AE584" s="80"/>
      <c r="AF584" s="80"/>
      <c r="AG584" s="80"/>
      <c r="AH584" s="83"/>
      <c r="AI584" s="83"/>
      <c r="AJ584" s="84"/>
      <c r="AK584" s="84"/>
      <c r="AL584" s="84"/>
      <c r="AM584" s="84"/>
      <c r="AN584" s="84"/>
      <c r="AO584" s="84"/>
      <c r="AP584" s="84"/>
      <c r="AQ584" s="95" t="s">
        <v>470</v>
      </c>
      <c r="AR584" s="72"/>
      <c r="AS584" s="72"/>
      <c r="AT584" s="72"/>
      <c r="AU584" s="72"/>
      <c r="AV584" s="72"/>
      <c r="AW584" s="72"/>
      <c r="AX584" s="72"/>
      <c r="AY584" s="72"/>
      <c r="AZ584" s="72"/>
      <c r="BA584" s="72"/>
      <c r="BB584" s="16"/>
      <c r="BC584" s="72"/>
      <c r="BD584" s="20"/>
      <c r="BE584" s="352"/>
    </row>
    <row r="585" spans="1:57" s="81" customFormat="1" ht="12.95" hidden="1" customHeight="1">
      <c r="A585" s="348"/>
      <c r="B585" s="350"/>
      <c r="C585" s="248" t="s">
        <v>1294</v>
      </c>
      <c r="D585" s="239" t="s">
        <v>4070</v>
      </c>
      <c r="E585" s="58"/>
      <c r="F585" s="59" t="s">
        <v>4071</v>
      </c>
      <c r="G585" s="191" t="s">
        <v>2511</v>
      </c>
      <c r="H585" s="192" t="s">
        <v>471</v>
      </c>
      <c r="I585" s="61" t="s">
        <v>2511</v>
      </c>
      <c r="J585" s="61" t="s">
        <v>2511</v>
      </c>
      <c r="K585" s="62" t="s">
        <v>2511</v>
      </c>
      <c r="L585" s="60" t="s">
        <v>2511</v>
      </c>
      <c r="M585" s="61" t="s">
        <v>2389</v>
      </c>
      <c r="N585" s="61" t="s">
        <v>2511</v>
      </c>
      <c r="O585" s="61" t="s">
        <v>2511</v>
      </c>
      <c r="P585" s="62" t="s">
        <v>2511</v>
      </c>
      <c r="Q585" s="82"/>
      <c r="R585" s="82"/>
      <c r="S585" s="82"/>
      <c r="T585" s="82"/>
      <c r="U585" s="82"/>
      <c r="V585" s="138" t="s">
        <v>4072</v>
      </c>
      <c r="W585" s="57" t="s">
        <v>3660</v>
      </c>
      <c r="X585" s="126" t="s">
        <v>2511</v>
      </c>
      <c r="Y585" s="126" t="s">
        <v>2511</v>
      </c>
      <c r="Z585" s="57"/>
      <c r="AA585" s="57" t="s">
        <v>3661</v>
      </c>
      <c r="AB585" s="138"/>
      <c r="AC585" s="138" t="s">
        <v>2631</v>
      </c>
      <c r="AD585" s="96"/>
      <c r="AE585" s="80"/>
      <c r="AF585" s="80"/>
      <c r="AG585" s="80"/>
      <c r="AH585" s="83"/>
      <c r="AI585" s="83"/>
      <c r="AJ585" s="84"/>
      <c r="AK585" s="84"/>
      <c r="AL585" s="84"/>
      <c r="AM585" s="84"/>
      <c r="AN585" s="84"/>
      <c r="AO585" s="84"/>
      <c r="AP585" s="84"/>
      <c r="AQ585" s="95" t="s">
        <v>471</v>
      </c>
      <c r="AR585" s="72"/>
      <c r="AS585" s="72"/>
      <c r="AT585" s="72"/>
      <c r="AU585" s="72"/>
      <c r="AV585" s="72"/>
      <c r="AW585" s="72"/>
      <c r="AX585" s="72"/>
      <c r="AY585" s="72"/>
      <c r="AZ585" s="72"/>
      <c r="BA585" s="72"/>
      <c r="BB585" s="16"/>
      <c r="BC585" s="72"/>
      <c r="BD585" s="20"/>
      <c r="BE585" s="352"/>
    </row>
    <row r="586" spans="1:57" s="81" customFormat="1" ht="12.95" hidden="1" customHeight="1">
      <c r="A586" s="348"/>
      <c r="B586" s="350"/>
      <c r="C586" s="248" t="s">
        <v>1295</v>
      </c>
      <c r="D586" s="239" t="s">
        <v>4073</v>
      </c>
      <c r="E586" s="58"/>
      <c r="F586" s="59" t="s">
        <v>4074</v>
      </c>
      <c r="G586" s="191" t="s">
        <v>2511</v>
      </c>
      <c r="H586" s="192" t="s">
        <v>472</v>
      </c>
      <c r="I586" s="61" t="s">
        <v>2511</v>
      </c>
      <c r="J586" s="61" t="s">
        <v>2511</v>
      </c>
      <c r="K586" s="62" t="s">
        <v>2511</v>
      </c>
      <c r="L586" s="60" t="s">
        <v>2511</v>
      </c>
      <c r="M586" s="61" t="s">
        <v>2389</v>
      </c>
      <c r="N586" s="61" t="s">
        <v>2511</v>
      </c>
      <c r="O586" s="61" t="s">
        <v>2511</v>
      </c>
      <c r="P586" s="62" t="s">
        <v>2511</v>
      </c>
      <c r="Q586" s="82"/>
      <c r="R586" s="82"/>
      <c r="S586" s="82"/>
      <c r="T586" s="82"/>
      <c r="U586" s="82"/>
      <c r="V586" s="138" t="s">
        <v>4075</v>
      </c>
      <c r="W586" s="57" t="s">
        <v>3660</v>
      </c>
      <c r="X586" s="126" t="s">
        <v>2511</v>
      </c>
      <c r="Y586" s="126" t="s">
        <v>2511</v>
      </c>
      <c r="Z586" s="57"/>
      <c r="AA586" s="57" t="s">
        <v>3661</v>
      </c>
      <c r="AB586" s="138"/>
      <c r="AC586" s="138" t="s">
        <v>2631</v>
      </c>
      <c r="AD586" s="96"/>
      <c r="AE586" s="80"/>
      <c r="AF586" s="80"/>
      <c r="AG586" s="80"/>
      <c r="AH586" s="83"/>
      <c r="AI586" s="83"/>
      <c r="AJ586" s="84"/>
      <c r="AK586" s="84"/>
      <c r="AL586" s="84"/>
      <c r="AM586" s="84"/>
      <c r="AN586" s="84"/>
      <c r="AO586" s="84"/>
      <c r="AP586" s="84"/>
      <c r="AQ586" s="95" t="s">
        <v>472</v>
      </c>
      <c r="AR586" s="72"/>
      <c r="AS586" s="72"/>
      <c r="AT586" s="72"/>
      <c r="AU586" s="72"/>
      <c r="AV586" s="72"/>
      <c r="AW586" s="72"/>
      <c r="AX586" s="72"/>
      <c r="AY586" s="72"/>
      <c r="AZ586" s="72"/>
      <c r="BA586" s="72"/>
      <c r="BB586" s="16"/>
      <c r="BC586" s="72"/>
      <c r="BD586" s="20"/>
      <c r="BE586" s="352"/>
    </row>
    <row r="587" spans="1:57" s="81" customFormat="1" ht="12.95" hidden="1" customHeight="1">
      <c r="A587" s="348"/>
      <c r="B587" s="350"/>
      <c r="C587" s="248" t="s">
        <v>1296</v>
      </c>
      <c r="D587" s="239" t="s">
        <v>4076</v>
      </c>
      <c r="E587" s="58"/>
      <c r="F587" s="59" t="s">
        <v>4077</v>
      </c>
      <c r="G587" s="191" t="s">
        <v>2511</v>
      </c>
      <c r="H587" s="192" t="s">
        <v>473</v>
      </c>
      <c r="I587" s="61" t="s">
        <v>2511</v>
      </c>
      <c r="J587" s="61" t="s">
        <v>2511</v>
      </c>
      <c r="K587" s="62" t="s">
        <v>2511</v>
      </c>
      <c r="L587" s="60" t="s">
        <v>2511</v>
      </c>
      <c r="M587" s="61" t="s">
        <v>2389</v>
      </c>
      <c r="N587" s="61" t="s">
        <v>2511</v>
      </c>
      <c r="O587" s="61" t="s">
        <v>2511</v>
      </c>
      <c r="P587" s="62" t="s">
        <v>2511</v>
      </c>
      <c r="Q587" s="82"/>
      <c r="R587" s="82"/>
      <c r="S587" s="82"/>
      <c r="T587" s="82"/>
      <c r="U587" s="82"/>
      <c r="V587" s="138" t="s">
        <v>4078</v>
      </c>
      <c r="W587" s="57" t="s">
        <v>3660</v>
      </c>
      <c r="X587" s="126" t="s">
        <v>2511</v>
      </c>
      <c r="Y587" s="126" t="s">
        <v>2511</v>
      </c>
      <c r="Z587" s="57"/>
      <c r="AA587" s="57" t="s">
        <v>3661</v>
      </c>
      <c r="AB587" s="138"/>
      <c r="AC587" s="138" t="s">
        <v>2631</v>
      </c>
      <c r="AD587" s="96"/>
      <c r="AE587" s="80"/>
      <c r="AF587" s="80"/>
      <c r="AG587" s="80"/>
      <c r="AH587" s="83"/>
      <c r="AI587" s="83"/>
      <c r="AJ587" s="84"/>
      <c r="AK587" s="84"/>
      <c r="AL587" s="84"/>
      <c r="AM587" s="84"/>
      <c r="AN587" s="84"/>
      <c r="AO587" s="84"/>
      <c r="AP587" s="84"/>
      <c r="AQ587" s="95" t="s">
        <v>473</v>
      </c>
      <c r="AR587" s="72"/>
      <c r="AS587" s="72"/>
      <c r="AT587" s="72"/>
      <c r="AU587" s="72"/>
      <c r="AV587" s="72"/>
      <c r="AW587" s="72"/>
      <c r="AX587" s="72"/>
      <c r="AY587" s="72"/>
      <c r="AZ587" s="72"/>
      <c r="BA587" s="72"/>
      <c r="BB587" s="16"/>
      <c r="BC587" s="72"/>
      <c r="BD587" s="20"/>
      <c r="BE587" s="352"/>
    </row>
    <row r="588" spans="1:57" s="81" customFormat="1" ht="12.95" hidden="1" customHeight="1">
      <c r="A588" s="348"/>
      <c r="B588" s="350"/>
      <c r="C588" s="248" t="s">
        <v>1297</v>
      </c>
      <c r="D588" s="239" t="s">
        <v>4079</v>
      </c>
      <c r="E588" s="58"/>
      <c r="F588" s="59" t="s">
        <v>4080</v>
      </c>
      <c r="G588" s="191" t="s">
        <v>2511</v>
      </c>
      <c r="H588" s="192" t="s">
        <v>474</v>
      </c>
      <c r="I588" s="61" t="s">
        <v>2511</v>
      </c>
      <c r="J588" s="61" t="s">
        <v>2511</v>
      </c>
      <c r="K588" s="62" t="s">
        <v>2511</v>
      </c>
      <c r="L588" s="60" t="s">
        <v>2511</v>
      </c>
      <c r="M588" s="61" t="s">
        <v>2389</v>
      </c>
      <c r="N588" s="61" t="s">
        <v>2511</v>
      </c>
      <c r="O588" s="61" t="s">
        <v>2511</v>
      </c>
      <c r="P588" s="62" t="s">
        <v>2511</v>
      </c>
      <c r="Q588" s="82"/>
      <c r="R588" s="82"/>
      <c r="S588" s="82"/>
      <c r="T588" s="82"/>
      <c r="U588" s="82"/>
      <c r="V588" s="138" t="s">
        <v>4081</v>
      </c>
      <c r="W588" s="57" t="s">
        <v>3660</v>
      </c>
      <c r="X588" s="126" t="s">
        <v>2511</v>
      </c>
      <c r="Y588" s="126" t="s">
        <v>2511</v>
      </c>
      <c r="Z588" s="57"/>
      <c r="AA588" s="57" t="s">
        <v>3661</v>
      </c>
      <c r="AB588" s="138"/>
      <c r="AC588" s="138" t="s">
        <v>2631</v>
      </c>
      <c r="AD588" s="96"/>
      <c r="AE588" s="80"/>
      <c r="AF588" s="80"/>
      <c r="AG588" s="80"/>
      <c r="AH588" s="83"/>
      <c r="AI588" s="83"/>
      <c r="AJ588" s="84"/>
      <c r="AK588" s="84"/>
      <c r="AL588" s="84"/>
      <c r="AM588" s="84"/>
      <c r="AN588" s="84"/>
      <c r="AO588" s="84"/>
      <c r="AP588" s="84"/>
      <c r="AQ588" s="95" t="s">
        <v>474</v>
      </c>
      <c r="AR588" s="72"/>
      <c r="AS588" s="72"/>
      <c r="AT588" s="72"/>
      <c r="AU588" s="72"/>
      <c r="AV588" s="72"/>
      <c r="AW588" s="72"/>
      <c r="AX588" s="72"/>
      <c r="AY588" s="72"/>
      <c r="AZ588" s="72"/>
      <c r="BA588" s="72"/>
      <c r="BB588" s="16"/>
      <c r="BC588" s="72"/>
      <c r="BD588" s="20"/>
      <c r="BE588" s="352"/>
    </row>
    <row r="589" spans="1:57" s="81" customFormat="1" ht="12.95" hidden="1" customHeight="1">
      <c r="A589" s="348"/>
      <c r="B589" s="350"/>
      <c r="C589" s="270" t="s">
        <v>1298</v>
      </c>
      <c r="D589" s="239" t="s">
        <v>4082</v>
      </c>
      <c r="E589" s="58"/>
      <c r="F589" s="59" t="s">
        <v>4083</v>
      </c>
      <c r="G589" s="191" t="s">
        <v>2511</v>
      </c>
      <c r="H589" s="192" t="s">
        <v>475</v>
      </c>
      <c r="I589" s="61" t="s">
        <v>2511</v>
      </c>
      <c r="J589" s="61" t="s">
        <v>2511</v>
      </c>
      <c r="K589" s="62" t="s">
        <v>2511</v>
      </c>
      <c r="L589" s="60" t="s">
        <v>2511</v>
      </c>
      <c r="M589" s="61" t="s">
        <v>2389</v>
      </c>
      <c r="N589" s="61" t="s">
        <v>2511</v>
      </c>
      <c r="O589" s="61" t="s">
        <v>2511</v>
      </c>
      <c r="P589" s="62" t="s">
        <v>2511</v>
      </c>
      <c r="Q589" s="82"/>
      <c r="R589" s="82"/>
      <c r="S589" s="82"/>
      <c r="T589" s="82"/>
      <c r="U589" s="82"/>
      <c r="V589" s="138" t="s">
        <v>4084</v>
      </c>
      <c r="W589" s="57" t="s">
        <v>3660</v>
      </c>
      <c r="X589" s="126" t="s">
        <v>2511</v>
      </c>
      <c r="Y589" s="126" t="s">
        <v>2511</v>
      </c>
      <c r="Z589" s="57"/>
      <c r="AA589" s="57" t="s">
        <v>3661</v>
      </c>
      <c r="AB589" s="138"/>
      <c r="AC589" s="138" t="s">
        <v>2631</v>
      </c>
      <c r="AD589" s="96"/>
      <c r="AE589" s="80"/>
      <c r="AF589" s="80"/>
      <c r="AG589" s="80"/>
      <c r="AH589" s="83"/>
      <c r="AI589" s="83"/>
      <c r="AJ589" s="84"/>
      <c r="AK589" s="84"/>
      <c r="AL589" s="84"/>
      <c r="AM589" s="84"/>
      <c r="AN589" s="84"/>
      <c r="AO589" s="84"/>
      <c r="AP589" s="84"/>
      <c r="AQ589" s="95" t="s">
        <v>475</v>
      </c>
      <c r="AR589" s="72"/>
      <c r="AS589" s="72"/>
      <c r="AT589" s="72"/>
      <c r="AU589" s="72"/>
      <c r="AV589" s="72"/>
      <c r="AW589" s="72"/>
      <c r="AX589" s="72"/>
      <c r="AY589" s="72"/>
      <c r="AZ589" s="72"/>
      <c r="BA589" s="72"/>
      <c r="BB589" s="16"/>
      <c r="BC589" s="72"/>
      <c r="BD589" s="20"/>
      <c r="BE589" s="352"/>
    </row>
    <row r="590" spans="1:57" s="81" customFormat="1" ht="12.95" hidden="1" customHeight="1">
      <c r="A590" s="348"/>
      <c r="B590" s="350"/>
      <c r="C590" s="270" t="s">
        <v>1299</v>
      </c>
      <c r="D590" s="239" t="s">
        <v>4085</v>
      </c>
      <c r="E590" s="58"/>
      <c r="F590" s="59" t="s">
        <v>4086</v>
      </c>
      <c r="G590" s="191" t="s">
        <v>2511</v>
      </c>
      <c r="H590" s="192" t="s">
        <v>476</v>
      </c>
      <c r="I590" s="61" t="s">
        <v>2511</v>
      </c>
      <c r="J590" s="61" t="s">
        <v>2511</v>
      </c>
      <c r="K590" s="62" t="s">
        <v>2511</v>
      </c>
      <c r="L590" s="60" t="s">
        <v>2511</v>
      </c>
      <c r="M590" s="61" t="s">
        <v>2389</v>
      </c>
      <c r="N590" s="61" t="s">
        <v>2511</v>
      </c>
      <c r="O590" s="61" t="s">
        <v>2511</v>
      </c>
      <c r="P590" s="62" t="s">
        <v>2511</v>
      </c>
      <c r="Q590" s="82"/>
      <c r="R590" s="82"/>
      <c r="S590" s="82"/>
      <c r="T590" s="82"/>
      <c r="U590" s="82"/>
      <c r="V590" s="138" t="s">
        <v>4087</v>
      </c>
      <c r="W590" s="57" t="s">
        <v>3660</v>
      </c>
      <c r="X590" s="126" t="s">
        <v>2511</v>
      </c>
      <c r="Y590" s="126" t="s">
        <v>2511</v>
      </c>
      <c r="Z590" s="57"/>
      <c r="AA590" s="57" t="s">
        <v>3661</v>
      </c>
      <c r="AB590" s="138"/>
      <c r="AC590" s="138" t="s">
        <v>2631</v>
      </c>
      <c r="AD590" s="96"/>
      <c r="AE590" s="80"/>
      <c r="AF590" s="80"/>
      <c r="AG590" s="80"/>
      <c r="AH590" s="83"/>
      <c r="AI590" s="83"/>
      <c r="AJ590" s="84"/>
      <c r="AK590" s="84"/>
      <c r="AL590" s="84"/>
      <c r="AM590" s="84"/>
      <c r="AN590" s="84"/>
      <c r="AO590" s="84"/>
      <c r="AP590" s="84"/>
      <c r="AQ590" s="95" t="s">
        <v>476</v>
      </c>
      <c r="AR590" s="72"/>
      <c r="AS590" s="72"/>
      <c r="AT590" s="72"/>
      <c r="AU590" s="72"/>
      <c r="AV590" s="72"/>
      <c r="AW590" s="72"/>
      <c r="AX590" s="72"/>
      <c r="AY590" s="72"/>
      <c r="AZ590" s="72"/>
      <c r="BA590" s="72"/>
      <c r="BB590" s="16"/>
      <c r="BC590" s="72"/>
      <c r="BD590" s="20"/>
      <c r="BE590" s="352"/>
    </row>
    <row r="591" spans="1:57" s="81" customFormat="1" ht="12.95" hidden="1" customHeight="1">
      <c r="A591" s="348"/>
      <c r="B591" s="350"/>
      <c r="C591" s="270" t="s">
        <v>1300</v>
      </c>
      <c r="D591" s="239" t="s">
        <v>4088</v>
      </c>
      <c r="E591" s="58"/>
      <c r="F591" s="59" t="s">
        <v>4089</v>
      </c>
      <c r="G591" s="191" t="s">
        <v>2511</v>
      </c>
      <c r="H591" s="192" t="s">
        <v>477</v>
      </c>
      <c r="I591" s="61" t="s">
        <v>2511</v>
      </c>
      <c r="J591" s="61" t="s">
        <v>2511</v>
      </c>
      <c r="K591" s="62" t="s">
        <v>2511</v>
      </c>
      <c r="L591" s="60" t="s">
        <v>2511</v>
      </c>
      <c r="M591" s="61" t="s">
        <v>2389</v>
      </c>
      <c r="N591" s="61" t="s">
        <v>2511</v>
      </c>
      <c r="O591" s="61" t="s">
        <v>2511</v>
      </c>
      <c r="P591" s="62" t="s">
        <v>2511</v>
      </c>
      <c r="Q591" s="82"/>
      <c r="R591" s="82"/>
      <c r="S591" s="82"/>
      <c r="T591" s="82"/>
      <c r="U591" s="82"/>
      <c r="V591" s="138" t="s">
        <v>4090</v>
      </c>
      <c r="W591" s="57" t="s">
        <v>3660</v>
      </c>
      <c r="X591" s="126" t="s">
        <v>2511</v>
      </c>
      <c r="Y591" s="126" t="s">
        <v>2511</v>
      </c>
      <c r="Z591" s="57"/>
      <c r="AA591" s="57" t="s">
        <v>3661</v>
      </c>
      <c r="AB591" s="138"/>
      <c r="AC591" s="138">
        <v>0</v>
      </c>
      <c r="AD591" s="96"/>
      <c r="AE591" s="80"/>
      <c r="AF591" s="80"/>
      <c r="AG591" s="80"/>
      <c r="AH591" s="83"/>
      <c r="AI591" s="83"/>
      <c r="AJ591" s="84"/>
      <c r="AK591" s="84"/>
      <c r="AL591" s="84"/>
      <c r="AM591" s="84"/>
      <c r="AN591" s="84"/>
      <c r="AO591" s="84"/>
      <c r="AP591" s="84"/>
      <c r="AQ591" s="95" t="s">
        <v>477</v>
      </c>
      <c r="AR591" s="72"/>
      <c r="AS591" s="72"/>
      <c r="AT591" s="72"/>
      <c r="AU591" s="72"/>
      <c r="AV591" s="72"/>
      <c r="AW591" s="72"/>
      <c r="AX591" s="72"/>
      <c r="AY591" s="72"/>
      <c r="AZ591" s="72"/>
      <c r="BA591" s="72"/>
      <c r="BB591" s="16"/>
      <c r="BC591" s="72"/>
      <c r="BD591" s="20"/>
      <c r="BE591" s="352"/>
    </row>
    <row r="592" spans="1:57" s="91" customFormat="1" ht="18" hidden="1" customHeight="1">
      <c r="A592" s="233"/>
      <c r="B592" s="89"/>
      <c r="C592" s="268" t="s">
        <v>564</v>
      </c>
      <c r="D592" s="268"/>
      <c r="E592" s="86"/>
      <c r="F592" s="86"/>
      <c r="G592" s="87"/>
      <c r="H592" s="87"/>
      <c r="I592" s="87"/>
      <c r="J592" s="87"/>
      <c r="K592" s="87"/>
      <c r="L592" s="86"/>
      <c r="M592" s="86"/>
      <c r="N592" s="86"/>
      <c r="O592" s="86"/>
      <c r="P592" s="86"/>
      <c r="Q592" s="86"/>
      <c r="R592" s="86"/>
      <c r="S592" s="86"/>
      <c r="T592" s="86"/>
      <c r="U592" s="86"/>
      <c r="V592" s="86"/>
      <c r="W592" s="86"/>
      <c r="X592" s="129"/>
      <c r="Y592" s="129"/>
      <c r="Z592" s="88"/>
      <c r="AA592" s="88"/>
      <c r="AB592" s="88"/>
      <c r="AC592" s="88"/>
      <c r="AD592" s="88"/>
      <c r="AE592" s="88"/>
      <c r="AF592" s="88"/>
      <c r="AG592" s="88"/>
      <c r="AH592" s="88"/>
      <c r="AI592" s="88"/>
      <c r="AJ592" s="88"/>
      <c r="AK592" s="88"/>
      <c r="AL592" s="88"/>
      <c r="AM592" s="88"/>
      <c r="AN592" s="88"/>
      <c r="AO592" s="88"/>
      <c r="AP592" s="88"/>
      <c r="AQ592" s="89"/>
      <c r="AR592" s="89"/>
      <c r="AS592" s="90"/>
      <c r="AT592" s="90"/>
      <c r="AU592" s="90"/>
      <c r="AV592" s="90"/>
      <c r="AW592" s="90"/>
      <c r="AX592" s="90"/>
      <c r="AY592" s="90"/>
      <c r="AZ592" s="90"/>
      <c r="BA592" s="90"/>
      <c r="BB592" s="90"/>
      <c r="BC592" s="175" t="s">
        <v>2153</v>
      </c>
      <c r="BD592" s="90"/>
      <c r="BE592" s="233" t="s">
        <v>564</v>
      </c>
    </row>
    <row r="593" spans="1:57" s="81" customFormat="1" ht="12.95" hidden="1" customHeight="1">
      <c r="A593" s="347"/>
      <c r="B593" s="349"/>
      <c r="C593" s="248" t="s">
        <v>1301</v>
      </c>
      <c r="D593" s="239" t="s">
        <v>4091</v>
      </c>
      <c r="E593" s="58"/>
      <c r="F593" s="59" t="s">
        <v>4092</v>
      </c>
      <c r="G593" s="191" t="s">
        <v>2511</v>
      </c>
      <c r="H593" s="192" t="s">
        <v>565</v>
      </c>
      <c r="I593" s="61" t="s">
        <v>2511</v>
      </c>
      <c r="J593" s="61" t="s">
        <v>2511</v>
      </c>
      <c r="K593" s="62" t="s">
        <v>2511</v>
      </c>
      <c r="L593" s="60" t="s">
        <v>2511</v>
      </c>
      <c r="M593" s="61" t="s">
        <v>2389</v>
      </c>
      <c r="N593" s="61" t="s">
        <v>2511</v>
      </c>
      <c r="O593" s="61" t="s">
        <v>2511</v>
      </c>
      <c r="P593" s="62" t="s">
        <v>2511</v>
      </c>
      <c r="Q593" s="82"/>
      <c r="R593" s="82"/>
      <c r="S593" s="82"/>
      <c r="T593" s="82"/>
      <c r="U593" s="82"/>
      <c r="V593" s="138" t="s">
        <v>4093</v>
      </c>
      <c r="W593" s="57" t="s">
        <v>4094</v>
      </c>
      <c r="X593" s="126" t="s">
        <v>2511</v>
      </c>
      <c r="Y593" s="126" t="s">
        <v>2511</v>
      </c>
      <c r="Z593" s="57"/>
      <c r="AA593" s="57" t="s">
        <v>3661</v>
      </c>
      <c r="AB593" s="138"/>
      <c r="AC593" s="138" t="s">
        <v>2631</v>
      </c>
      <c r="AD593" s="92"/>
      <c r="AE593" s="93"/>
      <c r="AF593" s="93"/>
      <c r="AG593" s="93"/>
      <c r="AH593" s="94"/>
      <c r="AI593" s="83"/>
      <c r="AJ593" s="84"/>
      <c r="AK593" s="84"/>
      <c r="AL593" s="84"/>
      <c r="AM593" s="84"/>
      <c r="AN593" s="84"/>
      <c r="AO593" s="84"/>
      <c r="AP593" s="84"/>
      <c r="AQ593" s="95" t="s">
        <v>565</v>
      </c>
      <c r="AR593" s="72"/>
      <c r="AS593" s="72"/>
      <c r="AT593" s="72"/>
      <c r="AU593" s="72"/>
      <c r="AV593" s="72"/>
      <c r="AW593" s="72"/>
      <c r="AX593" s="72"/>
      <c r="AY593" s="72"/>
      <c r="AZ593" s="72"/>
      <c r="BA593" s="72"/>
      <c r="BB593" s="16"/>
      <c r="BC593" s="22"/>
      <c r="BD593" s="19"/>
      <c r="BE593" s="351" t="s">
        <v>2216</v>
      </c>
    </row>
    <row r="594" spans="1:57" s="81" customFormat="1" ht="12.95" hidden="1" customHeight="1">
      <c r="A594" s="348"/>
      <c r="B594" s="350"/>
      <c r="C594" s="248" t="s">
        <v>1302</v>
      </c>
      <c r="D594" s="239" t="s">
        <v>4095</v>
      </c>
      <c r="E594" s="58"/>
      <c r="F594" s="59" t="s">
        <v>4096</v>
      </c>
      <c r="G594" s="191" t="s">
        <v>2511</v>
      </c>
      <c r="H594" s="192" t="s">
        <v>566</v>
      </c>
      <c r="I594" s="61" t="s">
        <v>2511</v>
      </c>
      <c r="J594" s="61" t="s">
        <v>2511</v>
      </c>
      <c r="K594" s="62" t="s">
        <v>2511</v>
      </c>
      <c r="L594" s="60" t="s">
        <v>2511</v>
      </c>
      <c r="M594" s="61" t="s">
        <v>2389</v>
      </c>
      <c r="N594" s="61" t="s">
        <v>2511</v>
      </c>
      <c r="O594" s="61" t="s">
        <v>2511</v>
      </c>
      <c r="P594" s="62" t="s">
        <v>2511</v>
      </c>
      <c r="Q594" s="82"/>
      <c r="R594" s="82"/>
      <c r="S594" s="82"/>
      <c r="T594" s="82"/>
      <c r="U594" s="82"/>
      <c r="V594" s="138" t="s">
        <v>4097</v>
      </c>
      <c r="W594" s="57" t="s">
        <v>4094</v>
      </c>
      <c r="X594" s="126" t="s">
        <v>2511</v>
      </c>
      <c r="Y594" s="126" t="s">
        <v>2511</v>
      </c>
      <c r="Z594" s="57"/>
      <c r="AA594" s="57" t="s">
        <v>3661</v>
      </c>
      <c r="AB594" s="138"/>
      <c r="AC594" s="138" t="s">
        <v>2631</v>
      </c>
      <c r="AD594" s="96"/>
      <c r="AE594" s="80"/>
      <c r="AF594" s="80"/>
      <c r="AG594" s="80"/>
      <c r="AH594" s="83"/>
      <c r="AI594" s="83"/>
      <c r="AJ594" s="84"/>
      <c r="AK594" s="84"/>
      <c r="AL594" s="84"/>
      <c r="AM594" s="84"/>
      <c r="AN594" s="84"/>
      <c r="AO594" s="84"/>
      <c r="AP594" s="84"/>
      <c r="AQ594" s="95" t="s">
        <v>566</v>
      </c>
      <c r="AR594" s="72"/>
      <c r="AS594" s="72"/>
      <c r="AT594" s="72"/>
      <c r="AU594" s="72"/>
      <c r="AV594" s="72"/>
      <c r="AW594" s="72"/>
      <c r="AX594" s="72"/>
      <c r="AY594" s="72"/>
      <c r="AZ594" s="72"/>
      <c r="BA594" s="72"/>
      <c r="BB594" s="16"/>
      <c r="BC594" s="72"/>
      <c r="BD594" s="20"/>
      <c r="BE594" s="352"/>
    </row>
    <row r="595" spans="1:57" s="81" customFormat="1" ht="12.95" hidden="1" customHeight="1">
      <c r="A595" s="348"/>
      <c r="B595" s="350"/>
      <c r="C595" s="248" t="s">
        <v>1303</v>
      </c>
      <c r="D595" s="239" t="s">
        <v>4098</v>
      </c>
      <c r="E595" s="58"/>
      <c r="F595" s="59" t="s">
        <v>4099</v>
      </c>
      <c r="G595" s="191" t="s">
        <v>2511</v>
      </c>
      <c r="H595" s="192" t="s">
        <v>567</v>
      </c>
      <c r="I595" s="61" t="s">
        <v>2511</v>
      </c>
      <c r="J595" s="61" t="s">
        <v>2511</v>
      </c>
      <c r="K595" s="62" t="s">
        <v>2511</v>
      </c>
      <c r="L595" s="60" t="s">
        <v>2511</v>
      </c>
      <c r="M595" s="61" t="s">
        <v>2389</v>
      </c>
      <c r="N595" s="61" t="s">
        <v>2511</v>
      </c>
      <c r="O595" s="61" t="s">
        <v>2511</v>
      </c>
      <c r="P595" s="62" t="s">
        <v>2511</v>
      </c>
      <c r="Q595" s="82"/>
      <c r="R595" s="82"/>
      <c r="S595" s="82"/>
      <c r="T595" s="82"/>
      <c r="U595" s="82"/>
      <c r="V595" s="138" t="s">
        <v>4100</v>
      </c>
      <c r="W595" s="57" t="s">
        <v>4094</v>
      </c>
      <c r="X595" s="126" t="s">
        <v>2511</v>
      </c>
      <c r="Y595" s="126" t="s">
        <v>2511</v>
      </c>
      <c r="Z595" s="57"/>
      <c r="AA595" s="57" t="s">
        <v>3661</v>
      </c>
      <c r="AB595" s="138"/>
      <c r="AC595" s="138" t="s">
        <v>2631</v>
      </c>
      <c r="AD595" s="96"/>
      <c r="AE595" s="80"/>
      <c r="AF595" s="80"/>
      <c r="AG595" s="80"/>
      <c r="AH595" s="83"/>
      <c r="AI595" s="83"/>
      <c r="AJ595" s="84"/>
      <c r="AK595" s="84"/>
      <c r="AL595" s="84"/>
      <c r="AM595" s="84"/>
      <c r="AN595" s="84"/>
      <c r="AO595" s="84"/>
      <c r="AP595" s="84"/>
      <c r="AQ595" s="95" t="s">
        <v>567</v>
      </c>
      <c r="AR595" s="72"/>
      <c r="AS595" s="72"/>
      <c r="AT595" s="72"/>
      <c r="AU595" s="72"/>
      <c r="AV595" s="72"/>
      <c r="AW595" s="72"/>
      <c r="AX595" s="72"/>
      <c r="AY595" s="72"/>
      <c r="AZ595" s="72"/>
      <c r="BA595" s="72"/>
      <c r="BB595" s="16"/>
      <c r="BC595" s="72"/>
      <c r="BD595" s="20"/>
      <c r="BE595" s="352"/>
    </row>
    <row r="596" spans="1:57" s="81" customFormat="1" ht="12.95" hidden="1" customHeight="1">
      <c r="A596" s="348"/>
      <c r="B596" s="350"/>
      <c r="C596" s="248" t="s">
        <v>1304</v>
      </c>
      <c r="D596" s="239" t="s">
        <v>4101</v>
      </c>
      <c r="E596" s="58"/>
      <c r="F596" s="59" t="s">
        <v>4102</v>
      </c>
      <c r="G596" s="191" t="s">
        <v>2511</v>
      </c>
      <c r="H596" s="192" t="s">
        <v>568</v>
      </c>
      <c r="I596" s="61" t="s">
        <v>2511</v>
      </c>
      <c r="J596" s="61" t="s">
        <v>2511</v>
      </c>
      <c r="K596" s="62" t="s">
        <v>2511</v>
      </c>
      <c r="L596" s="60" t="s">
        <v>2511</v>
      </c>
      <c r="M596" s="61" t="s">
        <v>2389</v>
      </c>
      <c r="N596" s="61" t="s">
        <v>2511</v>
      </c>
      <c r="O596" s="61" t="s">
        <v>2511</v>
      </c>
      <c r="P596" s="62" t="s">
        <v>2511</v>
      </c>
      <c r="Q596" s="82"/>
      <c r="R596" s="82"/>
      <c r="S596" s="82"/>
      <c r="T596" s="82"/>
      <c r="U596" s="82"/>
      <c r="V596" s="138" t="s">
        <v>4103</v>
      </c>
      <c r="W596" s="57" t="s">
        <v>4094</v>
      </c>
      <c r="X596" s="126" t="s">
        <v>2511</v>
      </c>
      <c r="Y596" s="126" t="s">
        <v>2511</v>
      </c>
      <c r="Z596" s="57"/>
      <c r="AA596" s="57" t="s">
        <v>3661</v>
      </c>
      <c r="AB596" s="138"/>
      <c r="AC596" s="138" t="s">
        <v>2631</v>
      </c>
      <c r="AD596" s="96"/>
      <c r="AE596" s="80"/>
      <c r="AF596" s="80"/>
      <c r="AG596" s="80"/>
      <c r="AH596" s="83"/>
      <c r="AI596" s="83"/>
      <c r="AJ596" s="84"/>
      <c r="AK596" s="84"/>
      <c r="AL596" s="84"/>
      <c r="AM596" s="84"/>
      <c r="AN596" s="84"/>
      <c r="AO596" s="84"/>
      <c r="AP596" s="84"/>
      <c r="AQ596" s="95" t="s">
        <v>568</v>
      </c>
      <c r="AR596" s="72"/>
      <c r="AS596" s="72"/>
      <c r="AT596" s="72"/>
      <c r="AU596" s="72"/>
      <c r="AV596" s="72"/>
      <c r="AW596" s="72"/>
      <c r="AX596" s="72"/>
      <c r="AY596" s="72"/>
      <c r="AZ596" s="72"/>
      <c r="BA596" s="72"/>
      <c r="BB596" s="16"/>
      <c r="BC596" s="72"/>
      <c r="BD596" s="20"/>
      <c r="BE596" s="352"/>
    </row>
    <row r="597" spans="1:57" s="81" customFormat="1" ht="12.95" hidden="1" customHeight="1">
      <c r="A597" s="348"/>
      <c r="B597" s="350"/>
      <c r="C597" s="248" t="s">
        <v>1305</v>
      </c>
      <c r="D597" s="239" t="s">
        <v>4104</v>
      </c>
      <c r="E597" s="58"/>
      <c r="F597" s="59" t="s">
        <v>4105</v>
      </c>
      <c r="G597" s="191" t="s">
        <v>2511</v>
      </c>
      <c r="H597" s="192" t="s">
        <v>569</v>
      </c>
      <c r="I597" s="61" t="s">
        <v>2511</v>
      </c>
      <c r="J597" s="61" t="s">
        <v>2511</v>
      </c>
      <c r="K597" s="62" t="s">
        <v>2511</v>
      </c>
      <c r="L597" s="60" t="s">
        <v>2511</v>
      </c>
      <c r="M597" s="61" t="s">
        <v>2389</v>
      </c>
      <c r="N597" s="61" t="s">
        <v>2511</v>
      </c>
      <c r="O597" s="61" t="s">
        <v>2511</v>
      </c>
      <c r="P597" s="62" t="s">
        <v>2511</v>
      </c>
      <c r="Q597" s="82"/>
      <c r="R597" s="82"/>
      <c r="S597" s="82"/>
      <c r="T597" s="82"/>
      <c r="U597" s="82"/>
      <c r="V597" s="138" t="s">
        <v>4106</v>
      </c>
      <c r="W597" s="57" t="s">
        <v>4094</v>
      </c>
      <c r="X597" s="126" t="s">
        <v>2511</v>
      </c>
      <c r="Y597" s="126" t="s">
        <v>2511</v>
      </c>
      <c r="Z597" s="57"/>
      <c r="AA597" s="57" t="s">
        <v>3661</v>
      </c>
      <c r="AB597" s="138"/>
      <c r="AC597" s="138" t="s">
        <v>2631</v>
      </c>
      <c r="AD597" s="96"/>
      <c r="AE597" s="80"/>
      <c r="AF597" s="80"/>
      <c r="AG597" s="80"/>
      <c r="AH597" s="83"/>
      <c r="AI597" s="83"/>
      <c r="AJ597" s="84"/>
      <c r="AK597" s="84"/>
      <c r="AL597" s="84"/>
      <c r="AM597" s="84"/>
      <c r="AN597" s="84"/>
      <c r="AO597" s="84"/>
      <c r="AP597" s="84"/>
      <c r="AQ597" s="95" t="s">
        <v>569</v>
      </c>
      <c r="AR597" s="72"/>
      <c r="AS597" s="72"/>
      <c r="AT597" s="72"/>
      <c r="AU597" s="72"/>
      <c r="AV597" s="72"/>
      <c r="AW597" s="72"/>
      <c r="AX597" s="72"/>
      <c r="AY597" s="72"/>
      <c r="AZ597" s="72"/>
      <c r="BA597" s="72"/>
      <c r="BB597" s="16"/>
      <c r="BC597" s="72"/>
      <c r="BD597" s="20"/>
      <c r="BE597" s="352"/>
    </row>
    <row r="598" spans="1:57" s="81" customFormat="1" ht="12.95" hidden="1" customHeight="1">
      <c r="A598" s="348"/>
      <c r="B598" s="350"/>
      <c r="C598" s="248" t="s">
        <v>1306</v>
      </c>
      <c r="D598" s="239" t="s">
        <v>4107</v>
      </c>
      <c r="E598" s="58"/>
      <c r="F598" s="59" t="s">
        <v>4108</v>
      </c>
      <c r="G598" s="191" t="s">
        <v>2511</v>
      </c>
      <c r="H598" s="192" t="s">
        <v>570</v>
      </c>
      <c r="I598" s="61" t="s">
        <v>2511</v>
      </c>
      <c r="J598" s="61" t="s">
        <v>2511</v>
      </c>
      <c r="K598" s="62" t="s">
        <v>2511</v>
      </c>
      <c r="L598" s="60" t="s">
        <v>2511</v>
      </c>
      <c r="M598" s="61" t="s">
        <v>2389</v>
      </c>
      <c r="N598" s="61" t="s">
        <v>2511</v>
      </c>
      <c r="O598" s="61" t="s">
        <v>2511</v>
      </c>
      <c r="P598" s="62" t="s">
        <v>2511</v>
      </c>
      <c r="Q598" s="82"/>
      <c r="R598" s="82"/>
      <c r="S598" s="82"/>
      <c r="T598" s="82"/>
      <c r="U598" s="82"/>
      <c r="V598" s="138" t="s">
        <v>4109</v>
      </c>
      <c r="W598" s="57" t="s">
        <v>4094</v>
      </c>
      <c r="X598" s="126" t="s">
        <v>2511</v>
      </c>
      <c r="Y598" s="126" t="s">
        <v>2511</v>
      </c>
      <c r="Z598" s="57"/>
      <c r="AA598" s="57" t="s">
        <v>3661</v>
      </c>
      <c r="AB598" s="138"/>
      <c r="AC598" s="138" t="s">
        <v>2631</v>
      </c>
      <c r="AD598" s="96"/>
      <c r="AE598" s="80"/>
      <c r="AF598" s="80"/>
      <c r="AG598" s="80"/>
      <c r="AH598" s="83"/>
      <c r="AI598" s="83"/>
      <c r="AJ598" s="84"/>
      <c r="AK598" s="84"/>
      <c r="AL598" s="84"/>
      <c r="AM598" s="84"/>
      <c r="AN598" s="84"/>
      <c r="AO598" s="84"/>
      <c r="AP598" s="84"/>
      <c r="AQ598" s="95" t="s">
        <v>570</v>
      </c>
      <c r="AR598" s="72"/>
      <c r="AS598" s="72"/>
      <c r="AT598" s="72"/>
      <c r="AU598" s="72"/>
      <c r="AV598" s="72"/>
      <c r="AW598" s="72"/>
      <c r="AX598" s="72"/>
      <c r="AY598" s="72"/>
      <c r="AZ598" s="72"/>
      <c r="BA598" s="72"/>
      <c r="BB598" s="16"/>
      <c r="BC598" s="72"/>
      <c r="BD598" s="20"/>
      <c r="BE598" s="352"/>
    </row>
    <row r="599" spans="1:57" s="81" customFormat="1" ht="12.95" hidden="1" customHeight="1">
      <c r="A599" s="348"/>
      <c r="B599" s="350"/>
      <c r="C599" s="248" t="s">
        <v>1307</v>
      </c>
      <c r="D599" s="239" t="s">
        <v>4110</v>
      </c>
      <c r="E599" s="58"/>
      <c r="F599" s="59" t="s">
        <v>4111</v>
      </c>
      <c r="G599" s="191" t="s">
        <v>2511</v>
      </c>
      <c r="H599" s="192" t="s">
        <v>571</v>
      </c>
      <c r="I599" s="61" t="s">
        <v>2511</v>
      </c>
      <c r="J599" s="61" t="s">
        <v>2511</v>
      </c>
      <c r="K599" s="62" t="s">
        <v>2511</v>
      </c>
      <c r="L599" s="60" t="s">
        <v>2511</v>
      </c>
      <c r="M599" s="61" t="s">
        <v>2389</v>
      </c>
      <c r="N599" s="61" t="s">
        <v>2511</v>
      </c>
      <c r="O599" s="61" t="s">
        <v>2511</v>
      </c>
      <c r="P599" s="62" t="s">
        <v>2511</v>
      </c>
      <c r="Q599" s="82"/>
      <c r="R599" s="82"/>
      <c r="S599" s="82"/>
      <c r="T599" s="82"/>
      <c r="U599" s="82"/>
      <c r="V599" s="138" t="s">
        <v>4112</v>
      </c>
      <c r="W599" s="57" t="s">
        <v>4094</v>
      </c>
      <c r="X599" s="126" t="s">
        <v>2511</v>
      </c>
      <c r="Y599" s="126" t="s">
        <v>2511</v>
      </c>
      <c r="Z599" s="57"/>
      <c r="AA599" s="57" t="s">
        <v>3661</v>
      </c>
      <c r="AB599" s="138"/>
      <c r="AC599" s="138" t="s">
        <v>2631</v>
      </c>
      <c r="AD599" s="96"/>
      <c r="AE599" s="80"/>
      <c r="AF599" s="80"/>
      <c r="AG599" s="80"/>
      <c r="AH599" s="83"/>
      <c r="AI599" s="83"/>
      <c r="AJ599" s="84"/>
      <c r="AK599" s="84"/>
      <c r="AL599" s="84"/>
      <c r="AM599" s="84"/>
      <c r="AN599" s="84"/>
      <c r="AO599" s="84"/>
      <c r="AP599" s="84"/>
      <c r="AQ599" s="95" t="s">
        <v>571</v>
      </c>
      <c r="AR599" s="72"/>
      <c r="AS599" s="72"/>
      <c r="AT599" s="72"/>
      <c r="AU599" s="72"/>
      <c r="AV599" s="72"/>
      <c r="AW599" s="72"/>
      <c r="AX599" s="72"/>
      <c r="AY599" s="72"/>
      <c r="AZ599" s="72"/>
      <c r="BA599" s="72"/>
      <c r="BB599" s="16"/>
      <c r="BC599" s="72"/>
      <c r="BD599" s="20"/>
      <c r="BE599" s="352"/>
    </row>
    <row r="600" spans="1:57" s="81" customFormat="1" ht="12.95" hidden="1" customHeight="1">
      <c r="A600" s="348"/>
      <c r="B600" s="350"/>
      <c r="C600" s="248" t="s">
        <v>1308</v>
      </c>
      <c r="D600" s="239" t="s">
        <v>4113</v>
      </c>
      <c r="E600" s="58"/>
      <c r="F600" s="59" t="s">
        <v>4114</v>
      </c>
      <c r="G600" s="191" t="s">
        <v>2511</v>
      </c>
      <c r="H600" s="192" t="s">
        <v>572</v>
      </c>
      <c r="I600" s="61" t="s">
        <v>2511</v>
      </c>
      <c r="J600" s="61" t="s">
        <v>2511</v>
      </c>
      <c r="K600" s="62" t="s">
        <v>2511</v>
      </c>
      <c r="L600" s="60" t="s">
        <v>2511</v>
      </c>
      <c r="M600" s="61" t="s">
        <v>2389</v>
      </c>
      <c r="N600" s="61" t="s">
        <v>2511</v>
      </c>
      <c r="O600" s="61" t="s">
        <v>2511</v>
      </c>
      <c r="P600" s="62" t="s">
        <v>2511</v>
      </c>
      <c r="Q600" s="82"/>
      <c r="R600" s="82"/>
      <c r="S600" s="82"/>
      <c r="T600" s="82"/>
      <c r="U600" s="82"/>
      <c r="V600" s="138" t="s">
        <v>4115</v>
      </c>
      <c r="W600" s="57" t="s">
        <v>4094</v>
      </c>
      <c r="X600" s="126" t="s">
        <v>2511</v>
      </c>
      <c r="Y600" s="126" t="s">
        <v>2511</v>
      </c>
      <c r="Z600" s="57"/>
      <c r="AA600" s="57" t="s">
        <v>3661</v>
      </c>
      <c r="AB600" s="138"/>
      <c r="AC600" s="138" t="s">
        <v>2631</v>
      </c>
      <c r="AD600" s="96"/>
      <c r="AE600" s="80"/>
      <c r="AF600" s="80"/>
      <c r="AG600" s="80"/>
      <c r="AH600" s="83"/>
      <c r="AI600" s="83"/>
      <c r="AJ600" s="84"/>
      <c r="AK600" s="84"/>
      <c r="AL600" s="84"/>
      <c r="AM600" s="84"/>
      <c r="AN600" s="84"/>
      <c r="AO600" s="84"/>
      <c r="AP600" s="84"/>
      <c r="AQ600" s="95" t="s">
        <v>572</v>
      </c>
      <c r="AR600" s="72"/>
      <c r="AS600" s="72"/>
      <c r="AT600" s="72"/>
      <c r="AU600" s="72"/>
      <c r="AV600" s="72"/>
      <c r="AW600" s="72"/>
      <c r="AX600" s="72"/>
      <c r="AY600" s="72"/>
      <c r="AZ600" s="72"/>
      <c r="BA600" s="72"/>
      <c r="BB600" s="16"/>
      <c r="BC600" s="72"/>
      <c r="BD600" s="20"/>
      <c r="BE600" s="352"/>
    </row>
    <row r="601" spans="1:57" s="81" customFormat="1" ht="12.95" hidden="1" customHeight="1">
      <c r="A601" s="348"/>
      <c r="B601" s="350"/>
      <c r="C601" s="248" t="s">
        <v>1309</v>
      </c>
      <c r="D601" s="239" t="s">
        <v>4116</v>
      </c>
      <c r="E601" s="58"/>
      <c r="F601" s="59" t="s">
        <v>4117</v>
      </c>
      <c r="G601" s="191" t="s">
        <v>2511</v>
      </c>
      <c r="H601" s="192" t="s">
        <v>573</v>
      </c>
      <c r="I601" s="61" t="s">
        <v>2511</v>
      </c>
      <c r="J601" s="61" t="s">
        <v>2511</v>
      </c>
      <c r="K601" s="62" t="s">
        <v>2511</v>
      </c>
      <c r="L601" s="60" t="s">
        <v>2511</v>
      </c>
      <c r="M601" s="61" t="s">
        <v>2389</v>
      </c>
      <c r="N601" s="61" t="s">
        <v>2511</v>
      </c>
      <c r="O601" s="61" t="s">
        <v>2511</v>
      </c>
      <c r="P601" s="62" t="s">
        <v>2511</v>
      </c>
      <c r="Q601" s="82"/>
      <c r="R601" s="82"/>
      <c r="S601" s="82"/>
      <c r="T601" s="82"/>
      <c r="U601" s="82"/>
      <c r="V601" s="138" t="s">
        <v>4118</v>
      </c>
      <c r="W601" s="57" t="s">
        <v>4094</v>
      </c>
      <c r="X601" s="126" t="s">
        <v>2511</v>
      </c>
      <c r="Y601" s="126" t="s">
        <v>2511</v>
      </c>
      <c r="Z601" s="57"/>
      <c r="AA601" s="57" t="s">
        <v>3661</v>
      </c>
      <c r="AB601" s="138"/>
      <c r="AC601" s="138" t="s">
        <v>2631</v>
      </c>
      <c r="AD601" s="96"/>
      <c r="AE601" s="80"/>
      <c r="AF601" s="80"/>
      <c r="AG601" s="80"/>
      <c r="AH601" s="83"/>
      <c r="AI601" s="83"/>
      <c r="AJ601" s="84"/>
      <c r="AK601" s="84"/>
      <c r="AL601" s="84"/>
      <c r="AM601" s="84"/>
      <c r="AN601" s="84"/>
      <c r="AO601" s="84"/>
      <c r="AP601" s="84"/>
      <c r="AQ601" s="95" t="s">
        <v>573</v>
      </c>
      <c r="AR601" s="72"/>
      <c r="AS601" s="72"/>
      <c r="AT601" s="72"/>
      <c r="AU601" s="72"/>
      <c r="AV601" s="72"/>
      <c r="AW601" s="72"/>
      <c r="AX601" s="72"/>
      <c r="AY601" s="72"/>
      <c r="AZ601" s="72"/>
      <c r="BA601" s="72"/>
      <c r="BB601" s="16"/>
      <c r="BC601" s="72"/>
      <c r="BD601" s="20"/>
      <c r="BE601" s="352"/>
    </row>
    <row r="602" spans="1:57" s="81" customFormat="1" ht="12.95" hidden="1" customHeight="1">
      <c r="A602" s="348"/>
      <c r="B602" s="350"/>
      <c r="C602" s="270" t="s">
        <v>1310</v>
      </c>
      <c r="D602" s="239" t="s">
        <v>4119</v>
      </c>
      <c r="E602" s="58"/>
      <c r="F602" s="59" t="s">
        <v>4120</v>
      </c>
      <c r="G602" s="191" t="s">
        <v>2511</v>
      </c>
      <c r="H602" s="192" t="s">
        <v>574</v>
      </c>
      <c r="I602" s="61" t="s">
        <v>2511</v>
      </c>
      <c r="J602" s="61" t="s">
        <v>2511</v>
      </c>
      <c r="K602" s="62" t="s">
        <v>2511</v>
      </c>
      <c r="L602" s="60" t="s">
        <v>2511</v>
      </c>
      <c r="M602" s="61" t="s">
        <v>2389</v>
      </c>
      <c r="N602" s="61" t="s">
        <v>2511</v>
      </c>
      <c r="O602" s="61" t="s">
        <v>2511</v>
      </c>
      <c r="P602" s="62" t="s">
        <v>2511</v>
      </c>
      <c r="Q602" s="82"/>
      <c r="R602" s="82"/>
      <c r="S602" s="82"/>
      <c r="T602" s="82"/>
      <c r="U602" s="82"/>
      <c r="V602" s="138" t="s">
        <v>4121</v>
      </c>
      <c r="W602" s="57" t="s">
        <v>4094</v>
      </c>
      <c r="X602" s="126" t="s">
        <v>2511</v>
      </c>
      <c r="Y602" s="126" t="s">
        <v>2511</v>
      </c>
      <c r="Z602" s="57"/>
      <c r="AA602" s="57" t="s">
        <v>3661</v>
      </c>
      <c r="AB602" s="138"/>
      <c r="AC602" s="138" t="s">
        <v>2631</v>
      </c>
      <c r="AD602" s="96"/>
      <c r="AE602" s="80"/>
      <c r="AF602" s="80"/>
      <c r="AG602" s="80"/>
      <c r="AH602" s="83"/>
      <c r="AI602" s="83"/>
      <c r="AJ602" s="84"/>
      <c r="AK602" s="84"/>
      <c r="AL602" s="84"/>
      <c r="AM602" s="84"/>
      <c r="AN602" s="84"/>
      <c r="AO602" s="84"/>
      <c r="AP602" s="84"/>
      <c r="AQ602" s="95" t="s">
        <v>574</v>
      </c>
      <c r="AR602" s="72"/>
      <c r="AS602" s="72"/>
      <c r="AT602" s="72"/>
      <c r="AU602" s="72"/>
      <c r="AV602" s="72"/>
      <c r="AW602" s="72"/>
      <c r="AX602" s="72"/>
      <c r="AY602" s="72"/>
      <c r="AZ602" s="72"/>
      <c r="BA602" s="72"/>
      <c r="BB602" s="16"/>
      <c r="BC602" s="72"/>
      <c r="BD602" s="20"/>
      <c r="BE602" s="352"/>
    </row>
    <row r="603" spans="1:57" s="81" customFormat="1" ht="12.95" hidden="1" customHeight="1">
      <c r="A603" s="348"/>
      <c r="B603" s="350"/>
      <c r="C603" s="270" t="s">
        <v>1311</v>
      </c>
      <c r="D603" s="239" t="s">
        <v>4122</v>
      </c>
      <c r="E603" s="58"/>
      <c r="F603" s="59" t="s">
        <v>4123</v>
      </c>
      <c r="G603" s="191" t="s">
        <v>2511</v>
      </c>
      <c r="H603" s="192" t="s">
        <v>575</v>
      </c>
      <c r="I603" s="61" t="s">
        <v>2511</v>
      </c>
      <c r="J603" s="61" t="s">
        <v>2511</v>
      </c>
      <c r="K603" s="62" t="s">
        <v>2511</v>
      </c>
      <c r="L603" s="60" t="s">
        <v>2511</v>
      </c>
      <c r="M603" s="61" t="s">
        <v>2389</v>
      </c>
      <c r="N603" s="61" t="s">
        <v>2511</v>
      </c>
      <c r="O603" s="61" t="s">
        <v>2511</v>
      </c>
      <c r="P603" s="62" t="s">
        <v>2511</v>
      </c>
      <c r="Q603" s="82"/>
      <c r="R603" s="82"/>
      <c r="S603" s="82"/>
      <c r="T603" s="82"/>
      <c r="U603" s="82"/>
      <c r="V603" s="138" t="s">
        <v>4124</v>
      </c>
      <c r="W603" s="57" t="s">
        <v>4094</v>
      </c>
      <c r="X603" s="126" t="s">
        <v>2511</v>
      </c>
      <c r="Y603" s="126" t="s">
        <v>2511</v>
      </c>
      <c r="Z603" s="57"/>
      <c r="AA603" s="57" t="s">
        <v>3661</v>
      </c>
      <c r="AB603" s="138"/>
      <c r="AC603" s="138" t="s">
        <v>2631</v>
      </c>
      <c r="AD603" s="96"/>
      <c r="AE603" s="80"/>
      <c r="AF603" s="80"/>
      <c r="AG603" s="80"/>
      <c r="AH603" s="83"/>
      <c r="AI603" s="83"/>
      <c r="AJ603" s="84"/>
      <c r="AK603" s="84"/>
      <c r="AL603" s="84"/>
      <c r="AM603" s="84"/>
      <c r="AN603" s="84"/>
      <c r="AO603" s="84"/>
      <c r="AP603" s="84"/>
      <c r="AQ603" s="95" t="s">
        <v>575</v>
      </c>
      <c r="AR603" s="72"/>
      <c r="AS603" s="72"/>
      <c r="AT603" s="72"/>
      <c r="AU603" s="72"/>
      <c r="AV603" s="72"/>
      <c r="AW603" s="72"/>
      <c r="AX603" s="72"/>
      <c r="AY603" s="72"/>
      <c r="AZ603" s="72"/>
      <c r="BA603" s="72"/>
      <c r="BB603" s="16"/>
      <c r="BC603" s="72"/>
      <c r="BD603" s="20"/>
      <c r="BE603" s="352"/>
    </row>
    <row r="604" spans="1:57" s="81" customFormat="1" ht="12.95" hidden="1" customHeight="1">
      <c r="A604" s="348"/>
      <c r="B604" s="350"/>
      <c r="C604" s="248" t="s">
        <v>1312</v>
      </c>
      <c r="D604" s="239" t="s">
        <v>4125</v>
      </c>
      <c r="E604" s="58"/>
      <c r="F604" s="59" t="s">
        <v>4126</v>
      </c>
      <c r="G604" s="191" t="s">
        <v>2511</v>
      </c>
      <c r="H604" s="192" t="s">
        <v>576</v>
      </c>
      <c r="I604" s="61" t="s">
        <v>2511</v>
      </c>
      <c r="J604" s="61" t="s">
        <v>2511</v>
      </c>
      <c r="K604" s="62" t="s">
        <v>2511</v>
      </c>
      <c r="L604" s="60" t="s">
        <v>2511</v>
      </c>
      <c r="M604" s="61" t="s">
        <v>2389</v>
      </c>
      <c r="N604" s="61" t="s">
        <v>2511</v>
      </c>
      <c r="O604" s="61" t="s">
        <v>2511</v>
      </c>
      <c r="P604" s="62" t="s">
        <v>2511</v>
      </c>
      <c r="Q604" s="82"/>
      <c r="R604" s="82"/>
      <c r="S604" s="82"/>
      <c r="T604" s="82"/>
      <c r="U604" s="82"/>
      <c r="V604" s="138" t="s">
        <v>4127</v>
      </c>
      <c r="W604" s="57" t="s">
        <v>4094</v>
      </c>
      <c r="X604" s="126" t="s">
        <v>2511</v>
      </c>
      <c r="Y604" s="126" t="s">
        <v>2511</v>
      </c>
      <c r="Z604" s="57"/>
      <c r="AA604" s="57" t="s">
        <v>3661</v>
      </c>
      <c r="AB604" s="138"/>
      <c r="AC604" s="138">
        <v>0</v>
      </c>
      <c r="AD604" s="96"/>
      <c r="AE604" s="80"/>
      <c r="AF604" s="80"/>
      <c r="AG604" s="80"/>
      <c r="AH604" s="83"/>
      <c r="AI604" s="83"/>
      <c r="AJ604" s="84"/>
      <c r="AK604" s="84"/>
      <c r="AL604" s="84"/>
      <c r="AM604" s="84"/>
      <c r="AN604" s="84"/>
      <c r="AO604" s="84"/>
      <c r="AP604" s="84"/>
      <c r="AQ604" s="95" t="s">
        <v>576</v>
      </c>
      <c r="AR604" s="72"/>
      <c r="AS604" s="72"/>
      <c r="AT604" s="72"/>
      <c r="AU604" s="72"/>
      <c r="AV604" s="72"/>
      <c r="AW604" s="72"/>
      <c r="AX604" s="72"/>
      <c r="AY604" s="72"/>
      <c r="AZ604" s="72"/>
      <c r="BA604" s="72"/>
      <c r="BB604" s="16"/>
      <c r="BC604" s="72"/>
      <c r="BD604" s="20"/>
      <c r="BE604" s="352"/>
    </row>
    <row r="605" spans="1:57" s="81" customFormat="1" ht="12.95" hidden="1" customHeight="1">
      <c r="A605" s="348"/>
      <c r="B605" s="350"/>
      <c r="C605" s="248" t="s">
        <v>1313</v>
      </c>
      <c r="D605" s="239" t="s">
        <v>4128</v>
      </c>
      <c r="E605" s="58"/>
      <c r="F605" s="59" t="s">
        <v>4129</v>
      </c>
      <c r="G605" s="191" t="s">
        <v>2511</v>
      </c>
      <c r="H605" s="192" t="s">
        <v>577</v>
      </c>
      <c r="I605" s="61" t="s">
        <v>2511</v>
      </c>
      <c r="J605" s="61" t="s">
        <v>2511</v>
      </c>
      <c r="K605" s="62" t="s">
        <v>2511</v>
      </c>
      <c r="L605" s="60" t="s">
        <v>2511</v>
      </c>
      <c r="M605" s="61" t="s">
        <v>2389</v>
      </c>
      <c r="N605" s="61" t="s">
        <v>2511</v>
      </c>
      <c r="O605" s="61" t="s">
        <v>2511</v>
      </c>
      <c r="P605" s="62" t="s">
        <v>2511</v>
      </c>
      <c r="Q605" s="82"/>
      <c r="R605" s="82"/>
      <c r="S605" s="82"/>
      <c r="T605" s="82"/>
      <c r="U605" s="82"/>
      <c r="V605" s="138" t="s">
        <v>4130</v>
      </c>
      <c r="W605" s="57" t="s">
        <v>4094</v>
      </c>
      <c r="X605" s="126" t="s">
        <v>2511</v>
      </c>
      <c r="Y605" s="126" t="s">
        <v>2511</v>
      </c>
      <c r="Z605" s="57"/>
      <c r="AA605" s="57" t="s">
        <v>3661</v>
      </c>
      <c r="AB605" s="138"/>
      <c r="AC605" s="138" t="s">
        <v>2631</v>
      </c>
      <c r="AD605" s="96"/>
      <c r="AE605" s="80"/>
      <c r="AF605" s="80"/>
      <c r="AG605" s="80"/>
      <c r="AH605" s="83"/>
      <c r="AI605" s="83"/>
      <c r="AJ605" s="84"/>
      <c r="AK605" s="84"/>
      <c r="AL605" s="84"/>
      <c r="AM605" s="84"/>
      <c r="AN605" s="84"/>
      <c r="AO605" s="84"/>
      <c r="AP605" s="84"/>
      <c r="AQ605" s="95" t="s">
        <v>577</v>
      </c>
      <c r="AR605" s="72"/>
      <c r="AS605" s="72"/>
      <c r="AT605" s="72"/>
      <c r="AU605" s="72"/>
      <c r="AV605" s="72"/>
      <c r="AW605" s="72"/>
      <c r="AX605" s="72"/>
      <c r="AY605" s="72"/>
      <c r="AZ605" s="72"/>
      <c r="BA605" s="72"/>
      <c r="BB605" s="16"/>
      <c r="BC605" s="72"/>
      <c r="BD605" s="20"/>
      <c r="BE605" s="352"/>
    </row>
    <row r="606" spans="1:57" s="81" customFormat="1" ht="12.95" hidden="1" customHeight="1">
      <c r="A606" s="348"/>
      <c r="B606" s="350"/>
      <c r="C606" s="248" t="s">
        <v>1314</v>
      </c>
      <c r="D606" s="239" t="s">
        <v>4131</v>
      </c>
      <c r="E606" s="58"/>
      <c r="F606" s="59" t="s">
        <v>4132</v>
      </c>
      <c r="G606" s="191" t="s">
        <v>2511</v>
      </c>
      <c r="H606" s="192" t="s">
        <v>578</v>
      </c>
      <c r="I606" s="61" t="s">
        <v>2511</v>
      </c>
      <c r="J606" s="61" t="s">
        <v>2511</v>
      </c>
      <c r="K606" s="62" t="s">
        <v>2511</v>
      </c>
      <c r="L606" s="60" t="s">
        <v>2511</v>
      </c>
      <c r="M606" s="61" t="s">
        <v>2389</v>
      </c>
      <c r="N606" s="61" t="s">
        <v>2511</v>
      </c>
      <c r="O606" s="61" t="s">
        <v>2511</v>
      </c>
      <c r="P606" s="62" t="s">
        <v>2511</v>
      </c>
      <c r="Q606" s="82"/>
      <c r="R606" s="82"/>
      <c r="S606" s="82"/>
      <c r="T606" s="82"/>
      <c r="U606" s="82"/>
      <c r="V606" s="138" t="s">
        <v>4133</v>
      </c>
      <c r="W606" s="57" t="s">
        <v>4094</v>
      </c>
      <c r="X606" s="126" t="s">
        <v>2511</v>
      </c>
      <c r="Y606" s="126" t="s">
        <v>2511</v>
      </c>
      <c r="Z606" s="57"/>
      <c r="AA606" s="57" t="s">
        <v>3661</v>
      </c>
      <c r="AB606" s="138"/>
      <c r="AC606" s="138" t="s">
        <v>2631</v>
      </c>
      <c r="AD606" s="96"/>
      <c r="AE606" s="80"/>
      <c r="AF606" s="80"/>
      <c r="AG606" s="80"/>
      <c r="AH606" s="83"/>
      <c r="AI606" s="83"/>
      <c r="AJ606" s="84"/>
      <c r="AK606" s="84"/>
      <c r="AL606" s="84"/>
      <c r="AM606" s="84"/>
      <c r="AN606" s="84"/>
      <c r="AO606" s="84"/>
      <c r="AP606" s="84"/>
      <c r="AQ606" s="95" t="s">
        <v>578</v>
      </c>
      <c r="AR606" s="72"/>
      <c r="AS606" s="72"/>
      <c r="AT606" s="72"/>
      <c r="AU606" s="72"/>
      <c r="AV606" s="72"/>
      <c r="AW606" s="72"/>
      <c r="AX606" s="72"/>
      <c r="AY606" s="72"/>
      <c r="AZ606" s="72"/>
      <c r="BA606" s="72"/>
      <c r="BB606" s="16"/>
      <c r="BC606" s="72"/>
      <c r="BD606" s="20"/>
      <c r="BE606" s="352"/>
    </row>
    <row r="607" spans="1:57" s="81" customFormat="1" ht="12.95" hidden="1" customHeight="1">
      <c r="A607" s="348"/>
      <c r="B607" s="350"/>
      <c r="C607" s="248" t="s">
        <v>1315</v>
      </c>
      <c r="D607" s="239" t="s">
        <v>4134</v>
      </c>
      <c r="E607" s="58"/>
      <c r="F607" s="59" t="s">
        <v>4135</v>
      </c>
      <c r="G607" s="191" t="s">
        <v>2511</v>
      </c>
      <c r="H607" s="192" t="s">
        <v>579</v>
      </c>
      <c r="I607" s="61" t="s">
        <v>2511</v>
      </c>
      <c r="J607" s="61" t="s">
        <v>2511</v>
      </c>
      <c r="K607" s="62" t="s">
        <v>2511</v>
      </c>
      <c r="L607" s="60" t="s">
        <v>2511</v>
      </c>
      <c r="M607" s="61" t="s">
        <v>2389</v>
      </c>
      <c r="N607" s="61" t="s">
        <v>2511</v>
      </c>
      <c r="O607" s="61" t="s">
        <v>2511</v>
      </c>
      <c r="P607" s="62" t="s">
        <v>2511</v>
      </c>
      <c r="Q607" s="82"/>
      <c r="R607" s="82"/>
      <c r="S607" s="82"/>
      <c r="T607" s="82"/>
      <c r="U607" s="82"/>
      <c r="V607" s="138" t="s">
        <v>4136</v>
      </c>
      <c r="W607" s="57" t="s">
        <v>4094</v>
      </c>
      <c r="X607" s="126" t="s">
        <v>2511</v>
      </c>
      <c r="Y607" s="126" t="s">
        <v>2511</v>
      </c>
      <c r="Z607" s="57"/>
      <c r="AA607" s="57" t="s">
        <v>3661</v>
      </c>
      <c r="AB607" s="138"/>
      <c r="AC607" s="138" t="s">
        <v>2631</v>
      </c>
      <c r="AD607" s="96"/>
      <c r="AE607" s="80"/>
      <c r="AF607" s="80"/>
      <c r="AG607" s="80"/>
      <c r="AH607" s="83"/>
      <c r="AI607" s="83"/>
      <c r="AJ607" s="84"/>
      <c r="AK607" s="84"/>
      <c r="AL607" s="84"/>
      <c r="AM607" s="84"/>
      <c r="AN607" s="84"/>
      <c r="AO607" s="84"/>
      <c r="AP607" s="84"/>
      <c r="AQ607" s="95" t="s">
        <v>579</v>
      </c>
      <c r="AR607" s="72"/>
      <c r="AS607" s="72"/>
      <c r="AT607" s="72"/>
      <c r="AU607" s="72"/>
      <c r="AV607" s="72"/>
      <c r="AW607" s="72"/>
      <c r="AX607" s="72"/>
      <c r="AY607" s="72"/>
      <c r="AZ607" s="72"/>
      <c r="BA607" s="72"/>
      <c r="BB607" s="16"/>
      <c r="BC607" s="72"/>
      <c r="BD607" s="20"/>
      <c r="BE607" s="352"/>
    </row>
    <row r="608" spans="1:57" s="81" customFormat="1" ht="12.95" hidden="1" customHeight="1">
      <c r="A608" s="348"/>
      <c r="B608" s="350"/>
      <c r="C608" s="248" t="s">
        <v>1316</v>
      </c>
      <c r="D608" s="239" t="s">
        <v>4137</v>
      </c>
      <c r="E608" s="58"/>
      <c r="F608" s="59" t="s">
        <v>4138</v>
      </c>
      <c r="G608" s="191" t="s">
        <v>2511</v>
      </c>
      <c r="H608" s="192" t="s">
        <v>580</v>
      </c>
      <c r="I608" s="61" t="s">
        <v>2511</v>
      </c>
      <c r="J608" s="61" t="s">
        <v>2511</v>
      </c>
      <c r="K608" s="62" t="s">
        <v>2511</v>
      </c>
      <c r="L608" s="60" t="s">
        <v>2511</v>
      </c>
      <c r="M608" s="61" t="s">
        <v>2389</v>
      </c>
      <c r="N608" s="61" t="s">
        <v>2511</v>
      </c>
      <c r="O608" s="61" t="s">
        <v>2511</v>
      </c>
      <c r="P608" s="62" t="s">
        <v>2511</v>
      </c>
      <c r="Q608" s="82"/>
      <c r="R608" s="82"/>
      <c r="S608" s="82"/>
      <c r="T608" s="82"/>
      <c r="U608" s="82"/>
      <c r="V608" s="138" t="s">
        <v>4139</v>
      </c>
      <c r="W608" s="57" t="s">
        <v>4094</v>
      </c>
      <c r="X608" s="126" t="s">
        <v>2511</v>
      </c>
      <c r="Y608" s="126" t="s">
        <v>2511</v>
      </c>
      <c r="Z608" s="57"/>
      <c r="AA608" s="57" t="s">
        <v>3661</v>
      </c>
      <c r="AB608" s="138"/>
      <c r="AC608" s="138" t="s">
        <v>2631</v>
      </c>
      <c r="AD608" s="96"/>
      <c r="AE608" s="80"/>
      <c r="AF608" s="80"/>
      <c r="AG608" s="80"/>
      <c r="AH608" s="83"/>
      <c r="AI608" s="83"/>
      <c r="AJ608" s="84"/>
      <c r="AK608" s="84"/>
      <c r="AL608" s="84"/>
      <c r="AM608" s="84"/>
      <c r="AN608" s="84"/>
      <c r="AO608" s="84"/>
      <c r="AP608" s="84"/>
      <c r="AQ608" s="95" t="s">
        <v>580</v>
      </c>
      <c r="AR608" s="72"/>
      <c r="AS608" s="72"/>
      <c r="AT608" s="72"/>
      <c r="AU608" s="72"/>
      <c r="AV608" s="72"/>
      <c r="AW608" s="72"/>
      <c r="AX608" s="72"/>
      <c r="AY608" s="72"/>
      <c r="AZ608" s="72"/>
      <c r="BA608" s="72"/>
      <c r="BB608" s="16"/>
      <c r="BC608" s="72"/>
      <c r="BD608" s="20"/>
      <c r="BE608" s="352"/>
    </row>
    <row r="609" spans="1:57" s="81" customFormat="1" ht="12.95" hidden="1" customHeight="1">
      <c r="A609" s="348"/>
      <c r="B609" s="350"/>
      <c r="C609" s="248" t="s">
        <v>1317</v>
      </c>
      <c r="D609" s="239" t="s">
        <v>4140</v>
      </c>
      <c r="E609" s="58"/>
      <c r="F609" s="59" t="s">
        <v>4141</v>
      </c>
      <c r="G609" s="191" t="s">
        <v>2511</v>
      </c>
      <c r="H609" s="192" t="s">
        <v>581</v>
      </c>
      <c r="I609" s="61" t="s">
        <v>2511</v>
      </c>
      <c r="J609" s="61" t="s">
        <v>2511</v>
      </c>
      <c r="K609" s="62" t="s">
        <v>2511</v>
      </c>
      <c r="L609" s="60" t="s">
        <v>2511</v>
      </c>
      <c r="M609" s="61" t="s">
        <v>2389</v>
      </c>
      <c r="N609" s="61" t="s">
        <v>2511</v>
      </c>
      <c r="O609" s="61" t="s">
        <v>2511</v>
      </c>
      <c r="P609" s="62" t="s">
        <v>2511</v>
      </c>
      <c r="Q609" s="82"/>
      <c r="R609" s="82"/>
      <c r="S609" s="82"/>
      <c r="T609" s="82"/>
      <c r="U609" s="82"/>
      <c r="V609" s="138" t="s">
        <v>4142</v>
      </c>
      <c r="W609" s="57" t="s">
        <v>4094</v>
      </c>
      <c r="X609" s="126" t="s">
        <v>2511</v>
      </c>
      <c r="Y609" s="126" t="s">
        <v>2511</v>
      </c>
      <c r="Z609" s="57"/>
      <c r="AA609" s="57" t="s">
        <v>3661</v>
      </c>
      <c r="AB609" s="138"/>
      <c r="AC609" s="138" t="s">
        <v>2631</v>
      </c>
      <c r="AD609" s="96"/>
      <c r="AE609" s="80"/>
      <c r="AF609" s="80"/>
      <c r="AG609" s="80"/>
      <c r="AH609" s="83"/>
      <c r="AI609" s="83"/>
      <c r="AJ609" s="84"/>
      <c r="AK609" s="84"/>
      <c r="AL609" s="84"/>
      <c r="AM609" s="84"/>
      <c r="AN609" s="84"/>
      <c r="AO609" s="84"/>
      <c r="AP609" s="84"/>
      <c r="AQ609" s="95" t="s">
        <v>581</v>
      </c>
      <c r="AR609" s="72"/>
      <c r="AS609" s="72"/>
      <c r="AT609" s="72"/>
      <c r="AU609" s="72"/>
      <c r="AV609" s="72"/>
      <c r="AW609" s="72"/>
      <c r="AX609" s="72"/>
      <c r="AY609" s="72"/>
      <c r="AZ609" s="72"/>
      <c r="BA609" s="72"/>
      <c r="BB609" s="16"/>
      <c r="BC609" s="72"/>
      <c r="BD609" s="20"/>
      <c r="BE609" s="352"/>
    </row>
    <row r="610" spans="1:57" s="81" customFormat="1" ht="12.95" hidden="1" customHeight="1">
      <c r="A610" s="348"/>
      <c r="B610" s="350"/>
      <c r="C610" s="248" t="s">
        <v>1318</v>
      </c>
      <c r="D610" s="239" t="s">
        <v>4143</v>
      </c>
      <c r="E610" s="58"/>
      <c r="F610" s="59" t="s">
        <v>4144</v>
      </c>
      <c r="G610" s="191" t="s">
        <v>2511</v>
      </c>
      <c r="H610" s="192" t="s">
        <v>582</v>
      </c>
      <c r="I610" s="61" t="s">
        <v>2511</v>
      </c>
      <c r="J610" s="61" t="s">
        <v>2511</v>
      </c>
      <c r="K610" s="62" t="s">
        <v>2511</v>
      </c>
      <c r="L610" s="60" t="s">
        <v>2511</v>
      </c>
      <c r="M610" s="61" t="s">
        <v>2389</v>
      </c>
      <c r="N610" s="61" t="s">
        <v>2511</v>
      </c>
      <c r="O610" s="61" t="s">
        <v>2511</v>
      </c>
      <c r="P610" s="62" t="s">
        <v>2511</v>
      </c>
      <c r="Q610" s="82"/>
      <c r="R610" s="82"/>
      <c r="S610" s="82"/>
      <c r="T610" s="82"/>
      <c r="U610" s="82"/>
      <c r="V610" s="138" t="s">
        <v>4145</v>
      </c>
      <c r="W610" s="57" t="s">
        <v>4094</v>
      </c>
      <c r="X610" s="126" t="s">
        <v>2511</v>
      </c>
      <c r="Y610" s="126" t="s">
        <v>2511</v>
      </c>
      <c r="Z610" s="57"/>
      <c r="AA610" s="57" t="s">
        <v>3661</v>
      </c>
      <c r="AB610" s="138"/>
      <c r="AC610" s="138" t="s">
        <v>2631</v>
      </c>
      <c r="AD610" s="96"/>
      <c r="AE610" s="80"/>
      <c r="AF610" s="80"/>
      <c r="AG610" s="80"/>
      <c r="AH610" s="83"/>
      <c r="AI610" s="83"/>
      <c r="AJ610" s="84"/>
      <c r="AK610" s="84"/>
      <c r="AL610" s="84"/>
      <c r="AM610" s="84"/>
      <c r="AN610" s="84"/>
      <c r="AO610" s="84"/>
      <c r="AP610" s="84"/>
      <c r="AQ610" s="95" t="s">
        <v>582</v>
      </c>
      <c r="AR610" s="72"/>
      <c r="AS610" s="72"/>
      <c r="AT610" s="72"/>
      <c r="AU610" s="72"/>
      <c r="AV610" s="72"/>
      <c r="AW610" s="72"/>
      <c r="AX610" s="72"/>
      <c r="AY610" s="72"/>
      <c r="AZ610" s="72"/>
      <c r="BA610" s="72"/>
      <c r="BB610" s="16"/>
      <c r="BC610" s="72"/>
      <c r="BD610" s="20"/>
      <c r="BE610" s="352"/>
    </row>
    <row r="611" spans="1:57" s="81" customFormat="1" ht="12.95" hidden="1" customHeight="1">
      <c r="A611" s="348"/>
      <c r="B611" s="350"/>
      <c r="C611" s="248" t="s">
        <v>1319</v>
      </c>
      <c r="D611" s="239" t="s">
        <v>4146</v>
      </c>
      <c r="E611" s="58"/>
      <c r="F611" s="59" t="s">
        <v>4147</v>
      </c>
      <c r="G611" s="191" t="s">
        <v>2511</v>
      </c>
      <c r="H611" s="192" t="s">
        <v>583</v>
      </c>
      <c r="I611" s="61" t="s">
        <v>2511</v>
      </c>
      <c r="J611" s="61" t="s">
        <v>2511</v>
      </c>
      <c r="K611" s="62" t="s">
        <v>2511</v>
      </c>
      <c r="L611" s="60" t="s">
        <v>2511</v>
      </c>
      <c r="M611" s="61" t="s">
        <v>2389</v>
      </c>
      <c r="N611" s="61" t="s">
        <v>2511</v>
      </c>
      <c r="O611" s="61" t="s">
        <v>2511</v>
      </c>
      <c r="P611" s="62" t="s">
        <v>2511</v>
      </c>
      <c r="Q611" s="82"/>
      <c r="R611" s="82"/>
      <c r="S611" s="82"/>
      <c r="T611" s="82"/>
      <c r="U611" s="82"/>
      <c r="V611" s="138" t="s">
        <v>4148</v>
      </c>
      <c r="W611" s="57" t="s">
        <v>4094</v>
      </c>
      <c r="X611" s="126" t="s">
        <v>2511</v>
      </c>
      <c r="Y611" s="126" t="s">
        <v>2511</v>
      </c>
      <c r="Z611" s="57"/>
      <c r="AA611" s="57" t="s">
        <v>3661</v>
      </c>
      <c r="AB611" s="138"/>
      <c r="AC611" s="138" t="s">
        <v>2631</v>
      </c>
      <c r="AD611" s="96"/>
      <c r="AE611" s="80"/>
      <c r="AF611" s="80"/>
      <c r="AG611" s="80"/>
      <c r="AH611" s="83"/>
      <c r="AI611" s="83"/>
      <c r="AJ611" s="84"/>
      <c r="AK611" s="84"/>
      <c r="AL611" s="84"/>
      <c r="AM611" s="84"/>
      <c r="AN611" s="84"/>
      <c r="AO611" s="84"/>
      <c r="AP611" s="84"/>
      <c r="AQ611" s="95" t="s">
        <v>583</v>
      </c>
      <c r="AR611" s="72"/>
      <c r="AS611" s="72"/>
      <c r="AT611" s="72"/>
      <c r="AU611" s="72"/>
      <c r="AV611" s="72"/>
      <c r="AW611" s="72"/>
      <c r="AX611" s="72"/>
      <c r="AY611" s="72"/>
      <c r="AZ611" s="72"/>
      <c r="BA611" s="72"/>
      <c r="BB611" s="16"/>
      <c r="BC611" s="72"/>
      <c r="BD611" s="20"/>
      <c r="BE611" s="352"/>
    </row>
    <row r="612" spans="1:57" s="81" customFormat="1" ht="12.95" hidden="1" customHeight="1">
      <c r="A612" s="348"/>
      <c r="B612" s="350"/>
      <c r="C612" s="248" t="s">
        <v>1320</v>
      </c>
      <c r="D612" s="239" t="s">
        <v>4149</v>
      </c>
      <c r="E612" s="58"/>
      <c r="F612" s="59" t="s">
        <v>4150</v>
      </c>
      <c r="G612" s="191" t="s">
        <v>2511</v>
      </c>
      <c r="H612" s="192" t="s">
        <v>584</v>
      </c>
      <c r="I612" s="61" t="s">
        <v>2511</v>
      </c>
      <c r="J612" s="61" t="s">
        <v>2511</v>
      </c>
      <c r="K612" s="62" t="s">
        <v>2511</v>
      </c>
      <c r="L612" s="60" t="s">
        <v>2511</v>
      </c>
      <c r="M612" s="61" t="s">
        <v>2389</v>
      </c>
      <c r="N612" s="61" t="s">
        <v>2511</v>
      </c>
      <c r="O612" s="61" t="s">
        <v>2511</v>
      </c>
      <c r="P612" s="62" t="s">
        <v>2511</v>
      </c>
      <c r="Q612" s="82"/>
      <c r="R612" s="82"/>
      <c r="S612" s="82"/>
      <c r="T612" s="82"/>
      <c r="U612" s="82"/>
      <c r="V612" s="138" t="s">
        <v>4151</v>
      </c>
      <c r="W612" s="57" t="s">
        <v>4094</v>
      </c>
      <c r="X612" s="126" t="s">
        <v>2511</v>
      </c>
      <c r="Y612" s="126" t="s">
        <v>2511</v>
      </c>
      <c r="Z612" s="57"/>
      <c r="AA612" s="57" t="s">
        <v>3661</v>
      </c>
      <c r="AB612" s="138"/>
      <c r="AC612" s="138" t="s">
        <v>2631</v>
      </c>
      <c r="AD612" s="96"/>
      <c r="AE612" s="80"/>
      <c r="AF612" s="80"/>
      <c r="AG612" s="80"/>
      <c r="AH612" s="83"/>
      <c r="AI612" s="83"/>
      <c r="AJ612" s="84"/>
      <c r="AK612" s="84"/>
      <c r="AL612" s="84"/>
      <c r="AM612" s="84"/>
      <c r="AN612" s="84"/>
      <c r="AO612" s="84"/>
      <c r="AP612" s="84"/>
      <c r="AQ612" s="95" t="s">
        <v>584</v>
      </c>
      <c r="AR612" s="72"/>
      <c r="AS612" s="72"/>
      <c r="AT612" s="72"/>
      <c r="AU612" s="72"/>
      <c r="AV612" s="72"/>
      <c r="AW612" s="72"/>
      <c r="AX612" s="72"/>
      <c r="AY612" s="72"/>
      <c r="AZ612" s="72"/>
      <c r="BA612" s="72"/>
      <c r="BB612" s="16"/>
      <c r="BC612" s="72"/>
      <c r="BD612" s="20"/>
      <c r="BE612" s="352"/>
    </row>
    <row r="613" spans="1:57" s="81" customFormat="1" ht="12.95" hidden="1" customHeight="1">
      <c r="A613" s="348"/>
      <c r="B613" s="350"/>
      <c r="C613" s="248" t="s">
        <v>1321</v>
      </c>
      <c r="D613" s="239" t="s">
        <v>4152</v>
      </c>
      <c r="E613" s="58"/>
      <c r="F613" s="59" t="s">
        <v>4153</v>
      </c>
      <c r="G613" s="191" t="s">
        <v>2511</v>
      </c>
      <c r="H613" s="192" t="s">
        <v>585</v>
      </c>
      <c r="I613" s="61" t="s">
        <v>2511</v>
      </c>
      <c r="J613" s="61" t="s">
        <v>2511</v>
      </c>
      <c r="K613" s="62" t="s">
        <v>2511</v>
      </c>
      <c r="L613" s="60" t="s">
        <v>2511</v>
      </c>
      <c r="M613" s="61" t="s">
        <v>2389</v>
      </c>
      <c r="N613" s="61" t="s">
        <v>2511</v>
      </c>
      <c r="O613" s="61" t="s">
        <v>2511</v>
      </c>
      <c r="P613" s="62" t="s">
        <v>2511</v>
      </c>
      <c r="Q613" s="82"/>
      <c r="R613" s="82"/>
      <c r="S613" s="82"/>
      <c r="T613" s="82"/>
      <c r="U613" s="82"/>
      <c r="V613" s="138" t="s">
        <v>4154</v>
      </c>
      <c r="W613" s="57" t="s">
        <v>4094</v>
      </c>
      <c r="X613" s="126" t="s">
        <v>2511</v>
      </c>
      <c r="Y613" s="126" t="s">
        <v>2511</v>
      </c>
      <c r="Z613" s="57"/>
      <c r="AA613" s="57" t="s">
        <v>3661</v>
      </c>
      <c r="AB613" s="138"/>
      <c r="AC613" s="138" t="s">
        <v>2631</v>
      </c>
      <c r="AD613" s="96"/>
      <c r="AE613" s="80"/>
      <c r="AF613" s="80"/>
      <c r="AG613" s="80"/>
      <c r="AH613" s="83"/>
      <c r="AI613" s="83"/>
      <c r="AJ613" s="84"/>
      <c r="AK613" s="84"/>
      <c r="AL613" s="84"/>
      <c r="AM613" s="84"/>
      <c r="AN613" s="84"/>
      <c r="AO613" s="84"/>
      <c r="AP613" s="84"/>
      <c r="AQ613" s="95" t="s">
        <v>585</v>
      </c>
      <c r="AR613" s="72"/>
      <c r="AS613" s="72"/>
      <c r="AT613" s="72"/>
      <c r="AU613" s="72"/>
      <c r="AV613" s="72"/>
      <c r="AW613" s="72"/>
      <c r="AX613" s="72"/>
      <c r="AY613" s="72"/>
      <c r="AZ613" s="72"/>
      <c r="BA613" s="72"/>
      <c r="BB613" s="16"/>
      <c r="BC613" s="72"/>
      <c r="BD613" s="20"/>
      <c r="BE613" s="352"/>
    </row>
    <row r="614" spans="1:57" s="81" customFormat="1" ht="12.95" hidden="1" customHeight="1">
      <c r="A614" s="348"/>
      <c r="B614" s="350"/>
      <c r="C614" s="270" t="s">
        <v>1322</v>
      </c>
      <c r="D614" s="239" t="s">
        <v>4155</v>
      </c>
      <c r="E614" s="58"/>
      <c r="F614" s="59" t="s">
        <v>4156</v>
      </c>
      <c r="G614" s="191" t="s">
        <v>2511</v>
      </c>
      <c r="H614" s="192" t="s">
        <v>586</v>
      </c>
      <c r="I614" s="61" t="s">
        <v>2511</v>
      </c>
      <c r="J614" s="61" t="s">
        <v>2511</v>
      </c>
      <c r="K614" s="62" t="s">
        <v>2511</v>
      </c>
      <c r="L614" s="60" t="s">
        <v>2511</v>
      </c>
      <c r="M614" s="61" t="s">
        <v>2389</v>
      </c>
      <c r="N614" s="61" t="s">
        <v>2511</v>
      </c>
      <c r="O614" s="61" t="s">
        <v>2511</v>
      </c>
      <c r="P614" s="62" t="s">
        <v>2511</v>
      </c>
      <c r="Q614" s="82"/>
      <c r="R614" s="82"/>
      <c r="S614" s="82"/>
      <c r="T614" s="82"/>
      <c r="U614" s="82"/>
      <c r="V614" s="138" t="s">
        <v>4157</v>
      </c>
      <c r="W614" s="57" t="s">
        <v>4094</v>
      </c>
      <c r="X614" s="126" t="s">
        <v>2511</v>
      </c>
      <c r="Y614" s="126" t="s">
        <v>2511</v>
      </c>
      <c r="Z614" s="57"/>
      <c r="AA614" s="57" t="s">
        <v>3661</v>
      </c>
      <c r="AB614" s="138"/>
      <c r="AC614" s="138" t="s">
        <v>2631</v>
      </c>
      <c r="AD614" s="96"/>
      <c r="AE614" s="80"/>
      <c r="AF614" s="80"/>
      <c r="AG614" s="80"/>
      <c r="AH614" s="83"/>
      <c r="AI614" s="83"/>
      <c r="AJ614" s="84"/>
      <c r="AK614" s="84"/>
      <c r="AL614" s="84"/>
      <c r="AM614" s="84"/>
      <c r="AN614" s="84"/>
      <c r="AO614" s="84"/>
      <c r="AP614" s="84"/>
      <c r="AQ614" s="95" t="s">
        <v>586</v>
      </c>
      <c r="AR614" s="72"/>
      <c r="AS614" s="72"/>
      <c r="AT614" s="72"/>
      <c r="AU614" s="72"/>
      <c r="AV614" s="72"/>
      <c r="AW614" s="72"/>
      <c r="AX614" s="72"/>
      <c r="AY614" s="72"/>
      <c r="AZ614" s="72"/>
      <c r="BA614" s="72"/>
      <c r="BB614" s="16"/>
      <c r="BC614" s="72"/>
      <c r="BD614" s="20"/>
      <c r="BE614" s="352"/>
    </row>
    <row r="615" spans="1:57" s="81" customFormat="1" ht="12.95" hidden="1" customHeight="1">
      <c r="A615" s="348"/>
      <c r="B615" s="350"/>
      <c r="C615" s="270" t="s">
        <v>1323</v>
      </c>
      <c r="D615" s="239" t="s">
        <v>4158</v>
      </c>
      <c r="E615" s="58"/>
      <c r="F615" s="59" t="s">
        <v>4159</v>
      </c>
      <c r="G615" s="191" t="s">
        <v>2511</v>
      </c>
      <c r="H615" s="192" t="s">
        <v>587</v>
      </c>
      <c r="I615" s="61" t="s">
        <v>2511</v>
      </c>
      <c r="J615" s="61" t="s">
        <v>2511</v>
      </c>
      <c r="K615" s="62" t="s">
        <v>2511</v>
      </c>
      <c r="L615" s="60" t="s">
        <v>2511</v>
      </c>
      <c r="M615" s="61" t="s">
        <v>2389</v>
      </c>
      <c r="N615" s="61" t="s">
        <v>2511</v>
      </c>
      <c r="O615" s="61" t="s">
        <v>2511</v>
      </c>
      <c r="P615" s="62" t="s">
        <v>2511</v>
      </c>
      <c r="Q615" s="82"/>
      <c r="R615" s="82"/>
      <c r="S615" s="82"/>
      <c r="T615" s="82"/>
      <c r="U615" s="82"/>
      <c r="V615" s="138" t="s">
        <v>4160</v>
      </c>
      <c r="W615" s="57" t="s">
        <v>4094</v>
      </c>
      <c r="X615" s="126" t="s">
        <v>2511</v>
      </c>
      <c r="Y615" s="126" t="s">
        <v>2511</v>
      </c>
      <c r="Z615" s="57"/>
      <c r="AA615" s="57" t="s">
        <v>3661</v>
      </c>
      <c r="AB615" s="138"/>
      <c r="AC615" s="138" t="s">
        <v>2631</v>
      </c>
      <c r="AD615" s="96"/>
      <c r="AE615" s="80"/>
      <c r="AF615" s="80"/>
      <c r="AG615" s="80"/>
      <c r="AH615" s="83"/>
      <c r="AI615" s="83"/>
      <c r="AJ615" s="84"/>
      <c r="AK615" s="84"/>
      <c r="AL615" s="84"/>
      <c r="AM615" s="84"/>
      <c r="AN615" s="84"/>
      <c r="AO615" s="84"/>
      <c r="AP615" s="84"/>
      <c r="AQ615" s="95" t="s">
        <v>587</v>
      </c>
      <c r="AR615" s="72"/>
      <c r="AS615" s="72"/>
      <c r="AT615" s="72"/>
      <c r="AU615" s="72"/>
      <c r="AV615" s="72"/>
      <c r="AW615" s="72"/>
      <c r="AX615" s="72"/>
      <c r="AY615" s="72"/>
      <c r="AZ615" s="72"/>
      <c r="BA615" s="72"/>
      <c r="BB615" s="16"/>
      <c r="BC615" s="72"/>
      <c r="BD615" s="20"/>
      <c r="BE615" s="352"/>
    </row>
    <row r="616" spans="1:57" s="81" customFormat="1" ht="12.95" hidden="1" customHeight="1">
      <c r="A616" s="348"/>
      <c r="B616" s="350"/>
      <c r="C616" s="248" t="s">
        <v>1324</v>
      </c>
      <c r="D616" s="239" t="s">
        <v>4161</v>
      </c>
      <c r="E616" s="58"/>
      <c r="F616" s="59" t="s">
        <v>4162</v>
      </c>
      <c r="G616" s="191" t="s">
        <v>2511</v>
      </c>
      <c r="H616" s="192" t="s">
        <v>588</v>
      </c>
      <c r="I616" s="61" t="s">
        <v>2511</v>
      </c>
      <c r="J616" s="61" t="s">
        <v>2511</v>
      </c>
      <c r="K616" s="62" t="s">
        <v>2511</v>
      </c>
      <c r="L616" s="60" t="s">
        <v>2511</v>
      </c>
      <c r="M616" s="61" t="s">
        <v>2389</v>
      </c>
      <c r="N616" s="61" t="s">
        <v>2511</v>
      </c>
      <c r="O616" s="61" t="s">
        <v>2511</v>
      </c>
      <c r="P616" s="62" t="s">
        <v>2511</v>
      </c>
      <c r="Q616" s="82"/>
      <c r="R616" s="82"/>
      <c r="S616" s="82"/>
      <c r="T616" s="82"/>
      <c r="U616" s="82"/>
      <c r="V616" s="138" t="s">
        <v>4163</v>
      </c>
      <c r="W616" s="57" t="s">
        <v>4094</v>
      </c>
      <c r="X616" s="126" t="s">
        <v>2511</v>
      </c>
      <c r="Y616" s="126" t="s">
        <v>2511</v>
      </c>
      <c r="Z616" s="57"/>
      <c r="AA616" s="57" t="s">
        <v>3661</v>
      </c>
      <c r="AB616" s="138"/>
      <c r="AC616" s="138">
        <v>0</v>
      </c>
      <c r="AD616" s="96"/>
      <c r="AE616" s="80"/>
      <c r="AF616" s="80"/>
      <c r="AG616" s="80"/>
      <c r="AH616" s="83"/>
      <c r="AI616" s="83"/>
      <c r="AJ616" s="84"/>
      <c r="AK616" s="84"/>
      <c r="AL616" s="84"/>
      <c r="AM616" s="84"/>
      <c r="AN616" s="84"/>
      <c r="AO616" s="84"/>
      <c r="AP616" s="84"/>
      <c r="AQ616" s="95" t="s">
        <v>588</v>
      </c>
      <c r="AR616" s="72"/>
      <c r="AS616" s="72"/>
      <c r="AT616" s="72"/>
      <c r="AU616" s="72"/>
      <c r="AV616" s="72"/>
      <c r="AW616" s="72"/>
      <c r="AX616" s="72"/>
      <c r="AY616" s="72"/>
      <c r="AZ616" s="72"/>
      <c r="BA616" s="72"/>
      <c r="BB616" s="16"/>
      <c r="BC616" s="72"/>
      <c r="BD616" s="20"/>
      <c r="BE616" s="352"/>
    </row>
    <row r="617" spans="1:57" s="81" customFormat="1" ht="12.95" hidden="1" customHeight="1">
      <c r="A617" s="348"/>
      <c r="B617" s="350"/>
      <c r="C617" s="248" t="s">
        <v>1325</v>
      </c>
      <c r="D617" s="239" t="s">
        <v>4164</v>
      </c>
      <c r="E617" s="58"/>
      <c r="F617" s="59" t="s">
        <v>4165</v>
      </c>
      <c r="G617" s="191" t="s">
        <v>2511</v>
      </c>
      <c r="H617" s="192" t="s">
        <v>589</v>
      </c>
      <c r="I617" s="61" t="s">
        <v>2511</v>
      </c>
      <c r="J617" s="61" t="s">
        <v>2511</v>
      </c>
      <c r="K617" s="62" t="s">
        <v>2511</v>
      </c>
      <c r="L617" s="60" t="s">
        <v>2511</v>
      </c>
      <c r="M617" s="61" t="s">
        <v>2389</v>
      </c>
      <c r="N617" s="61" t="s">
        <v>2511</v>
      </c>
      <c r="O617" s="61" t="s">
        <v>2511</v>
      </c>
      <c r="P617" s="62" t="s">
        <v>2511</v>
      </c>
      <c r="Q617" s="82"/>
      <c r="R617" s="82"/>
      <c r="S617" s="82"/>
      <c r="T617" s="82"/>
      <c r="U617" s="82"/>
      <c r="V617" s="138" t="s">
        <v>4166</v>
      </c>
      <c r="W617" s="57" t="s">
        <v>4094</v>
      </c>
      <c r="X617" s="126" t="s">
        <v>2511</v>
      </c>
      <c r="Y617" s="126" t="s">
        <v>2511</v>
      </c>
      <c r="Z617" s="57"/>
      <c r="AA617" s="57" t="s">
        <v>3661</v>
      </c>
      <c r="AB617" s="138"/>
      <c r="AC617" s="138" t="s">
        <v>2631</v>
      </c>
      <c r="AD617" s="96"/>
      <c r="AE617" s="80"/>
      <c r="AF617" s="80"/>
      <c r="AG617" s="80"/>
      <c r="AH617" s="83"/>
      <c r="AI617" s="83"/>
      <c r="AJ617" s="84"/>
      <c r="AK617" s="84"/>
      <c r="AL617" s="84"/>
      <c r="AM617" s="84"/>
      <c r="AN617" s="84"/>
      <c r="AO617" s="84"/>
      <c r="AP617" s="84"/>
      <c r="AQ617" s="95" t="s">
        <v>589</v>
      </c>
      <c r="AR617" s="72"/>
      <c r="AS617" s="72"/>
      <c r="AT617" s="72"/>
      <c r="AU617" s="72"/>
      <c r="AV617" s="72"/>
      <c r="AW617" s="72"/>
      <c r="AX617" s="72"/>
      <c r="AY617" s="72"/>
      <c r="AZ617" s="72"/>
      <c r="BA617" s="72"/>
      <c r="BB617" s="16"/>
      <c r="BC617" s="72"/>
      <c r="BD617" s="20"/>
      <c r="BE617" s="352"/>
    </row>
    <row r="618" spans="1:57" s="81" customFormat="1" ht="12.95" hidden="1" customHeight="1">
      <c r="A618" s="348"/>
      <c r="B618" s="350"/>
      <c r="C618" s="248" t="s">
        <v>1326</v>
      </c>
      <c r="D618" s="239" t="s">
        <v>4167</v>
      </c>
      <c r="E618" s="58"/>
      <c r="F618" s="59" t="s">
        <v>4168</v>
      </c>
      <c r="G618" s="191" t="s">
        <v>2511</v>
      </c>
      <c r="H618" s="192" t="s">
        <v>590</v>
      </c>
      <c r="I618" s="61" t="s">
        <v>2511</v>
      </c>
      <c r="J618" s="61" t="s">
        <v>2511</v>
      </c>
      <c r="K618" s="62" t="s">
        <v>2511</v>
      </c>
      <c r="L618" s="60" t="s">
        <v>2511</v>
      </c>
      <c r="M618" s="61" t="s">
        <v>2389</v>
      </c>
      <c r="N618" s="61" t="s">
        <v>2511</v>
      </c>
      <c r="O618" s="61" t="s">
        <v>2511</v>
      </c>
      <c r="P618" s="62" t="s">
        <v>2511</v>
      </c>
      <c r="Q618" s="82"/>
      <c r="R618" s="82"/>
      <c r="S618" s="82"/>
      <c r="T618" s="82"/>
      <c r="U618" s="82"/>
      <c r="V618" s="138" t="s">
        <v>4169</v>
      </c>
      <c r="W618" s="57" t="s">
        <v>4094</v>
      </c>
      <c r="X618" s="126" t="s">
        <v>2511</v>
      </c>
      <c r="Y618" s="126" t="s">
        <v>2511</v>
      </c>
      <c r="Z618" s="57"/>
      <c r="AA618" s="57" t="s">
        <v>3661</v>
      </c>
      <c r="AB618" s="138"/>
      <c r="AC618" s="138" t="s">
        <v>2631</v>
      </c>
      <c r="AD618" s="96"/>
      <c r="AE618" s="80"/>
      <c r="AF618" s="80"/>
      <c r="AG618" s="80"/>
      <c r="AH618" s="83"/>
      <c r="AI618" s="83"/>
      <c r="AJ618" s="84"/>
      <c r="AK618" s="84"/>
      <c r="AL618" s="84"/>
      <c r="AM618" s="84"/>
      <c r="AN618" s="84"/>
      <c r="AO618" s="84"/>
      <c r="AP618" s="84"/>
      <c r="AQ618" s="95" t="s">
        <v>590</v>
      </c>
      <c r="AR618" s="72"/>
      <c r="AS618" s="72"/>
      <c r="AT618" s="72"/>
      <c r="AU618" s="72"/>
      <c r="AV618" s="72"/>
      <c r="AW618" s="72"/>
      <c r="AX618" s="72"/>
      <c r="AY618" s="72"/>
      <c r="AZ618" s="72"/>
      <c r="BA618" s="72"/>
      <c r="BB618" s="16"/>
      <c r="BC618" s="72"/>
      <c r="BD618" s="20"/>
      <c r="BE618" s="352"/>
    </row>
    <row r="619" spans="1:57" s="81" customFormat="1" ht="12.95" hidden="1" customHeight="1">
      <c r="A619" s="348"/>
      <c r="B619" s="350"/>
      <c r="C619" s="248" t="s">
        <v>1327</v>
      </c>
      <c r="D619" s="239" t="s">
        <v>4170</v>
      </c>
      <c r="E619" s="58"/>
      <c r="F619" s="59" t="s">
        <v>4171</v>
      </c>
      <c r="G619" s="191" t="s">
        <v>2511</v>
      </c>
      <c r="H619" s="192" t="s">
        <v>591</v>
      </c>
      <c r="I619" s="61" t="s">
        <v>2511</v>
      </c>
      <c r="J619" s="61" t="s">
        <v>2511</v>
      </c>
      <c r="K619" s="62" t="s">
        <v>2511</v>
      </c>
      <c r="L619" s="60" t="s">
        <v>2511</v>
      </c>
      <c r="M619" s="61" t="s">
        <v>2389</v>
      </c>
      <c r="N619" s="61" t="s">
        <v>2511</v>
      </c>
      <c r="O619" s="61" t="s">
        <v>2511</v>
      </c>
      <c r="P619" s="62" t="s">
        <v>2511</v>
      </c>
      <c r="Q619" s="82"/>
      <c r="R619" s="82"/>
      <c r="S619" s="82"/>
      <c r="T619" s="82"/>
      <c r="U619" s="82"/>
      <c r="V619" s="138" t="s">
        <v>4172</v>
      </c>
      <c r="W619" s="57" t="s">
        <v>4094</v>
      </c>
      <c r="X619" s="126" t="s">
        <v>2511</v>
      </c>
      <c r="Y619" s="126" t="s">
        <v>2511</v>
      </c>
      <c r="Z619" s="57"/>
      <c r="AA619" s="57" t="s">
        <v>3661</v>
      </c>
      <c r="AB619" s="138"/>
      <c r="AC619" s="138" t="s">
        <v>2631</v>
      </c>
      <c r="AD619" s="96"/>
      <c r="AE619" s="80"/>
      <c r="AF619" s="80"/>
      <c r="AG619" s="80"/>
      <c r="AH619" s="83"/>
      <c r="AI619" s="83"/>
      <c r="AJ619" s="84"/>
      <c r="AK619" s="84"/>
      <c r="AL619" s="84"/>
      <c r="AM619" s="84"/>
      <c r="AN619" s="84"/>
      <c r="AO619" s="84"/>
      <c r="AP619" s="84"/>
      <c r="AQ619" s="95" t="s">
        <v>591</v>
      </c>
      <c r="AR619" s="72"/>
      <c r="AS619" s="72"/>
      <c r="AT619" s="72"/>
      <c r="AU619" s="72"/>
      <c r="AV619" s="72"/>
      <c r="AW619" s="72"/>
      <c r="AX619" s="72"/>
      <c r="AY619" s="72"/>
      <c r="AZ619" s="72"/>
      <c r="BA619" s="72"/>
      <c r="BB619" s="16"/>
      <c r="BC619" s="72"/>
      <c r="BD619" s="20"/>
      <c r="BE619" s="352"/>
    </row>
    <row r="620" spans="1:57" s="81" customFormat="1" ht="12.95" hidden="1" customHeight="1">
      <c r="A620" s="348"/>
      <c r="B620" s="350"/>
      <c r="C620" s="248" t="s">
        <v>1328</v>
      </c>
      <c r="D620" s="239" t="s">
        <v>4173</v>
      </c>
      <c r="E620" s="58"/>
      <c r="F620" s="59" t="s">
        <v>4174</v>
      </c>
      <c r="G620" s="191" t="s">
        <v>2511</v>
      </c>
      <c r="H620" s="192" t="s">
        <v>592</v>
      </c>
      <c r="I620" s="61" t="s">
        <v>2511</v>
      </c>
      <c r="J620" s="61" t="s">
        <v>2511</v>
      </c>
      <c r="K620" s="62" t="s">
        <v>2511</v>
      </c>
      <c r="L620" s="60" t="s">
        <v>2511</v>
      </c>
      <c r="M620" s="61" t="s">
        <v>2389</v>
      </c>
      <c r="N620" s="61" t="s">
        <v>2511</v>
      </c>
      <c r="O620" s="61" t="s">
        <v>2511</v>
      </c>
      <c r="P620" s="62" t="s">
        <v>2511</v>
      </c>
      <c r="Q620" s="82"/>
      <c r="R620" s="82"/>
      <c r="S620" s="82"/>
      <c r="T620" s="82"/>
      <c r="U620" s="82"/>
      <c r="V620" s="138" t="s">
        <v>4175</v>
      </c>
      <c r="W620" s="57" t="s">
        <v>4094</v>
      </c>
      <c r="X620" s="126" t="s">
        <v>2511</v>
      </c>
      <c r="Y620" s="126" t="s">
        <v>2511</v>
      </c>
      <c r="Z620" s="57"/>
      <c r="AA620" s="57" t="s">
        <v>3661</v>
      </c>
      <c r="AB620" s="138"/>
      <c r="AC620" s="138" t="s">
        <v>2631</v>
      </c>
      <c r="AD620" s="96"/>
      <c r="AE620" s="80"/>
      <c r="AF620" s="80"/>
      <c r="AG620" s="80"/>
      <c r="AH620" s="83"/>
      <c r="AI620" s="83"/>
      <c r="AJ620" s="84"/>
      <c r="AK620" s="84"/>
      <c r="AL620" s="84"/>
      <c r="AM620" s="84"/>
      <c r="AN620" s="84"/>
      <c r="AO620" s="84"/>
      <c r="AP620" s="84"/>
      <c r="AQ620" s="95" t="s">
        <v>592</v>
      </c>
      <c r="AR620" s="72"/>
      <c r="AS620" s="72"/>
      <c r="AT620" s="72"/>
      <c r="AU620" s="72"/>
      <c r="AV620" s="72"/>
      <c r="AW620" s="72"/>
      <c r="AX620" s="72"/>
      <c r="AY620" s="72"/>
      <c r="AZ620" s="72"/>
      <c r="BA620" s="72"/>
      <c r="BB620" s="16"/>
      <c r="BC620" s="72"/>
      <c r="BD620" s="20"/>
      <c r="BE620" s="352"/>
    </row>
    <row r="621" spans="1:57" s="81" customFormat="1" ht="12.95" hidden="1" customHeight="1">
      <c r="A621" s="348"/>
      <c r="B621" s="350"/>
      <c r="C621" s="248" t="s">
        <v>1329</v>
      </c>
      <c r="D621" s="239" t="s">
        <v>4176</v>
      </c>
      <c r="E621" s="58"/>
      <c r="F621" s="59" t="s">
        <v>4177</v>
      </c>
      <c r="G621" s="191" t="s">
        <v>2511</v>
      </c>
      <c r="H621" s="192" t="s">
        <v>593</v>
      </c>
      <c r="I621" s="61" t="s">
        <v>2511</v>
      </c>
      <c r="J621" s="61" t="s">
        <v>2511</v>
      </c>
      <c r="K621" s="62" t="s">
        <v>2511</v>
      </c>
      <c r="L621" s="60" t="s">
        <v>2511</v>
      </c>
      <c r="M621" s="61" t="s">
        <v>2389</v>
      </c>
      <c r="N621" s="61" t="s">
        <v>2511</v>
      </c>
      <c r="O621" s="61" t="s">
        <v>2511</v>
      </c>
      <c r="P621" s="62" t="s">
        <v>2511</v>
      </c>
      <c r="Q621" s="82"/>
      <c r="R621" s="82"/>
      <c r="S621" s="82"/>
      <c r="T621" s="82"/>
      <c r="U621" s="82"/>
      <c r="V621" s="138" t="s">
        <v>4178</v>
      </c>
      <c r="W621" s="57" t="s">
        <v>4094</v>
      </c>
      <c r="X621" s="126" t="s">
        <v>2511</v>
      </c>
      <c r="Y621" s="126" t="s">
        <v>2511</v>
      </c>
      <c r="Z621" s="57"/>
      <c r="AA621" s="57" t="s">
        <v>3661</v>
      </c>
      <c r="AB621" s="138"/>
      <c r="AC621" s="138" t="s">
        <v>2631</v>
      </c>
      <c r="AD621" s="96"/>
      <c r="AE621" s="80"/>
      <c r="AF621" s="80"/>
      <c r="AG621" s="80"/>
      <c r="AH621" s="83"/>
      <c r="AI621" s="83"/>
      <c r="AJ621" s="84"/>
      <c r="AK621" s="84"/>
      <c r="AL621" s="84"/>
      <c r="AM621" s="84"/>
      <c r="AN621" s="84"/>
      <c r="AO621" s="84"/>
      <c r="AP621" s="84"/>
      <c r="AQ621" s="95" t="s">
        <v>593</v>
      </c>
      <c r="AR621" s="72"/>
      <c r="AS621" s="72"/>
      <c r="AT621" s="72"/>
      <c r="AU621" s="72"/>
      <c r="AV621" s="72"/>
      <c r="AW621" s="72"/>
      <c r="AX621" s="72"/>
      <c r="AY621" s="72"/>
      <c r="AZ621" s="72"/>
      <c r="BA621" s="72"/>
      <c r="BB621" s="16"/>
      <c r="BC621" s="72"/>
      <c r="BD621" s="20"/>
      <c r="BE621" s="352"/>
    </row>
    <row r="622" spans="1:57" s="81" customFormat="1" ht="12.95" hidden="1" customHeight="1">
      <c r="A622" s="348"/>
      <c r="B622" s="350"/>
      <c r="C622" s="248" t="s">
        <v>1330</v>
      </c>
      <c r="D622" s="239" t="s">
        <v>4179</v>
      </c>
      <c r="E622" s="58"/>
      <c r="F622" s="59" t="s">
        <v>4180</v>
      </c>
      <c r="G622" s="191" t="s">
        <v>2511</v>
      </c>
      <c r="H622" s="192" t="s">
        <v>594</v>
      </c>
      <c r="I622" s="61" t="s">
        <v>2511</v>
      </c>
      <c r="J622" s="61" t="s">
        <v>2511</v>
      </c>
      <c r="K622" s="62" t="s">
        <v>2511</v>
      </c>
      <c r="L622" s="60" t="s">
        <v>2511</v>
      </c>
      <c r="M622" s="61" t="s">
        <v>2389</v>
      </c>
      <c r="N622" s="61" t="s">
        <v>2511</v>
      </c>
      <c r="O622" s="61" t="s">
        <v>2511</v>
      </c>
      <c r="P622" s="62" t="s">
        <v>2511</v>
      </c>
      <c r="Q622" s="82"/>
      <c r="R622" s="82"/>
      <c r="S622" s="82"/>
      <c r="T622" s="82"/>
      <c r="U622" s="82"/>
      <c r="V622" s="138" t="s">
        <v>4181</v>
      </c>
      <c r="W622" s="57" t="s">
        <v>4094</v>
      </c>
      <c r="X622" s="126" t="s">
        <v>2511</v>
      </c>
      <c r="Y622" s="126" t="s">
        <v>2511</v>
      </c>
      <c r="Z622" s="57"/>
      <c r="AA622" s="57" t="s">
        <v>3661</v>
      </c>
      <c r="AB622" s="138"/>
      <c r="AC622" s="138" t="s">
        <v>2631</v>
      </c>
      <c r="AD622" s="96"/>
      <c r="AE622" s="80"/>
      <c r="AF622" s="80"/>
      <c r="AG622" s="80"/>
      <c r="AH622" s="83"/>
      <c r="AI622" s="83"/>
      <c r="AJ622" s="84"/>
      <c r="AK622" s="84"/>
      <c r="AL622" s="84"/>
      <c r="AM622" s="84"/>
      <c r="AN622" s="84"/>
      <c r="AO622" s="84"/>
      <c r="AP622" s="84"/>
      <c r="AQ622" s="95" t="s">
        <v>594</v>
      </c>
      <c r="AR622" s="72"/>
      <c r="AS622" s="72"/>
      <c r="AT622" s="72"/>
      <c r="AU622" s="72"/>
      <c r="AV622" s="72"/>
      <c r="AW622" s="72"/>
      <c r="AX622" s="72"/>
      <c r="AY622" s="72"/>
      <c r="AZ622" s="72"/>
      <c r="BA622" s="72"/>
      <c r="BB622" s="16"/>
      <c r="BC622" s="72"/>
      <c r="BD622" s="20"/>
      <c r="BE622" s="352"/>
    </row>
    <row r="623" spans="1:57" s="81" customFormat="1" ht="12.95" hidden="1" customHeight="1">
      <c r="A623" s="348"/>
      <c r="B623" s="350"/>
      <c r="C623" s="248" t="s">
        <v>1331</v>
      </c>
      <c r="D623" s="239" t="s">
        <v>4182</v>
      </c>
      <c r="E623" s="58"/>
      <c r="F623" s="59" t="s">
        <v>4183</v>
      </c>
      <c r="G623" s="191" t="s">
        <v>2511</v>
      </c>
      <c r="H623" s="192" t="s">
        <v>595</v>
      </c>
      <c r="I623" s="61" t="s">
        <v>2511</v>
      </c>
      <c r="J623" s="61" t="s">
        <v>2511</v>
      </c>
      <c r="K623" s="62" t="s">
        <v>2511</v>
      </c>
      <c r="L623" s="60" t="s">
        <v>2511</v>
      </c>
      <c r="M623" s="61" t="s">
        <v>2389</v>
      </c>
      <c r="N623" s="61" t="s">
        <v>2511</v>
      </c>
      <c r="O623" s="61" t="s">
        <v>2511</v>
      </c>
      <c r="P623" s="62" t="s">
        <v>2511</v>
      </c>
      <c r="Q623" s="82"/>
      <c r="R623" s="82"/>
      <c r="S623" s="82"/>
      <c r="T623" s="82"/>
      <c r="U623" s="82"/>
      <c r="V623" s="138" t="s">
        <v>4184</v>
      </c>
      <c r="W623" s="57" t="s">
        <v>4094</v>
      </c>
      <c r="X623" s="126" t="s">
        <v>2511</v>
      </c>
      <c r="Y623" s="126" t="s">
        <v>2511</v>
      </c>
      <c r="Z623" s="57"/>
      <c r="AA623" s="57" t="s">
        <v>3661</v>
      </c>
      <c r="AB623" s="138"/>
      <c r="AC623" s="138" t="s">
        <v>2631</v>
      </c>
      <c r="AD623" s="96"/>
      <c r="AE623" s="80"/>
      <c r="AF623" s="80"/>
      <c r="AG623" s="80"/>
      <c r="AH623" s="83"/>
      <c r="AI623" s="83"/>
      <c r="AJ623" s="84"/>
      <c r="AK623" s="84"/>
      <c r="AL623" s="84"/>
      <c r="AM623" s="84"/>
      <c r="AN623" s="84"/>
      <c r="AO623" s="84"/>
      <c r="AP623" s="84"/>
      <c r="AQ623" s="95" t="s">
        <v>595</v>
      </c>
      <c r="AR623" s="72"/>
      <c r="AS623" s="72"/>
      <c r="AT623" s="72"/>
      <c r="AU623" s="72"/>
      <c r="AV623" s="72"/>
      <c r="AW623" s="72"/>
      <c r="AX623" s="72"/>
      <c r="AY623" s="72"/>
      <c r="AZ623" s="72"/>
      <c r="BA623" s="72"/>
      <c r="BB623" s="16"/>
      <c r="BC623" s="72"/>
      <c r="BD623" s="20"/>
      <c r="BE623" s="352"/>
    </row>
    <row r="624" spans="1:57" s="81" customFormat="1" ht="12.95" hidden="1" customHeight="1">
      <c r="A624" s="348"/>
      <c r="B624" s="350"/>
      <c r="C624" s="248" t="s">
        <v>1332</v>
      </c>
      <c r="D624" s="239" t="s">
        <v>4185</v>
      </c>
      <c r="E624" s="58"/>
      <c r="F624" s="59" t="s">
        <v>4186</v>
      </c>
      <c r="G624" s="191" t="s">
        <v>2511</v>
      </c>
      <c r="H624" s="192" t="s">
        <v>596</v>
      </c>
      <c r="I624" s="61" t="s">
        <v>2511</v>
      </c>
      <c r="J624" s="61" t="s">
        <v>2511</v>
      </c>
      <c r="K624" s="62" t="s">
        <v>2511</v>
      </c>
      <c r="L624" s="60" t="s">
        <v>2511</v>
      </c>
      <c r="M624" s="61" t="s">
        <v>2389</v>
      </c>
      <c r="N624" s="61" t="s">
        <v>2511</v>
      </c>
      <c r="O624" s="61" t="s">
        <v>2511</v>
      </c>
      <c r="P624" s="62" t="s">
        <v>2511</v>
      </c>
      <c r="Q624" s="82"/>
      <c r="R624" s="82"/>
      <c r="S624" s="82"/>
      <c r="T624" s="82"/>
      <c r="U624" s="82"/>
      <c r="V624" s="138" t="s">
        <v>4187</v>
      </c>
      <c r="W624" s="57" t="s">
        <v>4094</v>
      </c>
      <c r="X624" s="126" t="s">
        <v>2511</v>
      </c>
      <c r="Y624" s="126" t="s">
        <v>2511</v>
      </c>
      <c r="Z624" s="57"/>
      <c r="AA624" s="57" t="s">
        <v>3661</v>
      </c>
      <c r="AB624" s="138"/>
      <c r="AC624" s="138" t="s">
        <v>2631</v>
      </c>
      <c r="AD624" s="96"/>
      <c r="AE624" s="80"/>
      <c r="AF624" s="80"/>
      <c r="AG624" s="80"/>
      <c r="AH624" s="83"/>
      <c r="AI624" s="83"/>
      <c r="AJ624" s="84"/>
      <c r="AK624" s="84"/>
      <c r="AL624" s="84"/>
      <c r="AM624" s="84"/>
      <c r="AN624" s="84"/>
      <c r="AO624" s="84"/>
      <c r="AP624" s="84"/>
      <c r="AQ624" s="95" t="s">
        <v>596</v>
      </c>
      <c r="AR624" s="72"/>
      <c r="AS624" s="72"/>
      <c r="AT624" s="72"/>
      <c r="AU624" s="72"/>
      <c r="AV624" s="72"/>
      <c r="AW624" s="72"/>
      <c r="AX624" s="72"/>
      <c r="AY624" s="72"/>
      <c r="AZ624" s="72"/>
      <c r="BA624" s="72"/>
      <c r="BB624" s="16"/>
      <c r="BC624" s="72"/>
      <c r="BD624" s="20"/>
      <c r="BE624" s="352"/>
    </row>
    <row r="625" spans="1:57" s="81" customFormat="1" ht="12.95" hidden="1" customHeight="1">
      <c r="A625" s="348"/>
      <c r="B625" s="350"/>
      <c r="C625" s="248" t="s">
        <v>1333</v>
      </c>
      <c r="D625" s="239" t="s">
        <v>4188</v>
      </c>
      <c r="E625" s="58"/>
      <c r="F625" s="59" t="s">
        <v>4189</v>
      </c>
      <c r="G625" s="191" t="s">
        <v>2511</v>
      </c>
      <c r="H625" s="192" t="s">
        <v>597</v>
      </c>
      <c r="I625" s="61" t="s">
        <v>2511</v>
      </c>
      <c r="J625" s="61" t="s">
        <v>2511</v>
      </c>
      <c r="K625" s="62" t="s">
        <v>2511</v>
      </c>
      <c r="L625" s="60" t="s">
        <v>2511</v>
      </c>
      <c r="M625" s="61" t="s">
        <v>2389</v>
      </c>
      <c r="N625" s="61" t="s">
        <v>2511</v>
      </c>
      <c r="O625" s="61" t="s">
        <v>2511</v>
      </c>
      <c r="P625" s="62" t="s">
        <v>2511</v>
      </c>
      <c r="Q625" s="82"/>
      <c r="R625" s="82"/>
      <c r="S625" s="82"/>
      <c r="T625" s="82"/>
      <c r="U625" s="82"/>
      <c r="V625" s="138" t="s">
        <v>4190</v>
      </c>
      <c r="W625" s="57" t="s">
        <v>4094</v>
      </c>
      <c r="X625" s="126" t="s">
        <v>2511</v>
      </c>
      <c r="Y625" s="126" t="s">
        <v>2511</v>
      </c>
      <c r="Z625" s="57"/>
      <c r="AA625" s="57" t="s">
        <v>3661</v>
      </c>
      <c r="AB625" s="138"/>
      <c r="AC625" s="138" t="s">
        <v>2631</v>
      </c>
      <c r="AD625" s="96"/>
      <c r="AE625" s="80"/>
      <c r="AF625" s="80"/>
      <c r="AG625" s="80"/>
      <c r="AH625" s="83"/>
      <c r="AI625" s="83"/>
      <c r="AJ625" s="84"/>
      <c r="AK625" s="84"/>
      <c r="AL625" s="84"/>
      <c r="AM625" s="84"/>
      <c r="AN625" s="84"/>
      <c r="AO625" s="84"/>
      <c r="AP625" s="84"/>
      <c r="AQ625" s="95" t="s">
        <v>597</v>
      </c>
      <c r="AR625" s="72"/>
      <c r="AS625" s="72"/>
      <c r="AT625" s="72"/>
      <c r="AU625" s="72"/>
      <c r="AV625" s="72"/>
      <c r="AW625" s="72"/>
      <c r="AX625" s="72"/>
      <c r="AY625" s="72"/>
      <c r="AZ625" s="72"/>
      <c r="BA625" s="72"/>
      <c r="BB625" s="16"/>
      <c r="BC625" s="72"/>
      <c r="BD625" s="20"/>
      <c r="BE625" s="352"/>
    </row>
    <row r="626" spans="1:57" s="81" customFormat="1" ht="12.95" hidden="1" customHeight="1">
      <c r="A626" s="348"/>
      <c r="B626" s="350"/>
      <c r="C626" s="270" t="s">
        <v>1334</v>
      </c>
      <c r="D626" s="239" t="s">
        <v>4191</v>
      </c>
      <c r="E626" s="58"/>
      <c r="F626" s="59" t="s">
        <v>4192</v>
      </c>
      <c r="G626" s="191" t="s">
        <v>2511</v>
      </c>
      <c r="H626" s="192" t="s">
        <v>598</v>
      </c>
      <c r="I626" s="61" t="s">
        <v>2511</v>
      </c>
      <c r="J626" s="61" t="s">
        <v>2511</v>
      </c>
      <c r="K626" s="62" t="s">
        <v>2511</v>
      </c>
      <c r="L626" s="60" t="s">
        <v>2511</v>
      </c>
      <c r="M626" s="61" t="s">
        <v>2389</v>
      </c>
      <c r="N626" s="61" t="s">
        <v>2511</v>
      </c>
      <c r="O626" s="61" t="s">
        <v>2511</v>
      </c>
      <c r="P626" s="62" t="s">
        <v>2511</v>
      </c>
      <c r="Q626" s="82"/>
      <c r="R626" s="82"/>
      <c r="S626" s="82"/>
      <c r="T626" s="82"/>
      <c r="U626" s="82"/>
      <c r="V626" s="138" t="s">
        <v>4193</v>
      </c>
      <c r="W626" s="57" t="s">
        <v>4094</v>
      </c>
      <c r="X626" s="126" t="s">
        <v>2511</v>
      </c>
      <c r="Y626" s="126" t="s">
        <v>2511</v>
      </c>
      <c r="Z626" s="57"/>
      <c r="AA626" s="57" t="s">
        <v>3661</v>
      </c>
      <c r="AB626" s="138"/>
      <c r="AC626" s="138" t="s">
        <v>2631</v>
      </c>
      <c r="AD626" s="96"/>
      <c r="AE626" s="80"/>
      <c r="AF626" s="80"/>
      <c r="AG626" s="80"/>
      <c r="AH626" s="83"/>
      <c r="AI626" s="83"/>
      <c r="AJ626" s="84"/>
      <c r="AK626" s="84"/>
      <c r="AL626" s="84"/>
      <c r="AM626" s="84"/>
      <c r="AN626" s="84"/>
      <c r="AO626" s="84"/>
      <c r="AP626" s="84"/>
      <c r="AQ626" s="95" t="s">
        <v>598</v>
      </c>
      <c r="AR626" s="72"/>
      <c r="AS626" s="72"/>
      <c r="AT626" s="72"/>
      <c r="AU626" s="72"/>
      <c r="AV626" s="72"/>
      <c r="AW626" s="72"/>
      <c r="AX626" s="72"/>
      <c r="AY626" s="72"/>
      <c r="AZ626" s="72"/>
      <c r="BA626" s="72"/>
      <c r="BB626" s="16"/>
      <c r="BC626" s="72"/>
      <c r="BD626" s="20"/>
      <c r="BE626" s="352"/>
    </row>
    <row r="627" spans="1:57" s="81" customFormat="1" ht="12.95" hidden="1" customHeight="1">
      <c r="A627" s="348"/>
      <c r="B627" s="350"/>
      <c r="C627" s="270" t="s">
        <v>1335</v>
      </c>
      <c r="D627" s="239" t="s">
        <v>4194</v>
      </c>
      <c r="E627" s="58"/>
      <c r="F627" s="59" t="s">
        <v>4195</v>
      </c>
      <c r="G627" s="191" t="s">
        <v>2511</v>
      </c>
      <c r="H627" s="192" t="s">
        <v>599</v>
      </c>
      <c r="I627" s="61" t="s">
        <v>2511</v>
      </c>
      <c r="J627" s="61" t="s">
        <v>2511</v>
      </c>
      <c r="K627" s="62" t="s">
        <v>2511</v>
      </c>
      <c r="L627" s="60" t="s">
        <v>2511</v>
      </c>
      <c r="M627" s="61" t="s">
        <v>2389</v>
      </c>
      <c r="N627" s="61" t="s">
        <v>2511</v>
      </c>
      <c r="O627" s="61" t="s">
        <v>2511</v>
      </c>
      <c r="P627" s="62" t="s">
        <v>2511</v>
      </c>
      <c r="Q627" s="82"/>
      <c r="R627" s="82"/>
      <c r="S627" s="82"/>
      <c r="T627" s="82"/>
      <c r="U627" s="82"/>
      <c r="V627" s="138" t="s">
        <v>4196</v>
      </c>
      <c r="W627" s="57" t="s">
        <v>4094</v>
      </c>
      <c r="X627" s="126" t="s">
        <v>2511</v>
      </c>
      <c r="Y627" s="126" t="s">
        <v>2511</v>
      </c>
      <c r="Z627" s="57"/>
      <c r="AA627" s="57" t="s">
        <v>3661</v>
      </c>
      <c r="AB627" s="138"/>
      <c r="AC627" s="138" t="s">
        <v>2631</v>
      </c>
      <c r="AD627" s="96"/>
      <c r="AE627" s="80"/>
      <c r="AF627" s="80"/>
      <c r="AG627" s="80"/>
      <c r="AH627" s="83"/>
      <c r="AI627" s="83"/>
      <c r="AJ627" s="84"/>
      <c r="AK627" s="84"/>
      <c r="AL627" s="84"/>
      <c r="AM627" s="84"/>
      <c r="AN627" s="84"/>
      <c r="AO627" s="84"/>
      <c r="AP627" s="84"/>
      <c r="AQ627" s="95" t="s">
        <v>599</v>
      </c>
      <c r="AR627" s="72"/>
      <c r="AS627" s="72"/>
      <c r="AT627" s="72"/>
      <c r="AU627" s="72"/>
      <c r="AV627" s="72"/>
      <c r="AW627" s="72"/>
      <c r="AX627" s="72"/>
      <c r="AY627" s="72"/>
      <c r="AZ627" s="72"/>
      <c r="BA627" s="72"/>
      <c r="BB627" s="16"/>
      <c r="BC627" s="72"/>
      <c r="BD627" s="20"/>
      <c r="BE627" s="352"/>
    </row>
    <row r="628" spans="1:57" s="81" customFormat="1" ht="12.95" hidden="1" customHeight="1">
      <c r="A628" s="348"/>
      <c r="B628" s="350"/>
      <c r="C628" s="248" t="s">
        <v>1336</v>
      </c>
      <c r="D628" s="239" t="s">
        <v>4197</v>
      </c>
      <c r="E628" s="58"/>
      <c r="F628" s="59" t="s">
        <v>4198</v>
      </c>
      <c r="G628" s="191" t="s">
        <v>2511</v>
      </c>
      <c r="H628" s="192" t="s">
        <v>600</v>
      </c>
      <c r="I628" s="61" t="s">
        <v>2511</v>
      </c>
      <c r="J628" s="61" t="s">
        <v>2511</v>
      </c>
      <c r="K628" s="62" t="s">
        <v>2511</v>
      </c>
      <c r="L628" s="60" t="s">
        <v>2511</v>
      </c>
      <c r="M628" s="61" t="s">
        <v>2389</v>
      </c>
      <c r="N628" s="61" t="s">
        <v>2511</v>
      </c>
      <c r="O628" s="61" t="s">
        <v>2511</v>
      </c>
      <c r="P628" s="62" t="s">
        <v>2511</v>
      </c>
      <c r="Q628" s="82"/>
      <c r="R628" s="82"/>
      <c r="S628" s="82"/>
      <c r="T628" s="82"/>
      <c r="U628" s="82"/>
      <c r="V628" s="138" t="s">
        <v>4199</v>
      </c>
      <c r="W628" s="57" t="s">
        <v>4094</v>
      </c>
      <c r="X628" s="126" t="s">
        <v>2511</v>
      </c>
      <c r="Y628" s="126" t="s">
        <v>2511</v>
      </c>
      <c r="Z628" s="57"/>
      <c r="AA628" s="57" t="s">
        <v>3661</v>
      </c>
      <c r="AB628" s="138"/>
      <c r="AC628" s="138">
        <v>0</v>
      </c>
      <c r="AD628" s="96"/>
      <c r="AE628" s="80"/>
      <c r="AF628" s="80"/>
      <c r="AG628" s="80"/>
      <c r="AH628" s="83"/>
      <c r="AI628" s="83"/>
      <c r="AJ628" s="84"/>
      <c r="AK628" s="84"/>
      <c r="AL628" s="84"/>
      <c r="AM628" s="84"/>
      <c r="AN628" s="84"/>
      <c r="AO628" s="84"/>
      <c r="AP628" s="84"/>
      <c r="AQ628" s="95" t="s">
        <v>600</v>
      </c>
      <c r="AR628" s="72"/>
      <c r="AS628" s="72"/>
      <c r="AT628" s="72"/>
      <c r="AU628" s="72"/>
      <c r="AV628" s="72"/>
      <c r="AW628" s="72"/>
      <c r="AX628" s="72"/>
      <c r="AY628" s="72"/>
      <c r="AZ628" s="72"/>
      <c r="BA628" s="72"/>
      <c r="BB628" s="16"/>
      <c r="BC628" s="72"/>
      <c r="BD628" s="20"/>
      <c r="BE628" s="352"/>
    </row>
    <row r="629" spans="1:57" s="81" customFormat="1" ht="12.95" hidden="1" customHeight="1">
      <c r="A629" s="348"/>
      <c r="B629" s="350"/>
      <c r="C629" s="248" t="s">
        <v>1337</v>
      </c>
      <c r="D629" s="239" t="s">
        <v>4200</v>
      </c>
      <c r="E629" s="58"/>
      <c r="F629" s="59" t="s">
        <v>4201</v>
      </c>
      <c r="G629" s="191" t="s">
        <v>2511</v>
      </c>
      <c r="H629" s="192" t="s">
        <v>601</v>
      </c>
      <c r="I629" s="61" t="s">
        <v>2511</v>
      </c>
      <c r="J629" s="61" t="s">
        <v>2511</v>
      </c>
      <c r="K629" s="62" t="s">
        <v>2511</v>
      </c>
      <c r="L629" s="60" t="s">
        <v>2511</v>
      </c>
      <c r="M629" s="61" t="s">
        <v>2389</v>
      </c>
      <c r="N629" s="61" t="s">
        <v>2511</v>
      </c>
      <c r="O629" s="61" t="s">
        <v>2511</v>
      </c>
      <c r="P629" s="62" t="s">
        <v>2511</v>
      </c>
      <c r="Q629" s="82"/>
      <c r="R629" s="82"/>
      <c r="S629" s="82"/>
      <c r="T629" s="82"/>
      <c r="U629" s="82"/>
      <c r="V629" s="138" t="s">
        <v>4202</v>
      </c>
      <c r="W629" s="57" t="s">
        <v>4094</v>
      </c>
      <c r="X629" s="126" t="s">
        <v>2511</v>
      </c>
      <c r="Y629" s="126" t="s">
        <v>2511</v>
      </c>
      <c r="Z629" s="57"/>
      <c r="AA629" s="57" t="s">
        <v>3661</v>
      </c>
      <c r="AB629" s="138"/>
      <c r="AC629" s="138" t="s">
        <v>2631</v>
      </c>
      <c r="AD629" s="96"/>
      <c r="AE629" s="80"/>
      <c r="AF629" s="80"/>
      <c r="AG629" s="80"/>
      <c r="AH629" s="83"/>
      <c r="AI629" s="83"/>
      <c r="AJ629" s="84"/>
      <c r="AK629" s="84"/>
      <c r="AL629" s="84"/>
      <c r="AM629" s="84"/>
      <c r="AN629" s="84"/>
      <c r="AO629" s="84"/>
      <c r="AP629" s="84"/>
      <c r="AQ629" s="95" t="s">
        <v>601</v>
      </c>
      <c r="AR629" s="72"/>
      <c r="AS629" s="72"/>
      <c r="AT629" s="72"/>
      <c r="AU629" s="72"/>
      <c r="AV629" s="72"/>
      <c r="AW629" s="72"/>
      <c r="AX629" s="72"/>
      <c r="AY629" s="72"/>
      <c r="AZ629" s="72"/>
      <c r="BA629" s="72"/>
      <c r="BB629" s="16"/>
      <c r="BC629" s="72"/>
      <c r="BD629" s="20"/>
      <c r="BE629" s="352"/>
    </row>
    <row r="630" spans="1:57" s="81" customFormat="1" ht="12.95" hidden="1" customHeight="1">
      <c r="A630" s="348"/>
      <c r="B630" s="350"/>
      <c r="C630" s="248" t="s">
        <v>1338</v>
      </c>
      <c r="D630" s="239" t="s">
        <v>4203</v>
      </c>
      <c r="E630" s="58"/>
      <c r="F630" s="59" t="s">
        <v>4204</v>
      </c>
      <c r="G630" s="191" t="s">
        <v>2511</v>
      </c>
      <c r="H630" s="192" t="s">
        <v>602</v>
      </c>
      <c r="I630" s="61" t="s">
        <v>2511</v>
      </c>
      <c r="J630" s="61" t="s">
        <v>2511</v>
      </c>
      <c r="K630" s="62" t="s">
        <v>2511</v>
      </c>
      <c r="L630" s="60" t="s">
        <v>2511</v>
      </c>
      <c r="M630" s="61" t="s">
        <v>2389</v>
      </c>
      <c r="N630" s="61" t="s">
        <v>2511</v>
      </c>
      <c r="O630" s="61" t="s">
        <v>2511</v>
      </c>
      <c r="P630" s="62" t="s">
        <v>2511</v>
      </c>
      <c r="Q630" s="82"/>
      <c r="R630" s="82"/>
      <c r="S630" s="82"/>
      <c r="T630" s="82"/>
      <c r="U630" s="82"/>
      <c r="V630" s="138" t="s">
        <v>4205</v>
      </c>
      <c r="W630" s="57" t="s">
        <v>4094</v>
      </c>
      <c r="X630" s="126" t="s">
        <v>2511</v>
      </c>
      <c r="Y630" s="126" t="s">
        <v>2511</v>
      </c>
      <c r="Z630" s="57"/>
      <c r="AA630" s="57" t="s">
        <v>3661</v>
      </c>
      <c r="AB630" s="138"/>
      <c r="AC630" s="138" t="s">
        <v>2631</v>
      </c>
      <c r="AD630" s="96"/>
      <c r="AE630" s="80"/>
      <c r="AF630" s="80"/>
      <c r="AG630" s="80"/>
      <c r="AH630" s="83"/>
      <c r="AI630" s="83"/>
      <c r="AJ630" s="84"/>
      <c r="AK630" s="84"/>
      <c r="AL630" s="84"/>
      <c r="AM630" s="84"/>
      <c r="AN630" s="84"/>
      <c r="AO630" s="84"/>
      <c r="AP630" s="84"/>
      <c r="AQ630" s="95" t="s">
        <v>602</v>
      </c>
      <c r="AR630" s="72"/>
      <c r="AS630" s="72"/>
      <c r="AT630" s="72"/>
      <c r="AU630" s="72"/>
      <c r="AV630" s="72"/>
      <c r="AW630" s="72"/>
      <c r="AX630" s="72"/>
      <c r="AY630" s="72"/>
      <c r="AZ630" s="72"/>
      <c r="BA630" s="72"/>
      <c r="BB630" s="16"/>
      <c r="BC630" s="72"/>
      <c r="BD630" s="20"/>
      <c r="BE630" s="352"/>
    </row>
    <row r="631" spans="1:57" s="81" customFormat="1" ht="12.95" hidden="1" customHeight="1">
      <c r="A631" s="348"/>
      <c r="B631" s="350"/>
      <c r="C631" s="248" t="s">
        <v>1339</v>
      </c>
      <c r="D631" s="239" t="s">
        <v>4206</v>
      </c>
      <c r="E631" s="58"/>
      <c r="F631" s="59" t="s">
        <v>4207</v>
      </c>
      <c r="G631" s="191" t="s">
        <v>2511</v>
      </c>
      <c r="H631" s="192" t="s">
        <v>603</v>
      </c>
      <c r="I631" s="61" t="s">
        <v>2511</v>
      </c>
      <c r="J631" s="61" t="s">
        <v>2511</v>
      </c>
      <c r="K631" s="62" t="s">
        <v>2511</v>
      </c>
      <c r="L631" s="60" t="s">
        <v>2511</v>
      </c>
      <c r="M631" s="61" t="s">
        <v>2389</v>
      </c>
      <c r="N631" s="61" t="s">
        <v>2511</v>
      </c>
      <c r="O631" s="61" t="s">
        <v>2511</v>
      </c>
      <c r="P631" s="62" t="s">
        <v>2511</v>
      </c>
      <c r="Q631" s="82"/>
      <c r="R631" s="82"/>
      <c r="S631" s="82"/>
      <c r="T631" s="82"/>
      <c r="U631" s="82"/>
      <c r="V631" s="138" t="s">
        <v>4208</v>
      </c>
      <c r="W631" s="57" t="s">
        <v>4094</v>
      </c>
      <c r="X631" s="126" t="s">
        <v>2511</v>
      </c>
      <c r="Y631" s="126" t="s">
        <v>2511</v>
      </c>
      <c r="Z631" s="57"/>
      <c r="AA631" s="57" t="s">
        <v>3661</v>
      </c>
      <c r="AB631" s="138"/>
      <c r="AC631" s="138" t="s">
        <v>2631</v>
      </c>
      <c r="AD631" s="96"/>
      <c r="AE631" s="80"/>
      <c r="AF631" s="80"/>
      <c r="AG631" s="80"/>
      <c r="AH631" s="83"/>
      <c r="AI631" s="83"/>
      <c r="AJ631" s="84"/>
      <c r="AK631" s="84"/>
      <c r="AL631" s="84"/>
      <c r="AM631" s="84"/>
      <c r="AN631" s="84"/>
      <c r="AO631" s="84"/>
      <c r="AP631" s="84"/>
      <c r="AQ631" s="95" t="s">
        <v>603</v>
      </c>
      <c r="AR631" s="72"/>
      <c r="AS631" s="72"/>
      <c r="AT631" s="72"/>
      <c r="AU631" s="72"/>
      <c r="AV631" s="72"/>
      <c r="AW631" s="72"/>
      <c r="AX631" s="72"/>
      <c r="AY631" s="72"/>
      <c r="AZ631" s="72"/>
      <c r="BA631" s="72"/>
      <c r="BB631" s="16"/>
      <c r="BC631" s="72"/>
      <c r="BD631" s="20"/>
      <c r="BE631" s="352"/>
    </row>
    <row r="632" spans="1:57" s="81" customFormat="1" ht="12.95" hidden="1" customHeight="1">
      <c r="A632" s="348"/>
      <c r="B632" s="350"/>
      <c r="C632" s="248" t="s">
        <v>1340</v>
      </c>
      <c r="D632" s="239" t="s">
        <v>4209</v>
      </c>
      <c r="E632" s="58"/>
      <c r="F632" s="59" t="s">
        <v>4210</v>
      </c>
      <c r="G632" s="191" t="s">
        <v>2511</v>
      </c>
      <c r="H632" s="192" t="s">
        <v>604</v>
      </c>
      <c r="I632" s="61" t="s">
        <v>2511</v>
      </c>
      <c r="J632" s="61" t="s">
        <v>2511</v>
      </c>
      <c r="K632" s="62" t="s">
        <v>2511</v>
      </c>
      <c r="L632" s="60" t="s">
        <v>2511</v>
      </c>
      <c r="M632" s="61" t="s">
        <v>2389</v>
      </c>
      <c r="N632" s="61" t="s">
        <v>2511</v>
      </c>
      <c r="O632" s="61" t="s">
        <v>2511</v>
      </c>
      <c r="P632" s="62" t="s">
        <v>2511</v>
      </c>
      <c r="Q632" s="82"/>
      <c r="R632" s="82"/>
      <c r="S632" s="82"/>
      <c r="T632" s="82"/>
      <c r="U632" s="82"/>
      <c r="V632" s="138" t="s">
        <v>4211</v>
      </c>
      <c r="W632" s="57" t="s">
        <v>4094</v>
      </c>
      <c r="X632" s="126" t="s">
        <v>2511</v>
      </c>
      <c r="Y632" s="126" t="s">
        <v>2511</v>
      </c>
      <c r="Z632" s="57"/>
      <c r="AA632" s="57" t="s">
        <v>3661</v>
      </c>
      <c r="AB632" s="138"/>
      <c r="AC632" s="138" t="s">
        <v>2631</v>
      </c>
      <c r="AD632" s="96"/>
      <c r="AE632" s="80"/>
      <c r="AF632" s="80"/>
      <c r="AG632" s="80"/>
      <c r="AH632" s="83"/>
      <c r="AI632" s="83"/>
      <c r="AJ632" s="84"/>
      <c r="AK632" s="84"/>
      <c r="AL632" s="84"/>
      <c r="AM632" s="84"/>
      <c r="AN632" s="84"/>
      <c r="AO632" s="84"/>
      <c r="AP632" s="84"/>
      <c r="AQ632" s="95" t="s">
        <v>604</v>
      </c>
      <c r="AR632" s="72"/>
      <c r="AS632" s="72"/>
      <c r="AT632" s="72"/>
      <c r="AU632" s="72"/>
      <c r="AV632" s="72"/>
      <c r="AW632" s="72"/>
      <c r="AX632" s="72"/>
      <c r="AY632" s="72"/>
      <c r="AZ632" s="72"/>
      <c r="BA632" s="72"/>
      <c r="BB632" s="16"/>
      <c r="BC632" s="72"/>
      <c r="BD632" s="20"/>
      <c r="BE632" s="352"/>
    </row>
    <row r="633" spans="1:57" s="81" customFormat="1" ht="12.95" hidden="1" customHeight="1">
      <c r="A633" s="348"/>
      <c r="B633" s="350"/>
      <c r="C633" s="248" t="s">
        <v>1341</v>
      </c>
      <c r="D633" s="239" t="s">
        <v>4212</v>
      </c>
      <c r="E633" s="58"/>
      <c r="F633" s="59" t="s">
        <v>4213</v>
      </c>
      <c r="G633" s="191" t="s">
        <v>2511</v>
      </c>
      <c r="H633" s="192" t="s">
        <v>605</v>
      </c>
      <c r="I633" s="61" t="s">
        <v>2511</v>
      </c>
      <c r="J633" s="61" t="s">
        <v>2511</v>
      </c>
      <c r="K633" s="62" t="s">
        <v>2511</v>
      </c>
      <c r="L633" s="60" t="s">
        <v>2511</v>
      </c>
      <c r="M633" s="61" t="s">
        <v>2389</v>
      </c>
      <c r="N633" s="61" t="s">
        <v>2511</v>
      </c>
      <c r="O633" s="61" t="s">
        <v>2511</v>
      </c>
      <c r="P633" s="62" t="s">
        <v>2511</v>
      </c>
      <c r="Q633" s="82"/>
      <c r="R633" s="82"/>
      <c r="S633" s="82"/>
      <c r="T633" s="82"/>
      <c r="U633" s="82"/>
      <c r="V633" s="138" t="s">
        <v>4214</v>
      </c>
      <c r="W633" s="57" t="s">
        <v>4094</v>
      </c>
      <c r="X633" s="126" t="s">
        <v>2511</v>
      </c>
      <c r="Y633" s="126" t="s">
        <v>2511</v>
      </c>
      <c r="Z633" s="57"/>
      <c r="AA633" s="57" t="s">
        <v>3661</v>
      </c>
      <c r="AB633" s="138"/>
      <c r="AC633" s="138" t="s">
        <v>2631</v>
      </c>
      <c r="AD633" s="96"/>
      <c r="AE633" s="80"/>
      <c r="AF633" s="80"/>
      <c r="AG633" s="80"/>
      <c r="AH633" s="83"/>
      <c r="AI633" s="83"/>
      <c r="AJ633" s="84"/>
      <c r="AK633" s="84"/>
      <c r="AL633" s="84"/>
      <c r="AM633" s="84"/>
      <c r="AN633" s="84"/>
      <c r="AO633" s="84"/>
      <c r="AP633" s="84"/>
      <c r="AQ633" s="95" t="s">
        <v>605</v>
      </c>
      <c r="AR633" s="72"/>
      <c r="AS633" s="72"/>
      <c r="AT633" s="72"/>
      <c r="AU633" s="72"/>
      <c r="AV633" s="72"/>
      <c r="AW633" s="72"/>
      <c r="AX633" s="72"/>
      <c r="AY633" s="72"/>
      <c r="AZ633" s="72"/>
      <c r="BA633" s="72"/>
      <c r="BB633" s="16"/>
      <c r="BC633" s="72"/>
      <c r="BD633" s="20"/>
      <c r="BE633" s="352"/>
    </row>
    <row r="634" spans="1:57" s="81" customFormat="1" ht="12.95" hidden="1" customHeight="1">
      <c r="A634" s="348"/>
      <c r="B634" s="350"/>
      <c r="C634" s="248" t="s">
        <v>1342</v>
      </c>
      <c r="D634" s="239" t="s">
        <v>4215</v>
      </c>
      <c r="E634" s="58"/>
      <c r="F634" s="59" t="s">
        <v>4216</v>
      </c>
      <c r="G634" s="191" t="s">
        <v>2511</v>
      </c>
      <c r="H634" s="192" t="s">
        <v>606</v>
      </c>
      <c r="I634" s="61" t="s">
        <v>2511</v>
      </c>
      <c r="J634" s="61" t="s">
        <v>2511</v>
      </c>
      <c r="K634" s="62" t="s">
        <v>2511</v>
      </c>
      <c r="L634" s="60" t="s">
        <v>2511</v>
      </c>
      <c r="M634" s="61" t="s">
        <v>2389</v>
      </c>
      <c r="N634" s="61" t="s">
        <v>2511</v>
      </c>
      <c r="O634" s="61" t="s">
        <v>2511</v>
      </c>
      <c r="P634" s="62" t="s">
        <v>2511</v>
      </c>
      <c r="Q634" s="82"/>
      <c r="R634" s="82"/>
      <c r="S634" s="82"/>
      <c r="T634" s="82"/>
      <c r="U634" s="82"/>
      <c r="V634" s="138" t="s">
        <v>4217</v>
      </c>
      <c r="W634" s="57" t="s">
        <v>4094</v>
      </c>
      <c r="X634" s="126" t="s">
        <v>2511</v>
      </c>
      <c r="Y634" s="126" t="s">
        <v>2511</v>
      </c>
      <c r="Z634" s="57"/>
      <c r="AA634" s="57" t="s">
        <v>3661</v>
      </c>
      <c r="AB634" s="138"/>
      <c r="AC634" s="138" t="s">
        <v>2631</v>
      </c>
      <c r="AD634" s="96"/>
      <c r="AE634" s="80"/>
      <c r="AF634" s="80"/>
      <c r="AG634" s="80"/>
      <c r="AH634" s="83"/>
      <c r="AI634" s="83"/>
      <c r="AJ634" s="84"/>
      <c r="AK634" s="84"/>
      <c r="AL634" s="84"/>
      <c r="AM634" s="84"/>
      <c r="AN634" s="84"/>
      <c r="AO634" s="84"/>
      <c r="AP634" s="84"/>
      <c r="AQ634" s="95" t="s">
        <v>606</v>
      </c>
      <c r="AR634" s="72"/>
      <c r="AS634" s="72"/>
      <c r="AT634" s="72"/>
      <c r="AU634" s="72"/>
      <c r="AV634" s="72"/>
      <c r="AW634" s="72"/>
      <c r="AX634" s="72"/>
      <c r="AY634" s="72"/>
      <c r="AZ634" s="72"/>
      <c r="BA634" s="72"/>
      <c r="BB634" s="16"/>
      <c r="BC634" s="72"/>
      <c r="BD634" s="20"/>
      <c r="BE634" s="352"/>
    </row>
    <row r="635" spans="1:57" s="81" customFormat="1" ht="12.95" hidden="1" customHeight="1">
      <c r="A635" s="348"/>
      <c r="B635" s="350"/>
      <c r="C635" s="248" t="s">
        <v>1343</v>
      </c>
      <c r="D635" s="239" t="s">
        <v>4218</v>
      </c>
      <c r="E635" s="58"/>
      <c r="F635" s="59" t="s">
        <v>4219</v>
      </c>
      <c r="G635" s="191" t="s">
        <v>2511</v>
      </c>
      <c r="H635" s="192" t="s">
        <v>607</v>
      </c>
      <c r="I635" s="61" t="s">
        <v>2511</v>
      </c>
      <c r="J635" s="61" t="s">
        <v>2511</v>
      </c>
      <c r="K635" s="62" t="s">
        <v>2511</v>
      </c>
      <c r="L635" s="60" t="s">
        <v>2511</v>
      </c>
      <c r="M635" s="61" t="s">
        <v>2389</v>
      </c>
      <c r="N635" s="61" t="s">
        <v>2511</v>
      </c>
      <c r="O635" s="61" t="s">
        <v>2511</v>
      </c>
      <c r="P635" s="62" t="s">
        <v>2511</v>
      </c>
      <c r="Q635" s="82"/>
      <c r="R635" s="82"/>
      <c r="S635" s="82"/>
      <c r="T635" s="82"/>
      <c r="U635" s="82"/>
      <c r="V635" s="138" t="s">
        <v>4220</v>
      </c>
      <c r="W635" s="57" t="s">
        <v>4094</v>
      </c>
      <c r="X635" s="126" t="s">
        <v>2511</v>
      </c>
      <c r="Y635" s="126" t="s">
        <v>2511</v>
      </c>
      <c r="Z635" s="57"/>
      <c r="AA635" s="57" t="s">
        <v>3661</v>
      </c>
      <c r="AB635" s="138"/>
      <c r="AC635" s="138" t="s">
        <v>2631</v>
      </c>
      <c r="AD635" s="96"/>
      <c r="AE635" s="80"/>
      <c r="AF635" s="80"/>
      <c r="AG635" s="80"/>
      <c r="AH635" s="83"/>
      <c r="AI635" s="83"/>
      <c r="AJ635" s="84"/>
      <c r="AK635" s="84"/>
      <c r="AL635" s="84"/>
      <c r="AM635" s="84"/>
      <c r="AN635" s="84"/>
      <c r="AO635" s="84"/>
      <c r="AP635" s="84"/>
      <c r="AQ635" s="95" t="s">
        <v>607</v>
      </c>
      <c r="AR635" s="72"/>
      <c r="AS635" s="72"/>
      <c r="AT635" s="72"/>
      <c r="AU635" s="72"/>
      <c r="AV635" s="72"/>
      <c r="AW635" s="72"/>
      <c r="AX635" s="72"/>
      <c r="AY635" s="72"/>
      <c r="AZ635" s="72"/>
      <c r="BA635" s="72"/>
      <c r="BB635" s="16"/>
      <c r="BC635" s="72"/>
      <c r="BD635" s="20"/>
      <c r="BE635" s="352"/>
    </row>
    <row r="636" spans="1:57" s="81" customFormat="1" ht="12.95" hidden="1" customHeight="1">
      <c r="A636" s="348"/>
      <c r="B636" s="350"/>
      <c r="C636" s="248" t="s">
        <v>1344</v>
      </c>
      <c r="D636" s="239" t="s">
        <v>4221</v>
      </c>
      <c r="E636" s="58"/>
      <c r="F636" s="59" t="s">
        <v>4222</v>
      </c>
      <c r="G636" s="191" t="s">
        <v>2511</v>
      </c>
      <c r="H636" s="192" t="s">
        <v>608</v>
      </c>
      <c r="I636" s="61" t="s">
        <v>2511</v>
      </c>
      <c r="J636" s="61" t="s">
        <v>2511</v>
      </c>
      <c r="K636" s="62" t="s">
        <v>2511</v>
      </c>
      <c r="L636" s="60" t="s">
        <v>2511</v>
      </c>
      <c r="M636" s="61" t="s">
        <v>2389</v>
      </c>
      <c r="N636" s="61" t="s">
        <v>2511</v>
      </c>
      <c r="O636" s="61" t="s">
        <v>2511</v>
      </c>
      <c r="P636" s="62" t="s">
        <v>2511</v>
      </c>
      <c r="Q636" s="82"/>
      <c r="R636" s="82"/>
      <c r="S636" s="82"/>
      <c r="T636" s="82"/>
      <c r="U636" s="82"/>
      <c r="V636" s="138" t="s">
        <v>4223</v>
      </c>
      <c r="W636" s="57" t="s">
        <v>4094</v>
      </c>
      <c r="X636" s="126" t="s">
        <v>2511</v>
      </c>
      <c r="Y636" s="126" t="s">
        <v>2511</v>
      </c>
      <c r="Z636" s="57"/>
      <c r="AA636" s="57" t="s">
        <v>3661</v>
      </c>
      <c r="AB636" s="138"/>
      <c r="AC636" s="138" t="s">
        <v>2631</v>
      </c>
      <c r="AD636" s="96"/>
      <c r="AE636" s="80"/>
      <c r="AF636" s="80"/>
      <c r="AG636" s="80"/>
      <c r="AH636" s="83"/>
      <c r="AI636" s="83"/>
      <c r="AJ636" s="84"/>
      <c r="AK636" s="84"/>
      <c r="AL636" s="84"/>
      <c r="AM636" s="84"/>
      <c r="AN636" s="84"/>
      <c r="AO636" s="84"/>
      <c r="AP636" s="84"/>
      <c r="AQ636" s="95" t="s">
        <v>608</v>
      </c>
      <c r="AR636" s="72"/>
      <c r="AS636" s="72"/>
      <c r="AT636" s="72"/>
      <c r="AU636" s="72"/>
      <c r="AV636" s="72"/>
      <c r="AW636" s="72"/>
      <c r="AX636" s="72"/>
      <c r="AY636" s="72"/>
      <c r="AZ636" s="72"/>
      <c r="BA636" s="72"/>
      <c r="BB636" s="16"/>
      <c r="BC636" s="72"/>
      <c r="BD636" s="20"/>
      <c r="BE636" s="352"/>
    </row>
    <row r="637" spans="1:57" s="81" customFormat="1" ht="12.95" hidden="1" customHeight="1">
      <c r="A637" s="348"/>
      <c r="B637" s="350"/>
      <c r="C637" s="248" t="s">
        <v>1345</v>
      </c>
      <c r="D637" s="239" t="s">
        <v>4224</v>
      </c>
      <c r="E637" s="58"/>
      <c r="F637" s="59" t="s">
        <v>4225</v>
      </c>
      <c r="G637" s="191" t="s">
        <v>2511</v>
      </c>
      <c r="H637" s="192" t="s">
        <v>609</v>
      </c>
      <c r="I637" s="61" t="s">
        <v>2511</v>
      </c>
      <c r="J637" s="61" t="s">
        <v>2511</v>
      </c>
      <c r="K637" s="62" t="s">
        <v>2511</v>
      </c>
      <c r="L637" s="60" t="s">
        <v>2511</v>
      </c>
      <c r="M637" s="61" t="s">
        <v>2389</v>
      </c>
      <c r="N637" s="61" t="s">
        <v>2511</v>
      </c>
      <c r="O637" s="61" t="s">
        <v>2511</v>
      </c>
      <c r="P637" s="62" t="s">
        <v>2511</v>
      </c>
      <c r="Q637" s="82"/>
      <c r="R637" s="82"/>
      <c r="S637" s="82"/>
      <c r="T637" s="82"/>
      <c r="U637" s="82"/>
      <c r="V637" s="138" t="s">
        <v>4226</v>
      </c>
      <c r="W637" s="57" t="s">
        <v>4094</v>
      </c>
      <c r="X637" s="126" t="s">
        <v>2511</v>
      </c>
      <c r="Y637" s="126" t="s">
        <v>2511</v>
      </c>
      <c r="Z637" s="57"/>
      <c r="AA637" s="57" t="s">
        <v>3661</v>
      </c>
      <c r="AB637" s="138"/>
      <c r="AC637" s="138" t="s">
        <v>2631</v>
      </c>
      <c r="AD637" s="96"/>
      <c r="AE637" s="80"/>
      <c r="AF637" s="80"/>
      <c r="AG637" s="80"/>
      <c r="AH637" s="83"/>
      <c r="AI637" s="83"/>
      <c r="AJ637" s="84"/>
      <c r="AK637" s="84"/>
      <c r="AL637" s="84"/>
      <c r="AM637" s="84"/>
      <c r="AN637" s="84"/>
      <c r="AO637" s="84"/>
      <c r="AP637" s="84"/>
      <c r="AQ637" s="95" t="s">
        <v>609</v>
      </c>
      <c r="AR637" s="72"/>
      <c r="AS637" s="72"/>
      <c r="AT637" s="72"/>
      <c r="AU637" s="72"/>
      <c r="AV637" s="72"/>
      <c r="AW637" s="72"/>
      <c r="AX637" s="72"/>
      <c r="AY637" s="72"/>
      <c r="AZ637" s="72"/>
      <c r="BA637" s="72"/>
      <c r="BB637" s="16"/>
      <c r="BC637" s="72"/>
      <c r="BD637" s="20"/>
      <c r="BE637" s="352"/>
    </row>
    <row r="638" spans="1:57" s="81" customFormat="1" ht="12.95" hidden="1" customHeight="1">
      <c r="A638" s="348"/>
      <c r="B638" s="350"/>
      <c r="C638" s="270" t="s">
        <v>1346</v>
      </c>
      <c r="D638" s="239" t="s">
        <v>4227</v>
      </c>
      <c r="E638" s="58"/>
      <c r="F638" s="59" t="s">
        <v>4228</v>
      </c>
      <c r="G638" s="191" t="s">
        <v>2511</v>
      </c>
      <c r="H638" s="192" t="s">
        <v>610</v>
      </c>
      <c r="I638" s="61" t="s">
        <v>2511</v>
      </c>
      <c r="J638" s="61" t="s">
        <v>2511</v>
      </c>
      <c r="K638" s="62" t="s">
        <v>2511</v>
      </c>
      <c r="L638" s="60" t="s">
        <v>2511</v>
      </c>
      <c r="M638" s="61" t="s">
        <v>2389</v>
      </c>
      <c r="N638" s="61" t="s">
        <v>2511</v>
      </c>
      <c r="O638" s="61" t="s">
        <v>2511</v>
      </c>
      <c r="P638" s="62" t="s">
        <v>2511</v>
      </c>
      <c r="Q638" s="82"/>
      <c r="R638" s="82"/>
      <c r="S638" s="82"/>
      <c r="T638" s="82"/>
      <c r="U638" s="82"/>
      <c r="V638" s="138" t="s">
        <v>4229</v>
      </c>
      <c r="W638" s="57" t="s">
        <v>4094</v>
      </c>
      <c r="X638" s="126" t="s">
        <v>2511</v>
      </c>
      <c r="Y638" s="126" t="s">
        <v>2511</v>
      </c>
      <c r="Z638" s="57"/>
      <c r="AA638" s="57" t="s">
        <v>3661</v>
      </c>
      <c r="AB638" s="138"/>
      <c r="AC638" s="138" t="s">
        <v>2631</v>
      </c>
      <c r="AD638" s="96"/>
      <c r="AE638" s="80"/>
      <c r="AF638" s="80"/>
      <c r="AG638" s="80"/>
      <c r="AH638" s="83"/>
      <c r="AI638" s="83"/>
      <c r="AJ638" s="84"/>
      <c r="AK638" s="84"/>
      <c r="AL638" s="84"/>
      <c r="AM638" s="84"/>
      <c r="AN638" s="84"/>
      <c r="AO638" s="84"/>
      <c r="AP638" s="84"/>
      <c r="AQ638" s="95" t="s">
        <v>610</v>
      </c>
      <c r="AR638" s="72"/>
      <c r="AS638" s="72"/>
      <c r="AT638" s="72"/>
      <c r="AU638" s="72"/>
      <c r="AV638" s="72"/>
      <c r="AW638" s="72"/>
      <c r="AX638" s="72"/>
      <c r="AY638" s="72"/>
      <c r="AZ638" s="72"/>
      <c r="BA638" s="72"/>
      <c r="BB638" s="16"/>
      <c r="BC638" s="72"/>
      <c r="BD638" s="20"/>
      <c r="BE638" s="352"/>
    </row>
    <row r="639" spans="1:57" s="81" customFormat="1" ht="12.95" hidden="1" customHeight="1">
      <c r="A639" s="348"/>
      <c r="B639" s="350"/>
      <c r="C639" s="270" t="s">
        <v>1347</v>
      </c>
      <c r="D639" s="239" t="s">
        <v>4230</v>
      </c>
      <c r="E639" s="58"/>
      <c r="F639" s="59" t="s">
        <v>4231</v>
      </c>
      <c r="G639" s="191" t="s">
        <v>2511</v>
      </c>
      <c r="H639" s="192" t="s">
        <v>611</v>
      </c>
      <c r="I639" s="61" t="s">
        <v>2511</v>
      </c>
      <c r="J639" s="61" t="s">
        <v>2511</v>
      </c>
      <c r="K639" s="62" t="s">
        <v>2511</v>
      </c>
      <c r="L639" s="60" t="s">
        <v>2511</v>
      </c>
      <c r="M639" s="61" t="s">
        <v>2389</v>
      </c>
      <c r="N639" s="61" t="s">
        <v>2511</v>
      </c>
      <c r="O639" s="61" t="s">
        <v>2511</v>
      </c>
      <c r="P639" s="62" t="s">
        <v>2511</v>
      </c>
      <c r="Q639" s="82"/>
      <c r="R639" s="82"/>
      <c r="S639" s="82"/>
      <c r="T639" s="82"/>
      <c r="U639" s="82"/>
      <c r="V639" s="138" t="s">
        <v>4232</v>
      </c>
      <c r="W639" s="57" t="s">
        <v>4094</v>
      </c>
      <c r="X639" s="126" t="s">
        <v>2511</v>
      </c>
      <c r="Y639" s="126" t="s">
        <v>2511</v>
      </c>
      <c r="Z639" s="57"/>
      <c r="AA639" s="57" t="s">
        <v>3661</v>
      </c>
      <c r="AB639" s="138"/>
      <c r="AC639" s="138" t="s">
        <v>2631</v>
      </c>
      <c r="AD639" s="96"/>
      <c r="AE639" s="80"/>
      <c r="AF639" s="80"/>
      <c r="AG639" s="80"/>
      <c r="AH639" s="83"/>
      <c r="AI639" s="83"/>
      <c r="AJ639" s="84"/>
      <c r="AK639" s="84"/>
      <c r="AL639" s="84"/>
      <c r="AM639" s="84"/>
      <c r="AN639" s="84"/>
      <c r="AO639" s="84"/>
      <c r="AP639" s="84"/>
      <c r="AQ639" s="95" t="s">
        <v>611</v>
      </c>
      <c r="AR639" s="72"/>
      <c r="AS639" s="72"/>
      <c r="AT639" s="72"/>
      <c r="AU639" s="72"/>
      <c r="AV639" s="72"/>
      <c r="AW639" s="72"/>
      <c r="AX639" s="72"/>
      <c r="AY639" s="72"/>
      <c r="AZ639" s="72"/>
      <c r="BA639" s="72"/>
      <c r="BB639" s="16"/>
      <c r="BC639" s="72"/>
      <c r="BD639" s="20"/>
      <c r="BE639" s="352"/>
    </row>
    <row r="640" spans="1:57" s="81" customFormat="1" ht="12.95" hidden="1" customHeight="1">
      <c r="A640" s="348"/>
      <c r="B640" s="350"/>
      <c r="C640" s="248" t="s">
        <v>1348</v>
      </c>
      <c r="D640" s="239" t="s">
        <v>4233</v>
      </c>
      <c r="E640" s="58"/>
      <c r="F640" s="59" t="s">
        <v>4234</v>
      </c>
      <c r="G640" s="191" t="s">
        <v>2511</v>
      </c>
      <c r="H640" s="192" t="s">
        <v>612</v>
      </c>
      <c r="I640" s="61" t="s">
        <v>2511</v>
      </c>
      <c r="J640" s="61" t="s">
        <v>2511</v>
      </c>
      <c r="K640" s="62" t="s">
        <v>2511</v>
      </c>
      <c r="L640" s="60" t="s">
        <v>2511</v>
      </c>
      <c r="M640" s="61" t="s">
        <v>2389</v>
      </c>
      <c r="N640" s="61" t="s">
        <v>2511</v>
      </c>
      <c r="O640" s="61" t="s">
        <v>2511</v>
      </c>
      <c r="P640" s="62" t="s">
        <v>2511</v>
      </c>
      <c r="Q640" s="82"/>
      <c r="R640" s="82"/>
      <c r="S640" s="82"/>
      <c r="T640" s="82"/>
      <c r="U640" s="82"/>
      <c r="V640" s="138" t="s">
        <v>4235</v>
      </c>
      <c r="W640" s="57" t="s">
        <v>4094</v>
      </c>
      <c r="X640" s="126" t="s">
        <v>2511</v>
      </c>
      <c r="Y640" s="126" t="s">
        <v>2511</v>
      </c>
      <c r="Z640" s="57"/>
      <c r="AA640" s="57" t="s">
        <v>3661</v>
      </c>
      <c r="AB640" s="138"/>
      <c r="AC640" s="138">
        <v>0</v>
      </c>
      <c r="AD640" s="96"/>
      <c r="AE640" s="80"/>
      <c r="AF640" s="80"/>
      <c r="AG640" s="80"/>
      <c r="AH640" s="83"/>
      <c r="AI640" s="83"/>
      <c r="AJ640" s="84"/>
      <c r="AK640" s="84"/>
      <c r="AL640" s="84"/>
      <c r="AM640" s="84"/>
      <c r="AN640" s="84"/>
      <c r="AO640" s="84"/>
      <c r="AP640" s="84"/>
      <c r="AQ640" s="95" t="s">
        <v>612</v>
      </c>
      <c r="AR640" s="72"/>
      <c r="AS640" s="72"/>
      <c r="AT640" s="72"/>
      <c r="AU640" s="72"/>
      <c r="AV640" s="72"/>
      <c r="AW640" s="72"/>
      <c r="AX640" s="72"/>
      <c r="AY640" s="72"/>
      <c r="AZ640" s="72"/>
      <c r="BA640" s="72"/>
      <c r="BB640" s="16"/>
      <c r="BC640" s="72"/>
      <c r="BD640" s="20"/>
      <c r="BE640" s="352"/>
    </row>
    <row r="641" spans="1:57" s="81" customFormat="1" ht="12.95" hidden="1" customHeight="1">
      <c r="A641" s="348"/>
      <c r="B641" s="350"/>
      <c r="C641" s="248" t="s">
        <v>1349</v>
      </c>
      <c r="D641" s="239" t="s">
        <v>4236</v>
      </c>
      <c r="E641" s="58"/>
      <c r="F641" s="59" t="s">
        <v>4237</v>
      </c>
      <c r="G641" s="191" t="s">
        <v>2511</v>
      </c>
      <c r="H641" s="192" t="s">
        <v>613</v>
      </c>
      <c r="I641" s="61" t="s">
        <v>2511</v>
      </c>
      <c r="J641" s="61" t="s">
        <v>2511</v>
      </c>
      <c r="K641" s="62" t="s">
        <v>2511</v>
      </c>
      <c r="L641" s="60" t="s">
        <v>2511</v>
      </c>
      <c r="M641" s="61" t="s">
        <v>2389</v>
      </c>
      <c r="N641" s="61" t="s">
        <v>2511</v>
      </c>
      <c r="O641" s="61" t="s">
        <v>2511</v>
      </c>
      <c r="P641" s="62" t="s">
        <v>2511</v>
      </c>
      <c r="Q641" s="82"/>
      <c r="R641" s="82"/>
      <c r="S641" s="82"/>
      <c r="T641" s="82"/>
      <c r="U641" s="82"/>
      <c r="V641" s="138" t="s">
        <v>4238</v>
      </c>
      <c r="W641" s="57" t="s">
        <v>4094</v>
      </c>
      <c r="X641" s="126" t="s">
        <v>2511</v>
      </c>
      <c r="Y641" s="126" t="s">
        <v>2511</v>
      </c>
      <c r="Z641" s="57"/>
      <c r="AA641" s="57" t="s">
        <v>3661</v>
      </c>
      <c r="AB641" s="138"/>
      <c r="AC641" s="138" t="s">
        <v>2631</v>
      </c>
      <c r="AD641" s="96"/>
      <c r="AE641" s="80"/>
      <c r="AF641" s="80"/>
      <c r="AG641" s="80"/>
      <c r="AH641" s="83"/>
      <c r="AI641" s="83"/>
      <c r="AJ641" s="84"/>
      <c r="AK641" s="84"/>
      <c r="AL641" s="84"/>
      <c r="AM641" s="84"/>
      <c r="AN641" s="84"/>
      <c r="AO641" s="84"/>
      <c r="AP641" s="84"/>
      <c r="AQ641" s="95" t="s">
        <v>613</v>
      </c>
      <c r="AR641" s="72"/>
      <c r="AS641" s="72"/>
      <c r="AT641" s="72"/>
      <c r="AU641" s="72"/>
      <c r="AV641" s="72"/>
      <c r="AW641" s="72"/>
      <c r="AX641" s="72"/>
      <c r="AY641" s="72"/>
      <c r="AZ641" s="72"/>
      <c r="BA641" s="72"/>
      <c r="BB641" s="16"/>
      <c r="BC641" s="72"/>
      <c r="BD641" s="20"/>
      <c r="BE641" s="352"/>
    </row>
    <row r="642" spans="1:57" s="81" customFormat="1" ht="12.95" hidden="1" customHeight="1">
      <c r="A642" s="348"/>
      <c r="B642" s="350"/>
      <c r="C642" s="248" t="s">
        <v>1350</v>
      </c>
      <c r="D642" s="239" t="s">
        <v>4239</v>
      </c>
      <c r="E642" s="58"/>
      <c r="F642" s="59" t="s">
        <v>4240</v>
      </c>
      <c r="G642" s="191" t="s">
        <v>2511</v>
      </c>
      <c r="H642" s="192" t="s">
        <v>614</v>
      </c>
      <c r="I642" s="61" t="s">
        <v>2511</v>
      </c>
      <c r="J642" s="61" t="s">
        <v>2511</v>
      </c>
      <c r="K642" s="62" t="s">
        <v>2511</v>
      </c>
      <c r="L642" s="60" t="s">
        <v>2511</v>
      </c>
      <c r="M642" s="61" t="s">
        <v>2389</v>
      </c>
      <c r="N642" s="61" t="s">
        <v>2511</v>
      </c>
      <c r="O642" s="61" t="s">
        <v>2511</v>
      </c>
      <c r="P642" s="62" t="s">
        <v>2511</v>
      </c>
      <c r="Q642" s="82"/>
      <c r="R642" s="82"/>
      <c r="S642" s="82"/>
      <c r="T642" s="82"/>
      <c r="U642" s="82"/>
      <c r="V642" s="138" t="s">
        <v>4241</v>
      </c>
      <c r="W642" s="57" t="s">
        <v>4094</v>
      </c>
      <c r="X642" s="126" t="s">
        <v>2511</v>
      </c>
      <c r="Y642" s="126" t="s">
        <v>2511</v>
      </c>
      <c r="Z642" s="57"/>
      <c r="AA642" s="57" t="s">
        <v>3661</v>
      </c>
      <c r="AB642" s="138"/>
      <c r="AC642" s="138" t="s">
        <v>2631</v>
      </c>
      <c r="AD642" s="96"/>
      <c r="AE642" s="80"/>
      <c r="AF642" s="80"/>
      <c r="AG642" s="80"/>
      <c r="AH642" s="83"/>
      <c r="AI642" s="83"/>
      <c r="AJ642" s="84"/>
      <c r="AK642" s="84"/>
      <c r="AL642" s="84"/>
      <c r="AM642" s="84"/>
      <c r="AN642" s="84"/>
      <c r="AO642" s="84"/>
      <c r="AP642" s="84"/>
      <c r="AQ642" s="95" t="s">
        <v>614</v>
      </c>
      <c r="AR642" s="72"/>
      <c r="AS642" s="72"/>
      <c r="AT642" s="72"/>
      <c r="AU642" s="72"/>
      <c r="AV642" s="72"/>
      <c r="AW642" s="72"/>
      <c r="AX642" s="72"/>
      <c r="AY642" s="72"/>
      <c r="AZ642" s="72"/>
      <c r="BA642" s="72"/>
      <c r="BB642" s="16"/>
      <c r="BC642" s="72"/>
      <c r="BD642" s="20"/>
      <c r="BE642" s="352"/>
    </row>
    <row r="643" spans="1:57" s="81" customFormat="1" ht="12.95" hidden="1" customHeight="1">
      <c r="A643" s="348"/>
      <c r="B643" s="350"/>
      <c r="C643" s="248" t="s">
        <v>1351</v>
      </c>
      <c r="D643" s="239" t="s">
        <v>4242</v>
      </c>
      <c r="E643" s="58"/>
      <c r="F643" s="59" t="s">
        <v>4243</v>
      </c>
      <c r="G643" s="191" t="s">
        <v>2511</v>
      </c>
      <c r="H643" s="192" t="s">
        <v>615</v>
      </c>
      <c r="I643" s="61" t="s">
        <v>2511</v>
      </c>
      <c r="J643" s="61" t="s">
        <v>2511</v>
      </c>
      <c r="K643" s="62" t="s">
        <v>2511</v>
      </c>
      <c r="L643" s="60" t="s">
        <v>2511</v>
      </c>
      <c r="M643" s="61" t="s">
        <v>2389</v>
      </c>
      <c r="N643" s="61" t="s">
        <v>2511</v>
      </c>
      <c r="O643" s="61" t="s">
        <v>2511</v>
      </c>
      <c r="P643" s="62" t="s">
        <v>2511</v>
      </c>
      <c r="Q643" s="82"/>
      <c r="R643" s="82"/>
      <c r="S643" s="82"/>
      <c r="T643" s="82"/>
      <c r="U643" s="82"/>
      <c r="V643" s="138" t="s">
        <v>4244</v>
      </c>
      <c r="W643" s="57" t="s">
        <v>4094</v>
      </c>
      <c r="X643" s="126" t="s">
        <v>2511</v>
      </c>
      <c r="Y643" s="126" t="s">
        <v>2511</v>
      </c>
      <c r="Z643" s="57"/>
      <c r="AA643" s="57" t="s">
        <v>3661</v>
      </c>
      <c r="AB643" s="138"/>
      <c r="AC643" s="138" t="s">
        <v>2631</v>
      </c>
      <c r="AD643" s="96"/>
      <c r="AE643" s="80"/>
      <c r="AF643" s="80"/>
      <c r="AG643" s="80"/>
      <c r="AH643" s="83"/>
      <c r="AI643" s="83"/>
      <c r="AJ643" s="84"/>
      <c r="AK643" s="84"/>
      <c r="AL643" s="84"/>
      <c r="AM643" s="84"/>
      <c r="AN643" s="84"/>
      <c r="AO643" s="84"/>
      <c r="AP643" s="84"/>
      <c r="AQ643" s="95" t="s">
        <v>615</v>
      </c>
      <c r="AR643" s="72"/>
      <c r="AS643" s="72"/>
      <c r="AT643" s="72"/>
      <c r="AU643" s="72"/>
      <c r="AV643" s="72"/>
      <c r="AW643" s="72"/>
      <c r="AX643" s="72"/>
      <c r="AY643" s="72"/>
      <c r="AZ643" s="72"/>
      <c r="BA643" s="72"/>
      <c r="BB643" s="16"/>
      <c r="BC643" s="72"/>
      <c r="BD643" s="20"/>
      <c r="BE643" s="352"/>
    </row>
    <row r="644" spans="1:57" s="81" customFormat="1" ht="12.95" hidden="1" customHeight="1">
      <c r="A644" s="348"/>
      <c r="B644" s="350"/>
      <c r="C644" s="248" t="s">
        <v>1352</v>
      </c>
      <c r="D644" s="239" t="s">
        <v>4245</v>
      </c>
      <c r="E644" s="58"/>
      <c r="F644" s="59" t="s">
        <v>4246</v>
      </c>
      <c r="G644" s="191" t="s">
        <v>2511</v>
      </c>
      <c r="H644" s="192" t="s">
        <v>616</v>
      </c>
      <c r="I644" s="61" t="s">
        <v>2511</v>
      </c>
      <c r="J644" s="61" t="s">
        <v>2511</v>
      </c>
      <c r="K644" s="62" t="s">
        <v>2511</v>
      </c>
      <c r="L644" s="60" t="s">
        <v>2511</v>
      </c>
      <c r="M644" s="61" t="s">
        <v>2389</v>
      </c>
      <c r="N644" s="61" t="s">
        <v>2511</v>
      </c>
      <c r="O644" s="61" t="s">
        <v>2511</v>
      </c>
      <c r="P644" s="62" t="s">
        <v>2511</v>
      </c>
      <c r="Q644" s="82"/>
      <c r="R644" s="82"/>
      <c r="S644" s="82"/>
      <c r="T644" s="82"/>
      <c r="U644" s="82"/>
      <c r="V644" s="138" t="s">
        <v>4247</v>
      </c>
      <c r="W644" s="57" t="s">
        <v>4094</v>
      </c>
      <c r="X644" s="126" t="s">
        <v>2511</v>
      </c>
      <c r="Y644" s="126" t="s">
        <v>2511</v>
      </c>
      <c r="Z644" s="57"/>
      <c r="AA644" s="57" t="s">
        <v>3661</v>
      </c>
      <c r="AB644" s="138"/>
      <c r="AC644" s="138" t="s">
        <v>2631</v>
      </c>
      <c r="AD644" s="96"/>
      <c r="AE644" s="80"/>
      <c r="AF644" s="80"/>
      <c r="AG644" s="80"/>
      <c r="AH644" s="83"/>
      <c r="AI644" s="83"/>
      <c r="AJ644" s="84"/>
      <c r="AK644" s="84"/>
      <c r="AL644" s="84"/>
      <c r="AM644" s="84"/>
      <c r="AN644" s="84"/>
      <c r="AO644" s="84"/>
      <c r="AP644" s="84"/>
      <c r="AQ644" s="95" t="s">
        <v>616</v>
      </c>
      <c r="AR644" s="72"/>
      <c r="AS644" s="72"/>
      <c r="AT644" s="72"/>
      <c r="AU644" s="72"/>
      <c r="AV644" s="72"/>
      <c r="AW644" s="72"/>
      <c r="AX644" s="72"/>
      <c r="AY644" s="72"/>
      <c r="AZ644" s="72"/>
      <c r="BA644" s="72"/>
      <c r="BB644" s="16"/>
      <c r="BC644" s="72"/>
      <c r="BD644" s="20"/>
      <c r="BE644" s="352"/>
    </row>
    <row r="645" spans="1:57" s="81" customFormat="1" ht="12.95" hidden="1" customHeight="1">
      <c r="A645" s="348"/>
      <c r="B645" s="350"/>
      <c r="C645" s="248" t="s">
        <v>1353</v>
      </c>
      <c r="D645" s="239" t="s">
        <v>4248</v>
      </c>
      <c r="E645" s="58"/>
      <c r="F645" s="59" t="s">
        <v>4249</v>
      </c>
      <c r="G645" s="191" t="s">
        <v>2511</v>
      </c>
      <c r="H645" s="192" t="s">
        <v>617</v>
      </c>
      <c r="I645" s="61" t="s">
        <v>2511</v>
      </c>
      <c r="J645" s="61" t="s">
        <v>2511</v>
      </c>
      <c r="K645" s="62" t="s">
        <v>2511</v>
      </c>
      <c r="L645" s="60" t="s">
        <v>2511</v>
      </c>
      <c r="M645" s="61" t="s">
        <v>2389</v>
      </c>
      <c r="N645" s="61" t="s">
        <v>2511</v>
      </c>
      <c r="O645" s="61" t="s">
        <v>2511</v>
      </c>
      <c r="P645" s="62" t="s">
        <v>2511</v>
      </c>
      <c r="Q645" s="82"/>
      <c r="R645" s="82"/>
      <c r="S645" s="82"/>
      <c r="T645" s="82"/>
      <c r="U645" s="82"/>
      <c r="V645" s="138" t="s">
        <v>4250</v>
      </c>
      <c r="W645" s="57" t="s">
        <v>4094</v>
      </c>
      <c r="X645" s="126" t="s">
        <v>2511</v>
      </c>
      <c r="Y645" s="126" t="s">
        <v>2511</v>
      </c>
      <c r="Z645" s="57"/>
      <c r="AA645" s="57" t="s">
        <v>3661</v>
      </c>
      <c r="AB645" s="138"/>
      <c r="AC645" s="138" t="s">
        <v>2631</v>
      </c>
      <c r="AD645" s="96"/>
      <c r="AE645" s="80"/>
      <c r="AF645" s="80"/>
      <c r="AG645" s="80"/>
      <c r="AH645" s="83"/>
      <c r="AI645" s="83"/>
      <c r="AJ645" s="84"/>
      <c r="AK645" s="84"/>
      <c r="AL645" s="84"/>
      <c r="AM645" s="84"/>
      <c r="AN645" s="84"/>
      <c r="AO645" s="84"/>
      <c r="AP645" s="84"/>
      <c r="AQ645" s="95" t="s">
        <v>617</v>
      </c>
      <c r="AR645" s="72"/>
      <c r="AS645" s="72"/>
      <c r="AT645" s="72"/>
      <c r="AU645" s="72"/>
      <c r="AV645" s="72"/>
      <c r="AW645" s="72"/>
      <c r="AX645" s="72"/>
      <c r="AY645" s="72"/>
      <c r="AZ645" s="72"/>
      <c r="BA645" s="72"/>
      <c r="BB645" s="16"/>
      <c r="BC645" s="72"/>
      <c r="BD645" s="20"/>
      <c r="BE645" s="352"/>
    </row>
    <row r="646" spans="1:57" s="81" customFormat="1" ht="12.95" hidden="1" customHeight="1">
      <c r="A646" s="348"/>
      <c r="B646" s="350"/>
      <c r="C646" s="248" t="s">
        <v>1354</v>
      </c>
      <c r="D646" s="239" t="s">
        <v>4251</v>
      </c>
      <c r="E646" s="58"/>
      <c r="F646" s="59" t="s">
        <v>4252</v>
      </c>
      <c r="G646" s="191" t="s">
        <v>2511</v>
      </c>
      <c r="H646" s="192" t="s">
        <v>618</v>
      </c>
      <c r="I646" s="61" t="s">
        <v>2511</v>
      </c>
      <c r="J646" s="61" t="s">
        <v>2511</v>
      </c>
      <c r="K646" s="62" t="s">
        <v>2511</v>
      </c>
      <c r="L646" s="60" t="s">
        <v>2511</v>
      </c>
      <c r="M646" s="61" t="s">
        <v>2389</v>
      </c>
      <c r="N646" s="61" t="s">
        <v>2511</v>
      </c>
      <c r="O646" s="61" t="s">
        <v>2511</v>
      </c>
      <c r="P646" s="62" t="s">
        <v>2511</v>
      </c>
      <c r="Q646" s="82"/>
      <c r="R646" s="82"/>
      <c r="S646" s="82"/>
      <c r="T646" s="82"/>
      <c r="U646" s="82"/>
      <c r="V646" s="138" t="s">
        <v>4253</v>
      </c>
      <c r="W646" s="57" t="s">
        <v>4094</v>
      </c>
      <c r="X646" s="126" t="s">
        <v>2511</v>
      </c>
      <c r="Y646" s="126" t="s">
        <v>2511</v>
      </c>
      <c r="Z646" s="57"/>
      <c r="AA646" s="57" t="s">
        <v>3661</v>
      </c>
      <c r="AB646" s="138"/>
      <c r="AC646" s="138" t="s">
        <v>2631</v>
      </c>
      <c r="AD646" s="96"/>
      <c r="AE646" s="80"/>
      <c r="AF646" s="80"/>
      <c r="AG646" s="80"/>
      <c r="AH646" s="83"/>
      <c r="AI646" s="83"/>
      <c r="AJ646" s="84"/>
      <c r="AK646" s="84"/>
      <c r="AL646" s="84"/>
      <c r="AM646" s="84"/>
      <c r="AN646" s="84"/>
      <c r="AO646" s="84"/>
      <c r="AP646" s="84"/>
      <c r="AQ646" s="95" t="s">
        <v>618</v>
      </c>
      <c r="AR646" s="72"/>
      <c r="AS646" s="72"/>
      <c r="AT646" s="72"/>
      <c r="AU646" s="72"/>
      <c r="AV646" s="72"/>
      <c r="AW646" s="72"/>
      <c r="AX646" s="72"/>
      <c r="AY646" s="72"/>
      <c r="AZ646" s="72"/>
      <c r="BA646" s="72"/>
      <c r="BB646" s="16"/>
      <c r="BC646" s="72"/>
      <c r="BD646" s="20"/>
      <c r="BE646" s="352"/>
    </row>
    <row r="647" spans="1:57" s="81" customFormat="1" ht="12.95" hidden="1" customHeight="1">
      <c r="A647" s="348"/>
      <c r="B647" s="350"/>
      <c r="C647" s="248" t="s">
        <v>1355</v>
      </c>
      <c r="D647" s="239" t="s">
        <v>4254</v>
      </c>
      <c r="E647" s="58"/>
      <c r="F647" s="59" t="s">
        <v>4255</v>
      </c>
      <c r="G647" s="191" t="s">
        <v>2511</v>
      </c>
      <c r="H647" s="192" t="s">
        <v>619</v>
      </c>
      <c r="I647" s="61" t="s">
        <v>2511</v>
      </c>
      <c r="J647" s="61" t="s">
        <v>2511</v>
      </c>
      <c r="K647" s="62" t="s">
        <v>2511</v>
      </c>
      <c r="L647" s="60" t="s">
        <v>2511</v>
      </c>
      <c r="M647" s="61" t="s">
        <v>2389</v>
      </c>
      <c r="N647" s="61" t="s">
        <v>2511</v>
      </c>
      <c r="O647" s="61" t="s">
        <v>2511</v>
      </c>
      <c r="P647" s="62" t="s">
        <v>2511</v>
      </c>
      <c r="Q647" s="82"/>
      <c r="R647" s="82"/>
      <c r="S647" s="82"/>
      <c r="T647" s="82"/>
      <c r="U647" s="82"/>
      <c r="V647" s="138" t="s">
        <v>4256</v>
      </c>
      <c r="W647" s="57" t="s">
        <v>4094</v>
      </c>
      <c r="X647" s="126" t="s">
        <v>2511</v>
      </c>
      <c r="Y647" s="126" t="s">
        <v>2511</v>
      </c>
      <c r="Z647" s="57"/>
      <c r="AA647" s="57" t="s">
        <v>3661</v>
      </c>
      <c r="AB647" s="138"/>
      <c r="AC647" s="138" t="s">
        <v>2631</v>
      </c>
      <c r="AD647" s="96"/>
      <c r="AE647" s="80"/>
      <c r="AF647" s="80"/>
      <c r="AG647" s="80"/>
      <c r="AH647" s="83"/>
      <c r="AI647" s="83"/>
      <c r="AJ647" s="84"/>
      <c r="AK647" s="84"/>
      <c r="AL647" s="84"/>
      <c r="AM647" s="84"/>
      <c r="AN647" s="84"/>
      <c r="AO647" s="84"/>
      <c r="AP647" s="84"/>
      <c r="AQ647" s="95" t="s">
        <v>619</v>
      </c>
      <c r="AR647" s="72"/>
      <c r="AS647" s="72"/>
      <c r="AT647" s="72"/>
      <c r="AU647" s="72"/>
      <c r="AV647" s="72"/>
      <c r="AW647" s="72"/>
      <c r="AX647" s="72"/>
      <c r="AY647" s="72"/>
      <c r="AZ647" s="72"/>
      <c r="BA647" s="72"/>
      <c r="BB647" s="16"/>
      <c r="BC647" s="72"/>
      <c r="BD647" s="20"/>
      <c r="BE647" s="352"/>
    </row>
    <row r="648" spans="1:57" s="81" customFormat="1" ht="12.95" hidden="1" customHeight="1">
      <c r="A648" s="348"/>
      <c r="B648" s="350"/>
      <c r="C648" s="248" t="s">
        <v>1356</v>
      </c>
      <c r="D648" s="239" t="s">
        <v>4257</v>
      </c>
      <c r="E648" s="58"/>
      <c r="F648" s="59" t="s">
        <v>4258</v>
      </c>
      <c r="G648" s="191" t="s">
        <v>2511</v>
      </c>
      <c r="H648" s="192" t="s">
        <v>620</v>
      </c>
      <c r="I648" s="61" t="s">
        <v>2511</v>
      </c>
      <c r="J648" s="61" t="s">
        <v>2511</v>
      </c>
      <c r="K648" s="62" t="s">
        <v>2511</v>
      </c>
      <c r="L648" s="60" t="s">
        <v>2511</v>
      </c>
      <c r="M648" s="61" t="s">
        <v>2389</v>
      </c>
      <c r="N648" s="61" t="s">
        <v>2511</v>
      </c>
      <c r="O648" s="61" t="s">
        <v>2511</v>
      </c>
      <c r="P648" s="62" t="s">
        <v>2511</v>
      </c>
      <c r="Q648" s="82"/>
      <c r="R648" s="82"/>
      <c r="S648" s="82"/>
      <c r="T648" s="82"/>
      <c r="U648" s="82"/>
      <c r="V648" s="138" t="s">
        <v>4259</v>
      </c>
      <c r="W648" s="57" t="s">
        <v>4094</v>
      </c>
      <c r="X648" s="126" t="s">
        <v>2511</v>
      </c>
      <c r="Y648" s="126" t="s">
        <v>2511</v>
      </c>
      <c r="Z648" s="57"/>
      <c r="AA648" s="57" t="s">
        <v>3661</v>
      </c>
      <c r="AB648" s="138"/>
      <c r="AC648" s="138" t="s">
        <v>2631</v>
      </c>
      <c r="AD648" s="96"/>
      <c r="AE648" s="80"/>
      <c r="AF648" s="80"/>
      <c r="AG648" s="80"/>
      <c r="AH648" s="83"/>
      <c r="AI648" s="83"/>
      <c r="AJ648" s="84"/>
      <c r="AK648" s="84"/>
      <c r="AL648" s="84"/>
      <c r="AM648" s="84"/>
      <c r="AN648" s="84"/>
      <c r="AO648" s="84"/>
      <c r="AP648" s="84"/>
      <c r="AQ648" s="95" t="s">
        <v>620</v>
      </c>
      <c r="AR648" s="72"/>
      <c r="AS648" s="72"/>
      <c r="AT648" s="72"/>
      <c r="AU648" s="72"/>
      <c r="AV648" s="72"/>
      <c r="AW648" s="72"/>
      <c r="AX648" s="72"/>
      <c r="AY648" s="72"/>
      <c r="AZ648" s="72"/>
      <c r="BA648" s="72"/>
      <c r="BB648" s="16"/>
      <c r="BC648" s="72"/>
      <c r="BD648" s="20"/>
      <c r="BE648" s="352"/>
    </row>
    <row r="649" spans="1:57" s="81" customFormat="1" ht="12.95" hidden="1" customHeight="1">
      <c r="A649" s="348"/>
      <c r="B649" s="350"/>
      <c r="C649" s="248" t="s">
        <v>1357</v>
      </c>
      <c r="D649" s="239" t="s">
        <v>4260</v>
      </c>
      <c r="E649" s="58"/>
      <c r="F649" s="59" t="s">
        <v>4261</v>
      </c>
      <c r="G649" s="191" t="s">
        <v>2511</v>
      </c>
      <c r="H649" s="192" t="s">
        <v>621</v>
      </c>
      <c r="I649" s="61" t="s">
        <v>2511</v>
      </c>
      <c r="J649" s="61" t="s">
        <v>2511</v>
      </c>
      <c r="K649" s="62" t="s">
        <v>2511</v>
      </c>
      <c r="L649" s="60" t="s">
        <v>2511</v>
      </c>
      <c r="M649" s="61" t="s">
        <v>2389</v>
      </c>
      <c r="N649" s="61" t="s">
        <v>2511</v>
      </c>
      <c r="O649" s="61" t="s">
        <v>2511</v>
      </c>
      <c r="P649" s="62" t="s">
        <v>2511</v>
      </c>
      <c r="Q649" s="82"/>
      <c r="R649" s="82"/>
      <c r="S649" s="82"/>
      <c r="T649" s="82"/>
      <c r="U649" s="82"/>
      <c r="V649" s="138" t="s">
        <v>4262</v>
      </c>
      <c r="W649" s="57" t="s">
        <v>4094</v>
      </c>
      <c r="X649" s="126" t="s">
        <v>2511</v>
      </c>
      <c r="Y649" s="126" t="s">
        <v>2511</v>
      </c>
      <c r="Z649" s="57"/>
      <c r="AA649" s="57" t="s">
        <v>3661</v>
      </c>
      <c r="AB649" s="138"/>
      <c r="AC649" s="138" t="s">
        <v>2631</v>
      </c>
      <c r="AD649" s="96"/>
      <c r="AE649" s="80"/>
      <c r="AF649" s="80"/>
      <c r="AG649" s="80"/>
      <c r="AH649" s="83"/>
      <c r="AI649" s="83"/>
      <c r="AJ649" s="84"/>
      <c r="AK649" s="84"/>
      <c r="AL649" s="84"/>
      <c r="AM649" s="84"/>
      <c r="AN649" s="84"/>
      <c r="AO649" s="84"/>
      <c r="AP649" s="84"/>
      <c r="AQ649" s="95" t="s">
        <v>621</v>
      </c>
      <c r="AR649" s="72"/>
      <c r="AS649" s="72"/>
      <c r="AT649" s="72"/>
      <c r="AU649" s="72"/>
      <c r="AV649" s="72"/>
      <c r="AW649" s="72"/>
      <c r="AX649" s="72"/>
      <c r="AY649" s="72"/>
      <c r="AZ649" s="72"/>
      <c r="BA649" s="72"/>
      <c r="BB649" s="16"/>
      <c r="BC649" s="72"/>
      <c r="BD649" s="20"/>
      <c r="BE649" s="352"/>
    </row>
    <row r="650" spans="1:57" s="81" customFormat="1" ht="12.95" hidden="1" customHeight="1">
      <c r="A650" s="348"/>
      <c r="B650" s="350"/>
      <c r="C650" s="270" t="s">
        <v>1358</v>
      </c>
      <c r="D650" s="239" t="s">
        <v>4263</v>
      </c>
      <c r="E650" s="58"/>
      <c r="F650" s="59" t="s">
        <v>4264</v>
      </c>
      <c r="G650" s="191" t="s">
        <v>2511</v>
      </c>
      <c r="H650" s="192" t="s">
        <v>622</v>
      </c>
      <c r="I650" s="61" t="s">
        <v>2511</v>
      </c>
      <c r="J650" s="61" t="s">
        <v>2511</v>
      </c>
      <c r="K650" s="62" t="s">
        <v>2511</v>
      </c>
      <c r="L650" s="60" t="s">
        <v>2511</v>
      </c>
      <c r="M650" s="61" t="s">
        <v>2389</v>
      </c>
      <c r="N650" s="61" t="s">
        <v>2511</v>
      </c>
      <c r="O650" s="61" t="s">
        <v>2511</v>
      </c>
      <c r="P650" s="62" t="s">
        <v>2511</v>
      </c>
      <c r="Q650" s="82"/>
      <c r="R650" s="82"/>
      <c r="S650" s="82"/>
      <c r="T650" s="82"/>
      <c r="U650" s="82"/>
      <c r="V650" s="138" t="s">
        <v>4265</v>
      </c>
      <c r="W650" s="57" t="s">
        <v>4094</v>
      </c>
      <c r="X650" s="126" t="s">
        <v>2511</v>
      </c>
      <c r="Y650" s="126" t="s">
        <v>2511</v>
      </c>
      <c r="Z650" s="57"/>
      <c r="AA650" s="57" t="s">
        <v>3661</v>
      </c>
      <c r="AB650" s="138"/>
      <c r="AC650" s="138" t="s">
        <v>2631</v>
      </c>
      <c r="AD650" s="96"/>
      <c r="AE650" s="80"/>
      <c r="AF650" s="80"/>
      <c r="AG650" s="80"/>
      <c r="AH650" s="83"/>
      <c r="AI650" s="83"/>
      <c r="AJ650" s="84"/>
      <c r="AK650" s="84"/>
      <c r="AL650" s="84"/>
      <c r="AM650" s="84"/>
      <c r="AN650" s="84"/>
      <c r="AO650" s="84"/>
      <c r="AP650" s="84"/>
      <c r="AQ650" s="95" t="s">
        <v>622</v>
      </c>
      <c r="AR650" s="72"/>
      <c r="AS650" s="72"/>
      <c r="AT650" s="72"/>
      <c r="AU650" s="72"/>
      <c r="AV650" s="72"/>
      <c r="AW650" s="72"/>
      <c r="AX650" s="72"/>
      <c r="AY650" s="72"/>
      <c r="AZ650" s="72"/>
      <c r="BA650" s="72"/>
      <c r="BB650" s="16"/>
      <c r="BC650" s="72"/>
      <c r="BD650" s="20"/>
      <c r="BE650" s="352"/>
    </row>
    <row r="651" spans="1:57" s="81" customFormat="1" ht="12.95" hidden="1" customHeight="1">
      <c r="A651" s="348"/>
      <c r="B651" s="350"/>
      <c r="C651" s="270" t="s">
        <v>1359</v>
      </c>
      <c r="D651" s="239" t="s">
        <v>4266</v>
      </c>
      <c r="E651" s="58"/>
      <c r="F651" s="59" t="s">
        <v>4267</v>
      </c>
      <c r="G651" s="191" t="s">
        <v>2511</v>
      </c>
      <c r="H651" s="192" t="s">
        <v>623</v>
      </c>
      <c r="I651" s="61" t="s">
        <v>2511</v>
      </c>
      <c r="J651" s="61" t="s">
        <v>2511</v>
      </c>
      <c r="K651" s="62" t="s">
        <v>2511</v>
      </c>
      <c r="L651" s="60" t="s">
        <v>2511</v>
      </c>
      <c r="M651" s="61" t="s">
        <v>2389</v>
      </c>
      <c r="N651" s="61" t="s">
        <v>2511</v>
      </c>
      <c r="O651" s="61" t="s">
        <v>2511</v>
      </c>
      <c r="P651" s="62" t="s">
        <v>2511</v>
      </c>
      <c r="Q651" s="82"/>
      <c r="R651" s="82"/>
      <c r="S651" s="82"/>
      <c r="T651" s="82"/>
      <c r="U651" s="82"/>
      <c r="V651" s="138" t="s">
        <v>4268</v>
      </c>
      <c r="W651" s="57" t="s">
        <v>4094</v>
      </c>
      <c r="X651" s="126" t="s">
        <v>2511</v>
      </c>
      <c r="Y651" s="126" t="s">
        <v>2511</v>
      </c>
      <c r="Z651" s="57"/>
      <c r="AA651" s="57" t="s">
        <v>3661</v>
      </c>
      <c r="AB651" s="138"/>
      <c r="AC651" s="138" t="s">
        <v>2631</v>
      </c>
      <c r="AD651" s="96"/>
      <c r="AE651" s="80"/>
      <c r="AF651" s="80"/>
      <c r="AG651" s="80"/>
      <c r="AH651" s="83"/>
      <c r="AI651" s="83"/>
      <c r="AJ651" s="84"/>
      <c r="AK651" s="84"/>
      <c r="AL651" s="84"/>
      <c r="AM651" s="84"/>
      <c r="AN651" s="84"/>
      <c r="AO651" s="84"/>
      <c r="AP651" s="84"/>
      <c r="AQ651" s="95" t="s">
        <v>623</v>
      </c>
      <c r="AR651" s="72"/>
      <c r="AS651" s="72"/>
      <c r="AT651" s="72"/>
      <c r="AU651" s="72"/>
      <c r="AV651" s="72"/>
      <c r="AW651" s="72"/>
      <c r="AX651" s="72"/>
      <c r="AY651" s="72"/>
      <c r="AZ651" s="72"/>
      <c r="BA651" s="72"/>
      <c r="BB651" s="16"/>
      <c r="BC651" s="72"/>
      <c r="BD651" s="20"/>
      <c r="BE651" s="352"/>
    </row>
    <row r="652" spans="1:57" s="81" customFormat="1" ht="12.95" hidden="1" customHeight="1">
      <c r="A652" s="348"/>
      <c r="B652" s="350"/>
      <c r="C652" s="248" t="s">
        <v>1360</v>
      </c>
      <c r="D652" s="239" t="s">
        <v>4269</v>
      </c>
      <c r="E652" s="58"/>
      <c r="F652" s="59" t="s">
        <v>4270</v>
      </c>
      <c r="G652" s="191" t="s">
        <v>2511</v>
      </c>
      <c r="H652" s="192" t="s">
        <v>624</v>
      </c>
      <c r="I652" s="61" t="s">
        <v>2511</v>
      </c>
      <c r="J652" s="61" t="s">
        <v>2511</v>
      </c>
      <c r="K652" s="62" t="s">
        <v>2511</v>
      </c>
      <c r="L652" s="60" t="s">
        <v>2511</v>
      </c>
      <c r="M652" s="61" t="s">
        <v>2389</v>
      </c>
      <c r="N652" s="61" t="s">
        <v>2511</v>
      </c>
      <c r="O652" s="61" t="s">
        <v>2511</v>
      </c>
      <c r="P652" s="62" t="s">
        <v>2511</v>
      </c>
      <c r="Q652" s="82"/>
      <c r="R652" s="82"/>
      <c r="S652" s="82"/>
      <c r="T652" s="82"/>
      <c r="U652" s="82"/>
      <c r="V652" s="138" t="s">
        <v>4271</v>
      </c>
      <c r="W652" s="57" t="s">
        <v>4094</v>
      </c>
      <c r="X652" s="126" t="s">
        <v>2511</v>
      </c>
      <c r="Y652" s="126" t="s">
        <v>2511</v>
      </c>
      <c r="Z652" s="57"/>
      <c r="AA652" s="57" t="s">
        <v>3661</v>
      </c>
      <c r="AB652" s="138"/>
      <c r="AC652" s="138">
        <v>0</v>
      </c>
      <c r="AD652" s="96"/>
      <c r="AE652" s="80"/>
      <c r="AF652" s="80"/>
      <c r="AG652" s="80"/>
      <c r="AH652" s="83"/>
      <c r="AI652" s="83"/>
      <c r="AJ652" s="84"/>
      <c r="AK652" s="84"/>
      <c r="AL652" s="84"/>
      <c r="AM652" s="84"/>
      <c r="AN652" s="84"/>
      <c r="AO652" s="84"/>
      <c r="AP652" s="84"/>
      <c r="AQ652" s="95" t="s">
        <v>624</v>
      </c>
      <c r="AR652" s="72"/>
      <c r="AS652" s="72"/>
      <c r="AT652" s="72"/>
      <c r="AU652" s="72"/>
      <c r="AV652" s="72"/>
      <c r="AW652" s="72"/>
      <c r="AX652" s="72"/>
      <c r="AY652" s="72"/>
      <c r="AZ652" s="72"/>
      <c r="BA652" s="72"/>
      <c r="BB652" s="16"/>
      <c r="BC652" s="72"/>
      <c r="BD652" s="20"/>
      <c r="BE652" s="352"/>
    </row>
    <row r="653" spans="1:57" s="81" customFormat="1" ht="12.95" hidden="1" customHeight="1">
      <c r="A653" s="348"/>
      <c r="B653" s="350"/>
      <c r="C653" s="248" t="s">
        <v>1361</v>
      </c>
      <c r="D653" s="239" t="s">
        <v>4272</v>
      </c>
      <c r="E653" s="58"/>
      <c r="F653" s="59" t="s">
        <v>4273</v>
      </c>
      <c r="G653" s="191" t="s">
        <v>2511</v>
      </c>
      <c r="H653" s="192" t="s">
        <v>625</v>
      </c>
      <c r="I653" s="61" t="s">
        <v>2511</v>
      </c>
      <c r="J653" s="61" t="s">
        <v>2511</v>
      </c>
      <c r="K653" s="62" t="s">
        <v>2511</v>
      </c>
      <c r="L653" s="60" t="s">
        <v>2511</v>
      </c>
      <c r="M653" s="61" t="s">
        <v>2389</v>
      </c>
      <c r="N653" s="61" t="s">
        <v>2511</v>
      </c>
      <c r="O653" s="61" t="s">
        <v>2511</v>
      </c>
      <c r="P653" s="62" t="s">
        <v>2511</v>
      </c>
      <c r="Q653" s="82"/>
      <c r="R653" s="82"/>
      <c r="S653" s="82"/>
      <c r="T653" s="82"/>
      <c r="U653" s="82"/>
      <c r="V653" s="138" t="s">
        <v>4274</v>
      </c>
      <c r="W653" s="57" t="s">
        <v>4094</v>
      </c>
      <c r="X653" s="126" t="s">
        <v>2511</v>
      </c>
      <c r="Y653" s="126" t="s">
        <v>2511</v>
      </c>
      <c r="Z653" s="57"/>
      <c r="AA653" s="57" t="s">
        <v>3661</v>
      </c>
      <c r="AB653" s="138"/>
      <c r="AC653" s="138" t="s">
        <v>2631</v>
      </c>
      <c r="AD653" s="96"/>
      <c r="AE653" s="80"/>
      <c r="AF653" s="80"/>
      <c r="AG653" s="80"/>
      <c r="AH653" s="83"/>
      <c r="AI653" s="83"/>
      <c r="AJ653" s="84"/>
      <c r="AK653" s="84"/>
      <c r="AL653" s="84"/>
      <c r="AM653" s="84"/>
      <c r="AN653" s="84"/>
      <c r="AO653" s="84"/>
      <c r="AP653" s="84"/>
      <c r="AQ653" s="95" t="s">
        <v>625</v>
      </c>
      <c r="AR653" s="72"/>
      <c r="AS653" s="72"/>
      <c r="AT653" s="72"/>
      <c r="AU653" s="72"/>
      <c r="AV653" s="72"/>
      <c r="AW653" s="72"/>
      <c r="AX653" s="72"/>
      <c r="AY653" s="72"/>
      <c r="AZ653" s="72"/>
      <c r="BA653" s="72"/>
      <c r="BB653" s="16"/>
      <c r="BC653" s="72"/>
      <c r="BD653" s="20"/>
      <c r="BE653" s="352"/>
    </row>
    <row r="654" spans="1:57" s="81" customFormat="1" ht="12.95" hidden="1" customHeight="1">
      <c r="A654" s="348"/>
      <c r="B654" s="350"/>
      <c r="C654" s="248" t="s">
        <v>1362</v>
      </c>
      <c r="D654" s="239" t="s">
        <v>4275</v>
      </c>
      <c r="E654" s="58"/>
      <c r="F654" s="59" t="s">
        <v>4276</v>
      </c>
      <c r="G654" s="191" t="s">
        <v>2511</v>
      </c>
      <c r="H654" s="192" t="s">
        <v>626</v>
      </c>
      <c r="I654" s="61" t="s">
        <v>2511</v>
      </c>
      <c r="J654" s="61" t="s">
        <v>2511</v>
      </c>
      <c r="K654" s="62" t="s">
        <v>2511</v>
      </c>
      <c r="L654" s="60" t="s">
        <v>2511</v>
      </c>
      <c r="M654" s="61" t="s">
        <v>2389</v>
      </c>
      <c r="N654" s="61" t="s">
        <v>2511</v>
      </c>
      <c r="O654" s="61" t="s">
        <v>2511</v>
      </c>
      <c r="P654" s="62" t="s">
        <v>2511</v>
      </c>
      <c r="Q654" s="82"/>
      <c r="R654" s="82"/>
      <c r="S654" s="82"/>
      <c r="T654" s="82"/>
      <c r="U654" s="82"/>
      <c r="V654" s="138" t="s">
        <v>4277</v>
      </c>
      <c r="W654" s="57" t="s">
        <v>4094</v>
      </c>
      <c r="X654" s="126" t="s">
        <v>2511</v>
      </c>
      <c r="Y654" s="126" t="s">
        <v>2511</v>
      </c>
      <c r="Z654" s="57"/>
      <c r="AA654" s="57" t="s">
        <v>3661</v>
      </c>
      <c r="AB654" s="138"/>
      <c r="AC654" s="138" t="s">
        <v>2631</v>
      </c>
      <c r="AD654" s="96"/>
      <c r="AE654" s="80"/>
      <c r="AF654" s="80"/>
      <c r="AG654" s="80"/>
      <c r="AH654" s="83"/>
      <c r="AI654" s="83"/>
      <c r="AJ654" s="84"/>
      <c r="AK654" s="84"/>
      <c r="AL654" s="84"/>
      <c r="AM654" s="84"/>
      <c r="AN654" s="84"/>
      <c r="AO654" s="84"/>
      <c r="AP654" s="84"/>
      <c r="AQ654" s="95" t="s">
        <v>626</v>
      </c>
      <c r="AR654" s="72"/>
      <c r="AS654" s="72"/>
      <c r="AT654" s="72"/>
      <c r="AU654" s="72"/>
      <c r="AV654" s="72"/>
      <c r="AW654" s="72"/>
      <c r="AX654" s="72"/>
      <c r="AY654" s="72"/>
      <c r="AZ654" s="72"/>
      <c r="BA654" s="72"/>
      <c r="BB654" s="16"/>
      <c r="BC654" s="72"/>
      <c r="BD654" s="20"/>
      <c r="BE654" s="352"/>
    </row>
    <row r="655" spans="1:57" s="81" customFormat="1" ht="12.95" hidden="1" customHeight="1">
      <c r="A655" s="348"/>
      <c r="B655" s="350"/>
      <c r="C655" s="248" t="s">
        <v>1363</v>
      </c>
      <c r="D655" s="239" t="s">
        <v>4278</v>
      </c>
      <c r="E655" s="58"/>
      <c r="F655" s="59" t="s">
        <v>4279</v>
      </c>
      <c r="G655" s="191" t="s">
        <v>2511</v>
      </c>
      <c r="H655" s="192" t="s">
        <v>627</v>
      </c>
      <c r="I655" s="61" t="s">
        <v>2511</v>
      </c>
      <c r="J655" s="61" t="s">
        <v>2511</v>
      </c>
      <c r="K655" s="62" t="s">
        <v>2511</v>
      </c>
      <c r="L655" s="60" t="s">
        <v>2511</v>
      </c>
      <c r="M655" s="61" t="s">
        <v>2389</v>
      </c>
      <c r="N655" s="61" t="s">
        <v>2511</v>
      </c>
      <c r="O655" s="61" t="s">
        <v>2511</v>
      </c>
      <c r="P655" s="62" t="s">
        <v>2511</v>
      </c>
      <c r="Q655" s="82"/>
      <c r="R655" s="82"/>
      <c r="S655" s="82"/>
      <c r="T655" s="82"/>
      <c r="U655" s="82"/>
      <c r="V655" s="138" t="s">
        <v>4280</v>
      </c>
      <c r="W655" s="57" t="s">
        <v>4094</v>
      </c>
      <c r="X655" s="126" t="s">
        <v>2511</v>
      </c>
      <c r="Y655" s="126" t="s">
        <v>2511</v>
      </c>
      <c r="Z655" s="57"/>
      <c r="AA655" s="57" t="s">
        <v>3661</v>
      </c>
      <c r="AB655" s="138"/>
      <c r="AC655" s="138" t="s">
        <v>2631</v>
      </c>
      <c r="AD655" s="96"/>
      <c r="AE655" s="80"/>
      <c r="AF655" s="80"/>
      <c r="AG655" s="80"/>
      <c r="AH655" s="83"/>
      <c r="AI655" s="83"/>
      <c r="AJ655" s="84"/>
      <c r="AK655" s="84"/>
      <c r="AL655" s="84"/>
      <c r="AM655" s="84"/>
      <c r="AN655" s="84"/>
      <c r="AO655" s="84"/>
      <c r="AP655" s="84"/>
      <c r="AQ655" s="95" t="s">
        <v>627</v>
      </c>
      <c r="AR655" s="72"/>
      <c r="AS655" s="72"/>
      <c r="AT655" s="72"/>
      <c r="AU655" s="72"/>
      <c r="AV655" s="72"/>
      <c r="AW655" s="72"/>
      <c r="AX655" s="72"/>
      <c r="AY655" s="72"/>
      <c r="AZ655" s="72"/>
      <c r="BA655" s="72"/>
      <c r="BB655" s="16"/>
      <c r="BC655" s="72"/>
      <c r="BD655" s="20"/>
      <c r="BE655" s="352"/>
    </row>
    <row r="656" spans="1:57" s="81" customFormat="1" ht="12.95" hidden="1" customHeight="1">
      <c r="A656" s="348"/>
      <c r="B656" s="350"/>
      <c r="C656" s="248" t="s">
        <v>1364</v>
      </c>
      <c r="D656" s="239" t="s">
        <v>4281</v>
      </c>
      <c r="E656" s="58"/>
      <c r="F656" s="59" t="s">
        <v>4282</v>
      </c>
      <c r="G656" s="191" t="s">
        <v>2511</v>
      </c>
      <c r="H656" s="192" t="s">
        <v>628</v>
      </c>
      <c r="I656" s="61" t="s">
        <v>2511</v>
      </c>
      <c r="J656" s="61" t="s">
        <v>2511</v>
      </c>
      <c r="K656" s="62" t="s">
        <v>2511</v>
      </c>
      <c r="L656" s="60" t="s">
        <v>2511</v>
      </c>
      <c r="M656" s="61" t="s">
        <v>2389</v>
      </c>
      <c r="N656" s="61" t="s">
        <v>2511</v>
      </c>
      <c r="O656" s="61" t="s">
        <v>2511</v>
      </c>
      <c r="P656" s="62" t="s">
        <v>2511</v>
      </c>
      <c r="Q656" s="82"/>
      <c r="R656" s="82"/>
      <c r="S656" s="82"/>
      <c r="T656" s="82"/>
      <c r="U656" s="82"/>
      <c r="V656" s="138" t="s">
        <v>4283</v>
      </c>
      <c r="W656" s="57" t="s">
        <v>4094</v>
      </c>
      <c r="X656" s="126" t="s">
        <v>2511</v>
      </c>
      <c r="Y656" s="126" t="s">
        <v>2511</v>
      </c>
      <c r="Z656" s="57"/>
      <c r="AA656" s="57" t="s">
        <v>3661</v>
      </c>
      <c r="AB656" s="138"/>
      <c r="AC656" s="138" t="s">
        <v>2631</v>
      </c>
      <c r="AD656" s="96"/>
      <c r="AE656" s="80"/>
      <c r="AF656" s="80"/>
      <c r="AG656" s="80"/>
      <c r="AH656" s="83"/>
      <c r="AI656" s="83"/>
      <c r="AJ656" s="84"/>
      <c r="AK656" s="84"/>
      <c r="AL656" s="84"/>
      <c r="AM656" s="84"/>
      <c r="AN656" s="84"/>
      <c r="AO656" s="84"/>
      <c r="AP656" s="84"/>
      <c r="AQ656" s="95" t="s">
        <v>628</v>
      </c>
      <c r="AR656" s="72"/>
      <c r="AS656" s="72"/>
      <c r="AT656" s="72"/>
      <c r="AU656" s="72"/>
      <c r="AV656" s="72"/>
      <c r="AW656" s="72"/>
      <c r="AX656" s="72"/>
      <c r="AY656" s="72"/>
      <c r="AZ656" s="72"/>
      <c r="BA656" s="72"/>
      <c r="BB656" s="16"/>
      <c r="BC656" s="72"/>
      <c r="BD656" s="20"/>
      <c r="BE656" s="352"/>
    </row>
    <row r="657" spans="1:57" s="81" customFormat="1" ht="12.95" hidden="1" customHeight="1">
      <c r="A657" s="348"/>
      <c r="B657" s="350"/>
      <c r="C657" s="248" t="s">
        <v>1365</v>
      </c>
      <c r="D657" s="239" t="s">
        <v>4284</v>
      </c>
      <c r="E657" s="58"/>
      <c r="F657" s="59" t="s">
        <v>4285</v>
      </c>
      <c r="G657" s="191" t="s">
        <v>2511</v>
      </c>
      <c r="H657" s="192" t="s">
        <v>629</v>
      </c>
      <c r="I657" s="61" t="s">
        <v>2511</v>
      </c>
      <c r="J657" s="61" t="s">
        <v>2511</v>
      </c>
      <c r="K657" s="62" t="s">
        <v>2511</v>
      </c>
      <c r="L657" s="60" t="s">
        <v>2511</v>
      </c>
      <c r="M657" s="61" t="s">
        <v>2389</v>
      </c>
      <c r="N657" s="61" t="s">
        <v>2511</v>
      </c>
      <c r="O657" s="61" t="s">
        <v>2511</v>
      </c>
      <c r="P657" s="62" t="s">
        <v>2511</v>
      </c>
      <c r="Q657" s="82"/>
      <c r="R657" s="82"/>
      <c r="S657" s="82"/>
      <c r="T657" s="82"/>
      <c r="U657" s="82"/>
      <c r="V657" s="138" t="s">
        <v>4286</v>
      </c>
      <c r="W657" s="57" t="s">
        <v>4094</v>
      </c>
      <c r="X657" s="126" t="s">
        <v>2511</v>
      </c>
      <c r="Y657" s="126" t="s">
        <v>2511</v>
      </c>
      <c r="Z657" s="57"/>
      <c r="AA657" s="57" t="s">
        <v>3661</v>
      </c>
      <c r="AB657" s="138"/>
      <c r="AC657" s="138" t="s">
        <v>2631</v>
      </c>
      <c r="AD657" s="96"/>
      <c r="AE657" s="80"/>
      <c r="AF657" s="80"/>
      <c r="AG657" s="80"/>
      <c r="AH657" s="83"/>
      <c r="AI657" s="83"/>
      <c r="AJ657" s="84"/>
      <c r="AK657" s="84"/>
      <c r="AL657" s="84"/>
      <c r="AM657" s="84"/>
      <c r="AN657" s="84"/>
      <c r="AO657" s="84"/>
      <c r="AP657" s="84"/>
      <c r="AQ657" s="95" t="s">
        <v>629</v>
      </c>
      <c r="AR657" s="72"/>
      <c r="AS657" s="72"/>
      <c r="AT657" s="72"/>
      <c r="AU657" s="72"/>
      <c r="AV657" s="72"/>
      <c r="AW657" s="72"/>
      <c r="AX657" s="72"/>
      <c r="AY657" s="72"/>
      <c r="AZ657" s="72"/>
      <c r="BA657" s="72"/>
      <c r="BB657" s="16"/>
      <c r="BC657" s="72"/>
      <c r="BD657" s="20"/>
      <c r="BE657" s="352"/>
    </row>
    <row r="658" spans="1:57" s="81" customFormat="1" ht="12.95" hidden="1" customHeight="1">
      <c r="A658" s="348"/>
      <c r="B658" s="350"/>
      <c r="C658" s="248" t="s">
        <v>1366</v>
      </c>
      <c r="D658" s="239" t="s">
        <v>4287</v>
      </c>
      <c r="E658" s="58"/>
      <c r="F658" s="59" t="s">
        <v>4288</v>
      </c>
      <c r="G658" s="191" t="s">
        <v>2511</v>
      </c>
      <c r="H658" s="192" t="s">
        <v>630</v>
      </c>
      <c r="I658" s="61" t="s">
        <v>2511</v>
      </c>
      <c r="J658" s="61" t="s">
        <v>2511</v>
      </c>
      <c r="K658" s="62" t="s">
        <v>2511</v>
      </c>
      <c r="L658" s="60" t="s">
        <v>2511</v>
      </c>
      <c r="M658" s="61" t="s">
        <v>2389</v>
      </c>
      <c r="N658" s="61" t="s">
        <v>2511</v>
      </c>
      <c r="O658" s="61" t="s">
        <v>2511</v>
      </c>
      <c r="P658" s="62" t="s">
        <v>2511</v>
      </c>
      <c r="Q658" s="82"/>
      <c r="R658" s="82"/>
      <c r="S658" s="82"/>
      <c r="T658" s="82"/>
      <c r="U658" s="82"/>
      <c r="V658" s="138" t="s">
        <v>4289</v>
      </c>
      <c r="W658" s="57" t="s">
        <v>4094</v>
      </c>
      <c r="X658" s="126" t="s">
        <v>2511</v>
      </c>
      <c r="Y658" s="126" t="s">
        <v>2511</v>
      </c>
      <c r="Z658" s="57"/>
      <c r="AA658" s="57" t="s">
        <v>3661</v>
      </c>
      <c r="AB658" s="138"/>
      <c r="AC658" s="138" t="s">
        <v>2631</v>
      </c>
      <c r="AD658" s="96"/>
      <c r="AE658" s="80"/>
      <c r="AF658" s="80"/>
      <c r="AG658" s="80"/>
      <c r="AH658" s="83"/>
      <c r="AI658" s="83"/>
      <c r="AJ658" s="84"/>
      <c r="AK658" s="84"/>
      <c r="AL658" s="84"/>
      <c r="AM658" s="84"/>
      <c r="AN658" s="84"/>
      <c r="AO658" s="84"/>
      <c r="AP658" s="84"/>
      <c r="AQ658" s="95" t="s">
        <v>630</v>
      </c>
      <c r="AR658" s="72"/>
      <c r="AS658" s="72"/>
      <c r="AT658" s="72"/>
      <c r="AU658" s="72"/>
      <c r="AV658" s="72"/>
      <c r="AW658" s="72"/>
      <c r="AX658" s="72"/>
      <c r="AY658" s="72"/>
      <c r="AZ658" s="72"/>
      <c r="BA658" s="72"/>
      <c r="BB658" s="16"/>
      <c r="BC658" s="72"/>
      <c r="BD658" s="20"/>
      <c r="BE658" s="352"/>
    </row>
    <row r="659" spans="1:57" s="81" customFormat="1" ht="12.95" hidden="1" customHeight="1">
      <c r="A659" s="348"/>
      <c r="B659" s="350"/>
      <c r="C659" s="248" t="s">
        <v>1367</v>
      </c>
      <c r="D659" s="239" t="s">
        <v>4290</v>
      </c>
      <c r="E659" s="58"/>
      <c r="F659" s="59" t="s">
        <v>4291</v>
      </c>
      <c r="G659" s="191" t="s">
        <v>2511</v>
      </c>
      <c r="H659" s="192" t="s">
        <v>631</v>
      </c>
      <c r="I659" s="61" t="s">
        <v>2511</v>
      </c>
      <c r="J659" s="61" t="s">
        <v>2511</v>
      </c>
      <c r="K659" s="62" t="s">
        <v>2511</v>
      </c>
      <c r="L659" s="60" t="s">
        <v>2511</v>
      </c>
      <c r="M659" s="61" t="s">
        <v>2389</v>
      </c>
      <c r="N659" s="61" t="s">
        <v>2511</v>
      </c>
      <c r="O659" s="61" t="s">
        <v>2511</v>
      </c>
      <c r="P659" s="62" t="s">
        <v>2511</v>
      </c>
      <c r="Q659" s="82"/>
      <c r="R659" s="82"/>
      <c r="S659" s="82"/>
      <c r="T659" s="82"/>
      <c r="U659" s="82"/>
      <c r="V659" s="138" t="s">
        <v>4292</v>
      </c>
      <c r="W659" s="57" t="s">
        <v>4094</v>
      </c>
      <c r="X659" s="126" t="s">
        <v>2511</v>
      </c>
      <c r="Y659" s="126" t="s">
        <v>2511</v>
      </c>
      <c r="Z659" s="57"/>
      <c r="AA659" s="57" t="s">
        <v>3661</v>
      </c>
      <c r="AB659" s="138"/>
      <c r="AC659" s="138" t="s">
        <v>2631</v>
      </c>
      <c r="AD659" s="96"/>
      <c r="AE659" s="80"/>
      <c r="AF659" s="80"/>
      <c r="AG659" s="80"/>
      <c r="AH659" s="83"/>
      <c r="AI659" s="83"/>
      <c r="AJ659" s="84"/>
      <c r="AK659" s="84"/>
      <c r="AL659" s="84"/>
      <c r="AM659" s="84"/>
      <c r="AN659" s="84"/>
      <c r="AO659" s="84"/>
      <c r="AP659" s="84"/>
      <c r="AQ659" s="95" t="s">
        <v>631</v>
      </c>
      <c r="AR659" s="72"/>
      <c r="AS659" s="72"/>
      <c r="AT659" s="72"/>
      <c r="AU659" s="72"/>
      <c r="AV659" s="72"/>
      <c r="AW659" s="72"/>
      <c r="AX659" s="72"/>
      <c r="AY659" s="72"/>
      <c r="AZ659" s="72"/>
      <c r="BA659" s="72"/>
      <c r="BB659" s="16"/>
      <c r="BC659" s="72"/>
      <c r="BD659" s="20"/>
      <c r="BE659" s="352"/>
    </row>
    <row r="660" spans="1:57" s="81" customFormat="1" ht="12.95" hidden="1" customHeight="1">
      <c r="A660" s="348"/>
      <c r="B660" s="350"/>
      <c r="C660" s="248" t="s">
        <v>1368</v>
      </c>
      <c r="D660" s="239" t="s">
        <v>4293</v>
      </c>
      <c r="E660" s="58"/>
      <c r="F660" s="59" t="s">
        <v>4294</v>
      </c>
      <c r="G660" s="191" t="s">
        <v>2511</v>
      </c>
      <c r="H660" s="192" t="s">
        <v>632</v>
      </c>
      <c r="I660" s="61" t="s">
        <v>2511</v>
      </c>
      <c r="J660" s="61" t="s">
        <v>2511</v>
      </c>
      <c r="K660" s="62" t="s">
        <v>2511</v>
      </c>
      <c r="L660" s="60" t="s">
        <v>2511</v>
      </c>
      <c r="M660" s="61" t="s">
        <v>2389</v>
      </c>
      <c r="N660" s="61" t="s">
        <v>2511</v>
      </c>
      <c r="O660" s="61" t="s">
        <v>2511</v>
      </c>
      <c r="P660" s="62" t="s">
        <v>2511</v>
      </c>
      <c r="Q660" s="82"/>
      <c r="R660" s="82"/>
      <c r="S660" s="82"/>
      <c r="T660" s="82"/>
      <c r="U660" s="82"/>
      <c r="V660" s="138" t="s">
        <v>4295</v>
      </c>
      <c r="W660" s="57" t="s">
        <v>4094</v>
      </c>
      <c r="X660" s="126" t="s">
        <v>2511</v>
      </c>
      <c r="Y660" s="126" t="s">
        <v>2511</v>
      </c>
      <c r="Z660" s="57"/>
      <c r="AA660" s="57" t="s">
        <v>3661</v>
      </c>
      <c r="AB660" s="138"/>
      <c r="AC660" s="138" t="s">
        <v>2631</v>
      </c>
      <c r="AD660" s="96"/>
      <c r="AE660" s="80"/>
      <c r="AF660" s="80"/>
      <c r="AG660" s="80"/>
      <c r="AH660" s="83"/>
      <c r="AI660" s="83"/>
      <c r="AJ660" s="84"/>
      <c r="AK660" s="84"/>
      <c r="AL660" s="84"/>
      <c r="AM660" s="84"/>
      <c r="AN660" s="84"/>
      <c r="AO660" s="84"/>
      <c r="AP660" s="84"/>
      <c r="AQ660" s="95" t="s">
        <v>632</v>
      </c>
      <c r="AR660" s="72"/>
      <c r="AS660" s="72"/>
      <c r="AT660" s="72"/>
      <c r="AU660" s="72"/>
      <c r="AV660" s="72"/>
      <c r="AW660" s="72"/>
      <c r="AX660" s="72"/>
      <c r="AY660" s="72"/>
      <c r="AZ660" s="72"/>
      <c r="BA660" s="72"/>
      <c r="BB660" s="16"/>
      <c r="BC660" s="72"/>
      <c r="BD660" s="20"/>
      <c r="BE660" s="352"/>
    </row>
    <row r="661" spans="1:57" s="81" customFormat="1" ht="12.95" hidden="1" customHeight="1">
      <c r="A661" s="348"/>
      <c r="B661" s="350"/>
      <c r="C661" s="248" t="s">
        <v>1369</v>
      </c>
      <c r="D661" s="239" t="s">
        <v>4296</v>
      </c>
      <c r="E661" s="58"/>
      <c r="F661" s="59" t="s">
        <v>4297</v>
      </c>
      <c r="G661" s="191" t="s">
        <v>2511</v>
      </c>
      <c r="H661" s="192" t="s">
        <v>633</v>
      </c>
      <c r="I661" s="61" t="s">
        <v>2511</v>
      </c>
      <c r="J661" s="61" t="s">
        <v>2511</v>
      </c>
      <c r="K661" s="62" t="s">
        <v>2511</v>
      </c>
      <c r="L661" s="60" t="s">
        <v>2511</v>
      </c>
      <c r="M661" s="61" t="s">
        <v>2389</v>
      </c>
      <c r="N661" s="61" t="s">
        <v>2511</v>
      </c>
      <c r="O661" s="61" t="s">
        <v>2511</v>
      </c>
      <c r="P661" s="62" t="s">
        <v>2511</v>
      </c>
      <c r="Q661" s="82"/>
      <c r="R661" s="82"/>
      <c r="S661" s="82"/>
      <c r="T661" s="82"/>
      <c r="U661" s="82"/>
      <c r="V661" s="138" t="s">
        <v>4298</v>
      </c>
      <c r="W661" s="57" t="s">
        <v>4094</v>
      </c>
      <c r="X661" s="126" t="s">
        <v>2511</v>
      </c>
      <c r="Y661" s="126" t="s">
        <v>2511</v>
      </c>
      <c r="Z661" s="57"/>
      <c r="AA661" s="57" t="s">
        <v>3661</v>
      </c>
      <c r="AB661" s="138"/>
      <c r="AC661" s="138" t="s">
        <v>2631</v>
      </c>
      <c r="AD661" s="96"/>
      <c r="AE661" s="80"/>
      <c r="AF661" s="80"/>
      <c r="AG661" s="80"/>
      <c r="AH661" s="83"/>
      <c r="AI661" s="83"/>
      <c r="AJ661" s="84"/>
      <c r="AK661" s="84"/>
      <c r="AL661" s="84"/>
      <c r="AM661" s="84"/>
      <c r="AN661" s="84"/>
      <c r="AO661" s="84"/>
      <c r="AP661" s="84"/>
      <c r="AQ661" s="95" t="s">
        <v>633</v>
      </c>
      <c r="AR661" s="72"/>
      <c r="AS661" s="72"/>
      <c r="AT661" s="72"/>
      <c r="AU661" s="72"/>
      <c r="AV661" s="72"/>
      <c r="AW661" s="72"/>
      <c r="AX661" s="72"/>
      <c r="AY661" s="72"/>
      <c r="AZ661" s="72"/>
      <c r="BA661" s="72"/>
      <c r="BB661" s="16"/>
      <c r="BC661" s="72"/>
      <c r="BD661" s="20"/>
      <c r="BE661" s="352"/>
    </row>
    <row r="662" spans="1:57" s="81" customFormat="1" ht="12.95" hidden="1" customHeight="1">
      <c r="A662" s="348"/>
      <c r="B662" s="350"/>
      <c r="C662" s="270" t="s">
        <v>1370</v>
      </c>
      <c r="D662" s="239" t="s">
        <v>4299</v>
      </c>
      <c r="E662" s="58"/>
      <c r="F662" s="59" t="s">
        <v>4300</v>
      </c>
      <c r="G662" s="191" t="s">
        <v>2511</v>
      </c>
      <c r="H662" s="192" t="s">
        <v>634</v>
      </c>
      <c r="I662" s="61" t="s">
        <v>2511</v>
      </c>
      <c r="J662" s="61" t="s">
        <v>2511</v>
      </c>
      <c r="K662" s="62" t="s">
        <v>2511</v>
      </c>
      <c r="L662" s="60" t="s">
        <v>2511</v>
      </c>
      <c r="M662" s="61" t="s">
        <v>2389</v>
      </c>
      <c r="N662" s="61" t="s">
        <v>2511</v>
      </c>
      <c r="O662" s="61" t="s">
        <v>2511</v>
      </c>
      <c r="P662" s="62" t="s">
        <v>2511</v>
      </c>
      <c r="Q662" s="82"/>
      <c r="R662" s="82"/>
      <c r="S662" s="82"/>
      <c r="T662" s="82"/>
      <c r="U662" s="82"/>
      <c r="V662" s="138" t="s">
        <v>4301</v>
      </c>
      <c r="W662" s="57" t="s">
        <v>4094</v>
      </c>
      <c r="X662" s="126" t="s">
        <v>2511</v>
      </c>
      <c r="Y662" s="126" t="s">
        <v>2511</v>
      </c>
      <c r="Z662" s="57"/>
      <c r="AA662" s="57" t="s">
        <v>3661</v>
      </c>
      <c r="AB662" s="138"/>
      <c r="AC662" s="138" t="s">
        <v>2631</v>
      </c>
      <c r="AD662" s="96"/>
      <c r="AE662" s="80"/>
      <c r="AF662" s="80"/>
      <c r="AG662" s="80"/>
      <c r="AH662" s="83"/>
      <c r="AI662" s="83"/>
      <c r="AJ662" s="84"/>
      <c r="AK662" s="84"/>
      <c r="AL662" s="84"/>
      <c r="AM662" s="84"/>
      <c r="AN662" s="84"/>
      <c r="AO662" s="84"/>
      <c r="AP662" s="84"/>
      <c r="AQ662" s="95" t="s">
        <v>634</v>
      </c>
      <c r="AR662" s="72"/>
      <c r="AS662" s="72"/>
      <c r="AT662" s="72"/>
      <c r="AU662" s="72"/>
      <c r="AV662" s="72"/>
      <c r="AW662" s="72"/>
      <c r="AX662" s="72"/>
      <c r="AY662" s="72"/>
      <c r="AZ662" s="72"/>
      <c r="BA662" s="72"/>
      <c r="BB662" s="16"/>
      <c r="BC662" s="72"/>
      <c r="BD662" s="20"/>
      <c r="BE662" s="352"/>
    </row>
    <row r="663" spans="1:57" s="81" customFormat="1" ht="12.95" hidden="1" customHeight="1">
      <c r="A663" s="348"/>
      <c r="B663" s="350"/>
      <c r="C663" s="270" t="s">
        <v>1371</v>
      </c>
      <c r="D663" s="239" t="s">
        <v>4302</v>
      </c>
      <c r="E663" s="58"/>
      <c r="F663" s="59" t="s">
        <v>4303</v>
      </c>
      <c r="G663" s="191" t="s">
        <v>2511</v>
      </c>
      <c r="H663" s="192" t="s">
        <v>635</v>
      </c>
      <c r="I663" s="61" t="s">
        <v>2511</v>
      </c>
      <c r="J663" s="61" t="s">
        <v>2511</v>
      </c>
      <c r="K663" s="62" t="s">
        <v>2511</v>
      </c>
      <c r="L663" s="60" t="s">
        <v>2511</v>
      </c>
      <c r="M663" s="61" t="s">
        <v>2389</v>
      </c>
      <c r="N663" s="61" t="s">
        <v>2511</v>
      </c>
      <c r="O663" s="61" t="s">
        <v>2511</v>
      </c>
      <c r="P663" s="62" t="s">
        <v>2511</v>
      </c>
      <c r="Q663" s="82"/>
      <c r="R663" s="82"/>
      <c r="S663" s="82"/>
      <c r="T663" s="82"/>
      <c r="U663" s="82"/>
      <c r="V663" s="138" t="s">
        <v>4304</v>
      </c>
      <c r="W663" s="57" t="s">
        <v>4094</v>
      </c>
      <c r="X663" s="126" t="s">
        <v>2511</v>
      </c>
      <c r="Y663" s="126" t="s">
        <v>2511</v>
      </c>
      <c r="Z663" s="57"/>
      <c r="AA663" s="57" t="s">
        <v>3661</v>
      </c>
      <c r="AB663" s="138"/>
      <c r="AC663" s="138" t="s">
        <v>2631</v>
      </c>
      <c r="AD663" s="96"/>
      <c r="AE663" s="80"/>
      <c r="AF663" s="80"/>
      <c r="AG663" s="80"/>
      <c r="AH663" s="83"/>
      <c r="AI663" s="83"/>
      <c r="AJ663" s="84"/>
      <c r="AK663" s="84"/>
      <c r="AL663" s="84"/>
      <c r="AM663" s="84"/>
      <c r="AN663" s="84"/>
      <c r="AO663" s="84"/>
      <c r="AP663" s="84"/>
      <c r="AQ663" s="95" t="s">
        <v>635</v>
      </c>
      <c r="AR663" s="72"/>
      <c r="AS663" s="72"/>
      <c r="AT663" s="72"/>
      <c r="AU663" s="72"/>
      <c r="AV663" s="72"/>
      <c r="AW663" s="72"/>
      <c r="AX663" s="72"/>
      <c r="AY663" s="72"/>
      <c r="AZ663" s="72"/>
      <c r="BA663" s="72"/>
      <c r="BB663" s="16"/>
      <c r="BC663" s="72"/>
      <c r="BD663" s="20"/>
      <c r="BE663" s="352"/>
    </row>
    <row r="664" spans="1:57" s="81" customFormat="1" ht="12.95" hidden="1" customHeight="1">
      <c r="A664" s="348"/>
      <c r="B664" s="350"/>
      <c r="C664" s="248" t="s">
        <v>1372</v>
      </c>
      <c r="D664" s="239" t="s">
        <v>4305</v>
      </c>
      <c r="E664" s="58"/>
      <c r="F664" s="59" t="s">
        <v>4306</v>
      </c>
      <c r="G664" s="191" t="s">
        <v>2511</v>
      </c>
      <c r="H664" s="192" t="s">
        <v>636</v>
      </c>
      <c r="I664" s="61" t="s">
        <v>2511</v>
      </c>
      <c r="J664" s="61" t="s">
        <v>2511</v>
      </c>
      <c r="K664" s="62" t="s">
        <v>2511</v>
      </c>
      <c r="L664" s="60" t="s">
        <v>2511</v>
      </c>
      <c r="M664" s="61" t="s">
        <v>2389</v>
      </c>
      <c r="N664" s="61" t="s">
        <v>2511</v>
      </c>
      <c r="O664" s="61" t="s">
        <v>2511</v>
      </c>
      <c r="P664" s="62" t="s">
        <v>2511</v>
      </c>
      <c r="Q664" s="82"/>
      <c r="R664" s="82"/>
      <c r="S664" s="82"/>
      <c r="T664" s="82"/>
      <c r="U664" s="82"/>
      <c r="V664" s="138" t="s">
        <v>4307</v>
      </c>
      <c r="W664" s="57" t="s">
        <v>4094</v>
      </c>
      <c r="X664" s="126" t="s">
        <v>2511</v>
      </c>
      <c r="Y664" s="126" t="s">
        <v>2511</v>
      </c>
      <c r="Z664" s="57"/>
      <c r="AA664" s="57" t="s">
        <v>3661</v>
      </c>
      <c r="AB664" s="138"/>
      <c r="AC664" s="138">
        <v>0</v>
      </c>
      <c r="AD664" s="96"/>
      <c r="AE664" s="80"/>
      <c r="AF664" s="80"/>
      <c r="AG664" s="80"/>
      <c r="AH664" s="83"/>
      <c r="AI664" s="83"/>
      <c r="AJ664" s="84"/>
      <c r="AK664" s="84"/>
      <c r="AL664" s="84"/>
      <c r="AM664" s="84"/>
      <c r="AN664" s="84"/>
      <c r="AO664" s="84"/>
      <c r="AP664" s="84"/>
      <c r="AQ664" s="95" t="s">
        <v>636</v>
      </c>
      <c r="AR664" s="72"/>
      <c r="AS664" s="72"/>
      <c r="AT664" s="72"/>
      <c r="AU664" s="72"/>
      <c r="AV664" s="72"/>
      <c r="AW664" s="72"/>
      <c r="AX664" s="72"/>
      <c r="AY664" s="72"/>
      <c r="AZ664" s="72"/>
      <c r="BA664" s="72"/>
      <c r="BB664" s="16"/>
      <c r="BC664" s="72"/>
      <c r="BD664" s="20"/>
      <c r="BE664" s="352"/>
    </row>
    <row r="665" spans="1:57" s="81" customFormat="1" ht="12.95" hidden="1" customHeight="1">
      <c r="A665" s="348"/>
      <c r="B665" s="350"/>
      <c r="C665" s="248" t="s">
        <v>1373</v>
      </c>
      <c r="D665" s="239" t="s">
        <v>4308</v>
      </c>
      <c r="E665" s="58"/>
      <c r="F665" s="59" t="s">
        <v>4309</v>
      </c>
      <c r="G665" s="191" t="s">
        <v>2511</v>
      </c>
      <c r="H665" s="192" t="s">
        <v>637</v>
      </c>
      <c r="I665" s="61" t="s">
        <v>2511</v>
      </c>
      <c r="J665" s="61" t="s">
        <v>2511</v>
      </c>
      <c r="K665" s="62" t="s">
        <v>2511</v>
      </c>
      <c r="L665" s="60" t="s">
        <v>2511</v>
      </c>
      <c r="M665" s="61" t="s">
        <v>2389</v>
      </c>
      <c r="N665" s="61" t="s">
        <v>2511</v>
      </c>
      <c r="O665" s="61" t="s">
        <v>2511</v>
      </c>
      <c r="P665" s="62" t="s">
        <v>2511</v>
      </c>
      <c r="Q665" s="82"/>
      <c r="R665" s="82"/>
      <c r="S665" s="82"/>
      <c r="T665" s="82"/>
      <c r="U665" s="82"/>
      <c r="V665" s="138" t="s">
        <v>4310</v>
      </c>
      <c r="W665" s="57" t="s">
        <v>4094</v>
      </c>
      <c r="X665" s="126" t="s">
        <v>2511</v>
      </c>
      <c r="Y665" s="126" t="s">
        <v>2511</v>
      </c>
      <c r="Z665" s="57"/>
      <c r="AA665" s="57" t="s">
        <v>3661</v>
      </c>
      <c r="AB665" s="138"/>
      <c r="AC665" s="138" t="s">
        <v>2631</v>
      </c>
      <c r="AD665" s="96"/>
      <c r="AE665" s="80"/>
      <c r="AF665" s="80"/>
      <c r="AG665" s="80"/>
      <c r="AH665" s="83"/>
      <c r="AI665" s="83"/>
      <c r="AJ665" s="84"/>
      <c r="AK665" s="84"/>
      <c r="AL665" s="84"/>
      <c r="AM665" s="84"/>
      <c r="AN665" s="84"/>
      <c r="AO665" s="84"/>
      <c r="AP665" s="84"/>
      <c r="AQ665" s="95" t="s">
        <v>637</v>
      </c>
      <c r="AR665" s="72"/>
      <c r="AS665" s="72"/>
      <c r="AT665" s="72"/>
      <c r="AU665" s="72"/>
      <c r="AV665" s="72"/>
      <c r="AW665" s="72"/>
      <c r="AX665" s="72"/>
      <c r="AY665" s="72"/>
      <c r="AZ665" s="72"/>
      <c r="BA665" s="72"/>
      <c r="BB665" s="16"/>
      <c r="BC665" s="72"/>
      <c r="BD665" s="20"/>
      <c r="BE665" s="352"/>
    </row>
    <row r="666" spans="1:57" s="81" customFormat="1" ht="12.95" hidden="1" customHeight="1">
      <c r="A666" s="348"/>
      <c r="B666" s="350"/>
      <c r="C666" s="248" t="s">
        <v>1374</v>
      </c>
      <c r="D666" s="239" t="s">
        <v>4311</v>
      </c>
      <c r="E666" s="58"/>
      <c r="F666" s="59" t="s">
        <v>4312</v>
      </c>
      <c r="G666" s="191" t="s">
        <v>2511</v>
      </c>
      <c r="H666" s="192" t="s">
        <v>638</v>
      </c>
      <c r="I666" s="61" t="s">
        <v>2511</v>
      </c>
      <c r="J666" s="61" t="s">
        <v>2511</v>
      </c>
      <c r="K666" s="62" t="s">
        <v>2511</v>
      </c>
      <c r="L666" s="60" t="s">
        <v>2511</v>
      </c>
      <c r="M666" s="61" t="s">
        <v>2389</v>
      </c>
      <c r="N666" s="61" t="s">
        <v>2511</v>
      </c>
      <c r="O666" s="61" t="s">
        <v>2511</v>
      </c>
      <c r="P666" s="62" t="s">
        <v>2511</v>
      </c>
      <c r="Q666" s="82"/>
      <c r="R666" s="82"/>
      <c r="S666" s="82"/>
      <c r="T666" s="82"/>
      <c r="U666" s="82"/>
      <c r="V666" s="138" t="s">
        <v>4313</v>
      </c>
      <c r="W666" s="57" t="s">
        <v>4094</v>
      </c>
      <c r="X666" s="126" t="s">
        <v>2511</v>
      </c>
      <c r="Y666" s="126" t="s">
        <v>2511</v>
      </c>
      <c r="Z666" s="57"/>
      <c r="AA666" s="57" t="s">
        <v>3661</v>
      </c>
      <c r="AB666" s="138"/>
      <c r="AC666" s="138" t="s">
        <v>2631</v>
      </c>
      <c r="AD666" s="96"/>
      <c r="AE666" s="80"/>
      <c r="AF666" s="80"/>
      <c r="AG666" s="80"/>
      <c r="AH666" s="83"/>
      <c r="AI666" s="83"/>
      <c r="AJ666" s="84"/>
      <c r="AK666" s="84"/>
      <c r="AL666" s="84"/>
      <c r="AM666" s="84"/>
      <c r="AN666" s="84"/>
      <c r="AO666" s="84"/>
      <c r="AP666" s="84"/>
      <c r="AQ666" s="95" t="s">
        <v>638</v>
      </c>
      <c r="AR666" s="72"/>
      <c r="AS666" s="72"/>
      <c r="AT666" s="72"/>
      <c r="AU666" s="72"/>
      <c r="AV666" s="72"/>
      <c r="AW666" s="72"/>
      <c r="AX666" s="72"/>
      <c r="AY666" s="72"/>
      <c r="AZ666" s="72"/>
      <c r="BA666" s="72"/>
      <c r="BB666" s="16"/>
      <c r="BC666" s="72"/>
      <c r="BD666" s="20"/>
      <c r="BE666" s="352"/>
    </row>
    <row r="667" spans="1:57" s="81" customFormat="1" ht="12.95" hidden="1" customHeight="1">
      <c r="A667" s="348"/>
      <c r="B667" s="350"/>
      <c r="C667" s="248" t="s">
        <v>1375</v>
      </c>
      <c r="D667" s="239" t="s">
        <v>4314</v>
      </c>
      <c r="E667" s="58"/>
      <c r="F667" s="59" t="s">
        <v>4315</v>
      </c>
      <c r="G667" s="191" t="s">
        <v>2511</v>
      </c>
      <c r="H667" s="192" t="s">
        <v>639</v>
      </c>
      <c r="I667" s="61" t="s">
        <v>2511</v>
      </c>
      <c r="J667" s="61" t="s">
        <v>2511</v>
      </c>
      <c r="K667" s="62" t="s">
        <v>2511</v>
      </c>
      <c r="L667" s="60" t="s">
        <v>2511</v>
      </c>
      <c r="M667" s="61" t="s">
        <v>2389</v>
      </c>
      <c r="N667" s="61" t="s">
        <v>2511</v>
      </c>
      <c r="O667" s="61" t="s">
        <v>2511</v>
      </c>
      <c r="P667" s="62" t="s">
        <v>2511</v>
      </c>
      <c r="Q667" s="82"/>
      <c r="R667" s="82"/>
      <c r="S667" s="82"/>
      <c r="T667" s="82"/>
      <c r="U667" s="82"/>
      <c r="V667" s="138" t="s">
        <v>4316</v>
      </c>
      <c r="W667" s="57" t="s">
        <v>4094</v>
      </c>
      <c r="X667" s="126" t="s">
        <v>2511</v>
      </c>
      <c r="Y667" s="126" t="s">
        <v>2511</v>
      </c>
      <c r="Z667" s="57"/>
      <c r="AA667" s="57" t="s">
        <v>3661</v>
      </c>
      <c r="AB667" s="138"/>
      <c r="AC667" s="138" t="s">
        <v>2631</v>
      </c>
      <c r="AD667" s="96"/>
      <c r="AE667" s="80"/>
      <c r="AF667" s="80"/>
      <c r="AG667" s="80"/>
      <c r="AH667" s="83"/>
      <c r="AI667" s="83"/>
      <c r="AJ667" s="84"/>
      <c r="AK667" s="84"/>
      <c r="AL667" s="84"/>
      <c r="AM667" s="84"/>
      <c r="AN667" s="84"/>
      <c r="AO667" s="84"/>
      <c r="AP667" s="84"/>
      <c r="AQ667" s="95" t="s">
        <v>639</v>
      </c>
      <c r="AR667" s="72"/>
      <c r="AS667" s="72"/>
      <c r="AT667" s="72"/>
      <c r="AU667" s="72"/>
      <c r="AV667" s="72"/>
      <c r="AW667" s="72"/>
      <c r="AX667" s="72"/>
      <c r="AY667" s="72"/>
      <c r="AZ667" s="72"/>
      <c r="BA667" s="72"/>
      <c r="BB667" s="16"/>
      <c r="BC667" s="72"/>
      <c r="BD667" s="20"/>
      <c r="BE667" s="352"/>
    </row>
    <row r="668" spans="1:57" s="81" customFormat="1" ht="12.95" hidden="1" customHeight="1">
      <c r="A668" s="348"/>
      <c r="B668" s="350"/>
      <c r="C668" s="248" t="s">
        <v>1376</v>
      </c>
      <c r="D668" s="239" t="s">
        <v>4317</v>
      </c>
      <c r="E668" s="58"/>
      <c r="F668" s="59" t="s">
        <v>4318</v>
      </c>
      <c r="G668" s="191" t="s">
        <v>2511</v>
      </c>
      <c r="H668" s="192" t="s">
        <v>640</v>
      </c>
      <c r="I668" s="61" t="s">
        <v>2511</v>
      </c>
      <c r="J668" s="61" t="s">
        <v>2511</v>
      </c>
      <c r="K668" s="62" t="s">
        <v>2511</v>
      </c>
      <c r="L668" s="60" t="s">
        <v>2511</v>
      </c>
      <c r="M668" s="61" t="s">
        <v>2389</v>
      </c>
      <c r="N668" s="61" t="s">
        <v>2511</v>
      </c>
      <c r="O668" s="61" t="s">
        <v>2511</v>
      </c>
      <c r="P668" s="62" t="s">
        <v>2511</v>
      </c>
      <c r="Q668" s="82"/>
      <c r="R668" s="82"/>
      <c r="S668" s="82"/>
      <c r="T668" s="82"/>
      <c r="U668" s="82"/>
      <c r="V668" s="138" t="s">
        <v>4319</v>
      </c>
      <c r="W668" s="57" t="s">
        <v>4094</v>
      </c>
      <c r="X668" s="126" t="s">
        <v>2511</v>
      </c>
      <c r="Y668" s="126" t="s">
        <v>2511</v>
      </c>
      <c r="Z668" s="57"/>
      <c r="AA668" s="57" t="s">
        <v>3661</v>
      </c>
      <c r="AB668" s="138"/>
      <c r="AC668" s="138" t="s">
        <v>2631</v>
      </c>
      <c r="AD668" s="96"/>
      <c r="AE668" s="80"/>
      <c r="AF668" s="80"/>
      <c r="AG668" s="80"/>
      <c r="AH668" s="83"/>
      <c r="AI668" s="83"/>
      <c r="AJ668" s="84"/>
      <c r="AK668" s="84"/>
      <c r="AL668" s="84"/>
      <c r="AM668" s="84"/>
      <c r="AN668" s="84"/>
      <c r="AO668" s="84"/>
      <c r="AP668" s="84"/>
      <c r="AQ668" s="95" t="s">
        <v>640</v>
      </c>
      <c r="AR668" s="72"/>
      <c r="AS668" s="72"/>
      <c r="AT668" s="72"/>
      <c r="AU668" s="72"/>
      <c r="AV668" s="72"/>
      <c r="AW668" s="72"/>
      <c r="AX668" s="72"/>
      <c r="AY668" s="72"/>
      <c r="AZ668" s="72"/>
      <c r="BA668" s="72"/>
      <c r="BB668" s="16"/>
      <c r="BC668" s="72"/>
      <c r="BD668" s="20"/>
      <c r="BE668" s="352"/>
    </row>
    <row r="669" spans="1:57" s="81" customFormat="1" ht="12.95" hidden="1" customHeight="1">
      <c r="A669" s="348"/>
      <c r="B669" s="350"/>
      <c r="C669" s="248" t="s">
        <v>1377</v>
      </c>
      <c r="D669" s="239" t="s">
        <v>4320</v>
      </c>
      <c r="E669" s="58"/>
      <c r="F669" s="59" t="s">
        <v>4321</v>
      </c>
      <c r="G669" s="191" t="s">
        <v>2511</v>
      </c>
      <c r="H669" s="192" t="s">
        <v>641</v>
      </c>
      <c r="I669" s="61" t="s">
        <v>2511</v>
      </c>
      <c r="J669" s="61" t="s">
        <v>2511</v>
      </c>
      <c r="K669" s="62" t="s">
        <v>2511</v>
      </c>
      <c r="L669" s="60" t="s">
        <v>2511</v>
      </c>
      <c r="M669" s="61" t="s">
        <v>2389</v>
      </c>
      <c r="N669" s="61" t="s">
        <v>2511</v>
      </c>
      <c r="O669" s="61" t="s">
        <v>2511</v>
      </c>
      <c r="P669" s="62" t="s">
        <v>2511</v>
      </c>
      <c r="Q669" s="82"/>
      <c r="R669" s="82"/>
      <c r="S669" s="82"/>
      <c r="T669" s="82"/>
      <c r="U669" s="82"/>
      <c r="V669" s="138" t="s">
        <v>4322</v>
      </c>
      <c r="W669" s="57" t="s">
        <v>4094</v>
      </c>
      <c r="X669" s="126" t="s">
        <v>2511</v>
      </c>
      <c r="Y669" s="126" t="s">
        <v>2511</v>
      </c>
      <c r="Z669" s="57"/>
      <c r="AA669" s="57" t="s">
        <v>3661</v>
      </c>
      <c r="AB669" s="138"/>
      <c r="AC669" s="138" t="s">
        <v>2631</v>
      </c>
      <c r="AD669" s="96"/>
      <c r="AE669" s="80"/>
      <c r="AF669" s="80"/>
      <c r="AG669" s="80"/>
      <c r="AH669" s="83"/>
      <c r="AI669" s="83"/>
      <c r="AJ669" s="84"/>
      <c r="AK669" s="84"/>
      <c r="AL669" s="84"/>
      <c r="AM669" s="84"/>
      <c r="AN669" s="84"/>
      <c r="AO669" s="84"/>
      <c r="AP669" s="84"/>
      <c r="AQ669" s="95" t="s">
        <v>641</v>
      </c>
      <c r="AR669" s="72"/>
      <c r="AS669" s="72"/>
      <c r="AT669" s="72"/>
      <c r="AU669" s="72"/>
      <c r="AV669" s="72"/>
      <c r="AW669" s="72"/>
      <c r="AX669" s="72"/>
      <c r="AY669" s="72"/>
      <c r="AZ669" s="72"/>
      <c r="BA669" s="72"/>
      <c r="BB669" s="16"/>
      <c r="BC669" s="72"/>
      <c r="BD669" s="20"/>
      <c r="BE669" s="352"/>
    </row>
    <row r="670" spans="1:57" s="81" customFormat="1" ht="12.95" hidden="1" customHeight="1">
      <c r="A670" s="348"/>
      <c r="B670" s="350"/>
      <c r="C670" s="248" t="s">
        <v>1378</v>
      </c>
      <c r="D670" s="239" t="s">
        <v>4323</v>
      </c>
      <c r="E670" s="58"/>
      <c r="F670" s="59" t="s">
        <v>4324</v>
      </c>
      <c r="G670" s="191" t="s">
        <v>2511</v>
      </c>
      <c r="H670" s="192" t="s">
        <v>642</v>
      </c>
      <c r="I670" s="61" t="s">
        <v>2511</v>
      </c>
      <c r="J670" s="61" t="s">
        <v>2511</v>
      </c>
      <c r="K670" s="62" t="s">
        <v>2511</v>
      </c>
      <c r="L670" s="60" t="s">
        <v>2511</v>
      </c>
      <c r="M670" s="61" t="s">
        <v>2389</v>
      </c>
      <c r="N670" s="61" t="s">
        <v>2511</v>
      </c>
      <c r="O670" s="61" t="s">
        <v>2511</v>
      </c>
      <c r="P670" s="62" t="s">
        <v>2511</v>
      </c>
      <c r="Q670" s="82"/>
      <c r="R670" s="82"/>
      <c r="S670" s="82"/>
      <c r="T670" s="82"/>
      <c r="U670" s="82"/>
      <c r="V670" s="138" t="s">
        <v>4325</v>
      </c>
      <c r="W670" s="57" t="s">
        <v>4094</v>
      </c>
      <c r="X670" s="126" t="s">
        <v>2511</v>
      </c>
      <c r="Y670" s="126" t="s">
        <v>2511</v>
      </c>
      <c r="Z670" s="57"/>
      <c r="AA670" s="57" t="s">
        <v>3661</v>
      </c>
      <c r="AB670" s="138"/>
      <c r="AC670" s="138" t="s">
        <v>2631</v>
      </c>
      <c r="AD670" s="96"/>
      <c r="AE670" s="80"/>
      <c r="AF670" s="80"/>
      <c r="AG670" s="80"/>
      <c r="AH670" s="83"/>
      <c r="AI670" s="83"/>
      <c r="AJ670" s="84"/>
      <c r="AK670" s="84"/>
      <c r="AL670" s="84"/>
      <c r="AM670" s="84"/>
      <c r="AN670" s="84"/>
      <c r="AO670" s="84"/>
      <c r="AP670" s="84"/>
      <c r="AQ670" s="95" t="s">
        <v>642</v>
      </c>
      <c r="AR670" s="72"/>
      <c r="AS670" s="72"/>
      <c r="AT670" s="72"/>
      <c r="AU670" s="72"/>
      <c r="AV670" s="72"/>
      <c r="AW670" s="72"/>
      <c r="AX670" s="72"/>
      <c r="AY670" s="72"/>
      <c r="AZ670" s="72"/>
      <c r="BA670" s="72"/>
      <c r="BB670" s="16"/>
      <c r="BC670" s="72"/>
      <c r="BD670" s="20"/>
      <c r="BE670" s="352"/>
    </row>
    <row r="671" spans="1:57" s="81" customFormat="1" ht="12.95" hidden="1" customHeight="1">
      <c r="A671" s="348"/>
      <c r="B671" s="350"/>
      <c r="C671" s="248" t="s">
        <v>1379</v>
      </c>
      <c r="D671" s="239" t="s">
        <v>4326</v>
      </c>
      <c r="E671" s="58"/>
      <c r="F671" s="59" t="s">
        <v>4327</v>
      </c>
      <c r="G671" s="191" t="s">
        <v>2511</v>
      </c>
      <c r="H671" s="192" t="s">
        <v>643</v>
      </c>
      <c r="I671" s="61" t="s">
        <v>2511</v>
      </c>
      <c r="J671" s="61" t="s">
        <v>2511</v>
      </c>
      <c r="K671" s="62" t="s">
        <v>2511</v>
      </c>
      <c r="L671" s="60" t="s">
        <v>2511</v>
      </c>
      <c r="M671" s="61" t="s">
        <v>2389</v>
      </c>
      <c r="N671" s="61" t="s">
        <v>2511</v>
      </c>
      <c r="O671" s="61" t="s">
        <v>2511</v>
      </c>
      <c r="P671" s="62" t="s">
        <v>2511</v>
      </c>
      <c r="Q671" s="82"/>
      <c r="R671" s="82"/>
      <c r="S671" s="82"/>
      <c r="T671" s="82"/>
      <c r="U671" s="82"/>
      <c r="V671" s="138" t="s">
        <v>4328</v>
      </c>
      <c r="W671" s="57" t="s">
        <v>4094</v>
      </c>
      <c r="X671" s="126" t="s">
        <v>2511</v>
      </c>
      <c r="Y671" s="126" t="s">
        <v>2511</v>
      </c>
      <c r="Z671" s="57"/>
      <c r="AA671" s="57" t="s">
        <v>3661</v>
      </c>
      <c r="AB671" s="138"/>
      <c r="AC671" s="138" t="s">
        <v>2631</v>
      </c>
      <c r="AD671" s="96"/>
      <c r="AE671" s="80"/>
      <c r="AF671" s="80"/>
      <c r="AG671" s="80"/>
      <c r="AH671" s="83"/>
      <c r="AI671" s="83"/>
      <c r="AJ671" s="84"/>
      <c r="AK671" s="84"/>
      <c r="AL671" s="84"/>
      <c r="AM671" s="84"/>
      <c r="AN671" s="84"/>
      <c r="AO671" s="84"/>
      <c r="AP671" s="84"/>
      <c r="AQ671" s="95" t="s">
        <v>643</v>
      </c>
      <c r="AR671" s="72"/>
      <c r="AS671" s="72"/>
      <c r="AT671" s="72"/>
      <c r="AU671" s="72"/>
      <c r="AV671" s="72"/>
      <c r="AW671" s="72"/>
      <c r="AX671" s="72"/>
      <c r="AY671" s="72"/>
      <c r="AZ671" s="72"/>
      <c r="BA671" s="72"/>
      <c r="BB671" s="16"/>
      <c r="BC671" s="72"/>
      <c r="BD671" s="20"/>
      <c r="BE671" s="352"/>
    </row>
    <row r="672" spans="1:57" s="81" customFormat="1" ht="12.95" hidden="1" customHeight="1">
      <c r="A672" s="348"/>
      <c r="B672" s="350"/>
      <c r="C672" s="248" t="s">
        <v>1380</v>
      </c>
      <c r="D672" s="239" t="s">
        <v>4329</v>
      </c>
      <c r="E672" s="58"/>
      <c r="F672" s="59" t="s">
        <v>4330</v>
      </c>
      <c r="G672" s="191" t="s">
        <v>2511</v>
      </c>
      <c r="H672" s="192" t="s">
        <v>644</v>
      </c>
      <c r="I672" s="61" t="s">
        <v>2511</v>
      </c>
      <c r="J672" s="61" t="s">
        <v>2511</v>
      </c>
      <c r="K672" s="62" t="s">
        <v>2511</v>
      </c>
      <c r="L672" s="60" t="s">
        <v>2511</v>
      </c>
      <c r="M672" s="61" t="s">
        <v>2389</v>
      </c>
      <c r="N672" s="61" t="s">
        <v>2511</v>
      </c>
      <c r="O672" s="61" t="s">
        <v>2511</v>
      </c>
      <c r="P672" s="62" t="s">
        <v>2511</v>
      </c>
      <c r="Q672" s="82"/>
      <c r="R672" s="82"/>
      <c r="S672" s="82"/>
      <c r="T672" s="82"/>
      <c r="U672" s="82"/>
      <c r="V672" s="138" t="s">
        <v>4331</v>
      </c>
      <c r="W672" s="57" t="s">
        <v>4094</v>
      </c>
      <c r="X672" s="126" t="s">
        <v>2511</v>
      </c>
      <c r="Y672" s="126" t="s">
        <v>2511</v>
      </c>
      <c r="Z672" s="57"/>
      <c r="AA672" s="57" t="s">
        <v>3661</v>
      </c>
      <c r="AB672" s="138"/>
      <c r="AC672" s="138" t="s">
        <v>2631</v>
      </c>
      <c r="AD672" s="96"/>
      <c r="AE672" s="80"/>
      <c r="AF672" s="80"/>
      <c r="AG672" s="80"/>
      <c r="AH672" s="83"/>
      <c r="AI672" s="83"/>
      <c r="AJ672" s="84"/>
      <c r="AK672" s="84"/>
      <c r="AL672" s="84"/>
      <c r="AM672" s="84"/>
      <c r="AN672" s="84"/>
      <c r="AO672" s="84"/>
      <c r="AP672" s="84"/>
      <c r="AQ672" s="95" t="s">
        <v>644</v>
      </c>
      <c r="AR672" s="72"/>
      <c r="AS672" s="72"/>
      <c r="AT672" s="72"/>
      <c r="AU672" s="72"/>
      <c r="AV672" s="72"/>
      <c r="AW672" s="72"/>
      <c r="AX672" s="72"/>
      <c r="AY672" s="72"/>
      <c r="AZ672" s="72"/>
      <c r="BA672" s="72"/>
      <c r="BB672" s="16"/>
      <c r="BC672" s="72"/>
      <c r="BD672" s="20"/>
      <c r="BE672" s="352"/>
    </row>
    <row r="673" spans="1:57" s="81" customFormat="1" ht="12.95" hidden="1" customHeight="1">
      <c r="A673" s="348"/>
      <c r="B673" s="350"/>
      <c r="C673" s="248" t="s">
        <v>1381</v>
      </c>
      <c r="D673" s="239" t="s">
        <v>4332</v>
      </c>
      <c r="E673" s="58"/>
      <c r="F673" s="59" t="s">
        <v>4333</v>
      </c>
      <c r="G673" s="191" t="s">
        <v>2511</v>
      </c>
      <c r="H673" s="192" t="s">
        <v>645</v>
      </c>
      <c r="I673" s="61" t="s">
        <v>2511</v>
      </c>
      <c r="J673" s="61" t="s">
        <v>2511</v>
      </c>
      <c r="K673" s="62" t="s">
        <v>2511</v>
      </c>
      <c r="L673" s="60" t="s">
        <v>2511</v>
      </c>
      <c r="M673" s="61" t="s">
        <v>2389</v>
      </c>
      <c r="N673" s="61" t="s">
        <v>2511</v>
      </c>
      <c r="O673" s="61" t="s">
        <v>2511</v>
      </c>
      <c r="P673" s="62" t="s">
        <v>2511</v>
      </c>
      <c r="Q673" s="82"/>
      <c r="R673" s="82"/>
      <c r="S673" s="82"/>
      <c r="T673" s="82"/>
      <c r="U673" s="82"/>
      <c r="V673" s="138" t="s">
        <v>4334</v>
      </c>
      <c r="W673" s="57" t="s">
        <v>4094</v>
      </c>
      <c r="X673" s="126" t="s">
        <v>2511</v>
      </c>
      <c r="Y673" s="126" t="s">
        <v>2511</v>
      </c>
      <c r="Z673" s="57"/>
      <c r="AA673" s="57" t="s">
        <v>3661</v>
      </c>
      <c r="AB673" s="138"/>
      <c r="AC673" s="138" t="s">
        <v>2631</v>
      </c>
      <c r="AD673" s="96"/>
      <c r="AE673" s="80"/>
      <c r="AF673" s="80"/>
      <c r="AG673" s="80"/>
      <c r="AH673" s="83"/>
      <c r="AI673" s="83"/>
      <c r="AJ673" s="84"/>
      <c r="AK673" s="84"/>
      <c r="AL673" s="84"/>
      <c r="AM673" s="84"/>
      <c r="AN673" s="84"/>
      <c r="AO673" s="84"/>
      <c r="AP673" s="84"/>
      <c r="AQ673" s="95" t="s">
        <v>645</v>
      </c>
      <c r="AR673" s="72"/>
      <c r="AS673" s="72"/>
      <c r="AT673" s="72"/>
      <c r="AU673" s="72"/>
      <c r="AV673" s="72"/>
      <c r="AW673" s="72"/>
      <c r="AX673" s="72"/>
      <c r="AY673" s="72"/>
      <c r="AZ673" s="72"/>
      <c r="BA673" s="72"/>
      <c r="BB673" s="16"/>
      <c r="BC673" s="72"/>
      <c r="BD673" s="20"/>
      <c r="BE673" s="352"/>
    </row>
    <row r="674" spans="1:57" s="81" customFormat="1" ht="12.95" hidden="1" customHeight="1">
      <c r="A674" s="348"/>
      <c r="B674" s="350"/>
      <c r="C674" s="270" t="s">
        <v>1382</v>
      </c>
      <c r="D674" s="239" t="s">
        <v>4335</v>
      </c>
      <c r="E674" s="58"/>
      <c r="F674" s="59" t="s">
        <v>4336</v>
      </c>
      <c r="G674" s="191" t="s">
        <v>2511</v>
      </c>
      <c r="H674" s="192" t="s">
        <v>646</v>
      </c>
      <c r="I674" s="61" t="s">
        <v>2511</v>
      </c>
      <c r="J674" s="61" t="s">
        <v>2511</v>
      </c>
      <c r="K674" s="62" t="s">
        <v>2511</v>
      </c>
      <c r="L674" s="60" t="s">
        <v>2511</v>
      </c>
      <c r="M674" s="61" t="s">
        <v>2389</v>
      </c>
      <c r="N674" s="61" t="s">
        <v>2511</v>
      </c>
      <c r="O674" s="61" t="s">
        <v>2511</v>
      </c>
      <c r="P674" s="62" t="s">
        <v>2511</v>
      </c>
      <c r="Q674" s="82"/>
      <c r="R674" s="82"/>
      <c r="S674" s="82"/>
      <c r="T674" s="82"/>
      <c r="U674" s="82"/>
      <c r="V674" s="138" t="s">
        <v>4337</v>
      </c>
      <c r="W674" s="57" t="s">
        <v>4094</v>
      </c>
      <c r="X674" s="126" t="s">
        <v>2511</v>
      </c>
      <c r="Y674" s="126" t="s">
        <v>2511</v>
      </c>
      <c r="Z674" s="57"/>
      <c r="AA674" s="57" t="s">
        <v>3661</v>
      </c>
      <c r="AB674" s="138"/>
      <c r="AC674" s="138" t="s">
        <v>2631</v>
      </c>
      <c r="AD674" s="96"/>
      <c r="AE674" s="80"/>
      <c r="AF674" s="80"/>
      <c r="AG674" s="80"/>
      <c r="AH674" s="83"/>
      <c r="AI674" s="83"/>
      <c r="AJ674" s="84"/>
      <c r="AK674" s="84"/>
      <c r="AL674" s="84"/>
      <c r="AM674" s="84"/>
      <c r="AN674" s="84"/>
      <c r="AO674" s="84"/>
      <c r="AP674" s="84"/>
      <c r="AQ674" s="95" t="s">
        <v>646</v>
      </c>
      <c r="AR674" s="72"/>
      <c r="AS674" s="72"/>
      <c r="AT674" s="72"/>
      <c r="AU674" s="72"/>
      <c r="AV674" s="72"/>
      <c r="AW674" s="72"/>
      <c r="AX674" s="72"/>
      <c r="AY674" s="72"/>
      <c r="AZ674" s="72"/>
      <c r="BA674" s="72"/>
      <c r="BB674" s="16"/>
      <c r="BC674" s="72"/>
      <c r="BD674" s="20"/>
      <c r="BE674" s="352"/>
    </row>
    <row r="675" spans="1:57" s="81" customFormat="1" ht="12.95" hidden="1" customHeight="1">
      <c r="A675" s="348"/>
      <c r="B675" s="350"/>
      <c r="C675" s="270" t="s">
        <v>1383</v>
      </c>
      <c r="D675" s="239" t="s">
        <v>4338</v>
      </c>
      <c r="E675" s="58"/>
      <c r="F675" s="59" t="s">
        <v>4339</v>
      </c>
      <c r="G675" s="191" t="s">
        <v>2511</v>
      </c>
      <c r="H675" s="192" t="s">
        <v>647</v>
      </c>
      <c r="I675" s="61" t="s">
        <v>2511</v>
      </c>
      <c r="J675" s="61" t="s">
        <v>2511</v>
      </c>
      <c r="K675" s="62" t="s">
        <v>2511</v>
      </c>
      <c r="L675" s="60" t="s">
        <v>2511</v>
      </c>
      <c r="M675" s="61" t="s">
        <v>2389</v>
      </c>
      <c r="N675" s="61" t="s">
        <v>2511</v>
      </c>
      <c r="O675" s="61" t="s">
        <v>2511</v>
      </c>
      <c r="P675" s="62" t="s">
        <v>2511</v>
      </c>
      <c r="Q675" s="82"/>
      <c r="R675" s="82"/>
      <c r="S675" s="82"/>
      <c r="T675" s="82"/>
      <c r="U675" s="82"/>
      <c r="V675" s="138" t="s">
        <v>4340</v>
      </c>
      <c r="W675" s="57" t="s">
        <v>4094</v>
      </c>
      <c r="X675" s="126" t="s">
        <v>2511</v>
      </c>
      <c r="Y675" s="126" t="s">
        <v>2511</v>
      </c>
      <c r="Z675" s="57"/>
      <c r="AA675" s="57" t="s">
        <v>3661</v>
      </c>
      <c r="AB675" s="138"/>
      <c r="AC675" s="138" t="s">
        <v>2631</v>
      </c>
      <c r="AD675" s="96"/>
      <c r="AE675" s="80"/>
      <c r="AF675" s="80"/>
      <c r="AG675" s="80"/>
      <c r="AH675" s="83"/>
      <c r="AI675" s="83"/>
      <c r="AJ675" s="84"/>
      <c r="AK675" s="84"/>
      <c r="AL675" s="84"/>
      <c r="AM675" s="84"/>
      <c r="AN675" s="84"/>
      <c r="AO675" s="84"/>
      <c r="AP675" s="84"/>
      <c r="AQ675" s="95" t="s">
        <v>647</v>
      </c>
      <c r="AR675" s="72"/>
      <c r="AS675" s="72"/>
      <c r="AT675" s="72"/>
      <c r="AU675" s="72"/>
      <c r="AV675" s="72"/>
      <c r="AW675" s="72"/>
      <c r="AX675" s="72"/>
      <c r="AY675" s="72"/>
      <c r="AZ675" s="72"/>
      <c r="BA675" s="72"/>
      <c r="BB675" s="16"/>
      <c r="BC675" s="72"/>
      <c r="BD675" s="20"/>
      <c r="BE675" s="352"/>
    </row>
    <row r="676" spans="1:57" s="81" customFormat="1" ht="12.75" hidden="1" customHeight="1">
      <c r="A676" s="348"/>
      <c r="B676" s="350"/>
      <c r="C676" s="248" t="s">
        <v>1384</v>
      </c>
      <c r="D676" s="239" t="s">
        <v>4341</v>
      </c>
      <c r="E676" s="58"/>
      <c r="F676" s="59" t="s">
        <v>4342</v>
      </c>
      <c r="G676" s="191" t="s">
        <v>2511</v>
      </c>
      <c r="H676" s="192" t="s">
        <v>648</v>
      </c>
      <c r="I676" s="61" t="s">
        <v>2511</v>
      </c>
      <c r="J676" s="61" t="s">
        <v>2511</v>
      </c>
      <c r="K676" s="62" t="s">
        <v>2511</v>
      </c>
      <c r="L676" s="60" t="s">
        <v>2511</v>
      </c>
      <c r="M676" s="61" t="s">
        <v>2389</v>
      </c>
      <c r="N676" s="61" t="s">
        <v>2511</v>
      </c>
      <c r="O676" s="61" t="s">
        <v>2511</v>
      </c>
      <c r="P676" s="62" t="s">
        <v>2511</v>
      </c>
      <c r="Q676" s="82"/>
      <c r="R676" s="82"/>
      <c r="S676" s="82"/>
      <c r="T676" s="82"/>
      <c r="U676" s="82"/>
      <c r="V676" s="138" t="s">
        <v>4343</v>
      </c>
      <c r="W676" s="57" t="s">
        <v>4094</v>
      </c>
      <c r="X676" s="126" t="s">
        <v>2511</v>
      </c>
      <c r="Y676" s="126" t="s">
        <v>2511</v>
      </c>
      <c r="Z676" s="57"/>
      <c r="AA676" s="57" t="s">
        <v>3661</v>
      </c>
      <c r="AB676" s="138"/>
      <c r="AC676" s="138">
        <v>0</v>
      </c>
      <c r="AD676" s="96"/>
      <c r="AE676" s="80"/>
      <c r="AF676" s="80"/>
      <c r="AG676" s="80"/>
      <c r="AH676" s="83"/>
      <c r="AI676" s="83"/>
      <c r="AJ676" s="84"/>
      <c r="AK676" s="84"/>
      <c r="AL676" s="84"/>
      <c r="AM676" s="84"/>
      <c r="AN676" s="84"/>
      <c r="AO676" s="84"/>
      <c r="AP676" s="84"/>
      <c r="AQ676" s="95" t="s">
        <v>648</v>
      </c>
      <c r="AR676" s="72"/>
      <c r="AS676" s="72"/>
      <c r="AT676" s="72"/>
      <c r="AU676" s="72"/>
      <c r="AV676" s="72"/>
      <c r="AW676" s="72"/>
      <c r="AX676" s="72"/>
      <c r="AY676" s="72"/>
      <c r="AZ676" s="72"/>
      <c r="BA676" s="72"/>
      <c r="BB676" s="16"/>
      <c r="BC676" s="72"/>
      <c r="BD676" s="20"/>
      <c r="BE676" s="352"/>
    </row>
    <row r="677" spans="1:57" s="81" customFormat="1" ht="12.95" hidden="1" customHeight="1">
      <c r="A677" s="348"/>
      <c r="B677" s="350"/>
      <c r="C677" s="248" t="s">
        <v>1385</v>
      </c>
      <c r="D677" s="239" t="s">
        <v>4344</v>
      </c>
      <c r="E677" s="58"/>
      <c r="F677" s="59" t="s">
        <v>4345</v>
      </c>
      <c r="G677" s="191" t="s">
        <v>2511</v>
      </c>
      <c r="H677" s="192" t="s">
        <v>649</v>
      </c>
      <c r="I677" s="61" t="s">
        <v>2511</v>
      </c>
      <c r="J677" s="61" t="s">
        <v>2511</v>
      </c>
      <c r="K677" s="62" t="s">
        <v>2511</v>
      </c>
      <c r="L677" s="60" t="s">
        <v>2511</v>
      </c>
      <c r="M677" s="61" t="s">
        <v>2389</v>
      </c>
      <c r="N677" s="61" t="s">
        <v>2511</v>
      </c>
      <c r="O677" s="61" t="s">
        <v>2511</v>
      </c>
      <c r="P677" s="62" t="s">
        <v>2511</v>
      </c>
      <c r="Q677" s="82"/>
      <c r="R677" s="82"/>
      <c r="S677" s="82"/>
      <c r="T677" s="82"/>
      <c r="U677" s="82"/>
      <c r="V677" s="138" t="s">
        <v>4346</v>
      </c>
      <c r="W677" s="57" t="s">
        <v>4094</v>
      </c>
      <c r="X677" s="126" t="s">
        <v>2511</v>
      </c>
      <c r="Y677" s="126" t="s">
        <v>2511</v>
      </c>
      <c r="Z677" s="57"/>
      <c r="AA677" s="57" t="s">
        <v>3661</v>
      </c>
      <c r="AB677" s="138"/>
      <c r="AC677" s="138" t="s">
        <v>2631</v>
      </c>
      <c r="AD677" s="96"/>
      <c r="AE677" s="80"/>
      <c r="AF677" s="80"/>
      <c r="AG677" s="80"/>
      <c r="AH677" s="83"/>
      <c r="AI677" s="83"/>
      <c r="AJ677" s="84"/>
      <c r="AK677" s="84"/>
      <c r="AL677" s="84"/>
      <c r="AM677" s="84"/>
      <c r="AN677" s="84"/>
      <c r="AO677" s="84"/>
      <c r="AP677" s="84"/>
      <c r="AQ677" s="95" t="s">
        <v>649</v>
      </c>
      <c r="AR677" s="72"/>
      <c r="AS677" s="72"/>
      <c r="AT677" s="72"/>
      <c r="AU677" s="72"/>
      <c r="AV677" s="72"/>
      <c r="AW677" s="72"/>
      <c r="AX677" s="72"/>
      <c r="AY677" s="72"/>
      <c r="AZ677" s="72"/>
      <c r="BA677" s="72"/>
      <c r="BB677" s="16"/>
      <c r="BC677" s="72"/>
      <c r="BD677" s="20"/>
      <c r="BE677" s="352"/>
    </row>
    <row r="678" spans="1:57" s="81" customFormat="1" ht="12.95" hidden="1" customHeight="1">
      <c r="A678" s="348"/>
      <c r="B678" s="350"/>
      <c r="C678" s="248" t="s">
        <v>1386</v>
      </c>
      <c r="D678" s="239" t="s">
        <v>4347</v>
      </c>
      <c r="E678" s="58"/>
      <c r="F678" s="59" t="s">
        <v>4348</v>
      </c>
      <c r="G678" s="191" t="s">
        <v>2511</v>
      </c>
      <c r="H678" s="192" t="s">
        <v>650</v>
      </c>
      <c r="I678" s="61" t="s">
        <v>2511</v>
      </c>
      <c r="J678" s="61" t="s">
        <v>2511</v>
      </c>
      <c r="K678" s="62" t="s">
        <v>2511</v>
      </c>
      <c r="L678" s="60" t="s">
        <v>2511</v>
      </c>
      <c r="M678" s="61" t="s">
        <v>2389</v>
      </c>
      <c r="N678" s="61" t="s">
        <v>2511</v>
      </c>
      <c r="O678" s="61" t="s">
        <v>2511</v>
      </c>
      <c r="P678" s="62" t="s">
        <v>2511</v>
      </c>
      <c r="Q678" s="82"/>
      <c r="R678" s="82"/>
      <c r="S678" s="82"/>
      <c r="T678" s="82"/>
      <c r="U678" s="82"/>
      <c r="V678" s="138" t="s">
        <v>4349</v>
      </c>
      <c r="W678" s="57" t="s">
        <v>4094</v>
      </c>
      <c r="X678" s="126" t="s">
        <v>2511</v>
      </c>
      <c r="Y678" s="126" t="s">
        <v>2511</v>
      </c>
      <c r="Z678" s="57"/>
      <c r="AA678" s="57" t="s">
        <v>3661</v>
      </c>
      <c r="AB678" s="138"/>
      <c r="AC678" s="138" t="s">
        <v>2631</v>
      </c>
      <c r="AD678" s="96"/>
      <c r="AE678" s="80"/>
      <c r="AF678" s="80"/>
      <c r="AG678" s="80"/>
      <c r="AH678" s="83"/>
      <c r="AI678" s="83"/>
      <c r="AJ678" s="84"/>
      <c r="AK678" s="84"/>
      <c r="AL678" s="84"/>
      <c r="AM678" s="84"/>
      <c r="AN678" s="84"/>
      <c r="AO678" s="84"/>
      <c r="AP678" s="84"/>
      <c r="AQ678" s="95" t="s">
        <v>650</v>
      </c>
      <c r="AR678" s="72"/>
      <c r="AS678" s="72"/>
      <c r="AT678" s="72"/>
      <c r="AU678" s="72"/>
      <c r="AV678" s="72"/>
      <c r="AW678" s="72"/>
      <c r="AX678" s="72"/>
      <c r="AY678" s="72"/>
      <c r="AZ678" s="72"/>
      <c r="BA678" s="72"/>
      <c r="BB678" s="16"/>
      <c r="BC678" s="72"/>
      <c r="BD678" s="20"/>
      <c r="BE678" s="352"/>
    </row>
    <row r="679" spans="1:57" s="81" customFormat="1" ht="12.95" hidden="1" customHeight="1">
      <c r="A679" s="348"/>
      <c r="B679" s="350"/>
      <c r="C679" s="248" t="s">
        <v>1387</v>
      </c>
      <c r="D679" s="239" t="s">
        <v>4350</v>
      </c>
      <c r="E679" s="58"/>
      <c r="F679" s="59" t="s">
        <v>4351</v>
      </c>
      <c r="G679" s="191" t="s">
        <v>2511</v>
      </c>
      <c r="H679" s="192" t="s">
        <v>651</v>
      </c>
      <c r="I679" s="61" t="s">
        <v>2511</v>
      </c>
      <c r="J679" s="61" t="s">
        <v>2511</v>
      </c>
      <c r="K679" s="62" t="s">
        <v>2511</v>
      </c>
      <c r="L679" s="60" t="s">
        <v>2511</v>
      </c>
      <c r="M679" s="61" t="s">
        <v>2389</v>
      </c>
      <c r="N679" s="61" t="s">
        <v>2511</v>
      </c>
      <c r="O679" s="61" t="s">
        <v>2511</v>
      </c>
      <c r="P679" s="62" t="s">
        <v>2511</v>
      </c>
      <c r="Q679" s="82"/>
      <c r="R679" s="82"/>
      <c r="S679" s="82"/>
      <c r="T679" s="82"/>
      <c r="U679" s="82"/>
      <c r="V679" s="138" t="s">
        <v>4352</v>
      </c>
      <c r="W679" s="57" t="s">
        <v>4094</v>
      </c>
      <c r="X679" s="126" t="s">
        <v>2511</v>
      </c>
      <c r="Y679" s="126" t="s">
        <v>2511</v>
      </c>
      <c r="Z679" s="57"/>
      <c r="AA679" s="57" t="s">
        <v>3661</v>
      </c>
      <c r="AB679" s="138"/>
      <c r="AC679" s="138" t="s">
        <v>2631</v>
      </c>
      <c r="AD679" s="96"/>
      <c r="AE679" s="80"/>
      <c r="AF679" s="80"/>
      <c r="AG679" s="80"/>
      <c r="AH679" s="83"/>
      <c r="AI679" s="83"/>
      <c r="AJ679" s="84"/>
      <c r="AK679" s="84"/>
      <c r="AL679" s="84"/>
      <c r="AM679" s="84"/>
      <c r="AN679" s="84"/>
      <c r="AO679" s="84"/>
      <c r="AP679" s="84"/>
      <c r="AQ679" s="95" t="s">
        <v>651</v>
      </c>
      <c r="AR679" s="72"/>
      <c r="AS679" s="72"/>
      <c r="AT679" s="72"/>
      <c r="AU679" s="72"/>
      <c r="AV679" s="72"/>
      <c r="AW679" s="72"/>
      <c r="AX679" s="72"/>
      <c r="AY679" s="72"/>
      <c r="AZ679" s="72"/>
      <c r="BA679" s="72"/>
      <c r="BB679" s="16"/>
      <c r="BC679" s="72"/>
      <c r="BD679" s="20"/>
      <c r="BE679" s="352"/>
    </row>
    <row r="680" spans="1:57" s="81" customFormat="1" ht="12.95" hidden="1" customHeight="1">
      <c r="A680" s="348"/>
      <c r="B680" s="350"/>
      <c r="C680" s="248" t="s">
        <v>1388</v>
      </c>
      <c r="D680" s="239" t="s">
        <v>4353</v>
      </c>
      <c r="E680" s="58"/>
      <c r="F680" s="59" t="s">
        <v>4354</v>
      </c>
      <c r="G680" s="191" t="s">
        <v>2511</v>
      </c>
      <c r="H680" s="192" t="s">
        <v>652</v>
      </c>
      <c r="I680" s="61" t="s">
        <v>2511</v>
      </c>
      <c r="J680" s="61" t="s">
        <v>2511</v>
      </c>
      <c r="K680" s="62" t="s">
        <v>2511</v>
      </c>
      <c r="L680" s="60" t="s">
        <v>2511</v>
      </c>
      <c r="M680" s="61" t="s">
        <v>2389</v>
      </c>
      <c r="N680" s="61" t="s">
        <v>2511</v>
      </c>
      <c r="O680" s="61" t="s">
        <v>2511</v>
      </c>
      <c r="P680" s="62" t="s">
        <v>2511</v>
      </c>
      <c r="Q680" s="82"/>
      <c r="R680" s="82"/>
      <c r="S680" s="82"/>
      <c r="T680" s="82"/>
      <c r="U680" s="82"/>
      <c r="V680" s="138" t="s">
        <v>4355</v>
      </c>
      <c r="W680" s="57" t="s">
        <v>4094</v>
      </c>
      <c r="X680" s="126" t="s">
        <v>2511</v>
      </c>
      <c r="Y680" s="126" t="s">
        <v>2511</v>
      </c>
      <c r="Z680" s="57"/>
      <c r="AA680" s="57" t="s">
        <v>3661</v>
      </c>
      <c r="AB680" s="138"/>
      <c r="AC680" s="138" t="s">
        <v>2631</v>
      </c>
      <c r="AD680" s="96"/>
      <c r="AE680" s="80"/>
      <c r="AF680" s="80"/>
      <c r="AG680" s="80"/>
      <c r="AH680" s="83"/>
      <c r="AI680" s="83"/>
      <c r="AJ680" s="84"/>
      <c r="AK680" s="84"/>
      <c r="AL680" s="84"/>
      <c r="AM680" s="84"/>
      <c r="AN680" s="84"/>
      <c r="AO680" s="84"/>
      <c r="AP680" s="84"/>
      <c r="AQ680" s="95" t="s">
        <v>652</v>
      </c>
      <c r="AR680" s="72"/>
      <c r="AS680" s="72"/>
      <c r="AT680" s="72"/>
      <c r="AU680" s="72"/>
      <c r="AV680" s="72"/>
      <c r="AW680" s="72"/>
      <c r="AX680" s="72"/>
      <c r="AY680" s="72"/>
      <c r="AZ680" s="72"/>
      <c r="BA680" s="72"/>
      <c r="BB680" s="16"/>
      <c r="BC680" s="72"/>
      <c r="BD680" s="20"/>
      <c r="BE680" s="352"/>
    </row>
    <row r="681" spans="1:57" s="81" customFormat="1" ht="12.95" hidden="1" customHeight="1">
      <c r="A681" s="348"/>
      <c r="B681" s="350"/>
      <c r="C681" s="248" t="s">
        <v>1389</v>
      </c>
      <c r="D681" s="239" t="s">
        <v>4356</v>
      </c>
      <c r="E681" s="58"/>
      <c r="F681" s="59" t="s">
        <v>4357</v>
      </c>
      <c r="G681" s="191" t="s">
        <v>2511</v>
      </c>
      <c r="H681" s="192" t="s">
        <v>653</v>
      </c>
      <c r="I681" s="61" t="s">
        <v>2511</v>
      </c>
      <c r="J681" s="61" t="s">
        <v>2511</v>
      </c>
      <c r="K681" s="62" t="s">
        <v>2511</v>
      </c>
      <c r="L681" s="60" t="s">
        <v>2511</v>
      </c>
      <c r="M681" s="61" t="s">
        <v>2389</v>
      </c>
      <c r="N681" s="61" t="s">
        <v>2511</v>
      </c>
      <c r="O681" s="61" t="s">
        <v>2511</v>
      </c>
      <c r="P681" s="62" t="s">
        <v>2511</v>
      </c>
      <c r="Q681" s="82"/>
      <c r="R681" s="82"/>
      <c r="S681" s="82"/>
      <c r="T681" s="82"/>
      <c r="U681" s="82"/>
      <c r="V681" s="138" t="s">
        <v>4358</v>
      </c>
      <c r="W681" s="57" t="s">
        <v>4094</v>
      </c>
      <c r="X681" s="126" t="s">
        <v>2511</v>
      </c>
      <c r="Y681" s="126" t="s">
        <v>2511</v>
      </c>
      <c r="Z681" s="57"/>
      <c r="AA681" s="57" t="s">
        <v>3661</v>
      </c>
      <c r="AB681" s="138"/>
      <c r="AC681" s="138" t="s">
        <v>2631</v>
      </c>
      <c r="AD681" s="96"/>
      <c r="AE681" s="80"/>
      <c r="AF681" s="80"/>
      <c r="AG681" s="80"/>
      <c r="AH681" s="83"/>
      <c r="AI681" s="83"/>
      <c r="AJ681" s="84"/>
      <c r="AK681" s="84"/>
      <c r="AL681" s="84"/>
      <c r="AM681" s="84"/>
      <c r="AN681" s="84"/>
      <c r="AO681" s="84"/>
      <c r="AP681" s="84"/>
      <c r="AQ681" s="95" t="s">
        <v>653</v>
      </c>
      <c r="AR681" s="72"/>
      <c r="AS681" s="72"/>
      <c r="AT681" s="72"/>
      <c r="AU681" s="72"/>
      <c r="AV681" s="72"/>
      <c r="AW681" s="72"/>
      <c r="AX681" s="72"/>
      <c r="AY681" s="72"/>
      <c r="AZ681" s="72"/>
      <c r="BA681" s="72"/>
      <c r="BB681" s="16"/>
      <c r="BC681" s="72"/>
      <c r="BD681" s="20"/>
      <c r="BE681" s="352"/>
    </row>
    <row r="682" spans="1:57" s="81" customFormat="1" ht="12.95" hidden="1" customHeight="1">
      <c r="A682" s="348"/>
      <c r="B682" s="350"/>
      <c r="C682" s="248" t="s">
        <v>1390</v>
      </c>
      <c r="D682" s="239" t="s">
        <v>4359</v>
      </c>
      <c r="E682" s="58"/>
      <c r="F682" s="59" t="s">
        <v>4360</v>
      </c>
      <c r="G682" s="191" t="s">
        <v>2511</v>
      </c>
      <c r="H682" s="192" t="s">
        <v>654</v>
      </c>
      <c r="I682" s="61" t="s">
        <v>2511</v>
      </c>
      <c r="J682" s="61" t="s">
        <v>2511</v>
      </c>
      <c r="K682" s="62" t="s">
        <v>2511</v>
      </c>
      <c r="L682" s="60" t="s">
        <v>2511</v>
      </c>
      <c r="M682" s="61" t="s">
        <v>2389</v>
      </c>
      <c r="N682" s="61" t="s">
        <v>2511</v>
      </c>
      <c r="O682" s="61" t="s">
        <v>2511</v>
      </c>
      <c r="P682" s="62" t="s">
        <v>2511</v>
      </c>
      <c r="Q682" s="82"/>
      <c r="R682" s="82"/>
      <c r="S682" s="82"/>
      <c r="T682" s="82"/>
      <c r="U682" s="82"/>
      <c r="V682" s="138" t="s">
        <v>4361</v>
      </c>
      <c r="W682" s="57" t="s">
        <v>4094</v>
      </c>
      <c r="X682" s="126" t="s">
        <v>2511</v>
      </c>
      <c r="Y682" s="126" t="s">
        <v>2511</v>
      </c>
      <c r="Z682" s="57"/>
      <c r="AA682" s="57" t="s">
        <v>3661</v>
      </c>
      <c r="AB682" s="138"/>
      <c r="AC682" s="138" t="s">
        <v>2631</v>
      </c>
      <c r="AD682" s="96"/>
      <c r="AE682" s="80"/>
      <c r="AF682" s="80"/>
      <c r="AG682" s="80"/>
      <c r="AH682" s="83"/>
      <c r="AI682" s="83"/>
      <c r="AJ682" s="84"/>
      <c r="AK682" s="84"/>
      <c r="AL682" s="84"/>
      <c r="AM682" s="84"/>
      <c r="AN682" s="84"/>
      <c r="AO682" s="84"/>
      <c r="AP682" s="84"/>
      <c r="AQ682" s="95" t="s">
        <v>654</v>
      </c>
      <c r="AR682" s="72"/>
      <c r="AS682" s="72"/>
      <c r="AT682" s="72"/>
      <c r="AU682" s="72"/>
      <c r="AV682" s="72"/>
      <c r="AW682" s="72"/>
      <c r="AX682" s="72"/>
      <c r="AY682" s="72"/>
      <c r="AZ682" s="72"/>
      <c r="BA682" s="72"/>
      <c r="BB682" s="16"/>
      <c r="BC682" s="72"/>
      <c r="BD682" s="20"/>
      <c r="BE682" s="352"/>
    </row>
    <row r="683" spans="1:57" s="81" customFormat="1" ht="12.95" hidden="1" customHeight="1">
      <c r="A683" s="348"/>
      <c r="B683" s="350"/>
      <c r="C683" s="248" t="s">
        <v>1391</v>
      </c>
      <c r="D683" s="239" t="s">
        <v>4362</v>
      </c>
      <c r="E683" s="58"/>
      <c r="F683" s="59" t="s">
        <v>4363</v>
      </c>
      <c r="G683" s="191" t="s">
        <v>2511</v>
      </c>
      <c r="H683" s="192" t="s">
        <v>655</v>
      </c>
      <c r="I683" s="61" t="s">
        <v>2511</v>
      </c>
      <c r="J683" s="61" t="s">
        <v>2511</v>
      </c>
      <c r="K683" s="62" t="s">
        <v>2511</v>
      </c>
      <c r="L683" s="60" t="s">
        <v>2511</v>
      </c>
      <c r="M683" s="61" t="s">
        <v>2389</v>
      </c>
      <c r="N683" s="61" t="s">
        <v>2511</v>
      </c>
      <c r="O683" s="61" t="s">
        <v>2511</v>
      </c>
      <c r="P683" s="62" t="s">
        <v>2511</v>
      </c>
      <c r="Q683" s="82"/>
      <c r="R683" s="82"/>
      <c r="S683" s="82"/>
      <c r="T683" s="82"/>
      <c r="U683" s="82"/>
      <c r="V683" s="138" t="s">
        <v>4364</v>
      </c>
      <c r="W683" s="57" t="s">
        <v>4094</v>
      </c>
      <c r="X683" s="126" t="s">
        <v>2511</v>
      </c>
      <c r="Y683" s="126" t="s">
        <v>2511</v>
      </c>
      <c r="Z683" s="57"/>
      <c r="AA683" s="57" t="s">
        <v>3661</v>
      </c>
      <c r="AB683" s="138"/>
      <c r="AC683" s="138" t="s">
        <v>2631</v>
      </c>
      <c r="AD683" s="96"/>
      <c r="AE683" s="80"/>
      <c r="AF683" s="80"/>
      <c r="AG683" s="80"/>
      <c r="AH683" s="83"/>
      <c r="AI683" s="83"/>
      <c r="AJ683" s="84"/>
      <c r="AK683" s="84"/>
      <c r="AL683" s="84"/>
      <c r="AM683" s="84"/>
      <c r="AN683" s="84"/>
      <c r="AO683" s="84"/>
      <c r="AP683" s="84"/>
      <c r="AQ683" s="95" t="s">
        <v>655</v>
      </c>
      <c r="AR683" s="72"/>
      <c r="AS683" s="72"/>
      <c r="AT683" s="72"/>
      <c r="AU683" s="72"/>
      <c r="AV683" s="72"/>
      <c r="AW683" s="72"/>
      <c r="AX683" s="72"/>
      <c r="AY683" s="72"/>
      <c r="AZ683" s="72"/>
      <c r="BA683" s="72"/>
      <c r="BB683" s="16"/>
      <c r="BC683" s="72"/>
      <c r="BD683" s="20"/>
      <c r="BE683" s="352"/>
    </row>
    <row r="684" spans="1:57" s="81" customFormat="1" ht="12.95" hidden="1" customHeight="1">
      <c r="A684" s="348"/>
      <c r="B684" s="350"/>
      <c r="C684" s="248" t="s">
        <v>1392</v>
      </c>
      <c r="D684" s="239" t="s">
        <v>4365</v>
      </c>
      <c r="E684" s="58"/>
      <c r="F684" s="59" t="s">
        <v>4366</v>
      </c>
      <c r="G684" s="191" t="s">
        <v>2511</v>
      </c>
      <c r="H684" s="192" t="s">
        <v>656</v>
      </c>
      <c r="I684" s="61" t="s">
        <v>2511</v>
      </c>
      <c r="J684" s="61" t="s">
        <v>2511</v>
      </c>
      <c r="K684" s="62" t="s">
        <v>2511</v>
      </c>
      <c r="L684" s="60" t="s">
        <v>2511</v>
      </c>
      <c r="M684" s="61" t="s">
        <v>2389</v>
      </c>
      <c r="N684" s="61" t="s">
        <v>2511</v>
      </c>
      <c r="O684" s="61" t="s">
        <v>2511</v>
      </c>
      <c r="P684" s="62" t="s">
        <v>2511</v>
      </c>
      <c r="Q684" s="82"/>
      <c r="R684" s="82"/>
      <c r="S684" s="82"/>
      <c r="T684" s="82"/>
      <c r="U684" s="82"/>
      <c r="V684" s="138" t="s">
        <v>4367</v>
      </c>
      <c r="W684" s="57" t="s">
        <v>4094</v>
      </c>
      <c r="X684" s="126" t="s">
        <v>2511</v>
      </c>
      <c r="Y684" s="126" t="s">
        <v>2511</v>
      </c>
      <c r="Z684" s="57"/>
      <c r="AA684" s="57" t="s">
        <v>3661</v>
      </c>
      <c r="AB684" s="138"/>
      <c r="AC684" s="138" t="s">
        <v>2631</v>
      </c>
      <c r="AD684" s="96"/>
      <c r="AE684" s="80"/>
      <c r="AF684" s="80"/>
      <c r="AG684" s="80"/>
      <c r="AH684" s="83"/>
      <c r="AI684" s="83"/>
      <c r="AJ684" s="84"/>
      <c r="AK684" s="84"/>
      <c r="AL684" s="84"/>
      <c r="AM684" s="84"/>
      <c r="AN684" s="84"/>
      <c r="AO684" s="84"/>
      <c r="AP684" s="84"/>
      <c r="AQ684" s="95" t="s">
        <v>656</v>
      </c>
      <c r="AR684" s="72"/>
      <c r="AS684" s="72"/>
      <c r="AT684" s="72"/>
      <c r="AU684" s="72"/>
      <c r="AV684" s="72"/>
      <c r="AW684" s="72"/>
      <c r="AX684" s="72"/>
      <c r="AY684" s="72"/>
      <c r="AZ684" s="72"/>
      <c r="BA684" s="72"/>
      <c r="BB684" s="16"/>
      <c r="BC684" s="72"/>
      <c r="BD684" s="20"/>
      <c r="BE684" s="352"/>
    </row>
    <row r="685" spans="1:57" s="81" customFormat="1" ht="12.95" hidden="1" customHeight="1">
      <c r="A685" s="348"/>
      <c r="B685" s="350"/>
      <c r="C685" s="248" t="s">
        <v>1393</v>
      </c>
      <c r="D685" s="239" t="s">
        <v>4368</v>
      </c>
      <c r="E685" s="58"/>
      <c r="F685" s="59" t="s">
        <v>4369</v>
      </c>
      <c r="G685" s="191" t="s">
        <v>2511</v>
      </c>
      <c r="H685" s="192" t="s">
        <v>657</v>
      </c>
      <c r="I685" s="61" t="s">
        <v>2511</v>
      </c>
      <c r="J685" s="61" t="s">
        <v>2511</v>
      </c>
      <c r="K685" s="62" t="s">
        <v>2511</v>
      </c>
      <c r="L685" s="60" t="s">
        <v>2511</v>
      </c>
      <c r="M685" s="61" t="s">
        <v>2389</v>
      </c>
      <c r="N685" s="61" t="s">
        <v>2511</v>
      </c>
      <c r="O685" s="61" t="s">
        <v>2511</v>
      </c>
      <c r="P685" s="62" t="s">
        <v>2511</v>
      </c>
      <c r="Q685" s="82"/>
      <c r="R685" s="82"/>
      <c r="S685" s="82"/>
      <c r="T685" s="82"/>
      <c r="U685" s="82"/>
      <c r="V685" s="138" t="s">
        <v>4370</v>
      </c>
      <c r="W685" s="57" t="s">
        <v>4094</v>
      </c>
      <c r="X685" s="126" t="s">
        <v>2511</v>
      </c>
      <c r="Y685" s="126" t="s">
        <v>2511</v>
      </c>
      <c r="Z685" s="57"/>
      <c r="AA685" s="57" t="s">
        <v>3661</v>
      </c>
      <c r="AB685" s="138"/>
      <c r="AC685" s="138" t="s">
        <v>2631</v>
      </c>
      <c r="AD685" s="96"/>
      <c r="AE685" s="80"/>
      <c r="AF685" s="80"/>
      <c r="AG685" s="80"/>
      <c r="AH685" s="83"/>
      <c r="AI685" s="83"/>
      <c r="AJ685" s="84"/>
      <c r="AK685" s="84"/>
      <c r="AL685" s="84"/>
      <c r="AM685" s="84"/>
      <c r="AN685" s="84"/>
      <c r="AO685" s="84"/>
      <c r="AP685" s="84"/>
      <c r="AQ685" s="95" t="s">
        <v>657</v>
      </c>
      <c r="AR685" s="72"/>
      <c r="AS685" s="72"/>
      <c r="AT685" s="72"/>
      <c r="AU685" s="72"/>
      <c r="AV685" s="72"/>
      <c r="AW685" s="72"/>
      <c r="AX685" s="72"/>
      <c r="AY685" s="72"/>
      <c r="AZ685" s="72"/>
      <c r="BA685" s="72"/>
      <c r="BB685" s="16"/>
      <c r="BC685" s="72"/>
      <c r="BD685" s="20"/>
      <c r="BE685" s="352"/>
    </row>
    <row r="686" spans="1:57" s="81" customFormat="1" ht="12.95" hidden="1" customHeight="1">
      <c r="A686" s="348"/>
      <c r="B686" s="350"/>
      <c r="C686" s="270" t="s">
        <v>1394</v>
      </c>
      <c r="D686" s="239" t="s">
        <v>4371</v>
      </c>
      <c r="E686" s="58"/>
      <c r="F686" s="59" t="s">
        <v>4372</v>
      </c>
      <c r="G686" s="191" t="s">
        <v>2511</v>
      </c>
      <c r="H686" s="192" t="s">
        <v>658</v>
      </c>
      <c r="I686" s="61" t="s">
        <v>2511</v>
      </c>
      <c r="J686" s="61" t="s">
        <v>2511</v>
      </c>
      <c r="K686" s="62" t="s">
        <v>2511</v>
      </c>
      <c r="L686" s="60" t="s">
        <v>2511</v>
      </c>
      <c r="M686" s="61" t="s">
        <v>2389</v>
      </c>
      <c r="N686" s="61" t="s">
        <v>2511</v>
      </c>
      <c r="O686" s="61" t="s">
        <v>2511</v>
      </c>
      <c r="P686" s="62" t="s">
        <v>2511</v>
      </c>
      <c r="Q686" s="82"/>
      <c r="R686" s="82"/>
      <c r="S686" s="82"/>
      <c r="T686" s="82"/>
      <c r="U686" s="82"/>
      <c r="V686" s="138" t="s">
        <v>4373</v>
      </c>
      <c r="W686" s="57" t="s">
        <v>4094</v>
      </c>
      <c r="X686" s="126" t="s">
        <v>2511</v>
      </c>
      <c r="Y686" s="126" t="s">
        <v>2511</v>
      </c>
      <c r="Z686" s="57"/>
      <c r="AA686" s="57" t="s">
        <v>3661</v>
      </c>
      <c r="AB686" s="138"/>
      <c r="AC686" s="138" t="s">
        <v>2631</v>
      </c>
      <c r="AD686" s="96"/>
      <c r="AE686" s="80"/>
      <c r="AF686" s="80"/>
      <c r="AG686" s="80"/>
      <c r="AH686" s="83"/>
      <c r="AI686" s="83"/>
      <c r="AJ686" s="84"/>
      <c r="AK686" s="84"/>
      <c r="AL686" s="84"/>
      <c r="AM686" s="84"/>
      <c r="AN686" s="84"/>
      <c r="AO686" s="84"/>
      <c r="AP686" s="84"/>
      <c r="AQ686" s="95" t="s">
        <v>658</v>
      </c>
      <c r="AR686" s="72"/>
      <c r="AS686" s="72"/>
      <c r="AT686" s="72"/>
      <c r="AU686" s="72"/>
      <c r="AV686" s="72"/>
      <c r="AW686" s="72"/>
      <c r="AX686" s="72"/>
      <c r="AY686" s="72"/>
      <c r="AZ686" s="72"/>
      <c r="BA686" s="72"/>
      <c r="BB686" s="16"/>
      <c r="BC686" s="72"/>
      <c r="BD686" s="20"/>
      <c r="BE686" s="352"/>
    </row>
    <row r="687" spans="1:57" s="81" customFormat="1" ht="12.95" hidden="1" customHeight="1">
      <c r="A687" s="348"/>
      <c r="B687" s="350"/>
      <c r="C687" s="270" t="s">
        <v>1395</v>
      </c>
      <c r="D687" s="239" t="s">
        <v>4374</v>
      </c>
      <c r="E687" s="58"/>
      <c r="F687" s="59" t="s">
        <v>4375</v>
      </c>
      <c r="G687" s="191" t="s">
        <v>2511</v>
      </c>
      <c r="H687" s="192" t="s">
        <v>659</v>
      </c>
      <c r="I687" s="61" t="s">
        <v>2511</v>
      </c>
      <c r="J687" s="61" t="s">
        <v>2511</v>
      </c>
      <c r="K687" s="62" t="s">
        <v>2511</v>
      </c>
      <c r="L687" s="60" t="s">
        <v>2511</v>
      </c>
      <c r="M687" s="61" t="s">
        <v>2389</v>
      </c>
      <c r="N687" s="61" t="s">
        <v>2511</v>
      </c>
      <c r="O687" s="61" t="s">
        <v>2511</v>
      </c>
      <c r="P687" s="62" t="s">
        <v>2511</v>
      </c>
      <c r="Q687" s="82"/>
      <c r="R687" s="82"/>
      <c r="S687" s="82"/>
      <c r="T687" s="82"/>
      <c r="U687" s="82"/>
      <c r="V687" s="138" t="s">
        <v>4376</v>
      </c>
      <c r="W687" s="57" t="s">
        <v>4094</v>
      </c>
      <c r="X687" s="126" t="s">
        <v>2511</v>
      </c>
      <c r="Y687" s="126" t="s">
        <v>2511</v>
      </c>
      <c r="Z687" s="57"/>
      <c r="AA687" s="57" t="s">
        <v>3661</v>
      </c>
      <c r="AB687" s="138"/>
      <c r="AC687" s="138" t="s">
        <v>2631</v>
      </c>
      <c r="AD687" s="96"/>
      <c r="AE687" s="80"/>
      <c r="AF687" s="80"/>
      <c r="AG687" s="80"/>
      <c r="AH687" s="83"/>
      <c r="AI687" s="83"/>
      <c r="AJ687" s="84"/>
      <c r="AK687" s="84"/>
      <c r="AL687" s="84"/>
      <c r="AM687" s="84"/>
      <c r="AN687" s="84"/>
      <c r="AO687" s="84"/>
      <c r="AP687" s="84"/>
      <c r="AQ687" s="95" t="s">
        <v>659</v>
      </c>
      <c r="AR687" s="72"/>
      <c r="AS687" s="72"/>
      <c r="AT687" s="72"/>
      <c r="AU687" s="72"/>
      <c r="AV687" s="72"/>
      <c r="AW687" s="72"/>
      <c r="AX687" s="72"/>
      <c r="AY687" s="72"/>
      <c r="AZ687" s="72"/>
      <c r="BA687" s="72"/>
      <c r="BB687" s="16"/>
      <c r="BC687" s="72"/>
      <c r="BD687" s="20"/>
      <c r="BE687" s="352"/>
    </row>
    <row r="688" spans="1:57" s="81" customFormat="1" ht="12.95" hidden="1" customHeight="1">
      <c r="A688" s="348"/>
      <c r="B688" s="350"/>
      <c r="C688" s="248" t="s">
        <v>1396</v>
      </c>
      <c r="D688" s="239" t="s">
        <v>4377</v>
      </c>
      <c r="E688" s="58"/>
      <c r="F688" s="59" t="s">
        <v>4378</v>
      </c>
      <c r="G688" s="191" t="s">
        <v>2511</v>
      </c>
      <c r="H688" s="192" t="s">
        <v>660</v>
      </c>
      <c r="I688" s="61" t="s">
        <v>2511</v>
      </c>
      <c r="J688" s="61" t="s">
        <v>2511</v>
      </c>
      <c r="K688" s="62" t="s">
        <v>2511</v>
      </c>
      <c r="L688" s="60" t="s">
        <v>2511</v>
      </c>
      <c r="M688" s="61" t="s">
        <v>2389</v>
      </c>
      <c r="N688" s="61" t="s">
        <v>2511</v>
      </c>
      <c r="O688" s="61" t="s">
        <v>2511</v>
      </c>
      <c r="P688" s="62" t="s">
        <v>2511</v>
      </c>
      <c r="Q688" s="82"/>
      <c r="R688" s="82"/>
      <c r="S688" s="82"/>
      <c r="T688" s="82"/>
      <c r="U688" s="82"/>
      <c r="V688" s="138" t="s">
        <v>4379</v>
      </c>
      <c r="W688" s="57" t="s">
        <v>4094</v>
      </c>
      <c r="X688" s="126" t="s">
        <v>2511</v>
      </c>
      <c r="Y688" s="126" t="s">
        <v>2511</v>
      </c>
      <c r="Z688" s="57"/>
      <c r="AA688" s="57" t="s">
        <v>3661</v>
      </c>
      <c r="AB688" s="138"/>
      <c r="AC688" s="138">
        <v>0</v>
      </c>
      <c r="AD688" s="96"/>
      <c r="AE688" s="80"/>
      <c r="AF688" s="80"/>
      <c r="AG688" s="80"/>
      <c r="AH688" s="83"/>
      <c r="AI688" s="83"/>
      <c r="AJ688" s="84"/>
      <c r="AK688" s="84"/>
      <c r="AL688" s="84"/>
      <c r="AM688" s="84"/>
      <c r="AN688" s="84"/>
      <c r="AO688" s="84"/>
      <c r="AP688" s="84"/>
      <c r="AQ688" s="95" t="s">
        <v>660</v>
      </c>
      <c r="AR688" s="72"/>
      <c r="AS688" s="72"/>
      <c r="AT688" s="72"/>
      <c r="AU688" s="72"/>
      <c r="AV688" s="72"/>
      <c r="AW688" s="72"/>
      <c r="AX688" s="72"/>
      <c r="AY688" s="72"/>
      <c r="AZ688" s="72"/>
      <c r="BA688" s="72"/>
      <c r="BB688" s="16"/>
      <c r="BC688" s="72"/>
      <c r="BD688" s="20"/>
      <c r="BE688" s="352"/>
    </row>
    <row r="689" spans="1:57" s="81" customFormat="1" ht="12.95" hidden="1" customHeight="1">
      <c r="A689" s="348"/>
      <c r="B689" s="350"/>
      <c r="C689" s="248" t="s">
        <v>1397</v>
      </c>
      <c r="D689" s="239" t="s">
        <v>4380</v>
      </c>
      <c r="E689" s="58"/>
      <c r="F689" s="59" t="s">
        <v>4381</v>
      </c>
      <c r="G689" s="191" t="s">
        <v>2511</v>
      </c>
      <c r="H689" s="192" t="s">
        <v>661</v>
      </c>
      <c r="I689" s="61" t="s">
        <v>2511</v>
      </c>
      <c r="J689" s="61" t="s">
        <v>2511</v>
      </c>
      <c r="K689" s="62" t="s">
        <v>2511</v>
      </c>
      <c r="L689" s="60" t="s">
        <v>2511</v>
      </c>
      <c r="M689" s="61" t="s">
        <v>2389</v>
      </c>
      <c r="N689" s="61" t="s">
        <v>2511</v>
      </c>
      <c r="O689" s="61" t="s">
        <v>2511</v>
      </c>
      <c r="P689" s="62" t="s">
        <v>2511</v>
      </c>
      <c r="Q689" s="82"/>
      <c r="R689" s="82"/>
      <c r="S689" s="82"/>
      <c r="T689" s="82"/>
      <c r="U689" s="82"/>
      <c r="V689" s="138" t="s">
        <v>4382</v>
      </c>
      <c r="W689" s="57" t="s">
        <v>4094</v>
      </c>
      <c r="X689" s="126" t="s">
        <v>2511</v>
      </c>
      <c r="Y689" s="126" t="s">
        <v>2511</v>
      </c>
      <c r="Z689" s="57"/>
      <c r="AA689" s="57" t="s">
        <v>3661</v>
      </c>
      <c r="AB689" s="138"/>
      <c r="AC689" s="138" t="s">
        <v>2631</v>
      </c>
      <c r="AD689" s="96"/>
      <c r="AE689" s="80"/>
      <c r="AF689" s="80"/>
      <c r="AG689" s="80"/>
      <c r="AH689" s="83"/>
      <c r="AI689" s="83"/>
      <c r="AJ689" s="84"/>
      <c r="AK689" s="84"/>
      <c r="AL689" s="84"/>
      <c r="AM689" s="84"/>
      <c r="AN689" s="84"/>
      <c r="AO689" s="84"/>
      <c r="AP689" s="84"/>
      <c r="AQ689" s="95" t="s">
        <v>661</v>
      </c>
      <c r="AR689" s="72"/>
      <c r="AS689" s="72"/>
      <c r="AT689" s="72"/>
      <c r="AU689" s="72"/>
      <c r="AV689" s="72"/>
      <c r="AW689" s="72"/>
      <c r="AX689" s="72"/>
      <c r="AY689" s="72"/>
      <c r="AZ689" s="72"/>
      <c r="BA689" s="72"/>
      <c r="BB689" s="16"/>
      <c r="BC689" s="72"/>
      <c r="BD689" s="20"/>
      <c r="BE689" s="352"/>
    </row>
    <row r="690" spans="1:57" s="81" customFormat="1" ht="12.95" hidden="1" customHeight="1">
      <c r="A690" s="348"/>
      <c r="B690" s="350"/>
      <c r="C690" s="248" t="s">
        <v>1398</v>
      </c>
      <c r="D690" s="239" t="s">
        <v>4383</v>
      </c>
      <c r="E690" s="58"/>
      <c r="F690" s="59" t="s">
        <v>4384</v>
      </c>
      <c r="G690" s="191" t="s">
        <v>2511</v>
      </c>
      <c r="H690" s="192" t="s">
        <v>662</v>
      </c>
      <c r="I690" s="61" t="s">
        <v>2511</v>
      </c>
      <c r="J690" s="61" t="s">
        <v>2511</v>
      </c>
      <c r="K690" s="62" t="s">
        <v>2511</v>
      </c>
      <c r="L690" s="60" t="s">
        <v>2511</v>
      </c>
      <c r="M690" s="61" t="s">
        <v>2389</v>
      </c>
      <c r="N690" s="61" t="s">
        <v>2511</v>
      </c>
      <c r="O690" s="61" t="s">
        <v>2511</v>
      </c>
      <c r="P690" s="62" t="s">
        <v>2511</v>
      </c>
      <c r="Q690" s="82"/>
      <c r="R690" s="82"/>
      <c r="S690" s="82"/>
      <c r="T690" s="82"/>
      <c r="U690" s="82"/>
      <c r="V690" s="138" t="s">
        <v>4385</v>
      </c>
      <c r="W690" s="57" t="s">
        <v>4094</v>
      </c>
      <c r="X690" s="126" t="s">
        <v>2511</v>
      </c>
      <c r="Y690" s="126" t="s">
        <v>2511</v>
      </c>
      <c r="Z690" s="57"/>
      <c r="AA690" s="57" t="s">
        <v>3661</v>
      </c>
      <c r="AB690" s="138"/>
      <c r="AC690" s="138" t="s">
        <v>2631</v>
      </c>
      <c r="AD690" s="96"/>
      <c r="AE690" s="80"/>
      <c r="AF690" s="80"/>
      <c r="AG690" s="80"/>
      <c r="AH690" s="83"/>
      <c r="AI690" s="83"/>
      <c r="AJ690" s="84"/>
      <c r="AK690" s="84"/>
      <c r="AL690" s="84"/>
      <c r="AM690" s="84"/>
      <c r="AN690" s="84"/>
      <c r="AO690" s="84"/>
      <c r="AP690" s="84"/>
      <c r="AQ690" s="95" t="s">
        <v>662</v>
      </c>
      <c r="AR690" s="72"/>
      <c r="AS690" s="72"/>
      <c r="AT690" s="72"/>
      <c r="AU690" s="72"/>
      <c r="AV690" s="72"/>
      <c r="AW690" s="72"/>
      <c r="AX690" s="72"/>
      <c r="AY690" s="72"/>
      <c r="AZ690" s="72"/>
      <c r="BA690" s="72"/>
      <c r="BB690" s="16"/>
      <c r="BC690" s="72"/>
      <c r="BD690" s="20"/>
      <c r="BE690" s="352"/>
    </row>
    <row r="691" spans="1:57" s="81" customFormat="1" ht="12.95" hidden="1" customHeight="1">
      <c r="A691" s="348"/>
      <c r="B691" s="350"/>
      <c r="C691" s="248" t="s">
        <v>1399</v>
      </c>
      <c r="D691" s="239" t="s">
        <v>4386</v>
      </c>
      <c r="E691" s="58"/>
      <c r="F691" s="59" t="s">
        <v>4387</v>
      </c>
      <c r="G691" s="191" t="s">
        <v>2511</v>
      </c>
      <c r="H691" s="192" t="s">
        <v>663</v>
      </c>
      <c r="I691" s="61" t="s">
        <v>2511</v>
      </c>
      <c r="J691" s="61" t="s">
        <v>2511</v>
      </c>
      <c r="K691" s="62" t="s">
        <v>2511</v>
      </c>
      <c r="L691" s="60" t="s">
        <v>2511</v>
      </c>
      <c r="M691" s="61" t="s">
        <v>2389</v>
      </c>
      <c r="N691" s="61" t="s">
        <v>2511</v>
      </c>
      <c r="O691" s="61" t="s">
        <v>2511</v>
      </c>
      <c r="P691" s="62" t="s">
        <v>2511</v>
      </c>
      <c r="Q691" s="82"/>
      <c r="R691" s="82"/>
      <c r="S691" s="82"/>
      <c r="T691" s="82"/>
      <c r="U691" s="82"/>
      <c r="V691" s="138" t="s">
        <v>4388</v>
      </c>
      <c r="W691" s="57" t="s">
        <v>4094</v>
      </c>
      <c r="X691" s="126" t="s">
        <v>2511</v>
      </c>
      <c r="Y691" s="126" t="s">
        <v>2511</v>
      </c>
      <c r="Z691" s="57"/>
      <c r="AA691" s="57" t="s">
        <v>3661</v>
      </c>
      <c r="AB691" s="138"/>
      <c r="AC691" s="138" t="s">
        <v>2631</v>
      </c>
      <c r="AD691" s="96"/>
      <c r="AE691" s="80"/>
      <c r="AF691" s="80"/>
      <c r="AG691" s="80"/>
      <c r="AH691" s="83"/>
      <c r="AI691" s="83"/>
      <c r="AJ691" s="84"/>
      <c r="AK691" s="84"/>
      <c r="AL691" s="84"/>
      <c r="AM691" s="84"/>
      <c r="AN691" s="84"/>
      <c r="AO691" s="84"/>
      <c r="AP691" s="84"/>
      <c r="AQ691" s="95" t="s">
        <v>663</v>
      </c>
      <c r="AR691" s="72"/>
      <c r="AS691" s="72"/>
      <c r="AT691" s="72"/>
      <c r="AU691" s="72"/>
      <c r="AV691" s="72"/>
      <c r="AW691" s="72"/>
      <c r="AX691" s="72"/>
      <c r="AY691" s="72"/>
      <c r="AZ691" s="72"/>
      <c r="BA691" s="72"/>
      <c r="BB691" s="16"/>
      <c r="BC691" s="72"/>
      <c r="BD691" s="20"/>
      <c r="BE691" s="352"/>
    </row>
    <row r="692" spans="1:57" s="81" customFormat="1" ht="12.95" hidden="1" customHeight="1">
      <c r="A692" s="348"/>
      <c r="B692" s="350"/>
      <c r="C692" s="248" t="s">
        <v>1400</v>
      </c>
      <c r="D692" s="239" t="s">
        <v>4389</v>
      </c>
      <c r="E692" s="58"/>
      <c r="F692" s="59" t="s">
        <v>4390</v>
      </c>
      <c r="G692" s="191" t="s">
        <v>2511</v>
      </c>
      <c r="H692" s="192" t="s">
        <v>664</v>
      </c>
      <c r="I692" s="61" t="s">
        <v>2511</v>
      </c>
      <c r="J692" s="61" t="s">
        <v>2511</v>
      </c>
      <c r="K692" s="62" t="s">
        <v>2511</v>
      </c>
      <c r="L692" s="60" t="s">
        <v>2511</v>
      </c>
      <c r="M692" s="61" t="s">
        <v>2389</v>
      </c>
      <c r="N692" s="61" t="s">
        <v>2511</v>
      </c>
      <c r="O692" s="61" t="s">
        <v>2511</v>
      </c>
      <c r="P692" s="62" t="s">
        <v>2511</v>
      </c>
      <c r="Q692" s="82"/>
      <c r="R692" s="82"/>
      <c r="S692" s="82"/>
      <c r="T692" s="82"/>
      <c r="U692" s="82"/>
      <c r="V692" s="138" t="s">
        <v>4391</v>
      </c>
      <c r="W692" s="57" t="s">
        <v>4094</v>
      </c>
      <c r="X692" s="126" t="s">
        <v>2511</v>
      </c>
      <c r="Y692" s="126" t="s">
        <v>2511</v>
      </c>
      <c r="Z692" s="57"/>
      <c r="AA692" s="57" t="s">
        <v>3661</v>
      </c>
      <c r="AB692" s="138"/>
      <c r="AC692" s="138" t="s">
        <v>2631</v>
      </c>
      <c r="AD692" s="96"/>
      <c r="AE692" s="80"/>
      <c r="AF692" s="80"/>
      <c r="AG692" s="80"/>
      <c r="AH692" s="83"/>
      <c r="AI692" s="83"/>
      <c r="AJ692" s="84"/>
      <c r="AK692" s="84"/>
      <c r="AL692" s="84"/>
      <c r="AM692" s="84"/>
      <c r="AN692" s="84"/>
      <c r="AO692" s="84"/>
      <c r="AP692" s="84"/>
      <c r="AQ692" s="95" t="s">
        <v>664</v>
      </c>
      <c r="AR692" s="72"/>
      <c r="AS692" s="72"/>
      <c r="AT692" s="72"/>
      <c r="AU692" s="72"/>
      <c r="AV692" s="72"/>
      <c r="AW692" s="72"/>
      <c r="AX692" s="72"/>
      <c r="AY692" s="72"/>
      <c r="AZ692" s="72"/>
      <c r="BA692" s="72"/>
      <c r="BB692" s="16"/>
      <c r="BC692" s="72"/>
      <c r="BD692" s="20"/>
      <c r="BE692" s="352"/>
    </row>
    <row r="693" spans="1:57" s="81" customFormat="1" ht="12.95" hidden="1" customHeight="1">
      <c r="A693" s="348"/>
      <c r="B693" s="350"/>
      <c r="C693" s="248" t="s">
        <v>1401</v>
      </c>
      <c r="D693" s="239" t="s">
        <v>4392</v>
      </c>
      <c r="E693" s="58"/>
      <c r="F693" s="59" t="s">
        <v>4393</v>
      </c>
      <c r="G693" s="191" t="s">
        <v>2511</v>
      </c>
      <c r="H693" s="192" t="s">
        <v>665</v>
      </c>
      <c r="I693" s="61" t="s">
        <v>2511</v>
      </c>
      <c r="J693" s="61" t="s">
        <v>2511</v>
      </c>
      <c r="K693" s="62" t="s">
        <v>2511</v>
      </c>
      <c r="L693" s="60" t="s">
        <v>2511</v>
      </c>
      <c r="M693" s="61" t="s">
        <v>2389</v>
      </c>
      <c r="N693" s="61" t="s">
        <v>2511</v>
      </c>
      <c r="O693" s="61" t="s">
        <v>2511</v>
      </c>
      <c r="P693" s="62" t="s">
        <v>2511</v>
      </c>
      <c r="Q693" s="82"/>
      <c r="R693" s="82"/>
      <c r="S693" s="82"/>
      <c r="T693" s="82"/>
      <c r="U693" s="82"/>
      <c r="V693" s="138" t="s">
        <v>4394</v>
      </c>
      <c r="W693" s="57" t="s">
        <v>4094</v>
      </c>
      <c r="X693" s="126" t="s">
        <v>2511</v>
      </c>
      <c r="Y693" s="126" t="s">
        <v>2511</v>
      </c>
      <c r="Z693" s="57"/>
      <c r="AA693" s="57" t="s">
        <v>3661</v>
      </c>
      <c r="AB693" s="138"/>
      <c r="AC693" s="138" t="s">
        <v>2631</v>
      </c>
      <c r="AD693" s="96"/>
      <c r="AE693" s="80"/>
      <c r="AF693" s="80"/>
      <c r="AG693" s="80"/>
      <c r="AH693" s="83"/>
      <c r="AI693" s="83"/>
      <c r="AJ693" s="84"/>
      <c r="AK693" s="84"/>
      <c r="AL693" s="84"/>
      <c r="AM693" s="84"/>
      <c r="AN693" s="84"/>
      <c r="AO693" s="84"/>
      <c r="AP693" s="84"/>
      <c r="AQ693" s="95" t="s">
        <v>665</v>
      </c>
      <c r="AR693" s="72"/>
      <c r="AS693" s="72"/>
      <c r="AT693" s="72"/>
      <c r="AU693" s="72"/>
      <c r="AV693" s="72"/>
      <c r="AW693" s="72"/>
      <c r="AX693" s="72"/>
      <c r="AY693" s="72"/>
      <c r="AZ693" s="72"/>
      <c r="BA693" s="72"/>
      <c r="BB693" s="16"/>
      <c r="BC693" s="72"/>
      <c r="BD693" s="20"/>
      <c r="BE693" s="352"/>
    </row>
    <row r="694" spans="1:57" s="81" customFormat="1" ht="12.95" hidden="1" customHeight="1">
      <c r="A694" s="348"/>
      <c r="B694" s="350"/>
      <c r="C694" s="248" t="s">
        <v>1402</v>
      </c>
      <c r="D694" s="239" t="s">
        <v>4395</v>
      </c>
      <c r="E694" s="58"/>
      <c r="F694" s="59" t="s">
        <v>4396</v>
      </c>
      <c r="G694" s="191" t="s">
        <v>2511</v>
      </c>
      <c r="H694" s="192" t="s">
        <v>666</v>
      </c>
      <c r="I694" s="61" t="s">
        <v>2511</v>
      </c>
      <c r="J694" s="61" t="s">
        <v>2511</v>
      </c>
      <c r="K694" s="62" t="s">
        <v>2511</v>
      </c>
      <c r="L694" s="60" t="s">
        <v>2511</v>
      </c>
      <c r="M694" s="61" t="s">
        <v>2389</v>
      </c>
      <c r="N694" s="61" t="s">
        <v>2511</v>
      </c>
      <c r="O694" s="61" t="s">
        <v>2511</v>
      </c>
      <c r="P694" s="62" t="s">
        <v>2511</v>
      </c>
      <c r="Q694" s="82"/>
      <c r="R694" s="82"/>
      <c r="S694" s="82"/>
      <c r="T694" s="82"/>
      <c r="U694" s="82"/>
      <c r="V694" s="138" t="s">
        <v>4397</v>
      </c>
      <c r="W694" s="57" t="s">
        <v>4094</v>
      </c>
      <c r="X694" s="126" t="s">
        <v>2511</v>
      </c>
      <c r="Y694" s="126" t="s">
        <v>2511</v>
      </c>
      <c r="Z694" s="57"/>
      <c r="AA694" s="57" t="s">
        <v>3661</v>
      </c>
      <c r="AB694" s="138"/>
      <c r="AC694" s="138" t="s">
        <v>2631</v>
      </c>
      <c r="AD694" s="96"/>
      <c r="AE694" s="80"/>
      <c r="AF694" s="80"/>
      <c r="AG694" s="80"/>
      <c r="AH694" s="83"/>
      <c r="AI694" s="83"/>
      <c r="AJ694" s="84"/>
      <c r="AK694" s="84"/>
      <c r="AL694" s="84"/>
      <c r="AM694" s="84"/>
      <c r="AN694" s="84"/>
      <c r="AO694" s="84"/>
      <c r="AP694" s="84"/>
      <c r="AQ694" s="95" t="s">
        <v>666</v>
      </c>
      <c r="AR694" s="72"/>
      <c r="AS694" s="72"/>
      <c r="AT694" s="72"/>
      <c r="AU694" s="72"/>
      <c r="AV694" s="72"/>
      <c r="AW694" s="72"/>
      <c r="AX694" s="72"/>
      <c r="AY694" s="72"/>
      <c r="AZ694" s="72"/>
      <c r="BA694" s="72"/>
      <c r="BB694" s="16"/>
      <c r="BC694" s="72"/>
      <c r="BD694" s="20"/>
      <c r="BE694" s="352"/>
    </row>
    <row r="695" spans="1:57" s="81" customFormat="1" ht="12.95" hidden="1" customHeight="1">
      <c r="A695" s="348"/>
      <c r="B695" s="350"/>
      <c r="C695" s="248" t="s">
        <v>1403</v>
      </c>
      <c r="D695" s="239" t="s">
        <v>4398</v>
      </c>
      <c r="E695" s="58"/>
      <c r="F695" s="59" t="s">
        <v>4399</v>
      </c>
      <c r="G695" s="191" t="s">
        <v>2511</v>
      </c>
      <c r="H695" s="192" t="s">
        <v>667</v>
      </c>
      <c r="I695" s="61" t="s">
        <v>2511</v>
      </c>
      <c r="J695" s="61" t="s">
        <v>2511</v>
      </c>
      <c r="K695" s="62" t="s">
        <v>2511</v>
      </c>
      <c r="L695" s="60" t="s">
        <v>2511</v>
      </c>
      <c r="M695" s="61" t="s">
        <v>2389</v>
      </c>
      <c r="N695" s="61" t="s">
        <v>2511</v>
      </c>
      <c r="O695" s="61" t="s">
        <v>2511</v>
      </c>
      <c r="P695" s="62" t="s">
        <v>2511</v>
      </c>
      <c r="Q695" s="82"/>
      <c r="R695" s="82"/>
      <c r="S695" s="82"/>
      <c r="T695" s="82"/>
      <c r="U695" s="82"/>
      <c r="V695" s="138" t="s">
        <v>4400</v>
      </c>
      <c r="W695" s="57" t="s">
        <v>4094</v>
      </c>
      <c r="X695" s="126" t="s">
        <v>2511</v>
      </c>
      <c r="Y695" s="126" t="s">
        <v>2511</v>
      </c>
      <c r="Z695" s="57"/>
      <c r="AA695" s="57" t="s">
        <v>3661</v>
      </c>
      <c r="AB695" s="138"/>
      <c r="AC695" s="138" t="s">
        <v>2631</v>
      </c>
      <c r="AD695" s="96"/>
      <c r="AE695" s="80"/>
      <c r="AF695" s="80"/>
      <c r="AG695" s="80"/>
      <c r="AH695" s="83"/>
      <c r="AI695" s="83"/>
      <c r="AJ695" s="84"/>
      <c r="AK695" s="84"/>
      <c r="AL695" s="84"/>
      <c r="AM695" s="84"/>
      <c r="AN695" s="84"/>
      <c r="AO695" s="84"/>
      <c r="AP695" s="84"/>
      <c r="AQ695" s="95" t="s">
        <v>667</v>
      </c>
      <c r="AR695" s="72"/>
      <c r="AS695" s="72"/>
      <c r="AT695" s="72"/>
      <c r="AU695" s="72"/>
      <c r="AV695" s="72"/>
      <c r="AW695" s="72"/>
      <c r="AX695" s="72"/>
      <c r="AY695" s="72"/>
      <c r="AZ695" s="72"/>
      <c r="BA695" s="72"/>
      <c r="BB695" s="16"/>
      <c r="BC695" s="72"/>
      <c r="BD695" s="20"/>
      <c r="BE695" s="352"/>
    </row>
    <row r="696" spans="1:57" s="81" customFormat="1" ht="12.95" hidden="1" customHeight="1">
      <c r="A696" s="348"/>
      <c r="B696" s="350"/>
      <c r="C696" s="248" t="s">
        <v>1404</v>
      </c>
      <c r="D696" s="239" t="s">
        <v>4401</v>
      </c>
      <c r="E696" s="58"/>
      <c r="F696" s="59" t="s">
        <v>4402</v>
      </c>
      <c r="G696" s="191" t="s">
        <v>2511</v>
      </c>
      <c r="H696" s="192" t="s">
        <v>668</v>
      </c>
      <c r="I696" s="61" t="s">
        <v>2511</v>
      </c>
      <c r="J696" s="61" t="s">
        <v>2511</v>
      </c>
      <c r="K696" s="62" t="s">
        <v>2511</v>
      </c>
      <c r="L696" s="60" t="s">
        <v>2511</v>
      </c>
      <c r="M696" s="61" t="s">
        <v>2389</v>
      </c>
      <c r="N696" s="61" t="s">
        <v>2511</v>
      </c>
      <c r="O696" s="61" t="s">
        <v>2511</v>
      </c>
      <c r="P696" s="62" t="s">
        <v>2511</v>
      </c>
      <c r="Q696" s="82"/>
      <c r="R696" s="82"/>
      <c r="S696" s="82"/>
      <c r="T696" s="82"/>
      <c r="U696" s="82"/>
      <c r="V696" s="138" t="s">
        <v>4403</v>
      </c>
      <c r="W696" s="57" t="s">
        <v>4094</v>
      </c>
      <c r="X696" s="126" t="s">
        <v>2511</v>
      </c>
      <c r="Y696" s="126" t="s">
        <v>2511</v>
      </c>
      <c r="Z696" s="57"/>
      <c r="AA696" s="57" t="s">
        <v>3661</v>
      </c>
      <c r="AB696" s="138"/>
      <c r="AC696" s="138" t="s">
        <v>2631</v>
      </c>
      <c r="AD696" s="96"/>
      <c r="AE696" s="80"/>
      <c r="AF696" s="80"/>
      <c r="AG696" s="80"/>
      <c r="AH696" s="83"/>
      <c r="AI696" s="83"/>
      <c r="AJ696" s="84"/>
      <c r="AK696" s="84"/>
      <c r="AL696" s="84"/>
      <c r="AM696" s="84"/>
      <c r="AN696" s="84"/>
      <c r="AO696" s="84"/>
      <c r="AP696" s="84"/>
      <c r="AQ696" s="95" t="s">
        <v>668</v>
      </c>
      <c r="AR696" s="72"/>
      <c r="AS696" s="72"/>
      <c r="AT696" s="72"/>
      <c r="AU696" s="72"/>
      <c r="AV696" s="72"/>
      <c r="AW696" s="72"/>
      <c r="AX696" s="72"/>
      <c r="AY696" s="72"/>
      <c r="AZ696" s="72"/>
      <c r="BA696" s="72"/>
      <c r="BB696" s="16"/>
      <c r="BC696" s="72"/>
      <c r="BD696" s="20"/>
      <c r="BE696" s="352"/>
    </row>
    <row r="697" spans="1:57" s="81" customFormat="1" ht="12.95" hidden="1" customHeight="1">
      <c r="A697" s="348"/>
      <c r="B697" s="350"/>
      <c r="C697" s="248" t="s">
        <v>1405</v>
      </c>
      <c r="D697" s="239" t="s">
        <v>4404</v>
      </c>
      <c r="E697" s="58"/>
      <c r="F697" s="59" t="s">
        <v>4405</v>
      </c>
      <c r="G697" s="191" t="s">
        <v>2511</v>
      </c>
      <c r="H697" s="192" t="s">
        <v>669</v>
      </c>
      <c r="I697" s="61" t="s">
        <v>2511</v>
      </c>
      <c r="J697" s="61" t="s">
        <v>2511</v>
      </c>
      <c r="K697" s="62" t="s">
        <v>2511</v>
      </c>
      <c r="L697" s="60" t="s">
        <v>2511</v>
      </c>
      <c r="M697" s="61" t="s">
        <v>2389</v>
      </c>
      <c r="N697" s="61" t="s">
        <v>2511</v>
      </c>
      <c r="O697" s="61" t="s">
        <v>2511</v>
      </c>
      <c r="P697" s="62" t="s">
        <v>2511</v>
      </c>
      <c r="Q697" s="82"/>
      <c r="R697" s="82"/>
      <c r="S697" s="82"/>
      <c r="T697" s="82"/>
      <c r="U697" s="82"/>
      <c r="V697" s="138" t="s">
        <v>4406</v>
      </c>
      <c r="W697" s="57" t="s">
        <v>4094</v>
      </c>
      <c r="X697" s="126" t="s">
        <v>2511</v>
      </c>
      <c r="Y697" s="126" t="s">
        <v>2511</v>
      </c>
      <c r="Z697" s="57"/>
      <c r="AA697" s="57" t="s">
        <v>3661</v>
      </c>
      <c r="AB697" s="138"/>
      <c r="AC697" s="138" t="s">
        <v>2631</v>
      </c>
      <c r="AD697" s="96"/>
      <c r="AE697" s="80"/>
      <c r="AF697" s="80"/>
      <c r="AG697" s="80"/>
      <c r="AH697" s="83"/>
      <c r="AI697" s="83"/>
      <c r="AJ697" s="84"/>
      <c r="AK697" s="84"/>
      <c r="AL697" s="84"/>
      <c r="AM697" s="84"/>
      <c r="AN697" s="84"/>
      <c r="AO697" s="84"/>
      <c r="AP697" s="84"/>
      <c r="AQ697" s="95" t="s">
        <v>669</v>
      </c>
      <c r="AR697" s="72"/>
      <c r="AS697" s="72"/>
      <c r="AT697" s="72"/>
      <c r="AU697" s="72"/>
      <c r="AV697" s="72"/>
      <c r="AW697" s="72"/>
      <c r="AX697" s="72"/>
      <c r="AY697" s="72"/>
      <c r="AZ697" s="72"/>
      <c r="BA697" s="72"/>
      <c r="BB697" s="16"/>
      <c r="BC697" s="72"/>
      <c r="BD697" s="20"/>
      <c r="BE697" s="352"/>
    </row>
    <row r="698" spans="1:57" s="81" customFormat="1" ht="12.95" hidden="1" customHeight="1">
      <c r="A698" s="348"/>
      <c r="B698" s="350"/>
      <c r="C698" s="270" t="s">
        <v>1406</v>
      </c>
      <c r="D698" s="239" t="s">
        <v>4407</v>
      </c>
      <c r="E698" s="58"/>
      <c r="F698" s="59" t="s">
        <v>4408</v>
      </c>
      <c r="G698" s="191" t="s">
        <v>2511</v>
      </c>
      <c r="H698" s="192" t="s">
        <v>670</v>
      </c>
      <c r="I698" s="61" t="s">
        <v>2511</v>
      </c>
      <c r="J698" s="61" t="s">
        <v>2511</v>
      </c>
      <c r="K698" s="62" t="s">
        <v>2511</v>
      </c>
      <c r="L698" s="60" t="s">
        <v>2511</v>
      </c>
      <c r="M698" s="61" t="s">
        <v>2389</v>
      </c>
      <c r="N698" s="61" t="s">
        <v>2511</v>
      </c>
      <c r="O698" s="61" t="s">
        <v>2511</v>
      </c>
      <c r="P698" s="62" t="s">
        <v>2511</v>
      </c>
      <c r="Q698" s="82"/>
      <c r="R698" s="82"/>
      <c r="S698" s="82"/>
      <c r="T698" s="82"/>
      <c r="U698" s="82"/>
      <c r="V698" s="138" t="s">
        <v>4409</v>
      </c>
      <c r="W698" s="57" t="s">
        <v>4094</v>
      </c>
      <c r="X698" s="126" t="s">
        <v>2511</v>
      </c>
      <c r="Y698" s="126" t="s">
        <v>2511</v>
      </c>
      <c r="Z698" s="57"/>
      <c r="AA698" s="57" t="s">
        <v>3661</v>
      </c>
      <c r="AB698" s="138"/>
      <c r="AC698" s="138" t="s">
        <v>2631</v>
      </c>
      <c r="AD698" s="96"/>
      <c r="AE698" s="80"/>
      <c r="AF698" s="80"/>
      <c r="AG698" s="80"/>
      <c r="AH698" s="83"/>
      <c r="AI698" s="83"/>
      <c r="AJ698" s="84"/>
      <c r="AK698" s="84"/>
      <c r="AL698" s="84"/>
      <c r="AM698" s="84"/>
      <c r="AN698" s="84"/>
      <c r="AO698" s="84"/>
      <c r="AP698" s="84"/>
      <c r="AQ698" s="95" t="s">
        <v>670</v>
      </c>
      <c r="AR698" s="72"/>
      <c r="AS698" s="72"/>
      <c r="AT698" s="72"/>
      <c r="AU698" s="72"/>
      <c r="AV698" s="72"/>
      <c r="AW698" s="72"/>
      <c r="AX698" s="72"/>
      <c r="AY698" s="72"/>
      <c r="AZ698" s="72"/>
      <c r="BA698" s="72"/>
      <c r="BB698" s="16"/>
      <c r="BC698" s="72"/>
      <c r="BD698" s="20"/>
      <c r="BE698" s="352"/>
    </row>
    <row r="699" spans="1:57" s="81" customFormat="1" ht="12.95" hidden="1" customHeight="1">
      <c r="A699" s="348"/>
      <c r="B699" s="350"/>
      <c r="C699" s="270" t="s">
        <v>1407</v>
      </c>
      <c r="D699" s="239" t="s">
        <v>4410</v>
      </c>
      <c r="E699" s="58"/>
      <c r="F699" s="59" t="s">
        <v>4411</v>
      </c>
      <c r="G699" s="191" t="s">
        <v>2511</v>
      </c>
      <c r="H699" s="192" t="s">
        <v>671</v>
      </c>
      <c r="I699" s="61" t="s">
        <v>2511</v>
      </c>
      <c r="J699" s="61" t="s">
        <v>2511</v>
      </c>
      <c r="K699" s="62" t="s">
        <v>2511</v>
      </c>
      <c r="L699" s="60" t="s">
        <v>2511</v>
      </c>
      <c r="M699" s="61" t="s">
        <v>2389</v>
      </c>
      <c r="N699" s="61" t="s">
        <v>2511</v>
      </c>
      <c r="O699" s="61" t="s">
        <v>2511</v>
      </c>
      <c r="P699" s="62" t="s">
        <v>2511</v>
      </c>
      <c r="Q699" s="82"/>
      <c r="R699" s="82"/>
      <c r="S699" s="82"/>
      <c r="T699" s="82"/>
      <c r="U699" s="82"/>
      <c r="V699" s="138" t="s">
        <v>4412</v>
      </c>
      <c r="W699" s="57" t="s">
        <v>4094</v>
      </c>
      <c r="X699" s="126" t="s">
        <v>2511</v>
      </c>
      <c r="Y699" s="126" t="s">
        <v>2511</v>
      </c>
      <c r="Z699" s="57"/>
      <c r="AA699" s="57" t="s">
        <v>3661</v>
      </c>
      <c r="AB699" s="138"/>
      <c r="AC699" s="138" t="s">
        <v>2631</v>
      </c>
      <c r="AD699" s="96"/>
      <c r="AE699" s="80"/>
      <c r="AF699" s="80"/>
      <c r="AG699" s="80"/>
      <c r="AH699" s="83"/>
      <c r="AI699" s="83"/>
      <c r="AJ699" s="84"/>
      <c r="AK699" s="84"/>
      <c r="AL699" s="84"/>
      <c r="AM699" s="84"/>
      <c r="AN699" s="84"/>
      <c r="AO699" s="84"/>
      <c r="AP699" s="84"/>
      <c r="AQ699" s="95" t="s">
        <v>671</v>
      </c>
      <c r="AR699" s="72"/>
      <c r="AS699" s="72"/>
      <c r="AT699" s="72"/>
      <c r="AU699" s="72"/>
      <c r="AV699" s="72"/>
      <c r="AW699" s="72"/>
      <c r="AX699" s="72"/>
      <c r="AY699" s="72"/>
      <c r="AZ699" s="72"/>
      <c r="BA699" s="72"/>
      <c r="BB699" s="16"/>
      <c r="BC699" s="72"/>
      <c r="BD699" s="20"/>
      <c r="BE699" s="352"/>
    </row>
    <row r="700" spans="1:57" s="81" customFormat="1" ht="12.95" hidden="1" customHeight="1">
      <c r="A700" s="348"/>
      <c r="B700" s="350"/>
      <c r="C700" s="248" t="s">
        <v>1408</v>
      </c>
      <c r="D700" s="239" t="s">
        <v>4413</v>
      </c>
      <c r="E700" s="58"/>
      <c r="F700" s="59" t="s">
        <v>4414</v>
      </c>
      <c r="G700" s="191" t="s">
        <v>2511</v>
      </c>
      <c r="H700" s="192" t="s">
        <v>672</v>
      </c>
      <c r="I700" s="61" t="s">
        <v>2511</v>
      </c>
      <c r="J700" s="61" t="s">
        <v>2511</v>
      </c>
      <c r="K700" s="62" t="s">
        <v>2511</v>
      </c>
      <c r="L700" s="60" t="s">
        <v>2511</v>
      </c>
      <c r="M700" s="61" t="s">
        <v>2389</v>
      </c>
      <c r="N700" s="61" t="s">
        <v>2511</v>
      </c>
      <c r="O700" s="61" t="s">
        <v>2511</v>
      </c>
      <c r="P700" s="62" t="s">
        <v>2511</v>
      </c>
      <c r="Q700" s="82"/>
      <c r="R700" s="82"/>
      <c r="S700" s="82"/>
      <c r="T700" s="82"/>
      <c r="U700" s="82"/>
      <c r="V700" s="138" t="s">
        <v>4415</v>
      </c>
      <c r="W700" s="57" t="s">
        <v>4094</v>
      </c>
      <c r="X700" s="126" t="s">
        <v>2511</v>
      </c>
      <c r="Y700" s="126" t="s">
        <v>2511</v>
      </c>
      <c r="Z700" s="57"/>
      <c r="AA700" s="57" t="s">
        <v>3661</v>
      </c>
      <c r="AB700" s="138"/>
      <c r="AC700" s="138">
        <v>0</v>
      </c>
      <c r="AD700" s="96"/>
      <c r="AE700" s="80"/>
      <c r="AF700" s="80"/>
      <c r="AG700" s="80"/>
      <c r="AH700" s="83"/>
      <c r="AI700" s="83"/>
      <c r="AJ700" s="84"/>
      <c r="AK700" s="84"/>
      <c r="AL700" s="84"/>
      <c r="AM700" s="84"/>
      <c r="AN700" s="84"/>
      <c r="AO700" s="84"/>
      <c r="AP700" s="84"/>
      <c r="AQ700" s="95" t="s">
        <v>672</v>
      </c>
      <c r="AR700" s="72"/>
      <c r="AS700" s="72"/>
      <c r="AT700" s="72"/>
      <c r="AU700" s="72"/>
      <c r="AV700" s="72"/>
      <c r="AW700" s="72"/>
      <c r="AX700" s="72"/>
      <c r="AY700" s="72"/>
      <c r="AZ700" s="72"/>
      <c r="BA700" s="72"/>
      <c r="BB700" s="16"/>
      <c r="BC700" s="72"/>
      <c r="BD700" s="20"/>
      <c r="BE700" s="352"/>
    </row>
    <row r="701" spans="1:57" s="81" customFormat="1" ht="12.95" hidden="1" customHeight="1">
      <c r="A701" s="348"/>
      <c r="B701" s="350"/>
      <c r="C701" s="248" t="s">
        <v>1409</v>
      </c>
      <c r="D701" s="239" t="s">
        <v>4416</v>
      </c>
      <c r="E701" s="58"/>
      <c r="F701" s="59" t="s">
        <v>4417</v>
      </c>
      <c r="G701" s="191" t="s">
        <v>2511</v>
      </c>
      <c r="H701" s="192" t="s">
        <v>673</v>
      </c>
      <c r="I701" s="61" t="s">
        <v>2511</v>
      </c>
      <c r="J701" s="61" t="s">
        <v>2511</v>
      </c>
      <c r="K701" s="62" t="s">
        <v>2511</v>
      </c>
      <c r="L701" s="60" t="s">
        <v>2511</v>
      </c>
      <c r="M701" s="61" t="s">
        <v>2389</v>
      </c>
      <c r="N701" s="61" t="s">
        <v>2511</v>
      </c>
      <c r="O701" s="61" t="s">
        <v>2511</v>
      </c>
      <c r="P701" s="62" t="s">
        <v>2511</v>
      </c>
      <c r="Q701" s="82"/>
      <c r="R701" s="82"/>
      <c r="S701" s="82"/>
      <c r="T701" s="82"/>
      <c r="U701" s="82"/>
      <c r="V701" s="138" t="s">
        <v>4418</v>
      </c>
      <c r="W701" s="57" t="s">
        <v>4094</v>
      </c>
      <c r="X701" s="126" t="s">
        <v>2511</v>
      </c>
      <c r="Y701" s="126" t="s">
        <v>2511</v>
      </c>
      <c r="Z701" s="57"/>
      <c r="AA701" s="57" t="s">
        <v>3661</v>
      </c>
      <c r="AB701" s="138"/>
      <c r="AC701" s="138" t="s">
        <v>2631</v>
      </c>
      <c r="AD701" s="96"/>
      <c r="AE701" s="80"/>
      <c r="AF701" s="80"/>
      <c r="AG701" s="80"/>
      <c r="AH701" s="83"/>
      <c r="AI701" s="83"/>
      <c r="AJ701" s="84"/>
      <c r="AK701" s="84"/>
      <c r="AL701" s="84"/>
      <c r="AM701" s="84"/>
      <c r="AN701" s="84"/>
      <c r="AO701" s="84"/>
      <c r="AP701" s="84"/>
      <c r="AQ701" s="95" t="s">
        <v>673</v>
      </c>
      <c r="AR701" s="72"/>
      <c r="AS701" s="72"/>
      <c r="AT701" s="72"/>
      <c r="AU701" s="72"/>
      <c r="AV701" s="72"/>
      <c r="AW701" s="72"/>
      <c r="AX701" s="72"/>
      <c r="AY701" s="72"/>
      <c r="AZ701" s="72"/>
      <c r="BA701" s="72"/>
      <c r="BB701" s="16"/>
      <c r="BC701" s="72"/>
      <c r="BD701" s="20"/>
      <c r="BE701" s="352"/>
    </row>
    <row r="702" spans="1:57" s="81" customFormat="1" ht="12.95" hidden="1" customHeight="1">
      <c r="A702" s="348"/>
      <c r="B702" s="350"/>
      <c r="C702" s="248" t="s">
        <v>1410</v>
      </c>
      <c r="D702" s="239" t="s">
        <v>4419</v>
      </c>
      <c r="E702" s="58"/>
      <c r="F702" s="59" t="s">
        <v>4420</v>
      </c>
      <c r="G702" s="191" t="s">
        <v>2511</v>
      </c>
      <c r="H702" s="192" t="s">
        <v>674</v>
      </c>
      <c r="I702" s="61" t="s">
        <v>2511</v>
      </c>
      <c r="J702" s="61" t="s">
        <v>2511</v>
      </c>
      <c r="K702" s="62" t="s">
        <v>2511</v>
      </c>
      <c r="L702" s="60" t="s">
        <v>2511</v>
      </c>
      <c r="M702" s="61" t="s">
        <v>2389</v>
      </c>
      <c r="N702" s="61" t="s">
        <v>2511</v>
      </c>
      <c r="O702" s="61" t="s">
        <v>2511</v>
      </c>
      <c r="P702" s="62" t="s">
        <v>2511</v>
      </c>
      <c r="Q702" s="82"/>
      <c r="R702" s="82"/>
      <c r="S702" s="82"/>
      <c r="T702" s="82"/>
      <c r="U702" s="82"/>
      <c r="V702" s="138" t="s">
        <v>4421</v>
      </c>
      <c r="W702" s="57" t="s">
        <v>4094</v>
      </c>
      <c r="X702" s="126" t="s">
        <v>2511</v>
      </c>
      <c r="Y702" s="126" t="s">
        <v>2511</v>
      </c>
      <c r="Z702" s="57"/>
      <c r="AA702" s="57" t="s">
        <v>3661</v>
      </c>
      <c r="AB702" s="138"/>
      <c r="AC702" s="138" t="s">
        <v>2631</v>
      </c>
      <c r="AD702" s="96"/>
      <c r="AE702" s="80"/>
      <c r="AF702" s="80"/>
      <c r="AG702" s="80"/>
      <c r="AH702" s="83"/>
      <c r="AI702" s="83"/>
      <c r="AJ702" s="84"/>
      <c r="AK702" s="84"/>
      <c r="AL702" s="84"/>
      <c r="AM702" s="84"/>
      <c r="AN702" s="84"/>
      <c r="AO702" s="84"/>
      <c r="AP702" s="84"/>
      <c r="AQ702" s="95" t="s">
        <v>674</v>
      </c>
      <c r="AR702" s="72"/>
      <c r="AS702" s="72"/>
      <c r="AT702" s="72"/>
      <c r="AU702" s="72"/>
      <c r="AV702" s="72"/>
      <c r="AW702" s="72"/>
      <c r="AX702" s="72"/>
      <c r="AY702" s="72"/>
      <c r="AZ702" s="72"/>
      <c r="BA702" s="72"/>
      <c r="BB702" s="16"/>
      <c r="BC702" s="72"/>
      <c r="BD702" s="20"/>
      <c r="BE702" s="352"/>
    </row>
    <row r="703" spans="1:57" s="81" customFormat="1" ht="12.95" hidden="1" customHeight="1">
      <c r="A703" s="348"/>
      <c r="B703" s="350"/>
      <c r="C703" s="248" t="s">
        <v>1411</v>
      </c>
      <c r="D703" s="239" t="s">
        <v>4422</v>
      </c>
      <c r="E703" s="58"/>
      <c r="F703" s="59" t="s">
        <v>4423</v>
      </c>
      <c r="G703" s="191" t="s">
        <v>2511</v>
      </c>
      <c r="H703" s="192" t="s">
        <v>675</v>
      </c>
      <c r="I703" s="61" t="s">
        <v>2511</v>
      </c>
      <c r="J703" s="61" t="s">
        <v>2511</v>
      </c>
      <c r="K703" s="62" t="s">
        <v>2511</v>
      </c>
      <c r="L703" s="60" t="s">
        <v>2511</v>
      </c>
      <c r="M703" s="61" t="s">
        <v>2389</v>
      </c>
      <c r="N703" s="61" t="s">
        <v>2511</v>
      </c>
      <c r="O703" s="61" t="s">
        <v>2511</v>
      </c>
      <c r="P703" s="62" t="s">
        <v>2511</v>
      </c>
      <c r="Q703" s="82"/>
      <c r="R703" s="82"/>
      <c r="S703" s="82"/>
      <c r="T703" s="82"/>
      <c r="U703" s="82"/>
      <c r="V703" s="138" t="s">
        <v>4424</v>
      </c>
      <c r="W703" s="57" t="s">
        <v>4094</v>
      </c>
      <c r="X703" s="126" t="s">
        <v>2511</v>
      </c>
      <c r="Y703" s="126" t="s">
        <v>2511</v>
      </c>
      <c r="Z703" s="57"/>
      <c r="AA703" s="57" t="s">
        <v>3661</v>
      </c>
      <c r="AB703" s="138"/>
      <c r="AC703" s="138" t="s">
        <v>2631</v>
      </c>
      <c r="AD703" s="96"/>
      <c r="AE703" s="80"/>
      <c r="AF703" s="80"/>
      <c r="AG703" s="80"/>
      <c r="AH703" s="83"/>
      <c r="AI703" s="83"/>
      <c r="AJ703" s="84"/>
      <c r="AK703" s="84"/>
      <c r="AL703" s="84"/>
      <c r="AM703" s="84"/>
      <c r="AN703" s="84"/>
      <c r="AO703" s="84"/>
      <c r="AP703" s="84"/>
      <c r="AQ703" s="95" t="s">
        <v>675</v>
      </c>
      <c r="AR703" s="72"/>
      <c r="AS703" s="72"/>
      <c r="AT703" s="72"/>
      <c r="AU703" s="72"/>
      <c r="AV703" s="72"/>
      <c r="AW703" s="72"/>
      <c r="AX703" s="72"/>
      <c r="AY703" s="72"/>
      <c r="AZ703" s="72"/>
      <c r="BA703" s="72"/>
      <c r="BB703" s="16"/>
      <c r="BC703" s="72"/>
      <c r="BD703" s="20"/>
      <c r="BE703" s="352"/>
    </row>
    <row r="704" spans="1:57" s="81" customFormat="1" ht="12.95" hidden="1" customHeight="1">
      <c r="A704" s="348"/>
      <c r="B704" s="350"/>
      <c r="C704" s="248" t="s">
        <v>1412</v>
      </c>
      <c r="D704" s="239" t="s">
        <v>4425</v>
      </c>
      <c r="E704" s="58"/>
      <c r="F704" s="59" t="s">
        <v>4426</v>
      </c>
      <c r="G704" s="191" t="s">
        <v>2511</v>
      </c>
      <c r="H704" s="192" t="s">
        <v>676</v>
      </c>
      <c r="I704" s="61" t="s">
        <v>2511</v>
      </c>
      <c r="J704" s="61" t="s">
        <v>2511</v>
      </c>
      <c r="K704" s="62" t="s">
        <v>2511</v>
      </c>
      <c r="L704" s="60" t="s">
        <v>2511</v>
      </c>
      <c r="M704" s="61" t="s">
        <v>2389</v>
      </c>
      <c r="N704" s="61" t="s">
        <v>2511</v>
      </c>
      <c r="O704" s="61" t="s">
        <v>2511</v>
      </c>
      <c r="P704" s="62" t="s">
        <v>2511</v>
      </c>
      <c r="Q704" s="82"/>
      <c r="R704" s="82"/>
      <c r="S704" s="82"/>
      <c r="T704" s="82"/>
      <c r="U704" s="82"/>
      <c r="V704" s="138" t="s">
        <v>4427</v>
      </c>
      <c r="W704" s="57" t="s">
        <v>4094</v>
      </c>
      <c r="X704" s="126" t="s">
        <v>2511</v>
      </c>
      <c r="Y704" s="126" t="s">
        <v>2511</v>
      </c>
      <c r="Z704" s="57"/>
      <c r="AA704" s="57" t="s">
        <v>3661</v>
      </c>
      <c r="AB704" s="138"/>
      <c r="AC704" s="138" t="s">
        <v>2631</v>
      </c>
      <c r="AD704" s="96"/>
      <c r="AE704" s="80"/>
      <c r="AF704" s="80"/>
      <c r="AG704" s="80"/>
      <c r="AH704" s="83"/>
      <c r="AI704" s="83"/>
      <c r="AJ704" s="84"/>
      <c r="AK704" s="84"/>
      <c r="AL704" s="84"/>
      <c r="AM704" s="84"/>
      <c r="AN704" s="84"/>
      <c r="AO704" s="84"/>
      <c r="AP704" s="84"/>
      <c r="AQ704" s="95" t="s">
        <v>676</v>
      </c>
      <c r="AR704" s="72"/>
      <c r="AS704" s="72"/>
      <c r="AT704" s="72"/>
      <c r="AU704" s="72"/>
      <c r="AV704" s="72"/>
      <c r="AW704" s="72"/>
      <c r="AX704" s="72"/>
      <c r="AY704" s="72"/>
      <c r="AZ704" s="72"/>
      <c r="BA704" s="72"/>
      <c r="BB704" s="16"/>
      <c r="BC704" s="72"/>
      <c r="BD704" s="20"/>
      <c r="BE704" s="352"/>
    </row>
    <row r="705" spans="1:57" s="81" customFormat="1" ht="12.95" hidden="1" customHeight="1">
      <c r="A705" s="348"/>
      <c r="B705" s="350"/>
      <c r="C705" s="248" t="s">
        <v>1413</v>
      </c>
      <c r="D705" s="239" t="s">
        <v>4428</v>
      </c>
      <c r="E705" s="58"/>
      <c r="F705" s="59" t="s">
        <v>4429</v>
      </c>
      <c r="G705" s="191" t="s">
        <v>2511</v>
      </c>
      <c r="H705" s="192" t="s">
        <v>677</v>
      </c>
      <c r="I705" s="61" t="s">
        <v>2511</v>
      </c>
      <c r="J705" s="61" t="s">
        <v>2511</v>
      </c>
      <c r="K705" s="62" t="s">
        <v>2511</v>
      </c>
      <c r="L705" s="60" t="s">
        <v>2511</v>
      </c>
      <c r="M705" s="61" t="s">
        <v>2389</v>
      </c>
      <c r="N705" s="61" t="s">
        <v>2511</v>
      </c>
      <c r="O705" s="61" t="s">
        <v>2511</v>
      </c>
      <c r="P705" s="62" t="s">
        <v>2511</v>
      </c>
      <c r="Q705" s="82"/>
      <c r="R705" s="82"/>
      <c r="S705" s="82"/>
      <c r="T705" s="82"/>
      <c r="U705" s="82"/>
      <c r="V705" s="138" t="s">
        <v>4430</v>
      </c>
      <c r="W705" s="57" t="s">
        <v>4094</v>
      </c>
      <c r="X705" s="126" t="s">
        <v>2511</v>
      </c>
      <c r="Y705" s="126" t="s">
        <v>2511</v>
      </c>
      <c r="Z705" s="57"/>
      <c r="AA705" s="57" t="s">
        <v>3661</v>
      </c>
      <c r="AB705" s="138"/>
      <c r="AC705" s="138" t="s">
        <v>2631</v>
      </c>
      <c r="AD705" s="96"/>
      <c r="AE705" s="80"/>
      <c r="AF705" s="80"/>
      <c r="AG705" s="80"/>
      <c r="AH705" s="83"/>
      <c r="AI705" s="83"/>
      <c r="AJ705" s="84"/>
      <c r="AK705" s="84"/>
      <c r="AL705" s="84"/>
      <c r="AM705" s="84"/>
      <c r="AN705" s="84"/>
      <c r="AO705" s="84"/>
      <c r="AP705" s="84"/>
      <c r="AQ705" s="95" t="s">
        <v>677</v>
      </c>
      <c r="AR705" s="72"/>
      <c r="AS705" s="72"/>
      <c r="AT705" s="72"/>
      <c r="AU705" s="72"/>
      <c r="AV705" s="72"/>
      <c r="AW705" s="72"/>
      <c r="AX705" s="72"/>
      <c r="AY705" s="72"/>
      <c r="AZ705" s="72"/>
      <c r="BA705" s="72"/>
      <c r="BB705" s="16"/>
      <c r="BC705" s="72"/>
      <c r="BD705" s="20"/>
      <c r="BE705" s="352"/>
    </row>
    <row r="706" spans="1:57" s="81" customFormat="1" ht="12.95" hidden="1" customHeight="1">
      <c r="A706" s="348"/>
      <c r="B706" s="350"/>
      <c r="C706" s="248" t="s">
        <v>1414</v>
      </c>
      <c r="D706" s="239" t="s">
        <v>4431</v>
      </c>
      <c r="E706" s="58"/>
      <c r="F706" s="59" t="s">
        <v>4432</v>
      </c>
      <c r="G706" s="191" t="s">
        <v>2511</v>
      </c>
      <c r="H706" s="192" t="s">
        <v>678</v>
      </c>
      <c r="I706" s="61" t="s">
        <v>2511</v>
      </c>
      <c r="J706" s="61" t="s">
        <v>2511</v>
      </c>
      <c r="K706" s="62" t="s">
        <v>2511</v>
      </c>
      <c r="L706" s="60" t="s">
        <v>2511</v>
      </c>
      <c r="M706" s="61" t="s">
        <v>2389</v>
      </c>
      <c r="N706" s="61" t="s">
        <v>2511</v>
      </c>
      <c r="O706" s="61" t="s">
        <v>2511</v>
      </c>
      <c r="P706" s="62" t="s">
        <v>2511</v>
      </c>
      <c r="Q706" s="82"/>
      <c r="R706" s="82"/>
      <c r="S706" s="82"/>
      <c r="T706" s="82"/>
      <c r="U706" s="82"/>
      <c r="V706" s="138" t="s">
        <v>4433</v>
      </c>
      <c r="W706" s="57" t="s">
        <v>4094</v>
      </c>
      <c r="X706" s="126" t="s">
        <v>2511</v>
      </c>
      <c r="Y706" s="126" t="s">
        <v>2511</v>
      </c>
      <c r="Z706" s="57"/>
      <c r="AA706" s="57" t="s">
        <v>3661</v>
      </c>
      <c r="AB706" s="138"/>
      <c r="AC706" s="138" t="s">
        <v>2631</v>
      </c>
      <c r="AD706" s="96"/>
      <c r="AE706" s="80"/>
      <c r="AF706" s="80"/>
      <c r="AG706" s="80"/>
      <c r="AH706" s="83"/>
      <c r="AI706" s="83"/>
      <c r="AJ706" s="84"/>
      <c r="AK706" s="84"/>
      <c r="AL706" s="84"/>
      <c r="AM706" s="84"/>
      <c r="AN706" s="84"/>
      <c r="AO706" s="84"/>
      <c r="AP706" s="84"/>
      <c r="AQ706" s="95" t="s">
        <v>678</v>
      </c>
      <c r="AR706" s="72"/>
      <c r="AS706" s="72"/>
      <c r="AT706" s="72"/>
      <c r="AU706" s="72"/>
      <c r="AV706" s="72"/>
      <c r="AW706" s="72"/>
      <c r="AX706" s="72"/>
      <c r="AY706" s="72"/>
      <c r="AZ706" s="72"/>
      <c r="BA706" s="72"/>
      <c r="BB706" s="16"/>
      <c r="BC706" s="72"/>
      <c r="BD706" s="20"/>
      <c r="BE706" s="352"/>
    </row>
    <row r="707" spans="1:57" s="81" customFormat="1" ht="12.95" hidden="1" customHeight="1">
      <c r="A707" s="348"/>
      <c r="B707" s="350"/>
      <c r="C707" s="248" t="s">
        <v>1415</v>
      </c>
      <c r="D707" s="239" t="s">
        <v>4434</v>
      </c>
      <c r="E707" s="58"/>
      <c r="F707" s="59" t="s">
        <v>4435</v>
      </c>
      <c r="G707" s="191" t="s">
        <v>2511</v>
      </c>
      <c r="H707" s="192" t="s">
        <v>679</v>
      </c>
      <c r="I707" s="61" t="s">
        <v>2511</v>
      </c>
      <c r="J707" s="61" t="s">
        <v>2511</v>
      </c>
      <c r="K707" s="62" t="s">
        <v>2511</v>
      </c>
      <c r="L707" s="60" t="s">
        <v>2511</v>
      </c>
      <c r="M707" s="61" t="s">
        <v>2389</v>
      </c>
      <c r="N707" s="61" t="s">
        <v>2511</v>
      </c>
      <c r="O707" s="61" t="s">
        <v>2511</v>
      </c>
      <c r="P707" s="62" t="s">
        <v>2511</v>
      </c>
      <c r="Q707" s="82"/>
      <c r="R707" s="82"/>
      <c r="S707" s="82"/>
      <c r="T707" s="82"/>
      <c r="U707" s="82"/>
      <c r="V707" s="138" t="s">
        <v>4436</v>
      </c>
      <c r="W707" s="57" t="s">
        <v>4094</v>
      </c>
      <c r="X707" s="126" t="s">
        <v>2511</v>
      </c>
      <c r="Y707" s="126" t="s">
        <v>2511</v>
      </c>
      <c r="Z707" s="57"/>
      <c r="AA707" s="57" t="s">
        <v>3661</v>
      </c>
      <c r="AB707" s="138"/>
      <c r="AC707" s="138" t="s">
        <v>2631</v>
      </c>
      <c r="AD707" s="96"/>
      <c r="AE707" s="80"/>
      <c r="AF707" s="80"/>
      <c r="AG707" s="80"/>
      <c r="AH707" s="83"/>
      <c r="AI707" s="83"/>
      <c r="AJ707" s="84"/>
      <c r="AK707" s="84"/>
      <c r="AL707" s="84"/>
      <c r="AM707" s="84"/>
      <c r="AN707" s="84"/>
      <c r="AO707" s="84"/>
      <c r="AP707" s="84"/>
      <c r="AQ707" s="95" t="s">
        <v>679</v>
      </c>
      <c r="AR707" s="72"/>
      <c r="AS707" s="72"/>
      <c r="AT707" s="72"/>
      <c r="AU707" s="72"/>
      <c r="AV707" s="72"/>
      <c r="AW707" s="72"/>
      <c r="AX707" s="72"/>
      <c r="AY707" s="72"/>
      <c r="AZ707" s="72"/>
      <c r="BA707" s="72"/>
      <c r="BB707" s="16"/>
      <c r="BC707" s="72"/>
      <c r="BD707" s="20"/>
      <c r="BE707" s="352"/>
    </row>
    <row r="708" spans="1:57" s="81" customFormat="1" ht="12.95" hidden="1" customHeight="1">
      <c r="A708" s="348"/>
      <c r="B708" s="350"/>
      <c r="C708" s="248" t="s">
        <v>1416</v>
      </c>
      <c r="D708" s="239" t="s">
        <v>4437</v>
      </c>
      <c r="E708" s="58"/>
      <c r="F708" s="59" t="s">
        <v>4438</v>
      </c>
      <c r="G708" s="191" t="s">
        <v>2511</v>
      </c>
      <c r="H708" s="192" t="s">
        <v>680</v>
      </c>
      <c r="I708" s="61" t="s">
        <v>2511</v>
      </c>
      <c r="J708" s="61" t="s">
        <v>2511</v>
      </c>
      <c r="K708" s="62" t="s">
        <v>2511</v>
      </c>
      <c r="L708" s="60" t="s">
        <v>2511</v>
      </c>
      <c r="M708" s="61" t="s">
        <v>2389</v>
      </c>
      <c r="N708" s="61" t="s">
        <v>2511</v>
      </c>
      <c r="O708" s="61" t="s">
        <v>2511</v>
      </c>
      <c r="P708" s="62" t="s">
        <v>2511</v>
      </c>
      <c r="Q708" s="82"/>
      <c r="R708" s="82"/>
      <c r="S708" s="82"/>
      <c r="T708" s="82"/>
      <c r="U708" s="82"/>
      <c r="V708" s="138" t="s">
        <v>4439</v>
      </c>
      <c r="W708" s="57" t="s">
        <v>4094</v>
      </c>
      <c r="X708" s="126" t="s">
        <v>2511</v>
      </c>
      <c r="Y708" s="126" t="s">
        <v>2511</v>
      </c>
      <c r="Z708" s="57"/>
      <c r="AA708" s="57" t="s">
        <v>3661</v>
      </c>
      <c r="AB708" s="138"/>
      <c r="AC708" s="138" t="s">
        <v>2631</v>
      </c>
      <c r="AD708" s="96"/>
      <c r="AE708" s="80"/>
      <c r="AF708" s="80"/>
      <c r="AG708" s="80"/>
      <c r="AH708" s="83"/>
      <c r="AI708" s="83"/>
      <c r="AJ708" s="84"/>
      <c r="AK708" s="84"/>
      <c r="AL708" s="84"/>
      <c r="AM708" s="84"/>
      <c r="AN708" s="84"/>
      <c r="AO708" s="84"/>
      <c r="AP708" s="84"/>
      <c r="AQ708" s="95" t="s">
        <v>680</v>
      </c>
      <c r="AR708" s="72"/>
      <c r="AS708" s="72"/>
      <c r="AT708" s="72"/>
      <c r="AU708" s="72"/>
      <c r="AV708" s="72"/>
      <c r="AW708" s="72"/>
      <c r="AX708" s="72"/>
      <c r="AY708" s="72"/>
      <c r="AZ708" s="72"/>
      <c r="BA708" s="72"/>
      <c r="BB708" s="16"/>
      <c r="BC708" s="72"/>
      <c r="BD708" s="20"/>
      <c r="BE708" s="352"/>
    </row>
    <row r="709" spans="1:57" s="81" customFormat="1" ht="12.95" hidden="1" customHeight="1">
      <c r="A709" s="348"/>
      <c r="B709" s="350"/>
      <c r="C709" s="248" t="s">
        <v>1417</v>
      </c>
      <c r="D709" s="239" t="s">
        <v>4440</v>
      </c>
      <c r="E709" s="58"/>
      <c r="F709" s="59" t="s">
        <v>4441</v>
      </c>
      <c r="G709" s="191" t="s">
        <v>2511</v>
      </c>
      <c r="H709" s="192" t="s">
        <v>681</v>
      </c>
      <c r="I709" s="61" t="s">
        <v>2511</v>
      </c>
      <c r="J709" s="61" t="s">
        <v>2511</v>
      </c>
      <c r="K709" s="62" t="s">
        <v>2511</v>
      </c>
      <c r="L709" s="60" t="s">
        <v>2511</v>
      </c>
      <c r="M709" s="61" t="s">
        <v>2389</v>
      </c>
      <c r="N709" s="61" t="s">
        <v>2511</v>
      </c>
      <c r="O709" s="61" t="s">
        <v>2511</v>
      </c>
      <c r="P709" s="62" t="s">
        <v>2511</v>
      </c>
      <c r="Q709" s="82"/>
      <c r="R709" s="82"/>
      <c r="S709" s="82"/>
      <c r="T709" s="82"/>
      <c r="U709" s="82"/>
      <c r="V709" s="138" t="s">
        <v>4442</v>
      </c>
      <c r="W709" s="57" t="s">
        <v>4094</v>
      </c>
      <c r="X709" s="126" t="s">
        <v>2511</v>
      </c>
      <c r="Y709" s="126" t="s">
        <v>2511</v>
      </c>
      <c r="Z709" s="57"/>
      <c r="AA709" s="57" t="s">
        <v>3661</v>
      </c>
      <c r="AB709" s="138"/>
      <c r="AC709" s="138" t="s">
        <v>2631</v>
      </c>
      <c r="AD709" s="96"/>
      <c r="AE709" s="80"/>
      <c r="AF709" s="80"/>
      <c r="AG709" s="80"/>
      <c r="AH709" s="83"/>
      <c r="AI709" s="83"/>
      <c r="AJ709" s="84"/>
      <c r="AK709" s="84"/>
      <c r="AL709" s="84"/>
      <c r="AM709" s="84"/>
      <c r="AN709" s="84"/>
      <c r="AO709" s="84"/>
      <c r="AP709" s="84"/>
      <c r="AQ709" s="95" t="s">
        <v>681</v>
      </c>
      <c r="AR709" s="72"/>
      <c r="AS709" s="72"/>
      <c r="AT709" s="72"/>
      <c r="AU709" s="72"/>
      <c r="AV709" s="72"/>
      <c r="AW709" s="72"/>
      <c r="AX709" s="72"/>
      <c r="AY709" s="72"/>
      <c r="AZ709" s="72"/>
      <c r="BA709" s="72"/>
      <c r="BB709" s="16"/>
      <c r="BC709" s="72"/>
      <c r="BD709" s="20"/>
      <c r="BE709" s="352"/>
    </row>
    <row r="710" spans="1:57" s="81" customFormat="1" ht="12.95" hidden="1" customHeight="1">
      <c r="A710" s="348"/>
      <c r="B710" s="350"/>
      <c r="C710" s="270" t="s">
        <v>1418</v>
      </c>
      <c r="D710" s="239" t="s">
        <v>4443</v>
      </c>
      <c r="E710" s="58"/>
      <c r="F710" s="59" t="s">
        <v>4444</v>
      </c>
      <c r="G710" s="191" t="s">
        <v>2511</v>
      </c>
      <c r="H710" s="192" t="s">
        <v>682</v>
      </c>
      <c r="I710" s="61" t="s">
        <v>2511</v>
      </c>
      <c r="J710" s="61" t="s">
        <v>2511</v>
      </c>
      <c r="K710" s="62" t="s">
        <v>2511</v>
      </c>
      <c r="L710" s="60" t="s">
        <v>2511</v>
      </c>
      <c r="M710" s="61" t="s">
        <v>2389</v>
      </c>
      <c r="N710" s="61" t="s">
        <v>2511</v>
      </c>
      <c r="O710" s="61" t="s">
        <v>2511</v>
      </c>
      <c r="P710" s="62" t="s">
        <v>2511</v>
      </c>
      <c r="Q710" s="82"/>
      <c r="R710" s="82"/>
      <c r="S710" s="82"/>
      <c r="T710" s="82"/>
      <c r="U710" s="82"/>
      <c r="V710" s="138" t="s">
        <v>4445</v>
      </c>
      <c r="W710" s="57" t="s">
        <v>4094</v>
      </c>
      <c r="X710" s="126" t="s">
        <v>2511</v>
      </c>
      <c r="Y710" s="126" t="s">
        <v>2511</v>
      </c>
      <c r="Z710" s="57"/>
      <c r="AA710" s="57" t="s">
        <v>3661</v>
      </c>
      <c r="AB710" s="138"/>
      <c r="AC710" s="138" t="s">
        <v>2631</v>
      </c>
      <c r="AD710" s="96"/>
      <c r="AE710" s="80"/>
      <c r="AF710" s="80"/>
      <c r="AG710" s="80"/>
      <c r="AH710" s="83"/>
      <c r="AI710" s="83"/>
      <c r="AJ710" s="84"/>
      <c r="AK710" s="84"/>
      <c r="AL710" s="84"/>
      <c r="AM710" s="84"/>
      <c r="AN710" s="84"/>
      <c r="AO710" s="84"/>
      <c r="AP710" s="84"/>
      <c r="AQ710" s="95" t="s">
        <v>682</v>
      </c>
      <c r="AR710" s="72"/>
      <c r="AS710" s="72"/>
      <c r="AT710" s="72"/>
      <c r="AU710" s="72"/>
      <c r="AV710" s="72"/>
      <c r="AW710" s="72"/>
      <c r="AX710" s="72"/>
      <c r="AY710" s="72"/>
      <c r="AZ710" s="72"/>
      <c r="BA710" s="72"/>
      <c r="BB710" s="16"/>
      <c r="BC710" s="72"/>
      <c r="BD710" s="20"/>
      <c r="BE710" s="352"/>
    </row>
    <row r="711" spans="1:57" s="81" customFormat="1" ht="12.95" hidden="1" customHeight="1">
      <c r="A711" s="348"/>
      <c r="B711" s="350"/>
      <c r="C711" s="270" t="s">
        <v>1419</v>
      </c>
      <c r="D711" s="239" t="s">
        <v>4446</v>
      </c>
      <c r="E711" s="58"/>
      <c r="F711" s="59" t="s">
        <v>4447</v>
      </c>
      <c r="G711" s="191" t="s">
        <v>2511</v>
      </c>
      <c r="H711" s="192" t="s">
        <v>683</v>
      </c>
      <c r="I711" s="61" t="s">
        <v>2511</v>
      </c>
      <c r="J711" s="61" t="s">
        <v>2511</v>
      </c>
      <c r="K711" s="62" t="s">
        <v>2511</v>
      </c>
      <c r="L711" s="60" t="s">
        <v>2511</v>
      </c>
      <c r="M711" s="61" t="s">
        <v>2389</v>
      </c>
      <c r="N711" s="61" t="s">
        <v>2511</v>
      </c>
      <c r="O711" s="61" t="s">
        <v>2511</v>
      </c>
      <c r="P711" s="62" t="s">
        <v>2511</v>
      </c>
      <c r="Q711" s="82"/>
      <c r="R711" s="82"/>
      <c r="S711" s="82"/>
      <c r="T711" s="82"/>
      <c r="U711" s="82"/>
      <c r="V711" s="138" t="s">
        <v>4448</v>
      </c>
      <c r="W711" s="57" t="s">
        <v>4094</v>
      </c>
      <c r="X711" s="126" t="s">
        <v>2511</v>
      </c>
      <c r="Y711" s="126" t="s">
        <v>2511</v>
      </c>
      <c r="Z711" s="57"/>
      <c r="AA711" s="57" t="s">
        <v>3661</v>
      </c>
      <c r="AB711" s="138"/>
      <c r="AC711" s="138" t="s">
        <v>2631</v>
      </c>
      <c r="AD711" s="96"/>
      <c r="AE711" s="80"/>
      <c r="AF711" s="80"/>
      <c r="AG711" s="80"/>
      <c r="AH711" s="83"/>
      <c r="AI711" s="83"/>
      <c r="AJ711" s="84"/>
      <c r="AK711" s="84"/>
      <c r="AL711" s="84"/>
      <c r="AM711" s="84"/>
      <c r="AN711" s="84"/>
      <c r="AO711" s="84"/>
      <c r="AP711" s="84"/>
      <c r="AQ711" s="95" t="s">
        <v>683</v>
      </c>
      <c r="AR711" s="72"/>
      <c r="AS711" s="72"/>
      <c r="AT711" s="72"/>
      <c r="AU711" s="72"/>
      <c r="AV711" s="72"/>
      <c r="AW711" s="72"/>
      <c r="AX711" s="72"/>
      <c r="AY711" s="72"/>
      <c r="AZ711" s="72"/>
      <c r="BA711" s="72"/>
      <c r="BB711" s="16"/>
      <c r="BC711" s="72"/>
      <c r="BD711" s="20"/>
      <c r="BE711" s="352"/>
    </row>
    <row r="712" spans="1:57" s="81" customFormat="1" ht="12.95" hidden="1" customHeight="1">
      <c r="A712" s="348"/>
      <c r="B712" s="350"/>
      <c r="C712" s="248" t="s">
        <v>1420</v>
      </c>
      <c r="D712" s="239" t="s">
        <v>4449</v>
      </c>
      <c r="E712" s="58"/>
      <c r="F712" s="59" t="s">
        <v>4450</v>
      </c>
      <c r="G712" s="191" t="s">
        <v>2511</v>
      </c>
      <c r="H712" s="192" t="s">
        <v>684</v>
      </c>
      <c r="I712" s="61" t="s">
        <v>2511</v>
      </c>
      <c r="J712" s="61" t="s">
        <v>2511</v>
      </c>
      <c r="K712" s="62" t="s">
        <v>2511</v>
      </c>
      <c r="L712" s="60" t="s">
        <v>2511</v>
      </c>
      <c r="M712" s="61" t="s">
        <v>2389</v>
      </c>
      <c r="N712" s="61" t="s">
        <v>2511</v>
      </c>
      <c r="O712" s="61" t="s">
        <v>2511</v>
      </c>
      <c r="P712" s="62" t="s">
        <v>2511</v>
      </c>
      <c r="Q712" s="82"/>
      <c r="R712" s="82"/>
      <c r="S712" s="82"/>
      <c r="T712" s="82"/>
      <c r="U712" s="82"/>
      <c r="V712" s="138" t="s">
        <v>4451</v>
      </c>
      <c r="W712" s="57" t="s">
        <v>4094</v>
      </c>
      <c r="X712" s="126" t="s">
        <v>2511</v>
      </c>
      <c r="Y712" s="126" t="s">
        <v>2511</v>
      </c>
      <c r="Z712" s="57"/>
      <c r="AA712" s="57" t="s">
        <v>3661</v>
      </c>
      <c r="AB712" s="138"/>
      <c r="AC712" s="138">
        <v>0</v>
      </c>
      <c r="AD712" s="96"/>
      <c r="AE712" s="80"/>
      <c r="AF712" s="80"/>
      <c r="AG712" s="80"/>
      <c r="AH712" s="83"/>
      <c r="AI712" s="83"/>
      <c r="AJ712" s="84"/>
      <c r="AK712" s="84"/>
      <c r="AL712" s="84"/>
      <c r="AM712" s="84"/>
      <c r="AN712" s="84"/>
      <c r="AO712" s="84"/>
      <c r="AP712" s="84"/>
      <c r="AQ712" s="95" t="s">
        <v>684</v>
      </c>
      <c r="AR712" s="72"/>
      <c r="AS712" s="72"/>
      <c r="AT712" s="72"/>
      <c r="AU712" s="72"/>
      <c r="AV712" s="72"/>
      <c r="AW712" s="72"/>
      <c r="AX712" s="72"/>
      <c r="AY712" s="72"/>
      <c r="AZ712" s="72"/>
      <c r="BA712" s="72"/>
      <c r="BB712" s="16"/>
      <c r="BC712" s="72"/>
      <c r="BD712" s="20"/>
      <c r="BE712" s="352"/>
    </row>
    <row r="713" spans="1:57" s="81" customFormat="1" ht="12.95" hidden="1" customHeight="1">
      <c r="A713" s="348"/>
      <c r="B713" s="350"/>
      <c r="C713" s="248" t="s">
        <v>1421</v>
      </c>
      <c r="D713" s="239" t="s">
        <v>4452</v>
      </c>
      <c r="E713" s="58"/>
      <c r="F713" s="59" t="s">
        <v>4453</v>
      </c>
      <c r="G713" s="191" t="s">
        <v>2511</v>
      </c>
      <c r="H713" s="192" t="s">
        <v>685</v>
      </c>
      <c r="I713" s="61" t="s">
        <v>2511</v>
      </c>
      <c r="J713" s="61" t="s">
        <v>2511</v>
      </c>
      <c r="K713" s="62" t="s">
        <v>2511</v>
      </c>
      <c r="L713" s="60" t="s">
        <v>2511</v>
      </c>
      <c r="M713" s="61" t="s">
        <v>2389</v>
      </c>
      <c r="N713" s="61" t="s">
        <v>2511</v>
      </c>
      <c r="O713" s="61" t="s">
        <v>2511</v>
      </c>
      <c r="P713" s="62" t="s">
        <v>2511</v>
      </c>
      <c r="Q713" s="82"/>
      <c r="R713" s="82"/>
      <c r="S713" s="82"/>
      <c r="T713" s="82"/>
      <c r="U713" s="82"/>
      <c r="V713" s="138" t="s">
        <v>4454</v>
      </c>
      <c r="W713" s="57" t="s">
        <v>4094</v>
      </c>
      <c r="X713" s="126" t="s">
        <v>2511</v>
      </c>
      <c r="Y713" s="126" t="s">
        <v>2511</v>
      </c>
      <c r="Z713" s="57"/>
      <c r="AA713" s="57" t="s">
        <v>3661</v>
      </c>
      <c r="AB713" s="138"/>
      <c r="AC713" s="138" t="s">
        <v>2631</v>
      </c>
      <c r="AD713" s="96"/>
      <c r="AE713" s="80"/>
      <c r="AF713" s="80"/>
      <c r="AG713" s="80"/>
      <c r="AH713" s="83"/>
      <c r="AI713" s="83"/>
      <c r="AJ713" s="84"/>
      <c r="AK713" s="84"/>
      <c r="AL713" s="84"/>
      <c r="AM713" s="84"/>
      <c r="AN713" s="84"/>
      <c r="AO713" s="84"/>
      <c r="AP713" s="84"/>
      <c r="AQ713" s="95" t="s">
        <v>685</v>
      </c>
      <c r="AR713" s="72"/>
      <c r="AS713" s="72"/>
      <c r="AT713" s="72"/>
      <c r="AU713" s="72"/>
      <c r="AV713" s="72"/>
      <c r="AW713" s="72"/>
      <c r="AX713" s="72"/>
      <c r="AY713" s="72"/>
      <c r="AZ713" s="72"/>
      <c r="BA713" s="72"/>
      <c r="BB713" s="16"/>
      <c r="BC713" s="72"/>
      <c r="BD713" s="20"/>
      <c r="BE713" s="352"/>
    </row>
    <row r="714" spans="1:57" s="81" customFormat="1" ht="12.95" hidden="1" customHeight="1">
      <c r="A714" s="348"/>
      <c r="B714" s="350"/>
      <c r="C714" s="248" t="s">
        <v>1422</v>
      </c>
      <c r="D714" s="239" t="s">
        <v>4455</v>
      </c>
      <c r="E714" s="58"/>
      <c r="F714" s="59" t="s">
        <v>4456</v>
      </c>
      <c r="G714" s="191" t="s">
        <v>2511</v>
      </c>
      <c r="H714" s="192" t="s">
        <v>686</v>
      </c>
      <c r="I714" s="61" t="s">
        <v>2511</v>
      </c>
      <c r="J714" s="61" t="s">
        <v>2511</v>
      </c>
      <c r="K714" s="62" t="s">
        <v>2511</v>
      </c>
      <c r="L714" s="60" t="s">
        <v>2511</v>
      </c>
      <c r="M714" s="61" t="s">
        <v>2389</v>
      </c>
      <c r="N714" s="61" t="s">
        <v>2511</v>
      </c>
      <c r="O714" s="61" t="s">
        <v>2511</v>
      </c>
      <c r="P714" s="62" t="s">
        <v>2511</v>
      </c>
      <c r="Q714" s="82"/>
      <c r="R714" s="82"/>
      <c r="S714" s="82"/>
      <c r="T714" s="82"/>
      <c r="U714" s="82"/>
      <c r="V714" s="138" t="s">
        <v>4457</v>
      </c>
      <c r="W714" s="57" t="s">
        <v>4094</v>
      </c>
      <c r="X714" s="126" t="s">
        <v>2511</v>
      </c>
      <c r="Y714" s="126" t="s">
        <v>2511</v>
      </c>
      <c r="Z714" s="57"/>
      <c r="AA714" s="57" t="s">
        <v>3661</v>
      </c>
      <c r="AB714" s="138"/>
      <c r="AC714" s="138" t="s">
        <v>2631</v>
      </c>
      <c r="AD714" s="96"/>
      <c r="AE714" s="80"/>
      <c r="AF714" s="80"/>
      <c r="AG714" s="80"/>
      <c r="AH714" s="83"/>
      <c r="AI714" s="83"/>
      <c r="AJ714" s="84"/>
      <c r="AK714" s="84"/>
      <c r="AL714" s="84"/>
      <c r="AM714" s="84"/>
      <c r="AN714" s="84"/>
      <c r="AO714" s="84"/>
      <c r="AP714" s="84"/>
      <c r="AQ714" s="95" t="s">
        <v>686</v>
      </c>
      <c r="AR714" s="72"/>
      <c r="AS714" s="72"/>
      <c r="AT714" s="72"/>
      <c r="AU714" s="72"/>
      <c r="AV714" s="72"/>
      <c r="AW714" s="72"/>
      <c r="AX714" s="72"/>
      <c r="AY714" s="72"/>
      <c r="AZ714" s="72"/>
      <c r="BA714" s="72"/>
      <c r="BB714" s="16"/>
      <c r="BC714" s="72"/>
      <c r="BD714" s="20"/>
      <c r="BE714" s="352"/>
    </row>
    <row r="715" spans="1:57" s="81" customFormat="1" ht="12.95" hidden="1" customHeight="1">
      <c r="A715" s="348"/>
      <c r="B715" s="350"/>
      <c r="C715" s="248" t="s">
        <v>1423</v>
      </c>
      <c r="D715" s="239" t="s">
        <v>4458</v>
      </c>
      <c r="E715" s="58"/>
      <c r="F715" s="59" t="s">
        <v>4459</v>
      </c>
      <c r="G715" s="191" t="s">
        <v>2511</v>
      </c>
      <c r="H715" s="192" t="s">
        <v>687</v>
      </c>
      <c r="I715" s="61" t="s">
        <v>2511</v>
      </c>
      <c r="J715" s="61" t="s">
        <v>2511</v>
      </c>
      <c r="K715" s="62" t="s">
        <v>2511</v>
      </c>
      <c r="L715" s="60" t="s">
        <v>2511</v>
      </c>
      <c r="M715" s="61" t="s">
        <v>2389</v>
      </c>
      <c r="N715" s="61" t="s">
        <v>2511</v>
      </c>
      <c r="O715" s="61" t="s">
        <v>2511</v>
      </c>
      <c r="P715" s="62" t="s">
        <v>2511</v>
      </c>
      <c r="Q715" s="82"/>
      <c r="R715" s="82"/>
      <c r="S715" s="82"/>
      <c r="T715" s="82"/>
      <c r="U715" s="82"/>
      <c r="V715" s="138" t="s">
        <v>4460</v>
      </c>
      <c r="W715" s="57" t="s">
        <v>4094</v>
      </c>
      <c r="X715" s="126" t="s">
        <v>2511</v>
      </c>
      <c r="Y715" s="126" t="s">
        <v>2511</v>
      </c>
      <c r="Z715" s="57"/>
      <c r="AA715" s="57" t="s">
        <v>3661</v>
      </c>
      <c r="AB715" s="138"/>
      <c r="AC715" s="138" t="s">
        <v>2631</v>
      </c>
      <c r="AD715" s="96"/>
      <c r="AE715" s="80"/>
      <c r="AF715" s="80"/>
      <c r="AG715" s="80"/>
      <c r="AH715" s="83"/>
      <c r="AI715" s="83"/>
      <c r="AJ715" s="84"/>
      <c r="AK715" s="84"/>
      <c r="AL715" s="84"/>
      <c r="AM715" s="84"/>
      <c r="AN715" s="84"/>
      <c r="AO715" s="84"/>
      <c r="AP715" s="84"/>
      <c r="AQ715" s="95" t="s">
        <v>687</v>
      </c>
      <c r="AR715" s="72"/>
      <c r="AS715" s="72"/>
      <c r="AT715" s="72"/>
      <c r="AU715" s="72"/>
      <c r="AV715" s="72"/>
      <c r="AW715" s="72"/>
      <c r="AX715" s="72"/>
      <c r="AY715" s="72"/>
      <c r="AZ715" s="72"/>
      <c r="BA715" s="72"/>
      <c r="BB715" s="16"/>
      <c r="BC715" s="72"/>
      <c r="BD715" s="20"/>
      <c r="BE715" s="352"/>
    </row>
    <row r="716" spans="1:57" s="81" customFormat="1" ht="12.95" hidden="1" customHeight="1">
      <c r="A716" s="348"/>
      <c r="B716" s="350"/>
      <c r="C716" s="248" t="s">
        <v>1424</v>
      </c>
      <c r="D716" s="239" t="s">
        <v>4461</v>
      </c>
      <c r="E716" s="58"/>
      <c r="F716" s="59" t="s">
        <v>4462</v>
      </c>
      <c r="G716" s="191" t="s">
        <v>2511</v>
      </c>
      <c r="H716" s="192" t="s">
        <v>688</v>
      </c>
      <c r="I716" s="61" t="s">
        <v>2511</v>
      </c>
      <c r="J716" s="61" t="s">
        <v>2511</v>
      </c>
      <c r="K716" s="62" t="s">
        <v>2511</v>
      </c>
      <c r="L716" s="60" t="s">
        <v>2511</v>
      </c>
      <c r="M716" s="61" t="s">
        <v>2389</v>
      </c>
      <c r="N716" s="61" t="s">
        <v>2511</v>
      </c>
      <c r="O716" s="61" t="s">
        <v>2511</v>
      </c>
      <c r="P716" s="62" t="s">
        <v>2511</v>
      </c>
      <c r="Q716" s="82"/>
      <c r="R716" s="82"/>
      <c r="S716" s="82"/>
      <c r="T716" s="82"/>
      <c r="U716" s="82"/>
      <c r="V716" s="138" t="s">
        <v>4463</v>
      </c>
      <c r="W716" s="57" t="s">
        <v>4094</v>
      </c>
      <c r="X716" s="126" t="s">
        <v>2511</v>
      </c>
      <c r="Y716" s="126" t="s">
        <v>2511</v>
      </c>
      <c r="Z716" s="57"/>
      <c r="AA716" s="57" t="s">
        <v>3661</v>
      </c>
      <c r="AB716" s="138"/>
      <c r="AC716" s="138" t="s">
        <v>2631</v>
      </c>
      <c r="AD716" s="96"/>
      <c r="AE716" s="80"/>
      <c r="AF716" s="80"/>
      <c r="AG716" s="80"/>
      <c r="AH716" s="83"/>
      <c r="AI716" s="83"/>
      <c r="AJ716" s="84"/>
      <c r="AK716" s="84"/>
      <c r="AL716" s="84"/>
      <c r="AM716" s="84"/>
      <c r="AN716" s="84"/>
      <c r="AO716" s="84"/>
      <c r="AP716" s="84"/>
      <c r="AQ716" s="95" t="s">
        <v>688</v>
      </c>
      <c r="AR716" s="72"/>
      <c r="AS716" s="72"/>
      <c r="AT716" s="72"/>
      <c r="AU716" s="72"/>
      <c r="AV716" s="72"/>
      <c r="AW716" s="72"/>
      <c r="AX716" s="72"/>
      <c r="AY716" s="72"/>
      <c r="AZ716" s="72"/>
      <c r="BA716" s="72"/>
      <c r="BB716" s="16"/>
      <c r="BC716" s="72"/>
      <c r="BD716" s="20"/>
      <c r="BE716" s="352"/>
    </row>
    <row r="717" spans="1:57" s="81" customFormat="1" ht="12.95" hidden="1" customHeight="1">
      <c r="A717" s="348"/>
      <c r="B717" s="350"/>
      <c r="C717" s="248" t="s">
        <v>1425</v>
      </c>
      <c r="D717" s="239" t="s">
        <v>4464</v>
      </c>
      <c r="E717" s="58"/>
      <c r="F717" s="59" t="s">
        <v>4465</v>
      </c>
      <c r="G717" s="191" t="s">
        <v>2511</v>
      </c>
      <c r="H717" s="192" t="s">
        <v>689</v>
      </c>
      <c r="I717" s="61" t="s">
        <v>2511</v>
      </c>
      <c r="J717" s="61" t="s">
        <v>2511</v>
      </c>
      <c r="K717" s="62" t="s">
        <v>2511</v>
      </c>
      <c r="L717" s="60" t="s">
        <v>2511</v>
      </c>
      <c r="M717" s="61" t="s">
        <v>2389</v>
      </c>
      <c r="N717" s="61" t="s">
        <v>2511</v>
      </c>
      <c r="O717" s="61" t="s">
        <v>2511</v>
      </c>
      <c r="P717" s="62" t="s">
        <v>2511</v>
      </c>
      <c r="Q717" s="82"/>
      <c r="R717" s="82"/>
      <c r="S717" s="82"/>
      <c r="T717" s="82"/>
      <c r="U717" s="82"/>
      <c r="V717" s="138" t="s">
        <v>4466</v>
      </c>
      <c r="W717" s="57" t="s">
        <v>4094</v>
      </c>
      <c r="X717" s="126" t="s">
        <v>2511</v>
      </c>
      <c r="Y717" s="126" t="s">
        <v>2511</v>
      </c>
      <c r="Z717" s="57"/>
      <c r="AA717" s="57" t="s">
        <v>3661</v>
      </c>
      <c r="AB717" s="138"/>
      <c r="AC717" s="138" t="s">
        <v>2631</v>
      </c>
      <c r="AD717" s="96"/>
      <c r="AE717" s="80"/>
      <c r="AF717" s="80"/>
      <c r="AG717" s="80"/>
      <c r="AH717" s="83"/>
      <c r="AI717" s="83"/>
      <c r="AJ717" s="84"/>
      <c r="AK717" s="84"/>
      <c r="AL717" s="84"/>
      <c r="AM717" s="84"/>
      <c r="AN717" s="84"/>
      <c r="AO717" s="84"/>
      <c r="AP717" s="84"/>
      <c r="AQ717" s="95" t="s">
        <v>689</v>
      </c>
      <c r="AR717" s="72"/>
      <c r="AS717" s="72"/>
      <c r="AT717" s="72"/>
      <c r="AU717" s="72"/>
      <c r="AV717" s="72"/>
      <c r="AW717" s="72"/>
      <c r="AX717" s="72"/>
      <c r="AY717" s="72"/>
      <c r="AZ717" s="72"/>
      <c r="BA717" s="72"/>
      <c r="BB717" s="16"/>
      <c r="BC717" s="72"/>
      <c r="BD717" s="20"/>
      <c r="BE717" s="352"/>
    </row>
    <row r="718" spans="1:57" s="81" customFormat="1" ht="12.95" hidden="1" customHeight="1">
      <c r="A718" s="348"/>
      <c r="B718" s="350"/>
      <c r="C718" s="248" t="s">
        <v>1426</v>
      </c>
      <c r="D718" s="239" t="s">
        <v>4467</v>
      </c>
      <c r="E718" s="58"/>
      <c r="F718" s="59" t="s">
        <v>4468</v>
      </c>
      <c r="G718" s="191" t="s">
        <v>2511</v>
      </c>
      <c r="H718" s="192" t="s">
        <v>690</v>
      </c>
      <c r="I718" s="61" t="s">
        <v>2511</v>
      </c>
      <c r="J718" s="61" t="s">
        <v>2511</v>
      </c>
      <c r="K718" s="62" t="s">
        <v>2511</v>
      </c>
      <c r="L718" s="60" t="s">
        <v>2511</v>
      </c>
      <c r="M718" s="61" t="s">
        <v>2389</v>
      </c>
      <c r="N718" s="61" t="s">
        <v>2511</v>
      </c>
      <c r="O718" s="61" t="s">
        <v>2511</v>
      </c>
      <c r="P718" s="62" t="s">
        <v>2511</v>
      </c>
      <c r="Q718" s="82"/>
      <c r="R718" s="82"/>
      <c r="S718" s="82"/>
      <c r="T718" s="82"/>
      <c r="U718" s="82"/>
      <c r="V718" s="138" t="s">
        <v>4469</v>
      </c>
      <c r="W718" s="57" t="s">
        <v>4094</v>
      </c>
      <c r="X718" s="126" t="s">
        <v>2511</v>
      </c>
      <c r="Y718" s="126" t="s">
        <v>2511</v>
      </c>
      <c r="Z718" s="57"/>
      <c r="AA718" s="57" t="s">
        <v>3661</v>
      </c>
      <c r="AB718" s="138"/>
      <c r="AC718" s="138" t="s">
        <v>2631</v>
      </c>
      <c r="AD718" s="96"/>
      <c r="AE718" s="80"/>
      <c r="AF718" s="80"/>
      <c r="AG718" s="80"/>
      <c r="AH718" s="83"/>
      <c r="AI718" s="83"/>
      <c r="AJ718" s="84"/>
      <c r="AK718" s="84"/>
      <c r="AL718" s="84"/>
      <c r="AM718" s="84"/>
      <c r="AN718" s="84"/>
      <c r="AO718" s="84"/>
      <c r="AP718" s="84"/>
      <c r="AQ718" s="95" t="s">
        <v>690</v>
      </c>
      <c r="AR718" s="72"/>
      <c r="AS718" s="72"/>
      <c r="AT718" s="72"/>
      <c r="AU718" s="72"/>
      <c r="AV718" s="72"/>
      <c r="AW718" s="72"/>
      <c r="AX718" s="72"/>
      <c r="AY718" s="72"/>
      <c r="AZ718" s="72"/>
      <c r="BA718" s="72"/>
      <c r="BB718" s="16"/>
      <c r="BC718" s="72"/>
      <c r="BD718" s="20"/>
      <c r="BE718" s="352"/>
    </row>
    <row r="719" spans="1:57" s="81" customFormat="1" ht="12.95" hidden="1" customHeight="1">
      <c r="A719" s="348"/>
      <c r="B719" s="350"/>
      <c r="C719" s="248" t="s">
        <v>1427</v>
      </c>
      <c r="D719" s="239" t="s">
        <v>4470</v>
      </c>
      <c r="E719" s="58"/>
      <c r="F719" s="59" t="s">
        <v>4471</v>
      </c>
      <c r="G719" s="191" t="s">
        <v>2511</v>
      </c>
      <c r="H719" s="192" t="s">
        <v>691</v>
      </c>
      <c r="I719" s="61" t="s">
        <v>2511</v>
      </c>
      <c r="J719" s="61" t="s">
        <v>2511</v>
      </c>
      <c r="K719" s="62" t="s">
        <v>2511</v>
      </c>
      <c r="L719" s="60" t="s">
        <v>2511</v>
      </c>
      <c r="M719" s="61" t="s">
        <v>2389</v>
      </c>
      <c r="N719" s="61" t="s">
        <v>2511</v>
      </c>
      <c r="O719" s="61" t="s">
        <v>2511</v>
      </c>
      <c r="P719" s="62" t="s">
        <v>2511</v>
      </c>
      <c r="Q719" s="82"/>
      <c r="R719" s="82"/>
      <c r="S719" s="82"/>
      <c r="T719" s="82"/>
      <c r="U719" s="82"/>
      <c r="V719" s="138" t="s">
        <v>4472</v>
      </c>
      <c r="W719" s="57" t="s">
        <v>4094</v>
      </c>
      <c r="X719" s="126" t="s">
        <v>2511</v>
      </c>
      <c r="Y719" s="126" t="s">
        <v>2511</v>
      </c>
      <c r="Z719" s="57"/>
      <c r="AA719" s="57" t="s">
        <v>3661</v>
      </c>
      <c r="AB719" s="138"/>
      <c r="AC719" s="138" t="s">
        <v>2631</v>
      </c>
      <c r="AD719" s="96"/>
      <c r="AE719" s="80"/>
      <c r="AF719" s="80"/>
      <c r="AG719" s="80"/>
      <c r="AH719" s="83"/>
      <c r="AI719" s="83"/>
      <c r="AJ719" s="84"/>
      <c r="AK719" s="84"/>
      <c r="AL719" s="84"/>
      <c r="AM719" s="84"/>
      <c r="AN719" s="84"/>
      <c r="AO719" s="84"/>
      <c r="AP719" s="84"/>
      <c r="AQ719" s="95" t="s">
        <v>691</v>
      </c>
      <c r="AR719" s="72"/>
      <c r="AS719" s="72"/>
      <c r="AT719" s="72"/>
      <c r="AU719" s="72"/>
      <c r="AV719" s="72"/>
      <c r="AW719" s="72"/>
      <c r="AX719" s="72"/>
      <c r="AY719" s="72"/>
      <c r="AZ719" s="72"/>
      <c r="BA719" s="72"/>
      <c r="BB719" s="16"/>
      <c r="BC719" s="72"/>
      <c r="BD719" s="20"/>
      <c r="BE719" s="352"/>
    </row>
    <row r="720" spans="1:57" s="81" customFormat="1" ht="12.95" hidden="1" customHeight="1">
      <c r="A720" s="348"/>
      <c r="B720" s="350"/>
      <c r="C720" s="248" t="s">
        <v>1428</v>
      </c>
      <c r="D720" s="239" t="s">
        <v>4473</v>
      </c>
      <c r="E720" s="58"/>
      <c r="F720" s="59" t="s">
        <v>4474</v>
      </c>
      <c r="G720" s="191" t="s">
        <v>2511</v>
      </c>
      <c r="H720" s="192" t="s">
        <v>692</v>
      </c>
      <c r="I720" s="61" t="s">
        <v>2511</v>
      </c>
      <c r="J720" s="61" t="s">
        <v>2511</v>
      </c>
      <c r="K720" s="62" t="s">
        <v>2511</v>
      </c>
      <c r="L720" s="60" t="s">
        <v>2511</v>
      </c>
      <c r="M720" s="61" t="s">
        <v>2389</v>
      </c>
      <c r="N720" s="61" t="s">
        <v>2511</v>
      </c>
      <c r="O720" s="61" t="s">
        <v>2511</v>
      </c>
      <c r="P720" s="62" t="s">
        <v>2511</v>
      </c>
      <c r="Q720" s="82"/>
      <c r="R720" s="82"/>
      <c r="S720" s="82"/>
      <c r="T720" s="82"/>
      <c r="U720" s="82"/>
      <c r="V720" s="138" t="s">
        <v>4475</v>
      </c>
      <c r="W720" s="57" t="s">
        <v>4094</v>
      </c>
      <c r="X720" s="126" t="s">
        <v>2511</v>
      </c>
      <c r="Y720" s="126" t="s">
        <v>2511</v>
      </c>
      <c r="Z720" s="57"/>
      <c r="AA720" s="57" t="s">
        <v>3661</v>
      </c>
      <c r="AB720" s="138"/>
      <c r="AC720" s="138" t="s">
        <v>2631</v>
      </c>
      <c r="AD720" s="96"/>
      <c r="AE720" s="80"/>
      <c r="AF720" s="80"/>
      <c r="AG720" s="80"/>
      <c r="AH720" s="83"/>
      <c r="AI720" s="83"/>
      <c r="AJ720" s="84"/>
      <c r="AK720" s="84"/>
      <c r="AL720" s="84"/>
      <c r="AM720" s="84"/>
      <c r="AN720" s="84"/>
      <c r="AO720" s="84"/>
      <c r="AP720" s="84"/>
      <c r="AQ720" s="95" t="s">
        <v>692</v>
      </c>
      <c r="AR720" s="72"/>
      <c r="AS720" s="72"/>
      <c r="AT720" s="72"/>
      <c r="AU720" s="72"/>
      <c r="AV720" s="72"/>
      <c r="AW720" s="72"/>
      <c r="AX720" s="72"/>
      <c r="AY720" s="72"/>
      <c r="AZ720" s="72"/>
      <c r="BA720" s="72"/>
      <c r="BB720" s="16"/>
      <c r="BC720" s="72"/>
      <c r="BD720" s="20"/>
      <c r="BE720" s="352"/>
    </row>
    <row r="721" spans="1:57" s="81" customFormat="1" ht="12.95" hidden="1" customHeight="1">
      <c r="A721" s="348"/>
      <c r="B721" s="350"/>
      <c r="C721" s="248" t="s">
        <v>1429</v>
      </c>
      <c r="D721" s="239" t="s">
        <v>4476</v>
      </c>
      <c r="E721" s="58"/>
      <c r="F721" s="59" t="s">
        <v>4477</v>
      </c>
      <c r="G721" s="191" t="s">
        <v>2511</v>
      </c>
      <c r="H721" s="192" t="s">
        <v>693</v>
      </c>
      <c r="I721" s="61" t="s">
        <v>2511</v>
      </c>
      <c r="J721" s="61" t="s">
        <v>2511</v>
      </c>
      <c r="K721" s="62" t="s">
        <v>2511</v>
      </c>
      <c r="L721" s="60" t="s">
        <v>2511</v>
      </c>
      <c r="M721" s="61" t="s">
        <v>2389</v>
      </c>
      <c r="N721" s="61" t="s">
        <v>2511</v>
      </c>
      <c r="O721" s="61" t="s">
        <v>2511</v>
      </c>
      <c r="P721" s="62" t="s">
        <v>2511</v>
      </c>
      <c r="Q721" s="82"/>
      <c r="R721" s="82"/>
      <c r="S721" s="82"/>
      <c r="T721" s="82"/>
      <c r="U721" s="82"/>
      <c r="V721" s="138" t="s">
        <v>4478</v>
      </c>
      <c r="W721" s="57" t="s">
        <v>4094</v>
      </c>
      <c r="X721" s="126" t="s">
        <v>2511</v>
      </c>
      <c r="Y721" s="126" t="s">
        <v>2511</v>
      </c>
      <c r="Z721" s="57"/>
      <c r="AA721" s="57" t="s">
        <v>3661</v>
      </c>
      <c r="AB721" s="138"/>
      <c r="AC721" s="138" t="s">
        <v>2631</v>
      </c>
      <c r="AD721" s="96"/>
      <c r="AE721" s="80"/>
      <c r="AF721" s="80"/>
      <c r="AG721" s="80"/>
      <c r="AH721" s="83"/>
      <c r="AI721" s="83"/>
      <c r="AJ721" s="84"/>
      <c r="AK721" s="84"/>
      <c r="AL721" s="84"/>
      <c r="AM721" s="84"/>
      <c r="AN721" s="84"/>
      <c r="AO721" s="84"/>
      <c r="AP721" s="84"/>
      <c r="AQ721" s="95" t="s">
        <v>693</v>
      </c>
      <c r="AR721" s="72"/>
      <c r="AS721" s="72"/>
      <c r="AT721" s="72"/>
      <c r="AU721" s="72"/>
      <c r="AV721" s="72"/>
      <c r="AW721" s="72"/>
      <c r="AX721" s="72"/>
      <c r="AY721" s="72"/>
      <c r="AZ721" s="72"/>
      <c r="BA721" s="72"/>
      <c r="BB721" s="16"/>
      <c r="BC721" s="72"/>
      <c r="BD721" s="20"/>
      <c r="BE721" s="352"/>
    </row>
    <row r="722" spans="1:57" s="81" customFormat="1" ht="12.95" hidden="1" customHeight="1">
      <c r="A722" s="348"/>
      <c r="B722" s="350"/>
      <c r="C722" s="270" t="s">
        <v>1430</v>
      </c>
      <c r="D722" s="239" t="s">
        <v>4479</v>
      </c>
      <c r="E722" s="58"/>
      <c r="F722" s="59" t="s">
        <v>4480</v>
      </c>
      <c r="G722" s="191" t="s">
        <v>2511</v>
      </c>
      <c r="H722" s="192" t="s">
        <v>694</v>
      </c>
      <c r="I722" s="61" t="s">
        <v>2511</v>
      </c>
      <c r="J722" s="61" t="s">
        <v>2511</v>
      </c>
      <c r="K722" s="62" t="s">
        <v>2511</v>
      </c>
      <c r="L722" s="60" t="s">
        <v>2511</v>
      </c>
      <c r="M722" s="61" t="s">
        <v>2389</v>
      </c>
      <c r="N722" s="61" t="s">
        <v>2511</v>
      </c>
      <c r="O722" s="61" t="s">
        <v>2511</v>
      </c>
      <c r="P722" s="62" t="s">
        <v>2511</v>
      </c>
      <c r="Q722" s="82"/>
      <c r="R722" s="82"/>
      <c r="S722" s="82"/>
      <c r="T722" s="82"/>
      <c r="U722" s="82"/>
      <c r="V722" s="138" t="s">
        <v>4481</v>
      </c>
      <c r="W722" s="57" t="s">
        <v>4094</v>
      </c>
      <c r="X722" s="126" t="s">
        <v>2511</v>
      </c>
      <c r="Y722" s="126" t="s">
        <v>2511</v>
      </c>
      <c r="Z722" s="57"/>
      <c r="AA722" s="57" t="s">
        <v>3661</v>
      </c>
      <c r="AB722" s="138"/>
      <c r="AC722" s="138" t="s">
        <v>2631</v>
      </c>
      <c r="AD722" s="96"/>
      <c r="AE722" s="80"/>
      <c r="AF722" s="80"/>
      <c r="AG722" s="80"/>
      <c r="AH722" s="83"/>
      <c r="AI722" s="83"/>
      <c r="AJ722" s="84"/>
      <c r="AK722" s="84"/>
      <c r="AL722" s="84"/>
      <c r="AM722" s="84"/>
      <c r="AN722" s="84"/>
      <c r="AO722" s="84"/>
      <c r="AP722" s="84"/>
      <c r="AQ722" s="95" t="s">
        <v>694</v>
      </c>
      <c r="AR722" s="72"/>
      <c r="AS722" s="72"/>
      <c r="AT722" s="72"/>
      <c r="AU722" s="72"/>
      <c r="AV722" s="72"/>
      <c r="AW722" s="72"/>
      <c r="AX722" s="72"/>
      <c r="AY722" s="72"/>
      <c r="AZ722" s="72"/>
      <c r="BA722" s="72"/>
      <c r="BB722" s="16"/>
      <c r="BC722" s="72"/>
      <c r="BD722" s="20"/>
      <c r="BE722" s="352"/>
    </row>
    <row r="723" spans="1:57" s="81" customFormat="1" ht="12.95" hidden="1" customHeight="1">
      <c r="A723" s="348"/>
      <c r="B723" s="350"/>
      <c r="C723" s="270" t="s">
        <v>1431</v>
      </c>
      <c r="D723" s="239" t="s">
        <v>4482</v>
      </c>
      <c r="E723" s="58"/>
      <c r="F723" s="59" t="s">
        <v>4483</v>
      </c>
      <c r="G723" s="191" t="s">
        <v>2511</v>
      </c>
      <c r="H723" s="192" t="s">
        <v>695</v>
      </c>
      <c r="I723" s="61" t="s">
        <v>2511</v>
      </c>
      <c r="J723" s="61" t="s">
        <v>2511</v>
      </c>
      <c r="K723" s="62" t="s">
        <v>2511</v>
      </c>
      <c r="L723" s="60" t="s">
        <v>2511</v>
      </c>
      <c r="M723" s="61" t="s">
        <v>2389</v>
      </c>
      <c r="N723" s="61" t="s">
        <v>2511</v>
      </c>
      <c r="O723" s="61" t="s">
        <v>2511</v>
      </c>
      <c r="P723" s="62" t="s">
        <v>2511</v>
      </c>
      <c r="Q723" s="82"/>
      <c r="R723" s="82"/>
      <c r="S723" s="82"/>
      <c r="T723" s="82"/>
      <c r="U723" s="82"/>
      <c r="V723" s="138" t="s">
        <v>4484</v>
      </c>
      <c r="W723" s="57" t="s">
        <v>4094</v>
      </c>
      <c r="X723" s="126" t="s">
        <v>2511</v>
      </c>
      <c r="Y723" s="126" t="s">
        <v>2511</v>
      </c>
      <c r="Z723" s="57"/>
      <c r="AA723" s="57" t="s">
        <v>3661</v>
      </c>
      <c r="AB723" s="138"/>
      <c r="AC723" s="138" t="s">
        <v>2631</v>
      </c>
      <c r="AD723" s="96"/>
      <c r="AE723" s="80"/>
      <c r="AF723" s="80"/>
      <c r="AG723" s="80"/>
      <c r="AH723" s="83"/>
      <c r="AI723" s="83"/>
      <c r="AJ723" s="84"/>
      <c r="AK723" s="84"/>
      <c r="AL723" s="84"/>
      <c r="AM723" s="84"/>
      <c r="AN723" s="84"/>
      <c r="AO723" s="84"/>
      <c r="AP723" s="84"/>
      <c r="AQ723" s="95" t="s">
        <v>695</v>
      </c>
      <c r="AR723" s="72"/>
      <c r="AS723" s="72"/>
      <c r="AT723" s="72"/>
      <c r="AU723" s="72"/>
      <c r="AV723" s="72"/>
      <c r="AW723" s="72"/>
      <c r="AX723" s="72"/>
      <c r="AY723" s="72"/>
      <c r="AZ723" s="72"/>
      <c r="BA723" s="72"/>
      <c r="BB723" s="16"/>
      <c r="BC723" s="72"/>
      <c r="BD723" s="20"/>
      <c r="BE723" s="352"/>
    </row>
    <row r="724" spans="1:57" s="81" customFormat="1" ht="12.95" hidden="1" customHeight="1">
      <c r="A724" s="348"/>
      <c r="B724" s="350"/>
      <c r="C724" s="248" t="s">
        <v>1432</v>
      </c>
      <c r="D724" s="239" t="s">
        <v>4485</v>
      </c>
      <c r="E724" s="58"/>
      <c r="F724" s="59" t="s">
        <v>4486</v>
      </c>
      <c r="G724" s="191" t="s">
        <v>2511</v>
      </c>
      <c r="H724" s="192" t="s">
        <v>696</v>
      </c>
      <c r="I724" s="61" t="s">
        <v>2511</v>
      </c>
      <c r="J724" s="61" t="s">
        <v>2511</v>
      </c>
      <c r="K724" s="62" t="s">
        <v>2511</v>
      </c>
      <c r="L724" s="60" t="s">
        <v>2511</v>
      </c>
      <c r="M724" s="61" t="s">
        <v>2389</v>
      </c>
      <c r="N724" s="61" t="s">
        <v>2511</v>
      </c>
      <c r="O724" s="61" t="s">
        <v>2511</v>
      </c>
      <c r="P724" s="62" t="s">
        <v>2511</v>
      </c>
      <c r="Q724" s="82"/>
      <c r="R724" s="82"/>
      <c r="S724" s="82"/>
      <c r="T724" s="82"/>
      <c r="U724" s="82"/>
      <c r="V724" s="138" t="s">
        <v>4487</v>
      </c>
      <c r="W724" s="57" t="s">
        <v>4094</v>
      </c>
      <c r="X724" s="126" t="s">
        <v>2511</v>
      </c>
      <c r="Y724" s="126" t="s">
        <v>2511</v>
      </c>
      <c r="Z724" s="57"/>
      <c r="AA724" s="57" t="s">
        <v>3661</v>
      </c>
      <c r="AB724" s="138"/>
      <c r="AC724" s="138">
        <v>0</v>
      </c>
      <c r="AD724" s="96"/>
      <c r="AE724" s="80"/>
      <c r="AF724" s="80"/>
      <c r="AG724" s="80"/>
      <c r="AH724" s="83"/>
      <c r="AI724" s="83"/>
      <c r="AJ724" s="84"/>
      <c r="AK724" s="84"/>
      <c r="AL724" s="84"/>
      <c r="AM724" s="84"/>
      <c r="AN724" s="84"/>
      <c r="AO724" s="84"/>
      <c r="AP724" s="84"/>
      <c r="AQ724" s="95" t="s">
        <v>696</v>
      </c>
      <c r="AR724" s="72"/>
      <c r="AS724" s="72"/>
      <c r="AT724" s="72"/>
      <c r="AU724" s="72"/>
      <c r="AV724" s="72"/>
      <c r="AW724" s="72"/>
      <c r="AX724" s="72"/>
      <c r="AY724" s="72"/>
      <c r="AZ724" s="72"/>
      <c r="BA724" s="72"/>
      <c r="BB724" s="16"/>
      <c r="BC724" s="72"/>
      <c r="BD724" s="20"/>
      <c r="BE724" s="352"/>
    </row>
    <row r="725" spans="1:57" s="81" customFormat="1" ht="12.95" hidden="1" customHeight="1">
      <c r="A725" s="348"/>
      <c r="B725" s="350"/>
      <c r="C725" s="248" t="s">
        <v>1433</v>
      </c>
      <c r="D725" s="239" t="s">
        <v>4488</v>
      </c>
      <c r="E725" s="58"/>
      <c r="F725" s="59" t="s">
        <v>4489</v>
      </c>
      <c r="G725" s="191" t="s">
        <v>2511</v>
      </c>
      <c r="H725" s="192" t="s">
        <v>697</v>
      </c>
      <c r="I725" s="61" t="s">
        <v>2511</v>
      </c>
      <c r="J725" s="61" t="s">
        <v>2511</v>
      </c>
      <c r="K725" s="62" t="s">
        <v>2511</v>
      </c>
      <c r="L725" s="60" t="s">
        <v>2511</v>
      </c>
      <c r="M725" s="61" t="s">
        <v>2389</v>
      </c>
      <c r="N725" s="61" t="s">
        <v>2511</v>
      </c>
      <c r="O725" s="61" t="s">
        <v>2511</v>
      </c>
      <c r="P725" s="62" t="s">
        <v>2511</v>
      </c>
      <c r="Q725" s="82"/>
      <c r="R725" s="82"/>
      <c r="S725" s="82"/>
      <c r="T725" s="82"/>
      <c r="U725" s="82"/>
      <c r="V725" s="138" t="s">
        <v>4490</v>
      </c>
      <c r="W725" s="57" t="s">
        <v>4094</v>
      </c>
      <c r="X725" s="126" t="s">
        <v>2511</v>
      </c>
      <c r="Y725" s="126" t="s">
        <v>2511</v>
      </c>
      <c r="Z725" s="57"/>
      <c r="AA725" s="57" t="s">
        <v>3661</v>
      </c>
      <c r="AB725" s="138"/>
      <c r="AC725" s="138" t="s">
        <v>2631</v>
      </c>
      <c r="AD725" s="96"/>
      <c r="AE725" s="80"/>
      <c r="AF725" s="80"/>
      <c r="AG725" s="80"/>
      <c r="AH725" s="83"/>
      <c r="AI725" s="83"/>
      <c r="AJ725" s="84"/>
      <c r="AK725" s="84"/>
      <c r="AL725" s="84"/>
      <c r="AM725" s="84"/>
      <c r="AN725" s="84"/>
      <c r="AO725" s="84"/>
      <c r="AP725" s="84"/>
      <c r="AQ725" s="95" t="s">
        <v>697</v>
      </c>
      <c r="AR725" s="72"/>
      <c r="AS725" s="72"/>
      <c r="AT725" s="72"/>
      <c r="AU725" s="72"/>
      <c r="AV725" s="72"/>
      <c r="AW725" s="72"/>
      <c r="AX725" s="72"/>
      <c r="AY725" s="72"/>
      <c r="AZ725" s="72"/>
      <c r="BA725" s="72"/>
      <c r="BB725" s="16"/>
      <c r="BC725" s="72"/>
      <c r="BD725" s="20"/>
      <c r="BE725" s="352"/>
    </row>
    <row r="726" spans="1:57" s="81" customFormat="1" ht="12.95" hidden="1" customHeight="1">
      <c r="A726" s="348"/>
      <c r="B726" s="350"/>
      <c r="C726" s="248" t="s">
        <v>1434</v>
      </c>
      <c r="D726" s="239" t="s">
        <v>4491</v>
      </c>
      <c r="E726" s="58"/>
      <c r="F726" s="59" t="s">
        <v>4492</v>
      </c>
      <c r="G726" s="191" t="s">
        <v>2511</v>
      </c>
      <c r="H726" s="192" t="s">
        <v>698</v>
      </c>
      <c r="I726" s="61" t="s">
        <v>2511</v>
      </c>
      <c r="J726" s="61" t="s">
        <v>2511</v>
      </c>
      <c r="K726" s="62" t="s">
        <v>2511</v>
      </c>
      <c r="L726" s="60" t="s">
        <v>2511</v>
      </c>
      <c r="M726" s="61" t="s">
        <v>2389</v>
      </c>
      <c r="N726" s="61" t="s">
        <v>2511</v>
      </c>
      <c r="O726" s="61" t="s">
        <v>2511</v>
      </c>
      <c r="P726" s="62" t="s">
        <v>2511</v>
      </c>
      <c r="Q726" s="82"/>
      <c r="R726" s="82"/>
      <c r="S726" s="82"/>
      <c r="T726" s="82"/>
      <c r="U726" s="82"/>
      <c r="V726" s="138" t="s">
        <v>4493</v>
      </c>
      <c r="W726" s="57" t="s">
        <v>4094</v>
      </c>
      <c r="X726" s="126" t="s">
        <v>2511</v>
      </c>
      <c r="Y726" s="126" t="s">
        <v>2511</v>
      </c>
      <c r="Z726" s="57"/>
      <c r="AA726" s="57" t="s">
        <v>3661</v>
      </c>
      <c r="AB726" s="138"/>
      <c r="AC726" s="138" t="s">
        <v>2631</v>
      </c>
      <c r="AD726" s="96"/>
      <c r="AE726" s="80"/>
      <c r="AF726" s="80"/>
      <c r="AG726" s="80"/>
      <c r="AH726" s="83"/>
      <c r="AI726" s="83"/>
      <c r="AJ726" s="84"/>
      <c r="AK726" s="84"/>
      <c r="AL726" s="84"/>
      <c r="AM726" s="84"/>
      <c r="AN726" s="84"/>
      <c r="AO726" s="84"/>
      <c r="AP726" s="84"/>
      <c r="AQ726" s="95" t="s">
        <v>698</v>
      </c>
      <c r="AR726" s="72"/>
      <c r="AS726" s="72"/>
      <c r="AT726" s="72"/>
      <c r="AU726" s="72"/>
      <c r="AV726" s="72"/>
      <c r="AW726" s="72"/>
      <c r="AX726" s="72"/>
      <c r="AY726" s="72"/>
      <c r="AZ726" s="72"/>
      <c r="BA726" s="72"/>
      <c r="BB726" s="16"/>
      <c r="BC726" s="72"/>
      <c r="BD726" s="20"/>
      <c r="BE726" s="352"/>
    </row>
    <row r="727" spans="1:57" s="81" customFormat="1" ht="12.95" hidden="1" customHeight="1">
      <c r="A727" s="348"/>
      <c r="B727" s="350"/>
      <c r="C727" s="248" t="s">
        <v>1435</v>
      </c>
      <c r="D727" s="239" t="s">
        <v>4494</v>
      </c>
      <c r="E727" s="58"/>
      <c r="F727" s="59" t="s">
        <v>4495</v>
      </c>
      <c r="G727" s="191" t="s">
        <v>2511</v>
      </c>
      <c r="H727" s="192" t="s">
        <v>699</v>
      </c>
      <c r="I727" s="61" t="s">
        <v>2511</v>
      </c>
      <c r="J727" s="61" t="s">
        <v>2511</v>
      </c>
      <c r="K727" s="62" t="s">
        <v>2511</v>
      </c>
      <c r="L727" s="60" t="s">
        <v>2511</v>
      </c>
      <c r="M727" s="61" t="s">
        <v>2389</v>
      </c>
      <c r="N727" s="61" t="s">
        <v>2511</v>
      </c>
      <c r="O727" s="61" t="s">
        <v>2511</v>
      </c>
      <c r="P727" s="62" t="s">
        <v>2511</v>
      </c>
      <c r="Q727" s="82"/>
      <c r="R727" s="82"/>
      <c r="S727" s="82"/>
      <c r="T727" s="82"/>
      <c r="U727" s="82"/>
      <c r="V727" s="138" t="s">
        <v>4496</v>
      </c>
      <c r="W727" s="57" t="s">
        <v>4094</v>
      </c>
      <c r="X727" s="126" t="s">
        <v>2511</v>
      </c>
      <c r="Y727" s="126" t="s">
        <v>2511</v>
      </c>
      <c r="Z727" s="57"/>
      <c r="AA727" s="57" t="s">
        <v>3661</v>
      </c>
      <c r="AB727" s="138"/>
      <c r="AC727" s="138" t="s">
        <v>2631</v>
      </c>
      <c r="AD727" s="96"/>
      <c r="AE727" s="80"/>
      <c r="AF727" s="80"/>
      <c r="AG727" s="80"/>
      <c r="AH727" s="83"/>
      <c r="AI727" s="83"/>
      <c r="AJ727" s="84"/>
      <c r="AK727" s="84"/>
      <c r="AL727" s="84"/>
      <c r="AM727" s="84"/>
      <c r="AN727" s="84"/>
      <c r="AO727" s="84"/>
      <c r="AP727" s="84"/>
      <c r="AQ727" s="95" t="s">
        <v>699</v>
      </c>
      <c r="AR727" s="72"/>
      <c r="AS727" s="72"/>
      <c r="AT727" s="72"/>
      <c r="AU727" s="72"/>
      <c r="AV727" s="72"/>
      <c r="AW727" s="72"/>
      <c r="AX727" s="72"/>
      <c r="AY727" s="72"/>
      <c r="AZ727" s="72"/>
      <c r="BA727" s="72"/>
      <c r="BB727" s="16"/>
      <c r="BC727" s="72"/>
      <c r="BD727" s="20"/>
      <c r="BE727" s="352"/>
    </row>
    <row r="728" spans="1:57" s="81" customFormat="1" ht="12.95" hidden="1" customHeight="1">
      <c r="A728" s="348"/>
      <c r="B728" s="350"/>
      <c r="C728" s="248" t="s">
        <v>1436</v>
      </c>
      <c r="D728" s="239" t="s">
        <v>4497</v>
      </c>
      <c r="E728" s="58"/>
      <c r="F728" s="59" t="s">
        <v>4498</v>
      </c>
      <c r="G728" s="191" t="s">
        <v>2511</v>
      </c>
      <c r="H728" s="192" t="s">
        <v>700</v>
      </c>
      <c r="I728" s="61" t="s">
        <v>2511</v>
      </c>
      <c r="J728" s="61" t="s">
        <v>2511</v>
      </c>
      <c r="K728" s="62" t="s">
        <v>2511</v>
      </c>
      <c r="L728" s="60" t="s">
        <v>2511</v>
      </c>
      <c r="M728" s="61" t="s">
        <v>2389</v>
      </c>
      <c r="N728" s="61" t="s">
        <v>2511</v>
      </c>
      <c r="O728" s="61" t="s">
        <v>2511</v>
      </c>
      <c r="P728" s="62" t="s">
        <v>2511</v>
      </c>
      <c r="Q728" s="82"/>
      <c r="R728" s="82"/>
      <c r="S728" s="82"/>
      <c r="T728" s="82"/>
      <c r="U728" s="82"/>
      <c r="V728" s="138" t="s">
        <v>4499</v>
      </c>
      <c r="W728" s="57" t="s">
        <v>4094</v>
      </c>
      <c r="X728" s="126" t="s">
        <v>2511</v>
      </c>
      <c r="Y728" s="126" t="s">
        <v>2511</v>
      </c>
      <c r="Z728" s="57"/>
      <c r="AA728" s="57" t="s">
        <v>3661</v>
      </c>
      <c r="AB728" s="138"/>
      <c r="AC728" s="138" t="s">
        <v>2631</v>
      </c>
      <c r="AD728" s="96"/>
      <c r="AE728" s="80"/>
      <c r="AF728" s="80"/>
      <c r="AG728" s="80"/>
      <c r="AH728" s="83"/>
      <c r="AI728" s="83"/>
      <c r="AJ728" s="84"/>
      <c r="AK728" s="84"/>
      <c r="AL728" s="84"/>
      <c r="AM728" s="84"/>
      <c r="AN728" s="84"/>
      <c r="AO728" s="84"/>
      <c r="AP728" s="84"/>
      <c r="AQ728" s="95" t="s">
        <v>700</v>
      </c>
      <c r="AR728" s="72"/>
      <c r="AS728" s="72"/>
      <c r="AT728" s="72"/>
      <c r="AU728" s="72"/>
      <c r="AV728" s="72"/>
      <c r="AW728" s="72"/>
      <c r="AX728" s="72"/>
      <c r="AY728" s="72"/>
      <c r="AZ728" s="72"/>
      <c r="BA728" s="72"/>
      <c r="BB728" s="16"/>
      <c r="BC728" s="72"/>
      <c r="BD728" s="20"/>
      <c r="BE728" s="352"/>
    </row>
    <row r="729" spans="1:57" s="81" customFormat="1" ht="12.95" hidden="1" customHeight="1">
      <c r="A729" s="348"/>
      <c r="B729" s="350"/>
      <c r="C729" s="248" t="s">
        <v>1437</v>
      </c>
      <c r="D729" s="239" t="s">
        <v>4500</v>
      </c>
      <c r="E729" s="58"/>
      <c r="F729" s="59" t="s">
        <v>4501</v>
      </c>
      <c r="G729" s="191" t="s">
        <v>2511</v>
      </c>
      <c r="H729" s="192" t="s">
        <v>701</v>
      </c>
      <c r="I729" s="61" t="s">
        <v>2511</v>
      </c>
      <c r="J729" s="61" t="s">
        <v>2511</v>
      </c>
      <c r="K729" s="62" t="s">
        <v>2511</v>
      </c>
      <c r="L729" s="60" t="s">
        <v>2511</v>
      </c>
      <c r="M729" s="61" t="s">
        <v>2389</v>
      </c>
      <c r="N729" s="61" t="s">
        <v>2511</v>
      </c>
      <c r="O729" s="61" t="s">
        <v>2511</v>
      </c>
      <c r="P729" s="62" t="s">
        <v>2511</v>
      </c>
      <c r="Q729" s="82"/>
      <c r="R729" s="82"/>
      <c r="S729" s="82"/>
      <c r="T729" s="82"/>
      <c r="U729" s="82"/>
      <c r="V729" s="138" t="s">
        <v>4502</v>
      </c>
      <c r="W729" s="57" t="s">
        <v>4094</v>
      </c>
      <c r="X729" s="126" t="s">
        <v>2511</v>
      </c>
      <c r="Y729" s="126" t="s">
        <v>2511</v>
      </c>
      <c r="Z729" s="57"/>
      <c r="AA729" s="57" t="s">
        <v>3661</v>
      </c>
      <c r="AB729" s="138"/>
      <c r="AC729" s="138" t="s">
        <v>2631</v>
      </c>
      <c r="AD729" s="96"/>
      <c r="AE729" s="80"/>
      <c r="AF729" s="80"/>
      <c r="AG729" s="80"/>
      <c r="AH729" s="83"/>
      <c r="AI729" s="83"/>
      <c r="AJ729" s="84"/>
      <c r="AK729" s="84"/>
      <c r="AL729" s="84"/>
      <c r="AM729" s="84"/>
      <c r="AN729" s="84"/>
      <c r="AO729" s="84"/>
      <c r="AP729" s="84"/>
      <c r="AQ729" s="95" t="s">
        <v>701</v>
      </c>
      <c r="AR729" s="72"/>
      <c r="AS729" s="72"/>
      <c r="AT729" s="72"/>
      <c r="AU729" s="72"/>
      <c r="AV729" s="72"/>
      <c r="AW729" s="72"/>
      <c r="AX729" s="72"/>
      <c r="AY729" s="72"/>
      <c r="AZ729" s="72"/>
      <c r="BA729" s="72"/>
      <c r="BB729" s="16"/>
      <c r="BC729" s="72"/>
      <c r="BD729" s="20"/>
      <c r="BE729" s="352"/>
    </row>
    <row r="730" spans="1:57" s="81" customFormat="1" ht="12.95" hidden="1" customHeight="1">
      <c r="A730" s="348"/>
      <c r="B730" s="350"/>
      <c r="C730" s="248" t="s">
        <v>1438</v>
      </c>
      <c r="D730" s="239" t="s">
        <v>4503</v>
      </c>
      <c r="E730" s="58"/>
      <c r="F730" s="59" t="s">
        <v>4504</v>
      </c>
      <c r="G730" s="191" t="s">
        <v>2511</v>
      </c>
      <c r="H730" s="192" t="s">
        <v>702</v>
      </c>
      <c r="I730" s="61" t="s">
        <v>2511</v>
      </c>
      <c r="J730" s="61" t="s">
        <v>2511</v>
      </c>
      <c r="K730" s="62" t="s">
        <v>2511</v>
      </c>
      <c r="L730" s="60" t="s">
        <v>2511</v>
      </c>
      <c r="M730" s="61" t="s">
        <v>2389</v>
      </c>
      <c r="N730" s="61" t="s">
        <v>2511</v>
      </c>
      <c r="O730" s="61" t="s">
        <v>2511</v>
      </c>
      <c r="P730" s="62" t="s">
        <v>2511</v>
      </c>
      <c r="Q730" s="82"/>
      <c r="R730" s="82"/>
      <c r="S730" s="82"/>
      <c r="T730" s="82"/>
      <c r="U730" s="82"/>
      <c r="V730" s="138" t="s">
        <v>4505</v>
      </c>
      <c r="W730" s="57" t="s">
        <v>4094</v>
      </c>
      <c r="X730" s="126" t="s">
        <v>2511</v>
      </c>
      <c r="Y730" s="126" t="s">
        <v>2511</v>
      </c>
      <c r="Z730" s="57"/>
      <c r="AA730" s="57" t="s">
        <v>3661</v>
      </c>
      <c r="AB730" s="138"/>
      <c r="AC730" s="138" t="s">
        <v>2631</v>
      </c>
      <c r="AD730" s="96"/>
      <c r="AE730" s="80"/>
      <c r="AF730" s="80"/>
      <c r="AG730" s="80"/>
      <c r="AH730" s="83"/>
      <c r="AI730" s="83"/>
      <c r="AJ730" s="84"/>
      <c r="AK730" s="84"/>
      <c r="AL730" s="84"/>
      <c r="AM730" s="84"/>
      <c r="AN730" s="84"/>
      <c r="AO730" s="84"/>
      <c r="AP730" s="84"/>
      <c r="AQ730" s="95" t="s">
        <v>702</v>
      </c>
      <c r="AR730" s="72"/>
      <c r="AS730" s="72"/>
      <c r="AT730" s="72"/>
      <c r="AU730" s="72"/>
      <c r="AV730" s="72"/>
      <c r="AW730" s="72"/>
      <c r="AX730" s="72"/>
      <c r="AY730" s="72"/>
      <c r="AZ730" s="72"/>
      <c r="BA730" s="72"/>
      <c r="BB730" s="16"/>
      <c r="BC730" s="72"/>
      <c r="BD730" s="20"/>
      <c r="BE730" s="352"/>
    </row>
    <row r="731" spans="1:57" s="81" customFormat="1" ht="12.95" hidden="1" customHeight="1">
      <c r="A731" s="348"/>
      <c r="B731" s="350"/>
      <c r="C731" s="248" t="s">
        <v>1439</v>
      </c>
      <c r="D731" s="239" t="s">
        <v>4506</v>
      </c>
      <c r="E731" s="58"/>
      <c r="F731" s="59" t="s">
        <v>4507</v>
      </c>
      <c r="G731" s="191" t="s">
        <v>2511</v>
      </c>
      <c r="H731" s="192" t="s">
        <v>703</v>
      </c>
      <c r="I731" s="61" t="s">
        <v>2511</v>
      </c>
      <c r="J731" s="61" t="s">
        <v>2511</v>
      </c>
      <c r="K731" s="62" t="s">
        <v>2511</v>
      </c>
      <c r="L731" s="60" t="s">
        <v>2511</v>
      </c>
      <c r="M731" s="61" t="s">
        <v>2389</v>
      </c>
      <c r="N731" s="61" t="s">
        <v>2511</v>
      </c>
      <c r="O731" s="61" t="s">
        <v>2511</v>
      </c>
      <c r="P731" s="62" t="s">
        <v>2511</v>
      </c>
      <c r="Q731" s="82"/>
      <c r="R731" s="82"/>
      <c r="S731" s="82"/>
      <c r="T731" s="82"/>
      <c r="U731" s="82"/>
      <c r="V731" s="138" t="s">
        <v>4508</v>
      </c>
      <c r="W731" s="57" t="s">
        <v>4094</v>
      </c>
      <c r="X731" s="126" t="s">
        <v>2511</v>
      </c>
      <c r="Y731" s="126" t="s">
        <v>2511</v>
      </c>
      <c r="Z731" s="57"/>
      <c r="AA731" s="57" t="s">
        <v>3661</v>
      </c>
      <c r="AB731" s="138"/>
      <c r="AC731" s="138" t="s">
        <v>2631</v>
      </c>
      <c r="AD731" s="96"/>
      <c r="AE731" s="80"/>
      <c r="AF731" s="80"/>
      <c r="AG731" s="80"/>
      <c r="AH731" s="83"/>
      <c r="AI731" s="83"/>
      <c r="AJ731" s="84"/>
      <c r="AK731" s="84"/>
      <c r="AL731" s="84"/>
      <c r="AM731" s="84"/>
      <c r="AN731" s="84"/>
      <c r="AO731" s="84"/>
      <c r="AP731" s="84"/>
      <c r="AQ731" s="95" t="s">
        <v>703</v>
      </c>
      <c r="AR731" s="72"/>
      <c r="AS731" s="72"/>
      <c r="AT731" s="72"/>
      <c r="AU731" s="72"/>
      <c r="AV731" s="72"/>
      <c r="AW731" s="72"/>
      <c r="AX731" s="72"/>
      <c r="AY731" s="72"/>
      <c r="AZ731" s="72"/>
      <c r="BA731" s="72"/>
      <c r="BB731" s="16"/>
      <c r="BC731" s="72"/>
      <c r="BD731" s="20"/>
      <c r="BE731" s="352"/>
    </row>
    <row r="732" spans="1:57" s="81" customFormat="1" ht="12.95" hidden="1" customHeight="1">
      <c r="A732" s="348"/>
      <c r="B732" s="350"/>
      <c r="C732" s="248" t="s">
        <v>1440</v>
      </c>
      <c r="D732" s="239" t="s">
        <v>4509</v>
      </c>
      <c r="E732" s="58"/>
      <c r="F732" s="59" t="s">
        <v>4510</v>
      </c>
      <c r="G732" s="191" t="s">
        <v>2511</v>
      </c>
      <c r="H732" s="192" t="s">
        <v>704</v>
      </c>
      <c r="I732" s="61" t="s">
        <v>2511</v>
      </c>
      <c r="J732" s="61" t="s">
        <v>2511</v>
      </c>
      <c r="K732" s="62" t="s">
        <v>2511</v>
      </c>
      <c r="L732" s="60" t="s">
        <v>2511</v>
      </c>
      <c r="M732" s="61" t="s">
        <v>2389</v>
      </c>
      <c r="N732" s="61" t="s">
        <v>2511</v>
      </c>
      <c r="O732" s="61" t="s">
        <v>2511</v>
      </c>
      <c r="P732" s="62" t="s">
        <v>2511</v>
      </c>
      <c r="Q732" s="82"/>
      <c r="R732" s="82"/>
      <c r="S732" s="82"/>
      <c r="T732" s="82"/>
      <c r="U732" s="82"/>
      <c r="V732" s="138" t="s">
        <v>4511</v>
      </c>
      <c r="W732" s="57" t="s">
        <v>4094</v>
      </c>
      <c r="X732" s="126" t="s">
        <v>2511</v>
      </c>
      <c r="Y732" s="126" t="s">
        <v>2511</v>
      </c>
      <c r="Z732" s="57"/>
      <c r="AA732" s="57" t="s">
        <v>3661</v>
      </c>
      <c r="AB732" s="138"/>
      <c r="AC732" s="138" t="s">
        <v>2631</v>
      </c>
      <c r="AD732" s="96"/>
      <c r="AE732" s="80"/>
      <c r="AF732" s="80"/>
      <c r="AG732" s="80"/>
      <c r="AH732" s="83"/>
      <c r="AI732" s="83"/>
      <c r="AJ732" s="84"/>
      <c r="AK732" s="84"/>
      <c r="AL732" s="84"/>
      <c r="AM732" s="84"/>
      <c r="AN732" s="84"/>
      <c r="AO732" s="84"/>
      <c r="AP732" s="84"/>
      <c r="AQ732" s="95" t="s">
        <v>704</v>
      </c>
      <c r="AR732" s="72"/>
      <c r="AS732" s="72"/>
      <c r="AT732" s="72"/>
      <c r="AU732" s="72"/>
      <c r="AV732" s="72"/>
      <c r="AW732" s="72"/>
      <c r="AX732" s="72"/>
      <c r="AY732" s="72"/>
      <c r="AZ732" s="72"/>
      <c r="BA732" s="72"/>
      <c r="BB732" s="16"/>
      <c r="BC732" s="72"/>
      <c r="BD732" s="20"/>
      <c r="BE732" s="352"/>
    </row>
    <row r="733" spans="1:57" s="81" customFormat="1" ht="12.95" hidden="1" customHeight="1">
      <c r="A733" s="348"/>
      <c r="B733" s="350"/>
      <c r="C733" s="248" t="s">
        <v>1441</v>
      </c>
      <c r="D733" s="239" t="s">
        <v>4512</v>
      </c>
      <c r="E733" s="58"/>
      <c r="F733" s="59" t="s">
        <v>4513</v>
      </c>
      <c r="G733" s="191" t="s">
        <v>2511</v>
      </c>
      <c r="H733" s="192" t="s">
        <v>705</v>
      </c>
      <c r="I733" s="61" t="s">
        <v>2511</v>
      </c>
      <c r="J733" s="61" t="s">
        <v>2511</v>
      </c>
      <c r="K733" s="62" t="s">
        <v>2511</v>
      </c>
      <c r="L733" s="60" t="s">
        <v>2511</v>
      </c>
      <c r="M733" s="61" t="s">
        <v>2389</v>
      </c>
      <c r="N733" s="61" t="s">
        <v>2511</v>
      </c>
      <c r="O733" s="61" t="s">
        <v>2511</v>
      </c>
      <c r="P733" s="62" t="s">
        <v>2511</v>
      </c>
      <c r="Q733" s="82"/>
      <c r="R733" s="82"/>
      <c r="S733" s="82"/>
      <c r="T733" s="82"/>
      <c r="U733" s="82"/>
      <c r="V733" s="138" t="s">
        <v>4514</v>
      </c>
      <c r="W733" s="57" t="s">
        <v>4094</v>
      </c>
      <c r="X733" s="126" t="s">
        <v>2511</v>
      </c>
      <c r="Y733" s="126" t="s">
        <v>2511</v>
      </c>
      <c r="Z733" s="57"/>
      <c r="AA733" s="57" t="s">
        <v>3661</v>
      </c>
      <c r="AB733" s="138"/>
      <c r="AC733" s="138" t="s">
        <v>2631</v>
      </c>
      <c r="AD733" s="96"/>
      <c r="AE733" s="80"/>
      <c r="AF733" s="80"/>
      <c r="AG733" s="80"/>
      <c r="AH733" s="83"/>
      <c r="AI733" s="83"/>
      <c r="AJ733" s="84"/>
      <c r="AK733" s="84"/>
      <c r="AL733" s="84"/>
      <c r="AM733" s="84"/>
      <c r="AN733" s="84"/>
      <c r="AO733" s="84"/>
      <c r="AP733" s="84"/>
      <c r="AQ733" s="95" t="s">
        <v>705</v>
      </c>
      <c r="AR733" s="72"/>
      <c r="AS733" s="72"/>
      <c r="AT733" s="72"/>
      <c r="AU733" s="72"/>
      <c r="AV733" s="72"/>
      <c r="AW733" s="72"/>
      <c r="AX733" s="72"/>
      <c r="AY733" s="72"/>
      <c r="AZ733" s="72"/>
      <c r="BA733" s="72"/>
      <c r="BB733" s="16"/>
      <c r="BC733" s="72"/>
      <c r="BD733" s="20"/>
      <c r="BE733" s="352"/>
    </row>
    <row r="734" spans="1:57" s="81" customFormat="1" ht="12.95" hidden="1" customHeight="1">
      <c r="A734" s="348"/>
      <c r="B734" s="350"/>
      <c r="C734" s="270" t="s">
        <v>1442</v>
      </c>
      <c r="D734" s="239" t="s">
        <v>4515</v>
      </c>
      <c r="E734" s="58"/>
      <c r="F734" s="59" t="s">
        <v>4516</v>
      </c>
      <c r="G734" s="191" t="s">
        <v>2511</v>
      </c>
      <c r="H734" s="192" t="s">
        <v>706</v>
      </c>
      <c r="I734" s="61" t="s">
        <v>2511</v>
      </c>
      <c r="J734" s="61" t="s">
        <v>2511</v>
      </c>
      <c r="K734" s="62" t="s">
        <v>2511</v>
      </c>
      <c r="L734" s="60" t="s">
        <v>2511</v>
      </c>
      <c r="M734" s="61" t="s">
        <v>2389</v>
      </c>
      <c r="N734" s="61" t="s">
        <v>2511</v>
      </c>
      <c r="O734" s="61" t="s">
        <v>2511</v>
      </c>
      <c r="P734" s="62" t="s">
        <v>2511</v>
      </c>
      <c r="Q734" s="82"/>
      <c r="R734" s="82"/>
      <c r="S734" s="82"/>
      <c r="T734" s="82"/>
      <c r="U734" s="82"/>
      <c r="V734" s="138" t="s">
        <v>4517</v>
      </c>
      <c r="W734" s="57" t="s">
        <v>4094</v>
      </c>
      <c r="X734" s="126" t="s">
        <v>2511</v>
      </c>
      <c r="Y734" s="126" t="s">
        <v>2511</v>
      </c>
      <c r="Z734" s="57"/>
      <c r="AA734" s="57" t="s">
        <v>3661</v>
      </c>
      <c r="AB734" s="138"/>
      <c r="AC734" s="138" t="s">
        <v>2631</v>
      </c>
      <c r="AD734" s="96"/>
      <c r="AE734" s="80"/>
      <c r="AF734" s="80"/>
      <c r="AG734" s="80"/>
      <c r="AH734" s="83"/>
      <c r="AI734" s="83"/>
      <c r="AJ734" s="84"/>
      <c r="AK734" s="84"/>
      <c r="AL734" s="84"/>
      <c r="AM734" s="84"/>
      <c r="AN734" s="84"/>
      <c r="AO734" s="84"/>
      <c r="AP734" s="84"/>
      <c r="AQ734" s="95" t="s">
        <v>706</v>
      </c>
      <c r="AR734" s="72"/>
      <c r="AS734" s="72"/>
      <c r="AT734" s="72"/>
      <c r="AU734" s="72"/>
      <c r="AV734" s="72"/>
      <c r="AW734" s="72"/>
      <c r="AX734" s="72"/>
      <c r="AY734" s="72"/>
      <c r="AZ734" s="72"/>
      <c r="BA734" s="72"/>
      <c r="BB734" s="16"/>
      <c r="BC734" s="72"/>
      <c r="BD734" s="20"/>
      <c r="BE734" s="352"/>
    </row>
    <row r="735" spans="1:57" s="81" customFormat="1" ht="12.95" hidden="1" customHeight="1">
      <c r="A735" s="348"/>
      <c r="B735" s="350"/>
      <c r="C735" s="270" t="s">
        <v>1443</v>
      </c>
      <c r="D735" s="239" t="s">
        <v>4518</v>
      </c>
      <c r="E735" s="58"/>
      <c r="F735" s="59" t="s">
        <v>4519</v>
      </c>
      <c r="G735" s="191" t="s">
        <v>2511</v>
      </c>
      <c r="H735" s="192" t="s">
        <v>707</v>
      </c>
      <c r="I735" s="61" t="s">
        <v>2511</v>
      </c>
      <c r="J735" s="61" t="s">
        <v>2511</v>
      </c>
      <c r="K735" s="62" t="s">
        <v>2511</v>
      </c>
      <c r="L735" s="60" t="s">
        <v>2511</v>
      </c>
      <c r="M735" s="61" t="s">
        <v>2389</v>
      </c>
      <c r="N735" s="61" t="s">
        <v>2511</v>
      </c>
      <c r="O735" s="61" t="s">
        <v>2511</v>
      </c>
      <c r="P735" s="62" t="s">
        <v>2511</v>
      </c>
      <c r="Q735" s="82"/>
      <c r="R735" s="82"/>
      <c r="S735" s="82"/>
      <c r="T735" s="82"/>
      <c r="U735" s="82"/>
      <c r="V735" s="138" t="s">
        <v>4520</v>
      </c>
      <c r="W735" s="57" t="s">
        <v>4094</v>
      </c>
      <c r="X735" s="126" t="s">
        <v>2511</v>
      </c>
      <c r="Y735" s="126" t="s">
        <v>2511</v>
      </c>
      <c r="Z735" s="57"/>
      <c r="AA735" s="57" t="s">
        <v>3661</v>
      </c>
      <c r="AB735" s="138"/>
      <c r="AC735" s="138" t="s">
        <v>2631</v>
      </c>
      <c r="AD735" s="96"/>
      <c r="AE735" s="80"/>
      <c r="AF735" s="80"/>
      <c r="AG735" s="80"/>
      <c r="AH735" s="83"/>
      <c r="AI735" s="83"/>
      <c r="AJ735" s="84"/>
      <c r="AK735" s="84"/>
      <c r="AL735" s="84"/>
      <c r="AM735" s="84"/>
      <c r="AN735" s="84"/>
      <c r="AO735" s="84"/>
      <c r="AP735" s="84"/>
      <c r="AQ735" s="95" t="s">
        <v>707</v>
      </c>
      <c r="AR735" s="72"/>
      <c r="AS735" s="72"/>
      <c r="AT735" s="72"/>
      <c r="AU735" s="72"/>
      <c r="AV735" s="72"/>
      <c r="AW735" s="72"/>
      <c r="AX735" s="72"/>
      <c r="AY735" s="72"/>
      <c r="AZ735" s="72"/>
      <c r="BA735" s="72"/>
      <c r="BB735" s="16"/>
      <c r="BC735" s="72"/>
      <c r="BD735" s="20"/>
      <c r="BE735" s="352"/>
    </row>
    <row r="736" spans="1:57" s="81" customFormat="1" ht="12.95" hidden="1" customHeight="1">
      <c r="A736" s="348"/>
      <c r="B736" s="350"/>
      <c r="C736" s="270" t="s">
        <v>1444</v>
      </c>
      <c r="D736" s="239" t="s">
        <v>4521</v>
      </c>
      <c r="E736" s="58"/>
      <c r="F736" s="59" t="s">
        <v>4522</v>
      </c>
      <c r="G736" s="191" t="s">
        <v>2511</v>
      </c>
      <c r="H736" s="192" t="s">
        <v>708</v>
      </c>
      <c r="I736" s="61" t="s">
        <v>2511</v>
      </c>
      <c r="J736" s="61" t="s">
        <v>2511</v>
      </c>
      <c r="K736" s="62" t="s">
        <v>2511</v>
      </c>
      <c r="L736" s="60" t="s">
        <v>2511</v>
      </c>
      <c r="M736" s="61" t="s">
        <v>2389</v>
      </c>
      <c r="N736" s="61" t="s">
        <v>2511</v>
      </c>
      <c r="O736" s="61" t="s">
        <v>2511</v>
      </c>
      <c r="P736" s="62" t="s">
        <v>2511</v>
      </c>
      <c r="Q736" s="82"/>
      <c r="R736" s="82"/>
      <c r="S736" s="82"/>
      <c r="T736" s="82"/>
      <c r="U736" s="82"/>
      <c r="V736" s="138" t="s">
        <v>4523</v>
      </c>
      <c r="W736" s="57" t="s">
        <v>4094</v>
      </c>
      <c r="X736" s="126" t="s">
        <v>2511</v>
      </c>
      <c r="Y736" s="126" t="s">
        <v>2511</v>
      </c>
      <c r="Z736" s="57"/>
      <c r="AA736" s="57" t="s">
        <v>3661</v>
      </c>
      <c r="AB736" s="138"/>
      <c r="AC736" s="138">
        <v>0</v>
      </c>
      <c r="AD736" s="96"/>
      <c r="AE736" s="80"/>
      <c r="AF736" s="80"/>
      <c r="AG736" s="80"/>
      <c r="AH736" s="83"/>
      <c r="AI736" s="83"/>
      <c r="AJ736" s="84"/>
      <c r="AK736" s="84"/>
      <c r="AL736" s="84"/>
      <c r="AM736" s="84"/>
      <c r="AN736" s="84"/>
      <c r="AO736" s="84"/>
      <c r="AP736" s="84"/>
      <c r="AQ736" s="95" t="s">
        <v>708</v>
      </c>
      <c r="AR736" s="72"/>
      <c r="AS736" s="72"/>
      <c r="AT736" s="72"/>
      <c r="AU736" s="72"/>
      <c r="AV736" s="72"/>
      <c r="AW736" s="72"/>
      <c r="AX736" s="72"/>
      <c r="AY736" s="72"/>
      <c r="AZ736" s="72"/>
      <c r="BA736" s="72"/>
      <c r="BB736" s="16"/>
      <c r="BC736" s="72"/>
      <c r="BD736" s="20"/>
      <c r="BE736" s="352"/>
    </row>
    <row r="737" spans="1:57" s="91" customFormat="1" ht="18" hidden="1" customHeight="1">
      <c r="A737" s="277"/>
      <c r="B737" s="277"/>
      <c r="C737" s="268" t="s">
        <v>1734</v>
      </c>
      <c r="D737" s="268"/>
      <c r="E737" s="86"/>
      <c r="F737" s="86"/>
      <c r="G737" s="87"/>
      <c r="H737" s="87"/>
      <c r="I737" s="87"/>
      <c r="J737" s="87"/>
      <c r="K737" s="87"/>
      <c r="L737" s="86"/>
      <c r="M737" s="86"/>
      <c r="N737" s="86"/>
      <c r="O737" s="86"/>
      <c r="P737" s="86"/>
      <c r="Q737" s="86"/>
      <c r="R737" s="86"/>
      <c r="S737" s="86"/>
      <c r="T737" s="86"/>
      <c r="U737" s="86"/>
      <c r="V737" s="86"/>
      <c r="W737" s="86"/>
      <c r="X737" s="129"/>
      <c r="Y737" s="129"/>
      <c r="Z737" s="88"/>
      <c r="AA737" s="88"/>
      <c r="AB737" s="88"/>
      <c r="AC737" s="88"/>
      <c r="AD737" s="88"/>
      <c r="AE737" s="88"/>
      <c r="AF737" s="88"/>
      <c r="AG737" s="88"/>
      <c r="AH737" s="88"/>
      <c r="AI737" s="88"/>
      <c r="AJ737" s="88"/>
      <c r="AK737" s="88"/>
      <c r="AL737" s="88"/>
      <c r="AM737" s="88"/>
      <c r="AN737" s="88"/>
      <c r="AO737" s="88"/>
      <c r="AP737" s="88"/>
      <c r="AQ737" s="89"/>
      <c r="AR737" s="89"/>
      <c r="AS737" s="90"/>
      <c r="AT737" s="90"/>
      <c r="AU737" s="90"/>
      <c r="AV737" s="90"/>
      <c r="AW737" s="90"/>
      <c r="AX737" s="90"/>
      <c r="AY737" s="90"/>
      <c r="AZ737" s="90"/>
      <c r="BA737" s="90"/>
      <c r="BB737" s="90"/>
      <c r="BC737" s="175" t="s">
        <v>478</v>
      </c>
      <c r="BD737" s="90"/>
      <c r="BE737" s="235" t="s">
        <v>1734</v>
      </c>
    </row>
    <row r="738" spans="1:57" s="81" customFormat="1" ht="12.95" hidden="1" customHeight="1">
      <c r="A738" s="249"/>
      <c r="B738" s="254"/>
      <c r="C738" s="271" t="s">
        <v>1733</v>
      </c>
      <c r="D738" s="239" t="s">
        <v>4524</v>
      </c>
      <c r="E738" s="58"/>
      <c r="F738" s="59" t="s">
        <v>4525</v>
      </c>
      <c r="G738" s="191" t="s">
        <v>2511</v>
      </c>
      <c r="H738" s="192" t="s">
        <v>885</v>
      </c>
      <c r="I738" s="61" t="s">
        <v>2511</v>
      </c>
      <c r="J738" s="61" t="s">
        <v>2511</v>
      </c>
      <c r="K738" s="62" t="s">
        <v>2511</v>
      </c>
      <c r="L738" s="60" t="s">
        <v>2511</v>
      </c>
      <c r="M738" s="61" t="s">
        <v>2389</v>
      </c>
      <c r="N738" s="61" t="s">
        <v>2511</v>
      </c>
      <c r="O738" s="61" t="s">
        <v>2511</v>
      </c>
      <c r="P738" s="62" t="s">
        <v>2511</v>
      </c>
      <c r="Q738" s="82"/>
      <c r="R738" s="82"/>
      <c r="S738" s="82"/>
      <c r="T738" s="82"/>
      <c r="U738" s="82"/>
      <c r="V738" s="138" t="s">
        <v>4526</v>
      </c>
      <c r="W738" s="57" t="s">
        <v>4527</v>
      </c>
      <c r="X738" s="126" t="s">
        <v>2511</v>
      </c>
      <c r="Y738" s="126" t="s">
        <v>2511</v>
      </c>
      <c r="Z738" s="57"/>
      <c r="AA738" s="57" t="s">
        <v>4528</v>
      </c>
      <c r="AB738" s="138"/>
      <c r="AC738" s="138">
        <v>0</v>
      </c>
      <c r="AD738" s="96"/>
      <c r="AE738" s="80"/>
      <c r="AF738" s="80"/>
      <c r="AG738" s="80"/>
      <c r="AH738" s="83"/>
      <c r="AI738" s="83"/>
      <c r="AJ738" s="84"/>
      <c r="AK738" s="84"/>
      <c r="AL738" s="84"/>
      <c r="AM738" s="84"/>
      <c r="AN738" s="84"/>
      <c r="AO738" s="84"/>
      <c r="AP738" s="84"/>
      <c r="AQ738" s="95" t="s">
        <v>885</v>
      </c>
      <c r="AR738" s="72"/>
      <c r="AS738" s="72"/>
      <c r="AT738" s="72"/>
      <c r="AU738" s="72"/>
      <c r="AV738" s="72"/>
      <c r="AW738" s="72"/>
      <c r="AX738" s="72"/>
      <c r="AY738" s="72"/>
      <c r="AZ738" s="72"/>
      <c r="BA738" s="72"/>
      <c r="BB738" s="16"/>
      <c r="BC738" s="72"/>
      <c r="BD738" s="20"/>
      <c r="BE738" s="238" t="s">
        <v>2217</v>
      </c>
    </row>
    <row r="739" spans="1:57" s="91" customFormat="1" ht="18" hidden="1" customHeight="1">
      <c r="A739" s="233"/>
      <c r="B739" s="89"/>
      <c r="C739" s="268" t="s">
        <v>1735</v>
      </c>
      <c r="D739" s="268"/>
      <c r="E739" s="86"/>
      <c r="F739" s="86"/>
      <c r="G739" s="87"/>
      <c r="H739" s="87"/>
      <c r="I739" s="87"/>
      <c r="J739" s="87"/>
      <c r="K739" s="87"/>
      <c r="L739" s="86"/>
      <c r="M739" s="86"/>
      <c r="N739" s="86"/>
      <c r="O739" s="86"/>
      <c r="P739" s="86"/>
      <c r="Q739" s="86"/>
      <c r="R739" s="86"/>
      <c r="S739" s="86"/>
      <c r="T739" s="86"/>
      <c r="U739" s="86"/>
      <c r="V739" s="86"/>
      <c r="W739" s="86"/>
      <c r="X739" s="129"/>
      <c r="Y739" s="129"/>
      <c r="Z739" s="88"/>
      <c r="AA739" s="88"/>
      <c r="AB739" s="88"/>
      <c r="AC739" s="88"/>
      <c r="AD739" s="88"/>
      <c r="AE739" s="88"/>
      <c r="AF739" s="88"/>
      <c r="AG739" s="88"/>
      <c r="AH739" s="88"/>
      <c r="AI739" s="88"/>
      <c r="AJ739" s="88"/>
      <c r="AK739" s="88"/>
      <c r="AL739" s="88"/>
      <c r="AM739" s="88"/>
      <c r="AN739" s="88"/>
      <c r="AO739" s="88"/>
      <c r="AP739" s="88"/>
      <c r="AQ739" s="89"/>
      <c r="AR739" s="89"/>
      <c r="AS739" s="90"/>
      <c r="AT739" s="90"/>
      <c r="AU739" s="90"/>
      <c r="AV739" s="90"/>
      <c r="AW739" s="90"/>
      <c r="AX739" s="90"/>
      <c r="AY739" s="90"/>
      <c r="AZ739" s="90"/>
      <c r="BA739" s="90"/>
      <c r="BB739" s="90"/>
      <c r="BC739" s="175" t="s">
        <v>2153</v>
      </c>
      <c r="BD739" s="90"/>
      <c r="BE739" s="233" t="s">
        <v>1735</v>
      </c>
    </row>
    <row r="740" spans="1:57" s="81" customFormat="1" ht="12.95" hidden="1" customHeight="1">
      <c r="A740" s="347"/>
      <c r="B740" s="349"/>
      <c r="C740" s="248" t="s">
        <v>1589</v>
      </c>
      <c r="D740" s="239" t="s">
        <v>4529</v>
      </c>
      <c r="E740" s="58"/>
      <c r="F740" s="59" t="s">
        <v>4530</v>
      </c>
      <c r="G740" s="191" t="s">
        <v>2511</v>
      </c>
      <c r="H740" s="192" t="s">
        <v>1859</v>
      </c>
      <c r="I740" s="61" t="s">
        <v>2511</v>
      </c>
      <c r="J740" s="61" t="s">
        <v>2511</v>
      </c>
      <c r="K740" s="62" t="s">
        <v>2511</v>
      </c>
      <c r="L740" s="60" t="s">
        <v>2511</v>
      </c>
      <c r="M740" s="61" t="s">
        <v>2389</v>
      </c>
      <c r="N740" s="61" t="s">
        <v>2511</v>
      </c>
      <c r="O740" s="61" t="s">
        <v>2511</v>
      </c>
      <c r="P740" s="62" t="s">
        <v>2511</v>
      </c>
      <c r="Q740" s="82"/>
      <c r="R740" s="82"/>
      <c r="S740" s="82"/>
      <c r="T740" s="82"/>
      <c r="U740" s="82"/>
      <c r="V740" s="138" t="s">
        <v>4531</v>
      </c>
      <c r="W740" s="57" t="s">
        <v>4532</v>
      </c>
      <c r="X740" s="126" t="s">
        <v>2511</v>
      </c>
      <c r="Y740" s="126" t="s">
        <v>2511</v>
      </c>
      <c r="Z740" s="57"/>
      <c r="AA740" s="57" t="s">
        <v>4533</v>
      </c>
      <c r="AB740" s="137"/>
      <c r="AC740" s="137" t="s">
        <v>2631</v>
      </c>
      <c r="AD740" s="92"/>
      <c r="AE740" s="93"/>
      <c r="AF740" s="93"/>
      <c r="AG740" s="93"/>
      <c r="AH740" s="94"/>
      <c r="AI740" s="83"/>
      <c r="AJ740" s="84"/>
      <c r="AK740" s="84"/>
      <c r="AL740" s="84"/>
      <c r="AM740" s="84"/>
      <c r="AN740" s="84"/>
      <c r="AO740" s="84"/>
      <c r="AP740" s="84"/>
      <c r="AQ740" s="95" t="s">
        <v>1859</v>
      </c>
      <c r="AR740" s="72"/>
      <c r="AS740" s="72"/>
      <c r="AT740" s="72"/>
      <c r="AU740" s="72"/>
      <c r="AV740" s="72"/>
      <c r="AW740" s="72"/>
      <c r="AX740" s="72"/>
      <c r="AY740" s="72"/>
      <c r="AZ740" s="72"/>
      <c r="BA740" s="72"/>
      <c r="BB740" s="16"/>
      <c r="BC740" s="22"/>
      <c r="BD740" s="19"/>
      <c r="BE740" s="351" t="s">
        <v>2216</v>
      </c>
    </row>
    <row r="741" spans="1:57" s="81" customFormat="1" ht="12.95" hidden="1" customHeight="1">
      <c r="A741" s="348"/>
      <c r="B741" s="350"/>
      <c r="C741" s="248" t="s">
        <v>1590</v>
      </c>
      <c r="D741" s="239" t="s">
        <v>4534</v>
      </c>
      <c r="E741" s="58"/>
      <c r="F741" s="59" t="s">
        <v>4535</v>
      </c>
      <c r="G741" s="191" t="s">
        <v>2511</v>
      </c>
      <c r="H741" s="192" t="s">
        <v>1860</v>
      </c>
      <c r="I741" s="61" t="s">
        <v>2511</v>
      </c>
      <c r="J741" s="61" t="s">
        <v>2511</v>
      </c>
      <c r="K741" s="62" t="s">
        <v>2511</v>
      </c>
      <c r="L741" s="60" t="s">
        <v>2511</v>
      </c>
      <c r="M741" s="61" t="s">
        <v>2389</v>
      </c>
      <c r="N741" s="61" t="s">
        <v>2511</v>
      </c>
      <c r="O741" s="61" t="s">
        <v>2511</v>
      </c>
      <c r="P741" s="62" t="s">
        <v>2511</v>
      </c>
      <c r="Q741" s="82"/>
      <c r="R741" s="82"/>
      <c r="S741" s="82"/>
      <c r="T741" s="82"/>
      <c r="U741" s="82"/>
      <c r="V741" s="138" t="s">
        <v>4536</v>
      </c>
      <c r="W741" s="57" t="s">
        <v>4532</v>
      </c>
      <c r="X741" s="126" t="s">
        <v>2511</v>
      </c>
      <c r="Y741" s="126" t="s">
        <v>2511</v>
      </c>
      <c r="Z741" s="57"/>
      <c r="AA741" s="57" t="s">
        <v>4533</v>
      </c>
      <c r="AB741" s="138"/>
      <c r="AC741" s="138" t="s">
        <v>2631</v>
      </c>
      <c r="AD741" s="96"/>
      <c r="AE741" s="80"/>
      <c r="AF741" s="80"/>
      <c r="AG741" s="80"/>
      <c r="AH741" s="83"/>
      <c r="AI741" s="83"/>
      <c r="AJ741" s="84"/>
      <c r="AK741" s="84"/>
      <c r="AL741" s="84"/>
      <c r="AM741" s="84"/>
      <c r="AN741" s="84"/>
      <c r="AO741" s="84"/>
      <c r="AP741" s="84"/>
      <c r="AQ741" s="95" t="s">
        <v>1860</v>
      </c>
      <c r="AR741" s="72"/>
      <c r="AS741" s="72"/>
      <c r="AT741" s="72"/>
      <c r="AU741" s="72"/>
      <c r="AV741" s="72"/>
      <c r="AW741" s="72"/>
      <c r="AX741" s="72"/>
      <c r="AY741" s="72"/>
      <c r="AZ741" s="72"/>
      <c r="BA741" s="72"/>
      <c r="BB741" s="16"/>
      <c r="BC741" s="72"/>
      <c r="BD741" s="20"/>
      <c r="BE741" s="352"/>
    </row>
    <row r="742" spans="1:57" s="81" customFormat="1" ht="12.95" hidden="1" customHeight="1">
      <c r="A742" s="348"/>
      <c r="B742" s="350"/>
      <c r="C742" s="248" t="s">
        <v>1591</v>
      </c>
      <c r="D742" s="239" t="s">
        <v>4537</v>
      </c>
      <c r="E742" s="58"/>
      <c r="F742" s="59" t="s">
        <v>4538</v>
      </c>
      <c r="G742" s="191" t="s">
        <v>2511</v>
      </c>
      <c r="H742" s="192" t="s">
        <v>1861</v>
      </c>
      <c r="I742" s="61" t="s">
        <v>2511</v>
      </c>
      <c r="J742" s="61" t="s">
        <v>2511</v>
      </c>
      <c r="K742" s="62" t="s">
        <v>2511</v>
      </c>
      <c r="L742" s="60" t="s">
        <v>2511</v>
      </c>
      <c r="M742" s="61" t="s">
        <v>2389</v>
      </c>
      <c r="N742" s="61" t="s">
        <v>2511</v>
      </c>
      <c r="O742" s="61" t="s">
        <v>2511</v>
      </c>
      <c r="P742" s="62" t="s">
        <v>2511</v>
      </c>
      <c r="Q742" s="82"/>
      <c r="R742" s="82"/>
      <c r="S742" s="82"/>
      <c r="T742" s="82"/>
      <c r="U742" s="82"/>
      <c r="V742" s="138" t="s">
        <v>4539</v>
      </c>
      <c r="W742" s="57" t="s">
        <v>4532</v>
      </c>
      <c r="X742" s="126" t="s">
        <v>2511</v>
      </c>
      <c r="Y742" s="126" t="s">
        <v>2511</v>
      </c>
      <c r="Z742" s="57"/>
      <c r="AA742" s="57" t="s">
        <v>4533</v>
      </c>
      <c r="AB742" s="138"/>
      <c r="AC742" s="138" t="s">
        <v>2631</v>
      </c>
      <c r="AD742" s="96"/>
      <c r="AE742" s="80"/>
      <c r="AF742" s="80"/>
      <c r="AG742" s="80"/>
      <c r="AH742" s="83"/>
      <c r="AI742" s="83"/>
      <c r="AJ742" s="84"/>
      <c r="AK742" s="84"/>
      <c r="AL742" s="84"/>
      <c r="AM742" s="84"/>
      <c r="AN742" s="84"/>
      <c r="AO742" s="84"/>
      <c r="AP742" s="84"/>
      <c r="AQ742" s="95" t="s">
        <v>1861</v>
      </c>
      <c r="AR742" s="72"/>
      <c r="AS742" s="72"/>
      <c r="AT742" s="72"/>
      <c r="AU742" s="72"/>
      <c r="AV742" s="72"/>
      <c r="AW742" s="72"/>
      <c r="AX742" s="72"/>
      <c r="AY742" s="72"/>
      <c r="AZ742" s="72"/>
      <c r="BA742" s="72"/>
      <c r="BB742" s="16"/>
      <c r="BC742" s="72"/>
      <c r="BD742" s="20"/>
      <c r="BE742" s="352"/>
    </row>
    <row r="743" spans="1:57" s="81" customFormat="1" ht="12.95" hidden="1" customHeight="1">
      <c r="A743" s="348"/>
      <c r="B743" s="350"/>
      <c r="C743" s="248" t="s">
        <v>1592</v>
      </c>
      <c r="D743" s="239" t="s">
        <v>4540</v>
      </c>
      <c r="E743" s="58"/>
      <c r="F743" s="59" t="s">
        <v>4541</v>
      </c>
      <c r="G743" s="191" t="s">
        <v>2511</v>
      </c>
      <c r="H743" s="192" t="s">
        <v>1862</v>
      </c>
      <c r="I743" s="61" t="s">
        <v>2511</v>
      </c>
      <c r="J743" s="61" t="s">
        <v>2511</v>
      </c>
      <c r="K743" s="62" t="s">
        <v>2511</v>
      </c>
      <c r="L743" s="60" t="s">
        <v>2511</v>
      </c>
      <c r="M743" s="61" t="s">
        <v>2389</v>
      </c>
      <c r="N743" s="61" t="s">
        <v>2511</v>
      </c>
      <c r="O743" s="61" t="s">
        <v>2511</v>
      </c>
      <c r="P743" s="62" t="s">
        <v>2511</v>
      </c>
      <c r="Q743" s="82"/>
      <c r="R743" s="82"/>
      <c r="S743" s="82"/>
      <c r="T743" s="82"/>
      <c r="U743" s="82"/>
      <c r="V743" s="138" t="s">
        <v>4542</v>
      </c>
      <c r="W743" s="57" t="s">
        <v>4532</v>
      </c>
      <c r="X743" s="126" t="s">
        <v>2511</v>
      </c>
      <c r="Y743" s="126" t="s">
        <v>2511</v>
      </c>
      <c r="Z743" s="57"/>
      <c r="AA743" s="57" t="s">
        <v>4533</v>
      </c>
      <c r="AB743" s="138"/>
      <c r="AC743" s="138" t="s">
        <v>2631</v>
      </c>
      <c r="AD743" s="96"/>
      <c r="AE743" s="80"/>
      <c r="AF743" s="80"/>
      <c r="AG743" s="80"/>
      <c r="AH743" s="83"/>
      <c r="AI743" s="83"/>
      <c r="AJ743" s="84"/>
      <c r="AK743" s="84"/>
      <c r="AL743" s="84"/>
      <c r="AM743" s="84"/>
      <c r="AN743" s="84"/>
      <c r="AO743" s="84"/>
      <c r="AP743" s="84"/>
      <c r="AQ743" s="95" t="s">
        <v>1862</v>
      </c>
      <c r="AR743" s="72"/>
      <c r="AS743" s="72"/>
      <c r="AT743" s="72"/>
      <c r="AU743" s="72"/>
      <c r="AV743" s="72"/>
      <c r="AW743" s="72"/>
      <c r="AX743" s="72"/>
      <c r="AY743" s="72"/>
      <c r="AZ743" s="72"/>
      <c r="BA743" s="72"/>
      <c r="BB743" s="16"/>
      <c r="BC743" s="72"/>
      <c r="BD743" s="20"/>
      <c r="BE743" s="352"/>
    </row>
    <row r="744" spans="1:57" s="81" customFormat="1" ht="12.95" hidden="1" customHeight="1">
      <c r="A744" s="348"/>
      <c r="B744" s="350"/>
      <c r="C744" s="248" t="s">
        <v>1593</v>
      </c>
      <c r="D744" s="239" t="s">
        <v>4543</v>
      </c>
      <c r="E744" s="58"/>
      <c r="F744" s="59" t="s">
        <v>4544</v>
      </c>
      <c r="G744" s="191" t="s">
        <v>2511</v>
      </c>
      <c r="H744" s="192" t="s">
        <v>1863</v>
      </c>
      <c r="I744" s="61" t="s">
        <v>2511</v>
      </c>
      <c r="J744" s="61" t="s">
        <v>2511</v>
      </c>
      <c r="K744" s="62" t="s">
        <v>2511</v>
      </c>
      <c r="L744" s="60" t="s">
        <v>2511</v>
      </c>
      <c r="M744" s="61" t="s">
        <v>2389</v>
      </c>
      <c r="N744" s="61" t="s">
        <v>2511</v>
      </c>
      <c r="O744" s="61" t="s">
        <v>2511</v>
      </c>
      <c r="P744" s="62" t="s">
        <v>2511</v>
      </c>
      <c r="Q744" s="82"/>
      <c r="R744" s="82"/>
      <c r="S744" s="82"/>
      <c r="T744" s="82"/>
      <c r="U744" s="82"/>
      <c r="V744" s="138" t="s">
        <v>4545</v>
      </c>
      <c r="W744" s="57" t="s">
        <v>4532</v>
      </c>
      <c r="X744" s="126" t="s">
        <v>2511</v>
      </c>
      <c r="Y744" s="126" t="s">
        <v>2511</v>
      </c>
      <c r="Z744" s="57"/>
      <c r="AA744" s="57" t="s">
        <v>4533</v>
      </c>
      <c r="AB744" s="138"/>
      <c r="AC744" s="138" t="s">
        <v>2631</v>
      </c>
      <c r="AD744" s="96"/>
      <c r="AE744" s="80"/>
      <c r="AF744" s="80"/>
      <c r="AG744" s="80"/>
      <c r="AH744" s="83"/>
      <c r="AI744" s="83"/>
      <c r="AJ744" s="84"/>
      <c r="AK744" s="84"/>
      <c r="AL744" s="84"/>
      <c r="AM744" s="84"/>
      <c r="AN744" s="84"/>
      <c r="AO744" s="84"/>
      <c r="AP744" s="84"/>
      <c r="AQ744" s="95" t="s">
        <v>1863</v>
      </c>
      <c r="AR744" s="72"/>
      <c r="AS744" s="72"/>
      <c r="AT744" s="72"/>
      <c r="AU744" s="72"/>
      <c r="AV744" s="72"/>
      <c r="AW744" s="72"/>
      <c r="AX744" s="72"/>
      <c r="AY744" s="72"/>
      <c r="AZ744" s="72"/>
      <c r="BA744" s="72"/>
      <c r="BB744" s="16"/>
      <c r="BC744" s="72"/>
      <c r="BD744" s="20"/>
      <c r="BE744" s="352"/>
    </row>
    <row r="745" spans="1:57" s="81" customFormat="1" ht="12.95" hidden="1" customHeight="1">
      <c r="A745" s="348"/>
      <c r="B745" s="350"/>
      <c r="C745" s="248" t="s">
        <v>1594</v>
      </c>
      <c r="D745" s="239" t="s">
        <v>4546</v>
      </c>
      <c r="E745" s="58"/>
      <c r="F745" s="59" t="s">
        <v>4547</v>
      </c>
      <c r="G745" s="191" t="s">
        <v>2511</v>
      </c>
      <c r="H745" s="192" t="s">
        <v>1864</v>
      </c>
      <c r="I745" s="61" t="s">
        <v>2511</v>
      </c>
      <c r="J745" s="61" t="s">
        <v>2511</v>
      </c>
      <c r="K745" s="62" t="s">
        <v>2511</v>
      </c>
      <c r="L745" s="60" t="s">
        <v>2511</v>
      </c>
      <c r="M745" s="61" t="s">
        <v>2389</v>
      </c>
      <c r="N745" s="61" t="s">
        <v>2511</v>
      </c>
      <c r="O745" s="61" t="s">
        <v>2511</v>
      </c>
      <c r="P745" s="62" t="s">
        <v>2511</v>
      </c>
      <c r="Q745" s="82"/>
      <c r="R745" s="82"/>
      <c r="S745" s="82"/>
      <c r="T745" s="82"/>
      <c r="U745" s="82"/>
      <c r="V745" s="138" t="s">
        <v>4548</v>
      </c>
      <c r="W745" s="57" t="s">
        <v>4532</v>
      </c>
      <c r="X745" s="126" t="s">
        <v>2511</v>
      </c>
      <c r="Y745" s="126" t="s">
        <v>2511</v>
      </c>
      <c r="Z745" s="57"/>
      <c r="AA745" s="57" t="s">
        <v>4533</v>
      </c>
      <c r="AB745" s="138"/>
      <c r="AC745" s="138" t="s">
        <v>2631</v>
      </c>
      <c r="AD745" s="96"/>
      <c r="AE745" s="80"/>
      <c r="AF745" s="80"/>
      <c r="AG745" s="80"/>
      <c r="AH745" s="83"/>
      <c r="AI745" s="83"/>
      <c r="AJ745" s="84"/>
      <c r="AK745" s="84"/>
      <c r="AL745" s="84"/>
      <c r="AM745" s="84"/>
      <c r="AN745" s="84"/>
      <c r="AO745" s="84"/>
      <c r="AP745" s="84"/>
      <c r="AQ745" s="95" t="s">
        <v>1864</v>
      </c>
      <c r="AR745" s="72"/>
      <c r="AS745" s="72"/>
      <c r="AT745" s="72"/>
      <c r="AU745" s="72"/>
      <c r="AV745" s="72"/>
      <c r="AW745" s="72"/>
      <c r="AX745" s="72"/>
      <c r="AY745" s="72"/>
      <c r="AZ745" s="72"/>
      <c r="BA745" s="72"/>
      <c r="BB745" s="16"/>
      <c r="BC745" s="72"/>
      <c r="BD745" s="20"/>
      <c r="BE745" s="352"/>
    </row>
    <row r="746" spans="1:57" s="81" customFormat="1" ht="12.95" hidden="1" customHeight="1">
      <c r="A746" s="348"/>
      <c r="B746" s="350"/>
      <c r="C746" s="248" t="s">
        <v>1595</v>
      </c>
      <c r="D746" s="239" t="s">
        <v>4549</v>
      </c>
      <c r="E746" s="58"/>
      <c r="F746" s="59" t="s">
        <v>4550</v>
      </c>
      <c r="G746" s="191" t="s">
        <v>2511</v>
      </c>
      <c r="H746" s="192" t="s">
        <v>1865</v>
      </c>
      <c r="I746" s="61" t="s">
        <v>2511</v>
      </c>
      <c r="J746" s="61" t="s">
        <v>2511</v>
      </c>
      <c r="K746" s="62" t="s">
        <v>2511</v>
      </c>
      <c r="L746" s="60" t="s">
        <v>2511</v>
      </c>
      <c r="M746" s="61" t="s">
        <v>2389</v>
      </c>
      <c r="N746" s="61" t="s">
        <v>2511</v>
      </c>
      <c r="O746" s="61" t="s">
        <v>2511</v>
      </c>
      <c r="P746" s="62" t="s">
        <v>2511</v>
      </c>
      <c r="Q746" s="82"/>
      <c r="R746" s="82"/>
      <c r="S746" s="82"/>
      <c r="T746" s="82"/>
      <c r="U746" s="82"/>
      <c r="V746" s="138" t="s">
        <v>4551</v>
      </c>
      <c r="W746" s="57" t="s">
        <v>4532</v>
      </c>
      <c r="X746" s="126" t="s">
        <v>2511</v>
      </c>
      <c r="Y746" s="126" t="s">
        <v>2511</v>
      </c>
      <c r="Z746" s="57"/>
      <c r="AA746" s="57" t="s">
        <v>4533</v>
      </c>
      <c r="AB746" s="138"/>
      <c r="AC746" s="138" t="s">
        <v>2631</v>
      </c>
      <c r="AD746" s="96"/>
      <c r="AE746" s="80"/>
      <c r="AF746" s="80"/>
      <c r="AG746" s="80"/>
      <c r="AH746" s="83"/>
      <c r="AI746" s="83"/>
      <c r="AJ746" s="84"/>
      <c r="AK746" s="84"/>
      <c r="AL746" s="84"/>
      <c r="AM746" s="84"/>
      <c r="AN746" s="84"/>
      <c r="AO746" s="84"/>
      <c r="AP746" s="84"/>
      <c r="AQ746" s="95" t="s">
        <v>1865</v>
      </c>
      <c r="AR746" s="72"/>
      <c r="AS746" s="72"/>
      <c r="AT746" s="72"/>
      <c r="AU746" s="72"/>
      <c r="AV746" s="72"/>
      <c r="AW746" s="72"/>
      <c r="AX746" s="72"/>
      <c r="AY746" s="72"/>
      <c r="AZ746" s="72"/>
      <c r="BA746" s="72"/>
      <c r="BB746" s="16"/>
      <c r="BC746" s="72"/>
      <c r="BD746" s="20"/>
      <c r="BE746" s="352"/>
    </row>
    <row r="747" spans="1:57" s="81" customFormat="1" ht="12.95" hidden="1" customHeight="1">
      <c r="A747" s="348"/>
      <c r="B747" s="350"/>
      <c r="C747" s="248" t="s">
        <v>1596</v>
      </c>
      <c r="D747" s="239" t="s">
        <v>4552</v>
      </c>
      <c r="E747" s="58"/>
      <c r="F747" s="59" t="s">
        <v>4553</v>
      </c>
      <c r="G747" s="191" t="s">
        <v>2511</v>
      </c>
      <c r="H747" s="192" t="s">
        <v>1866</v>
      </c>
      <c r="I747" s="61" t="s">
        <v>2511</v>
      </c>
      <c r="J747" s="61" t="s">
        <v>2511</v>
      </c>
      <c r="K747" s="62" t="s">
        <v>2511</v>
      </c>
      <c r="L747" s="60" t="s">
        <v>2511</v>
      </c>
      <c r="M747" s="61" t="s">
        <v>2389</v>
      </c>
      <c r="N747" s="61" t="s">
        <v>2511</v>
      </c>
      <c r="O747" s="61" t="s">
        <v>2511</v>
      </c>
      <c r="P747" s="62" t="s">
        <v>2511</v>
      </c>
      <c r="Q747" s="82"/>
      <c r="R747" s="82"/>
      <c r="S747" s="82"/>
      <c r="T747" s="82"/>
      <c r="U747" s="82"/>
      <c r="V747" s="138" t="s">
        <v>4554</v>
      </c>
      <c r="W747" s="57" t="s">
        <v>4532</v>
      </c>
      <c r="X747" s="126" t="s">
        <v>2511</v>
      </c>
      <c r="Y747" s="126" t="s">
        <v>2511</v>
      </c>
      <c r="Z747" s="57"/>
      <c r="AA747" s="57" t="s">
        <v>4533</v>
      </c>
      <c r="AB747" s="138"/>
      <c r="AC747" s="138" t="s">
        <v>2631</v>
      </c>
      <c r="AD747" s="96"/>
      <c r="AE747" s="80"/>
      <c r="AF747" s="80"/>
      <c r="AG747" s="80"/>
      <c r="AH747" s="83"/>
      <c r="AI747" s="83"/>
      <c r="AJ747" s="84"/>
      <c r="AK747" s="84"/>
      <c r="AL747" s="84"/>
      <c r="AM747" s="84"/>
      <c r="AN747" s="84"/>
      <c r="AO747" s="84"/>
      <c r="AP747" s="84"/>
      <c r="AQ747" s="95" t="s">
        <v>1866</v>
      </c>
      <c r="AR747" s="72"/>
      <c r="AS747" s="72"/>
      <c r="AT747" s="72"/>
      <c r="AU747" s="72"/>
      <c r="AV747" s="72"/>
      <c r="AW747" s="72"/>
      <c r="AX747" s="72"/>
      <c r="AY747" s="72"/>
      <c r="AZ747" s="72"/>
      <c r="BA747" s="72"/>
      <c r="BB747" s="16"/>
      <c r="BC747" s="72"/>
      <c r="BD747" s="20"/>
      <c r="BE747" s="352"/>
    </row>
    <row r="748" spans="1:57" s="81" customFormat="1" ht="12.95" hidden="1" customHeight="1">
      <c r="A748" s="348"/>
      <c r="B748" s="350"/>
      <c r="C748" s="248" t="s">
        <v>1597</v>
      </c>
      <c r="D748" s="239" t="s">
        <v>4555</v>
      </c>
      <c r="E748" s="58"/>
      <c r="F748" s="59" t="s">
        <v>4556</v>
      </c>
      <c r="G748" s="191" t="s">
        <v>2511</v>
      </c>
      <c r="H748" s="192" t="s">
        <v>1867</v>
      </c>
      <c r="I748" s="61" t="s">
        <v>2511</v>
      </c>
      <c r="J748" s="61" t="s">
        <v>2511</v>
      </c>
      <c r="K748" s="62" t="s">
        <v>2511</v>
      </c>
      <c r="L748" s="60" t="s">
        <v>2511</v>
      </c>
      <c r="M748" s="61" t="s">
        <v>2389</v>
      </c>
      <c r="N748" s="61" t="s">
        <v>2511</v>
      </c>
      <c r="O748" s="61" t="s">
        <v>2511</v>
      </c>
      <c r="P748" s="62" t="s">
        <v>2511</v>
      </c>
      <c r="Q748" s="82"/>
      <c r="R748" s="82"/>
      <c r="S748" s="82"/>
      <c r="T748" s="82"/>
      <c r="U748" s="82"/>
      <c r="V748" s="138" t="s">
        <v>4557</v>
      </c>
      <c r="W748" s="57" t="s">
        <v>4532</v>
      </c>
      <c r="X748" s="126" t="s">
        <v>2511</v>
      </c>
      <c r="Y748" s="126" t="s">
        <v>2511</v>
      </c>
      <c r="Z748" s="57"/>
      <c r="AA748" s="57" t="s">
        <v>4533</v>
      </c>
      <c r="AB748" s="138"/>
      <c r="AC748" s="138" t="s">
        <v>2631</v>
      </c>
      <c r="AD748" s="96"/>
      <c r="AE748" s="80"/>
      <c r="AF748" s="80"/>
      <c r="AG748" s="80"/>
      <c r="AH748" s="83"/>
      <c r="AI748" s="83"/>
      <c r="AJ748" s="84"/>
      <c r="AK748" s="84"/>
      <c r="AL748" s="84"/>
      <c r="AM748" s="84"/>
      <c r="AN748" s="84"/>
      <c r="AO748" s="84"/>
      <c r="AP748" s="84"/>
      <c r="AQ748" s="95" t="s">
        <v>1867</v>
      </c>
      <c r="AR748" s="72"/>
      <c r="AS748" s="72"/>
      <c r="AT748" s="72"/>
      <c r="AU748" s="72"/>
      <c r="AV748" s="72"/>
      <c r="AW748" s="72"/>
      <c r="AX748" s="72"/>
      <c r="AY748" s="72"/>
      <c r="AZ748" s="72"/>
      <c r="BA748" s="72"/>
      <c r="BB748" s="16"/>
      <c r="BC748" s="72"/>
      <c r="BD748" s="20"/>
      <c r="BE748" s="352"/>
    </row>
    <row r="749" spans="1:57" s="81" customFormat="1" ht="12.95" hidden="1" customHeight="1">
      <c r="A749" s="348"/>
      <c r="B749" s="350"/>
      <c r="C749" s="270" t="s">
        <v>1598</v>
      </c>
      <c r="D749" s="239" t="s">
        <v>4558</v>
      </c>
      <c r="E749" s="58"/>
      <c r="F749" s="59" t="s">
        <v>4559</v>
      </c>
      <c r="G749" s="191" t="s">
        <v>2511</v>
      </c>
      <c r="H749" s="192" t="s">
        <v>1868</v>
      </c>
      <c r="I749" s="61" t="s">
        <v>2511</v>
      </c>
      <c r="J749" s="61" t="s">
        <v>2511</v>
      </c>
      <c r="K749" s="62" t="s">
        <v>2511</v>
      </c>
      <c r="L749" s="60" t="s">
        <v>2511</v>
      </c>
      <c r="M749" s="61" t="s">
        <v>2389</v>
      </c>
      <c r="N749" s="61" t="s">
        <v>2511</v>
      </c>
      <c r="O749" s="61" t="s">
        <v>2511</v>
      </c>
      <c r="P749" s="62" t="s">
        <v>2511</v>
      </c>
      <c r="Q749" s="82"/>
      <c r="R749" s="82"/>
      <c r="S749" s="82"/>
      <c r="T749" s="82"/>
      <c r="U749" s="82"/>
      <c r="V749" s="138" t="s">
        <v>4560</v>
      </c>
      <c r="W749" s="57" t="s">
        <v>4532</v>
      </c>
      <c r="X749" s="126" t="s">
        <v>2511</v>
      </c>
      <c r="Y749" s="126" t="s">
        <v>2511</v>
      </c>
      <c r="Z749" s="57"/>
      <c r="AA749" s="57" t="s">
        <v>4533</v>
      </c>
      <c r="AB749" s="138"/>
      <c r="AC749" s="138" t="s">
        <v>2631</v>
      </c>
      <c r="AD749" s="96"/>
      <c r="AE749" s="80"/>
      <c r="AF749" s="80"/>
      <c r="AG749" s="80"/>
      <c r="AH749" s="83"/>
      <c r="AI749" s="83"/>
      <c r="AJ749" s="84"/>
      <c r="AK749" s="84"/>
      <c r="AL749" s="84"/>
      <c r="AM749" s="84"/>
      <c r="AN749" s="84"/>
      <c r="AO749" s="84"/>
      <c r="AP749" s="84"/>
      <c r="AQ749" s="95" t="s">
        <v>1868</v>
      </c>
      <c r="AR749" s="72"/>
      <c r="AS749" s="72"/>
      <c r="AT749" s="72"/>
      <c r="AU749" s="72"/>
      <c r="AV749" s="72"/>
      <c r="AW749" s="72"/>
      <c r="AX749" s="72"/>
      <c r="AY749" s="72"/>
      <c r="AZ749" s="72"/>
      <c r="BA749" s="72"/>
      <c r="BB749" s="16"/>
      <c r="BC749" s="72"/>
      <c r="BD749" s="20"/>
      <c r="BE749" s="352"/>
    </row>
    <row r="750" spans="1:57" s="81" customFormat="1" ht="12.95" hidden="1" customHeight="1">
      <c r="A750" s="348"/>
      <c r="B750" s="350"/>
      <c r="C750" s="270" t="s">
        <v>1599</v>
      </c>
      <c r="D750" s="239" t="s">
        <v>4561</v>
      </c>
      <c r="E750" s="58"/>
      <c r="F750" s="59" t="s">
        <v>4562</v>
      </c>
      <c r="G750" s="191" t="s">
        <v>2511</v>
      </c>
      <c r="H750" s="192" t="s">
        <v>1869</v>
      </c>
      <c r="I750" s="61" t="s">
        <v>2511</v>
      </c>
      <c r="J750" s="61" t="s">
        <v>2511</v>
      </c>
      <c r="K750" s="62" t="s">
        <v>2511</v>
      </c>
      <c r="L750" s="60" t="s">
        <v>2511</v>
      </c>
      <c r="M750" s="61" t="s">
        <v>2389</v>
      </c>
      <c r="N750" s="61" t="s">
        <v>2511</v>
      </c>
      <c r="O750" s="61" t="s">
        <v>2511</v>
      </c>
      <c r="P750" s="62" t="s">
        <v>2511</v>
      </c>
      <c r="Q750" s="82"/>
      <c r="R750" s="82"/>
      <c r="S750" s="82"/>
      <c r="T750" s="82"/>
      <c r="U750" s="82"/>
      <c r="V750" s="138" t="s">
        <v>4563</v>
      </c>
      <c r="W750" s="57" t="s">
        <v>4532</v>
      </c>
      <c r="X750" s="126" t="s">
        <v>2511</v>
      </c>
      <c r="Y750" s="126" t="s">
        <v>2511</v>
      </c>
      <c r="Z750" s="57"/>
      <c r="AA750" s="57" t="s">
        <v>4533</v>
      </c>
      <c r="AB750" s="138"/>
      <c r="AC750" s="138" t="s">
        <v>2631</v>
      </c>
      <c r="AD750" s="96"/>
      <c r="AE750" s="80"/>
      <c r="AF750" s="80"/>
      <c r="AG750" s="80"/>
      <c r="AH750" s="83"/>
      <c r="AI750" s="83"/>
      <c r="AJ750" s="84"/>
      <c r="AK750" s="84"/>
      <c r="AL750" s="84"/>
      <c r="AM750" s="84"/>
      <c r="AN750" s="84"/>
      <c r="AO750" s="84"/>
      <c r="AP750" s="84"/>
      <c r="AQ750" s="95" t="s">
        <v>1869</v>
      </c>
      <c r="AR750" s="72"/>
      <c r="AS750" s="72"/>
      <c r="AT750" s="72"/>
      <c r="AU750" s="72"/>
      <c r="AV750" s="72"/>
      <c r="AW750" s="72"/>
      <c r="AX750" s="72"/>
      <c r="AY750" s="72"/>
      <c r="AZ750" s="72"/>
      <c r="BA750" s="72"/>
      <c r="BB750" s="16"/>
      <c r="BC750" s="72"/>
      <c r="BD750" s="20"/>
      <c r="BE750" s="352"/>
    </row>
    <row r="751" spans="1:57" s="81" customFormat="1" ht="12.95" hidden="1" customHeight="1">
      <c r="A751" s="348"/>
      <c r="B751" s="350"/>
      <c r="C751" s="248" t="s">
        <v>1600</v>
      </c>
      <c r="D751" s="239" t="s">
        <v>4564</v>
      </c>
      <c r="E751" s="58"/>
      <c r="F751" s="59" t="s">
        <v>4565</v>
      </c>
      <c r="G751" s="191" t="s">
        <v>2511</v>
      </c>
      <c r="H751" s="192" t="s">
        <v>1870</v>
      </c>
      <c r="I751" s="61" t="s">
        <v>2511</v>
      </c>
      <c r="J751" s="61" t="s">
        <v>2511</v>
      </c>
      <c r="K751" s="62" t="s">
        <v>2511</v>
      </c>
      <c r="L751" s="60" t="s">
        <v>2511</v>
      </c>
      <c r="M751" s="61" t="s">
        <v>2389</v>
      </c>
      <c r="N751" s="61" t="s">
        <v>2511</v>
      </c>
      <c r="O751" s="61" t="s">
        <v>2511</v>
      </c>
      <c r="P751" s="62" t="s">
        <v>2511</v>
      </c>
      <c r="Q751" s="82"/>
      <c r="R751" s="82"/>
      <c r="S751" s="82"/>
      <c r="T751" s="82"/>
      <c r="U751" s="82"/>
      <c r="V751" s="138" t="s">
        <v>4566</v>
      </c>
      <c r="W751" s="57" t="s">
        <v>4532</v>
      </c>
      <c r="X751" s="126" t="s">
        <v>2511</v>
      </c>
      <c r="Y751" s="126" t="s">
        <v>2511</v>
      </c>
      <c r="Z751" s="57"/>
      <c r="AA751" s="57" t="s">
        <v>4533</v>
      </c>
      <c r="AB751" s="138"/>
      <c r="AC751" s="138">
        <v>0</v>
      </c>
      <c r="AD751" s="96"/>
      <c r="AE751" s="80"/>
      <c r="AF751" s="80"/>
      <c r="AG751" s="80"/>
      <c r="AH751" s="83"/>
      <c r="AI751" s="83"/>
      <c r="AJ751" s="84"/>
      <c r="AK751" s="84"/>
      <c r="AL751" s="84"/>
      <c r="AM751" s="84"/>
      <c r="AN751" s="84"/>
      <c r="AO751" s="84"/>
      <c r="AP751" s="84"/>
      <c r="AQ751" s="95" t="s">
        <v>1870</v>
      </c>
      <c r="AR751" s="72"/>
      <c r="AS751" s="72"/>
      <c r="AT751" s="72"/>
      <c r="AU751" s="72"/>
      <c r="AV751" s="72"/>
      <c r="AW751" s="72"/>
      <c r="AX751" s="72"/>
      <c r="AY751" s="72"/>
      <c r="AZ751" s="72"/>
      <c r="BA751" s="72"/>
      <c r="BB751" s="16"/>
      <c r="BC751" s="72"/>
      <c r="BD751" s="20"/>
      <c r="BE751" s="352"/>
    </row>
    <row r="752" spans="1:57" s="81" customFormat="1" ht="12.95" hidden="1" customHeight="1">
      <c r="A752" s="348"/>
      <c r="B752" s="350"/>
      <c r="C752" s="248" t="s">
        <v>1601</v>
      </c>
      <c r="D752" s="239" t="s">
        <v>4567</v>
      </c>
      <c r="E752" s="58"/>
      <c r="F752" s="59" t="s">
        <v>4568</v>
      </c>
      <c r="G752" s="191" t="s">
        <v>2511</v>
      </c>
      <c r="H752" s="192" t="s">
        <v>1871</v>
      </c>
      <c r="I752" s="61" t="s">
        <v>2511</v>
      </c>
      <c r="J752" s="61" t="s">
        <v>2511</v>
      </c>
      <c r="K752" s="62" t="s">
        <v>2511</v>
      </c>
      <c r="L752" s="60" t="s">
        <v>2511</v>
      </c>
      <c r="M752" s="61" t="s">
        <v>2389</v>
      </c>
      <c r="N752" s="61" t="s">
        <v>2511</v>
      </c>
      <c r="O752" s="61" t="s">
        <v>2511</v>
      </c>
      <c r="P752" s="62" t="s">
        <v>2511</v>
      </c>
      <c r="Q752" s="82"/>
      <c r="R752" s="82"/>
      <c r="S752" s="82"/>
      <c r="T752" s="82"/>
      <c r="U752" s="82"/>
      <c r="V752" s="138" t="s">
        <v>4569</v>
      </c>
      <c r="W752" s="57" t="s">
        <v>4532</v>
      </c>
      <c r="X752" s="126" t="s">
        <v>2511</v>
      </c>
      <c r="Y752" s="126" t="s">
        <v>2511</v>
      </c>
      <c r="Z752" s="57"/>
      <c r="AA752" s="57" t="s">
        <v>4533</v>
      </c>
      <c r="AB752" s="138"/>
      <c r="AC752" s="138" t="s">
        <v>2631</v>
      </c>
      <c r="AD752" s="96"/>
      <c r="AE752" s="80"/>
      <c r="AF752" s="80"/>
      <c r="AG752" s="80"/>
      <c r="AH752" s="83"/>
      <c r="AI752" s="83"/>
      <c r="AJ752" s="84"/>
      <c r="AK752" s="84"/>
      <c r="AL752" s="84"/>
      <c r="AM752" s="84"/>
      <c r="AN752" s="84"/>
      <c r="AO752" s="84"/>
      <c r="AP752" s="84"/>
      <c r="AQ752" s="95" t="s">
        <v>1871</v>
      </c>
      <c r="AR752" s="72"/>
      <c r="AS752" s="72"/>
      <c r="AT752" s="72"/>
      <c r="AU752" s="72"/>
      <c r="AV752" s="72"/>
      <c r="AW752" s="72"/>
      <c r="AX752" s="72"/>
      <c r="AY752" s="72"/>
      <c r="AZ752" s="72"/>
      <c r="BA752" s="72"/>
      <c r="BB752" s="16"/>
      <c r="BC752" s="72"/>
      <c r="BD752" s="20"/>
      <c r="BE752" s="352"/>
    </row>
    <row r="753" spans="1:57" s="81" customFormat="1" ht="12.95" hidden="1" customHeight="1">
      <c r="A753" s="348"/>
      <c r="B753" s="350"/>
      <c r="C753" s="248" t="s">
        <v>1602</v>
      </c>
      <c r="D753" s="239" t="s">
        <v>4570</v>
      </c>
      <c r="E753" s="58"/>
      <c r="F753" s="59" t="s">
        <v>4571</v>
      </c>
      <c r="G753" s="191" t="s">
        <v>2511</v>
      </c>
      <c r="H753" s="192" t="s">
        <v>1872</v>
      </c>
      <c r="I753" s="61" t="s">
        <v>2511</v>
      </c>
      <c r="J753" s="61" t="s">
        <v>2511</v>
      </c>
      <c r="K753" s="62" t="s">
        <v>2511</v>
      </c>
      <c r="L753" s="60" t="s">
        <v>2511</v>
      </c>
      <c r="M753" s="61" t="s">
        <v>2389</v>
      </c>
      <c r="N753" s="61" t="s">
        <v>2511</v>
      </c>
      <c r="O753" s="61" t="s">
        <v>2511</v>
      </c>
      <c r="P753" s="62" t="s">
        <v>2511</v>
      </c>
      <c r="Q753" s="82"/>
      <c r="R753" s="82"/>
      <c r="S753" s="82"/>
      <c r="T753" s="82"/>
      <c r="U753" s="82"/>
      <c r="V753" s="138" t="s">
        <v>4572</v>
      </c>
      <c r="W753" s="57" t="s">
        <v>4532</v>
      </c>
      <c r="X753" s="126" t="s">
        <v>2511</v>
      </c>
      <c r="Y753" s="126" t="s">
        <v>2511</v>
      </c>
      <c r="Z753" s="57"/>
      <c r="AA753" s="57" t="s">
        <v>4533</v>
      </c>
      <c r="AB753" s="138"/>
      <c r="AC753" s="138" t="s">
        <v>2631</v>
      </c>
      <c r="AD753" s="96"/>
      <c r="AE753" s="80"/>
      <c r="AF753" s="80"/>
      <c r="AG753" s="80"/>
      <c r="AH753" s="83"/>
      <c r="AI753" s="83"/>
      <c r="AJ753" s="84"/>
      <c r="AK753" s="84"/>
      <c r="AL753" s="84"/>
      <c r="AM753" s="84"/>
      <c r="AN753" s="84"/>
      <c r="AO753" s="84"/>
      <c r="AP753" s="84"/>
      <c r="AQ753" s="95" t="s">
        <v>1872</v>
      </c>
      <c r="AR753" s="72"/>
      <c r="AS753" s="72"/>
      <c r="AT753" s="72"/>
      <c r="AU753" s="72"/>
      <c r="AV753" s="72"/>
      <c r="AW753" s="72"/>
      <c r="AX753" s="72"/>
      <c r="AY753" s="72"/>
      <c r="AZ753" s="72"/>
      <c r="BA753" s="72"/>
      <c r="BB753" s="16"/>
      <c r="BC753" s="72"/>
      <c r="BD753" s="20"/>
      <c r="BE753" s="352"/>
    </row>
    <row r="754" spans="1:57" s="81" customFormat="1" ht="12.95" hidden="1" customHeight="1">
      <c r="A754" s="348"/>
      <c r="B754" s="350"/>
      <c r="C754" s="248" t="s">
        <v>1603</v>
      </c>
      <c r="D754" s="239" t="s">
        <v>4573</v>
      </c>
      <c r="E754" s="58"/>
      <c r="F754" s="59" t="s">
        <v>4574</v>
      </c>
      <c r="G754" s="191" t="s">
        <v>2511</v>
      </c>
      <c r="H754" s="192" t="s">
        <v>1873</v>
      </c>
      <c r="I754" s="61" t="s">
        <v>2511</v>
      </c>
      <c r="J754" s="61" t="s">
        <v>2511</v>
      </c>
      <c r="K754" s="62" t="s">
        <v>2511</v>
      </c>
      <c r="L754" s="60" t="s">
        <v>2511</v>
      </c>
      <c r="M754" s="61" t="s">
        <v>2389</v>
      </c>
      <c r="N754" s="61" t="s">
        <v>2511</v>
      </c>
      <c r="O754" s="61" t="s">
        <v>2511</v>
      </c>
      <c r="P754" s="62" t="s">
        <v>2511</v>
      </c>
      <c r="Q754" s="82"/>
      <c r="R754" s="82"/>
      <c r="S754" s="82"/>
      <c r="T754" s="82"/>
      <c r="U754" s="82"/>
      <c r="V754" s="138" t="s">
        <v>4575</v>
      </c>
      <c r="W754" s="57" t="s">
        <v>4532</v>
      </c>
      <c r="X754" s="126" t="s">
        <v>2511</v>
      </c>
      <c r="Y754" s="126" t="s">
        <v>2511</v>
      </c>
      <c r="Z754" s="57"/>
      <c r="AA754" s="57" t="s">
        <v>4533</v>
      </c>
      <c r="AB754" s="138"/>
      <c r="AC754" s="138" t="s">
        <v>2631</v>
      </c>
      <c r="AD754" s="96"/>
      <c r="AE754" s="80"/>
      <c r="AF754" s="80"/>
      <c r="AG754" s="80"/>
      <c r="AH754" s="83"/>
      <c r="AI754" s="83"/>
      <c r="AJ754" s="84"/>
      <c r="AK754" s="84"/>
      <c r="AL754" s="84"/>
      <c r="AM754" s="84"/>
      <c r="AN754" s="84"/>
      <c r="AO754" s="84"/>
      <c r="AP754" s="84"/>
      <c r="AQ754" s="95" t="s">
        <v>1873</v>
      </c>
      <c r="AR754" s="72"/>
      <c r="AS754" s="72"/>
      <c r="AT754" s="72"/>
      <c r="AU754" s="72"/>
      <c r="AV754" s="72"/>
      <c r="AW754" s="72"/>
      <c r="AX754" s="72"/>
      <c r="AY754" s="72"/>
      <c r="AZ754" s="72"/>
      <c r="BA754" s="72"/>
      <c r="BB754" s="16"/>
      <c r="BC754" s="72"/>
      <c r="BD754" s="20"/>
      <c r="BE754" s="352"/>
    </row>
    <row r="755" spans="1:57" s="81" customFormat="1" ht="12.95" hidden="1" customHeight="1">
      <c r="A755" s="348"/>
      <c r="B755" s="350"/>
      <c r="C755" s="248" t="s">
        <v>1604</v>
      </c>
      <c r="D755" s="239" t="s">
        <v>4576</v>
      </c>
      <c r="E755" s="58"/>
      <c r="F755" s="59" t="s">
        <v>4577</v>
      </c>
      <c r="G755" s="191" t="s">
        <v>2511</v>
      </c>
      <c r="H755" s="192" t="s">
        <v>1874</v>
      </c>
      <c r="I755" s="61" t="s">
        <v>2511</v>
      </c>
      <c r="J755" s="61" t="s">
        <v>2511</v>
      </c>
      <c r="K755" s="62" t="s">
        <v>2511</v>
      </c>
      <c r="L755" s="60" t="s">
        <v>2511</v>
      </c>
      <c r="M755" s="61" t="s">
        <v>2389</v>
      </c>
      <c r="N755" s="61" t="s">
        <v>2511</v>
      </c>
      <c r="O755" s="61" t="s">
        <v>2511</v>
      </c>
      <c r="P755" s="62" t="s">
        <v>2511</v>
      </c>
      <c r="Q755" s="82"/>
      <c r="R755" s="82"/>
      <c r="S755" s="82"/>
      <c r="T755" s="82"/>
      <c r="U755" s="82"/>
      <c r="V755" s="138" t="s">
        <v>4578</v>
      </c>
      <c r="W755" s="57" t="s">
        <v>4532</v>
      </c>
      <c r="X755" s="126" t="s">
        <v>2511</v>
      </c>
      <c r="Y755" s="126" t="s">
        <v>2511</v>
      </c>
      <c r="Z755" s="57"/>
      <c r="AA755" s="57" t="s">
        <v>4533</v>
      </c>
      <c r="AB755" s="138"/>
      <c r="AC755" s="138" t="s">
        <v>2631</v>
      </c>
      <c r="AD755" s="96"/>
      <c r="AE755" s="80"/>
      <c r="AF755" s="80"/>
      <c r="AG755" s="80"/>
      <c r="AH755" s="83"/>
      <c r="AI755" s="83"/>
      <c r="AJ755" s="84"/>
      <c r="AK755" s="84"/>
      <c r="AL755" s="84"/>
      <c r="AM755" s="84"/>
      <c r="AN755" s="84"/>
      <c r="AO755" s="84"/>
      <c r="AP755" s="84"/>
      <c r="AQ755" s="95" t="s">
        <v>1874</v>
      </c>
      <c r="AR755" s="72"/>
      <c r="AS755" s="72"/>
      <c r="AT755" s="72"/>
      <c r="AU755" s="72"/>
      <c r="AV755" s="72"/>
      <c r="AW755" s="72"/>
      <c r="AX755" s="72"/>
      <c r="AY755" s="72"/>
      <c r="AZ755" s="72"/>
      <c r="BA755" s="72"/>
      <c r="BB755" s="16"/>
      <c r="BC755" s="72"/>
      <c r="BD755" s="20"/>
      <c r="BE755" s="352"/>
    </row>
    <row r="756" spans="1:57" s="81" customFormat="1" ht="12.95" hidden="1" customHeight="1">
      <c r="A756" s="348"/>
      <c r="B756" s="350"/>
      <c r="C756" s="248" t="s">
        <v>1605</v>
      </c>
      <c r="D756" s="239" t="s">
        <v>4579</v>
      </c>
      <c r="E756" s="58"/>
      <c r="F756" s="59" t="s">
        <v>4580</v>
      </c>
      <c r="G756" s="191" t="s">
        <v>2511</v>
      </c>
      <c r="H756" s="192" t="s">
        <v>1875</v>
      </c>
      <c r="I756" s="61" t="s">
        <v>2511</v>
      </c>
      <c r="J756" s="61" t="s">
        <v>2511</v>
      </c>
      <c r="K756" s="62" t="s">
        <v>2511</v>
      </c>
      <c r="L756" s="60" t="s">
        <v>2511</v>
      </c>
      <c r="M756" s="61" t="s">
        <v>2389</v>
      </c>
      <c r="N756" s="61" t="s">
        <v>2511</v>
      </c>
      <c r="O756" s="61" t="s">
        <v>2511</v>
      </c>
      <c r="P756" s="62" t="s">
        <v>2511</v>
      </c>
      <c r="Q756" s="82"/>
      <c r="R756" s="82"/>
      <c r="S756" s="82"/>
      <c r="T756" s="82"/>
      <c r="U756" s="82"/>
      <c r="V756" s="138" t="s">
        <v>4581</v>
      </c>
      <c r="W756" s="57" t="s">
        <v>4532</v>
      </c>
      <c r="X756" s="126" t="s">
        <v>2511</v>
      </c>
      <c r="Y756" s="126" t="s">
        <v>2511</v>
      </c>
      <c r="Z756" s="57"/>
      <c r="AA756" s="57" t="s">
        <v>4533</v>
      </c>
      <c r="AB756" s="138"/>
      <c r="AC756" s="138" t="s">
        <v>2631</v>
      </c>
      <c r="AD756" s="96"/>
      <c r="AE756" s="80"/>
      <c r="AF756" s="80"/>
      <c r="AG756" s="80"/>
      <c r="AH756" s="83"/>
      <c r="AI756" s="83"/>
      <c r="AJ756" s="84"/>
      <c r="AK756" s="84"/>
      <c r="AL756" s="84"/>
      <c r="AM756" s="84"/>
      <c r="AN756" s="84"/>
      <c r="AO756" s="84"/>
      <c r="AP756" s="84"/>
      <c r="AQ756" s="95" t="s">
        <v>1875</v>
      </c>
      <c r="AR756" s="72"/>
      <c r="AS756" s="72"/>
      <c r="AT756" s="72"/>
      <c r="AU756" s="72"/>
      <c r="AV756" s="72"/>
      <c r="AW756" s="72"/>
      <c r="AX756" s="72"/>
      <c r="AY756" s="72"/>
      <c r="AZ756" s="72"/>
      <c r="BA756" s="72"/>
      <c r="BB756" s="16"/>
      <c r="BC756" s="72"/>
      <c r="BD756" s="20"/>
      <c r="BE756" s="352"/>
    </row>
    <row r="757" spans="1:57" s="81" customFormat="1" ht="12.95" hidden="1" customHeight="1">
      <c r="A757" s="348"/>
      <c r="B757" s="350"/>
      <c r="C757" s="248" t="s">
        <v>1606</v>
      </c>
      <c r="D757" s="239" t="s">
        <v>4582</v>
      </c>
      <c r="E757" s="58"/>
      <c r="F757" s="59" t="s">
        <v>4583</v>
      </c>
      <c r="G757" s="191" t="s">
        <v>2511</v>
      </c>
      <c r="H757" s="192" t="s">
        <v>1876</v>
      </c>
      <c r="I757" s="61" t="s">
        <v>2511</v>
      </c>
      <c r="J757" s="61" t="s">
        <v>2511</v>
      </c>
      <c r="K757" s="62" t="s">
        <v>2511</v>
      </c>
      <c r="L757" s="60" t="s">
        <v>2511</v>
      </c>
      <c r="M757" s="61" t="s">
        <v>2389</v>
      </c>
      <c r="N757" s="61" t="s">
        <v>2511</v>
      </c>
      <c r="O757" s="61" t="s">
        <v>2511</v>
      </c>
      <c r="P757" s="62" t="s">
        <v>2511</v>
      </c>
      <c r="Q757" s="82"/>
      <c r="R757" s="82"/>
      <c r="S757" s="82"/>
      <c r="T757" s="82"/>
      <c r="U757" s="82"/>
      <c r="V757" s="138" t="s">
        <v>4584</v>
      </c>
      <c r="W757" s="57" t="s">
        <v>4532</v>
      </c>
      <c r="X757" s="126" t="s">
        <v>2511</v>
      </c>
      <c r="Y757" s="126" t="s">
        <v>2511</v>
      </c>
      <c r="Z757" s="57"/>
      <c r="AA757" s="57" t="s">
        <v>4533</v>
      </c>
      <c r="AB757" s="138"/>
      <c r="AC757" s="138" t="s">
        <v>2631</v>
      </c>
      <c r="AD757" s="96"/>
      <c r="AE757" s="80"/>
      <c r="AF757" s="80"/>
      <c r="AG757" s="80"/>
      <c r="AH757" s="83"/>
      <c r="AI757" s="83"/>
      <c r="AJ757" s="84"/>
      <c r="AK757" s="84"/>
      <c r="AL757" s="84"/>
      <c r="AM757" s="84"/>
      <c r="AN757" s="84"/>
      <c r="AO757" s="84"/>
      <c r="AP757" s="84"/>
      <c r="AQ757" s="95" t="s">
        <v>1876</v>
      </c>
      <c r="AR757" s="72"/>
      <c r="AS757" s="72"/>
      <c r="AT757" s="72"/>
      <c r="AU757" s="72"/>
      <c r="AV757" s="72"/>
      <c r="AW757" s="72"/>
      <c r="AX757" s="72"/>
      <c r="AY757" s="72"/>
      <c r="AZ757" s="72"/>
      <c r="BA757" s="72"/>
      <c r="BB757" s="16"/>
      <c r="BC757" s="72"/>
      <c r="BD757" s="20"/>
      <c r="BE757" s="352"/>
    </row>
    <row r="758" spans="1:57" s="81" customFormat="1" ht="12.95" hidden="1" customHeight="1">
      <c r="A758" s="348"/>
      <c r="B758" s="350"/>
      <c r="C758" s="248" t="s">
        <v>1607</v>
      </c>
      <c r="D758" s="239" t="s">
        <v>4585</v>
      </c>
      <c r="E758" s="58"/>
      <c r="F758" s="59" t="s">
        <v>4586</v>
      </c>
      <c r="G758" s="191" t="s">
        <v>2511</v>
      </c>
      <c r="H758" s="192" t="s">
        <v>1877</v>
      </c>
      <c r="I758" s="61" t="s">
        <v>2511</v>
      </c>
      <c r="J758" s="61" t="s">
        <v>2511</v>
      </c>
      <c r="K758" s="62" t="s">
        <v>2511</v>
      </c>
      <c r="L758" s="60" t="s">
        <v>2511</v>
      </c>
      <c r="M758" s="61" t="s">
        <v>2389</v>
      </c>
      <c r="N758" s="61" t="s">
        <v>2511</v>
      </c>
      <c r="O758" s="61" t="s">
        <v>2511</v>
      </c>
      <c r="P758" s="62" t="s">
        <v>2511</v>
      </c>
      <c r="Q758" s="82"/>
      <c r="R758" s="82"/>
      <c r="S758" s="82"/>
      <c r="T758" s="82"/>
      <c r="U758" s="82"/>
      <c r="V758" s="138" t="s">
        <v>4587</v>
      </c>
      <c r="W758" s="57" t="s">
        <v>4532</v>
      </c>
      <c r="X758" s="126" t="s">
        <v>2511</v>
      </c>
      <c r="Y758" s="126" t="s">
        <v>2511</v>
      </c>
      <c r="Z758" s="57"/>
      <c r="AA758" s="57" t="s">
        <v>4533</v>
      </c>
      <c r="AB758" s="138"/>
      <c r="AC758" s="138" t="s">
        <v>2631</v>
      </c>
      <c r="AD758" s="96"/>
      <c r="AE758" s="80"/>
      <c r="AF758" s="80"/>
      <c r="AG758" s="80"/>
      <c r="AH758" s="83"/>
      <c r="AI758" s="83"/>
      <c r="AJ758" s="84"/>
      <c r="AK758" s="84"/>
      <c r="AL758" s="84"/>
      <c r="AM758" s="84"/>
      <c r="AN758" s="84"/>
      <c r="AO758" s="84"/>
      <c r="AP758" s="84"/>
      <c r="AQ758" s="95" t="s">
        <v>1877</v>
      </c>
      <c r="AR758" s="72"/>
      <c r="AS758" s="72"/>
      <c r="AT758" s="72"/>
      <c r="AU758" s="72"/>
      <c r="AV758" s="72"/>
      <c r="AW758" s="72"/>
      <c r="AX758" s="72"/>
      <c r="AY758" s="72"/>
      <c r="AZ758" s="72"/>
      <c r="BA758" s="72"/>
      <c r="BB758" s="16"/>
      <c r="BC758" s="72"/>
      <c r="BD758" s="20"/>
      <c r="BE758" s="352"/>
    </row>
    <row r="759" spans="1:57" s="81" customFormat="1" ht="12.95" hidden="1" customHeight="1">
      <c r="A759" s="348"/>
      <c r="B759" s="350"/>
      <c r="C759" s="248" t="s">
        <v>1608</v>
      </c>
      <c r="D759" s="239" t="s">
        <v>4588</v>
      </c>
      <c r="E759" s="58"/>
      <c r="F759" s="59" t="s">
        <v>4589</v>
      </c>
      <c r="G759" s="191" t="s">
        <v>2511</v>
      </c>
      <c r="H759" s="192" t="s">
        <v>1878</v>
      </c>
      <c r="I759" s="61" t="s">
        <v>2511</v>
      </c>
      <c r="J759" s="61" t="s">
        <v>2511</v>
      </c>
      <c r="K759" s="62" t="s">
        <v>2511</v>
      </c>
      <c r="L759" s="60" t="s">
        <v>2511</v>
      </c>
      <c r="M759" s="61" t="s">
        <v>2389</v>
      </c>
      <c r="N759" s="61" t="s">
        <v>2511</v>
      </c>
      <c r="O759" s="61" t="s">
        <v>2511</v>
      </c>
      <c r="P759" s="62" t="s">
        <v>2511</v>
      </c>
      <c r="Q759" s="82"/>
      <c r="R759" s="82"/>
      <c r="S759" s="82"/>
      <c r="T759" s="82"/>
      <c r="U759" s="82"/>
      <c r="V759" s="138" t="s">
        <v>4590</v>
      </c>
      <c r="W759" s="57" t="s">
        <v>4532</v>
      </c>
      <c r="X759" s="126" t="s">
        <v>2511</v>
      </c>
      <c r="Y759" s="126" t="s">
        <v>2511</v>
      </c>
      <c r="Z759" s="57"/>
      <c r="AA759" s="57" t="s">
        <v>4533</v>
      </c>
      <c r="AB759" s="138"/>
      <c r="AC759" s="138" t="s">
        <v>2631</v>
      </c>
      <c r="AD759" s="96"/>
      <c r="AE759" s="80"/>
      <c r="AF759" s="80"/>
      <c r="AG759" s="80"/>
      <c r="AH759" s="83"/>
      <c r="AI759" s="83"/>
      <c r="AJ759" s="84"/>
      <c r="AK759" s="84"/>
      <c r="AL759" s="84"/>
      <c r="AM759" s="84"/>
      <c r="AN759" s="84"/>
      <c r="AO759" s="84"/>
      <c r="AP759" s="84"/>
      <c r="AQ759" s="95" t="s">
        <v>1878</v>
      </c>
      <c r="AR759" s="72"/>
      <c r="AS759" s="72"/>
      <c r="AT759" s="72"/>
      <c r="AU759" s="72"/>
      <c r="AV759" s="72"/>
      <c r="AW759" s="72"/>
      <c r="AX759" s="72"/>
      <c r="AY759" s="72"/>
      <c r="AZ759" s="72"/>
      <c r="BA759" s="72"/>
      <c r="BB759" s="16"/>
      <c r="BC759" s="72"/>
      <c r="BD759" s="20"/>
      <c r="BE759" s="352"/>
    </row>
    <row r="760" spans="1:57" s="81" customFormat="1" ht="12.95" hidden="1" customHeight="1">
      <c r="A760" s="348"/>
      <c r="B760" s="350"/>
      <c r="C760" s="248" t="s">
        <v>1609</v>
      </c>
      <c r="D760" s="239" t="s">
        <v>4591</v>
      </c>
      <c r="E760" s="58"/>
      <c r="F760" s="59" t="s">
        <v>4592</v>
      </c>
      <c r="G760" s="191" t="s">
        <v>2511</v>
      </c>
      <c r="H760" s="192" t="s">
        <v>1879</v>
      </c>
      <c r="I760" s="61" t="s">
        <v>2511</v>
      </c>
      <c r="J760" s="61" t="s">
        <v>2511</v>
      </c>
      <c r="K760" s="62" t="s">
        <v>2511</v>
      </c>
      <c r="L760" s="60" t="s">
        <v>2511</v>
      </c>
      <c r="M760" s="61" t="s">
        <v>2389</v>
      </c>
      <c r="N760" s="61" t="s">
        <v>2511</v>
      </c>
      <c r="O760" s="61" t="s">
        <v>2511</v>
      </c>
      <c r="P760" s="62" t="s">
        <v>2511</v>
      </c>
      <c r="Q760" s="82"/>
      <c r="R760" s="82"/>
      <c r="S760" s="82"/>
      <c r="T760" s="82"/>
      <c r="U760" s="82"/>
      <c r="V760" s="138" t="s">
        <v>4593</v>
      </c>
      <c r="W760" s="57" t="s">
        <v>4532</v>
      </c>
      <c r="X760" s="126" t="s">
        <v>2511</v>
      </c>
      <c r="Y760" s="126" t="s">
        <v>2511</v>
      </c>
      <c r="Z760" s="57"/>
      <c r="AA760" s="57" t="s">
        <v>4533</v>
      </c>
      <c r="AB760" s="138"/>
      <c r="AC760" s="138" t="s">
        <v>2631</v>
      </c>
      <c r="AD760" s="96"/>
      <c r="AE760" s="80"/>
      <c r="AF760" s="80"/>
      <c r="AG760" s="80"/>
      <c r="AH760" s="83"/>
      <c r="AI760" s="83"/>
      <c r="AJ760" s="84"/>
      <c r="AK760" s="84"/>
      <c r="AL760" s="84"/>
      <c r="AM760" s="84"/>
      <c r="AN760" s="84"/>
      <c r="AO760" s="84"/>
      <c r="AP760" s="84"/>
      <c r="AQ760" s="95" t="s">
        <v>1879</v>
      </c>
      <c r="AR760" s="72"/>
      <c r="AS760" s="72"/>
      <c r="AT760" s="72"/>
      <c r="AU760" s="72"/>
      <c r="AV760" s="72"/>
      <c r="AW760" s="72"/>
      <c r="AX760" s="72"/>
      <c r="AY760" s="72"/>
      <c r="AZ760" s="72"/>
      <c r="BA760" s="72"/>
      <c r="BB760" s="16"/>
      <c r="BC760" s="72"/>
      <c r="BD760" s="20"/>
      <c r="BE760" s="352"/>
    </row>
    <row r="761" spans="1:57" s="81" customFormat="1" ht="12.95" hidden="1" customHeight="1">
      <c r="A761" s="348"/>
      <c r="B761" s="350"/>
      <c r="C761" s="270" t="s">
        <v>1610</v>
      </c>
      <c r="D761" s="239" t="s">
        <v>4594</v>
      </c>
      <c r="E761" s="58"/>
      <c r="F761" s="59" t="s">
        <v>4595</v>
      </c>
      <c r="G761" s="191" t="s">
        <v>2511</v>
      </c>
      <c r="H761" s="192" t="s">
        <v>1880</v>
      </c>
      <c r="I761" s="61" t="s">
        <v>2511</v>
      </c>
      <c r="J761" s="61" t="s">
        <v>2511</v>
      </c>
      <c r="K761" s="62" t="s">
        <v>2511</v>
      </c>
      <c r="L761" s="60" t="s">
        <v>2511</v>
      </c>
      <c r="M761" s="61" t="s">
        <v>2389</v>
      </c>
      <c r="N761" s="61" t="s">
        <v>2511</v>
      </c>
      <c r="O761" s="61" t="s">
        <v>2511</v>
      </c>
      <c r="P761" s="62" t="s">
        <v>2511</v>
      </c>
      <c r="Q761" s="82"/>
      <c r="R761" s="82"/>
      <c r="S761" s="82"/>
      <c r="T761" s="82"/>
      <c r="U761" s="82"/>
      <c r="V761" s="138" t="s">
        <v>4596</v>
      </c>
      <c r="W761" s="57" t="s">
        <v>4532</v>
      </c>
      <c r="X761" s="126" t="s">
        <v>2511</v>
      </c>
      <c r="Y761" s="126" t="s">
        <v>2511</v>
      </c>
      <c r="Z761" s="57"/>
      <c r="AA761" s="57" t="s">
        <v>4533</v>
      </c>
      <c r="AB761" s="138"/>
      <c r="AC761" s="138" t="s">
        <v>2631</v>
      </c>
      <c r="AD761" s="96"/>
      <c r="AE761" s="80"/>
      <c r="AF761" s="80"/>
      <c r="AG761" s="80"/>
      <c r="AH761" s="83"/>
      <c r="AI761" s="83"/>
      <c r="AJ761" s="84"/>
      <c r="AK761" s="84"/>
      <c r="AL761" s="84"/>
      <c r="AM761" s="84"/>
      <c r="AN761" s="84"/>
      <c r="AO761" s="84"/>
      <c r="AP761" s="84"/>
      <c r="AQ761" s="95" t="s">
        <v>1880</v>
      </c>
      <c r="AR761" s="72"/>
      <c r="AS761" s="72"/>
      <c r="AT761" s="72"/>
      <c r="AU761" s="72"/>
      <c r="AV761" s="72"/>
      <c r="AW761" s="72"/>
      <c r="AX761" s="72"/>
      <c r="AY761" s="72"/>
      <c r="AZ761" s="72"/>
      <c r="BA761" s="72"/>
      <c r="BB761" s="16"/>
      <c r="BC761" s="72"/>
      <c r="BD761" s="20"/>
      <c r="BE761" s="352"/>
    </row>
    <row r="762" spans="1:57" s="81" customFormat="1" ht="12.95" hidden="1" customHeight="1">
      <c r="A762" s="348"/>
      <c r="B762" s="350"/>
      <c r="C762" s="270" t="s">
        <v>1611</v>
      </c>
      <c r="D762" s="239" t="s">
        <v>4597</v>
      </c>
      <c r="E762" s="58"/>
      <c r="F762" s="59" t="s">
        <v>4598</v>
      </c>
      <c r="G762" s="191" t="s">
        <v>2511</v>
      </c>
      <c r="H762" s="192" t="s">
        <v>1881</v>
      </c>
      <c r="I762" s="61" t="s">
        <v>2511</v>
      </c>
      <c r="J762" s="61" t="s">
        <v>2511</v>
      </c>
      <c r="K762" s="62" t="s">
        <v>2511</v>
      </c>
      <c r="L762" s="60" t="s">
        <v>2511</v>
      </c>
      <c r="M762" s="61" t="s">
        <v>2389</v>
      </c>
      <c r="N762" s="61" t="s">
        <v>2511</v>
      </c>
      <c r="O762" s="61" t="s">
        <v>2511</v>
      </c>
      <c r="P762" s="62" t="s">
        <v>2511</v>
      </c>
      <c r="Q762" s="82"/>
      <c r="R762" s="82"/>
      <c r="S762" s="82"/>
      <c r="T762" s="82"/>
      <c r="U762" s="82"/>
      <c r="V762" s="138" t="s">
        <v>4599</v>
      </c>
      <c r="W762" s="57" t="s">
        <v>4532</v>
      </c>
      <c r="X762" s="126" t="s">
        <v>2511</v>
      </c>
      <c r="Y762" s="126" t="s">
        <v>2511</v>
      </c>
      <c r="Z762" s="57"/>
      <c r="AA762" s="57" t="s">
        <v>4533</v>
      </c>
      <c r="AB762" s="138"/>
      <c r="AC762" s="138" t="s">
        <v>2631</v>
      </c>
      <c r="AD762" s="96"/>
      <c r="AE762" s="80"/>
      <c r="AF762" s="80"/>
      <c r="AG762" s="80"/>
      <c r="AH762" s="83"/>
      <c r="AI762" s="83"/>
      <c r="AJ762" s="84"/>
      <c r="AK762" s="84"/>
      <c r="AL762" s="84"/>
      <c r="AM762" s="84"/>
      <c r="AN762" s="84"/>
      <c r="AO762" s="84"/>
      <c r="AP762" s="84"/>
      <c r="AQ762" s="95" t="s">
        <v>1881</v>
      </c>
      <c r="AR762" s="72"/>
      <c r="AS762" s="72"/>
      <c r="AT762" s="72"/>
      <c r="AU762" s="72"/>
      <c r="AV762" s="72"/>
      <c r="AW762" s="72"/>
      <c r="AX762" s="72"/>
      <c r="AY762" s="72"/>
      <c r="AZ762" s="72"/>
      <c r="BA762" s="72"/>
      <c r="BB762" s="16"/>
      <c r="BC762" s="72"/>
      <c r="BD762" s="20"/>
      <c r="BE762" s="352"/>
    </row>
    <row r="763" spans="1:57" s="81" customFormat="1" ht="12.95" hidden="1" customHeight="1">
      <c r="A763" s="348"/>
      <c r="B763" s="350"/>
      <c r="C763" s="248" t="s">
        <v>1612</v>
      </c>
      <c r="D763" s="239" t="s">
        <v>4600</v>
      </c>
      <c r="E763" s="58"/>
      <c r="F763" s="59" t="s">
        <v>4601</v>
      </c>
      <c r="G763" s="191" t="s">
        <v>2511</v>
      </c>
      <c r="H763" s="192" t="s">
        <v>1882</v>
      </c>
      <c r="I763" s="61" t="s">
        <v>2511</v>
      </c>
      <c r="J763" s="61" t="s">
        <v>2511</v>
      </c>
      <c r="K763" s="62" t="s">
        <v>2511</v>
      </c>
      <c r="L763" s="60" t="s">
        <v>2511</v>
      </c>
      <c r="M763" s="61" t="s">
        <v>2389</v>
      </c>
      <c r="N763" s="61" t="s">
        <v>2511</v>
      </c>
      <c r="O763" s="61" t="s">
        <v>2511</v>
      </c>
      <c r="P763" s="62" t="s">
        <v>2511</v>
      </c>
      <c r="Q763" s="82"/>
      <c r="R763" s="82"/>
      <c r="S763" s="82"/>
      <c r="T763" s="82"/>
      <c r="U763" s="82"/>
      <c r="V763" s="138" t="s">
        <v>4602</v>
      </c>
      <c r="W763" s="57" t="s">
        <v>4532</v>
      </c>
      <c r="X763" s="126" t="s">
        <v>2511</v>
      </c>
      <c r="Y763" s="126" t="s">
        <v>2511</v>
      </c>
      <c r="Z763" s="57"/>
      <c r="AA763" s="57" t="s">
        <v>4533</v>
      </c>
      <c r="AB763" s="138"/>
      <c r="AC763" s="138">
        <v>0</v>
      </c>
      <c r="AD763" s="96"/>
      <c r="AE763" s="80"/>
      <c r="AF763" s="80"/>
      <c r="AG763" s="80"/>
      <c r="AH763" s="83"/>
      <c r="AI763" s="83"/>
      <c r="AJ763" s="84"/>
      <c r="AK763" s="84"/>
      <c r="AL763" s="84"/>
      <c r="AM763" s="84"/>
      <c r="AN763" s="84"/>
      <c r="AO763" s="84"/>
      <c r="AP763" s="84"/>
      <c r="AQ763" s="95" t="s">
        <v>1882</v>
      </c>
      <c r="AR763" s="72"/>
      <c r="AS763" s="72"/>
      <c r="AT763" s="72"/>
      <c r="AU763" s="72"/>
      <c r="AV763" s="72"/>
      <c r="AW763" s="72"/>
      <c r="AX763" s="72"/>
      <c r="AY763" s="72"/>
      <c r="AZ763" s="72"/>
      <c r="BA763" s="72"/>
      <c r="BB763" s="16"/>
      <c r="BC763" s="72"/>
      <c r="BD763" s="20"/>
      <c r="BE763" s="352"/>
    </row>
    <row r="764" spans="1:57" s="81" customFormat="1" ht="12.95" hidden="1" customHeight="1">
      <c r="A764" s="348"/>
      <c r="B764" s="350"/>
      <c r="C764" s="248" t="s">
        <v>1613</v>
      </c>
      <c r="D764" s="239" t="s">
        <v>4603</v>
      </c>
      <c r="E764" s="58"/>
      <c r="F764" s="59" t="s">
        <v>4604</v>
      </c>
      <c r="G764" s="191" t="s">
        <v>2511</v>
      </c>
      <c r="H764" s="192" t="s">
        <v>1883</v>
      </c>
      <c r="I764" s="61" t="s">
        <v>2511</v>
      </c>
      <c r="J764" s="61" t="s">
        <v>2511</v>
      </c>
      <c r="K764" s="62" t="s">
        <v>2511</v>
      </c>
      <c r="L764" s="60" t="s">
        <v>2511</v>
      </c>
      <c r="M764" s="61" t="s">
        <v>2389</v>
      </c>
      <c r="N764" s="61" t="s">
        <v>2511</v>
      </c>
      <c r="O764" s="61" t="s">
        <v>2511</v>
      </c>
      <c r="P764" s="62" t="s">
        <v>2511</v>
      </c>
      <c r="Q764" s="82"/>
      <c r="R764" s="82"/>
      <c r="S764" s="82"/>
      <c r="T764" s="82"/>
      <c r="U764" s="82"/>
      <c r="V764" s="138" t="s">
        <v>4605</v>
      </c>
      <c r="W764" s="57" t="s">
        <v>4532</v>
      </c>
      <c r="X764" s="126" t="s">
        <v>2511</v>
      </c>
      <c r="Y764" s="126" t="s">
        <v>2511</v>
      </c>
      <c r="Z764" s="57"/>
      <c r="AA764" s="57" t="s">
        <v>4533</v>
      </c>
      <c r="AB764" s="138"/>
      <c r="AC764" s="138" t="s">
        <v>2631</v>
      </c>
      <c r="AD764" s="96"/>
      <c r="AE764" s="80"/>
      <c r="AF764" s="80"/>
      <c r="AG764" s="80"/>
      <c r="AH764" s="83"/>
      <c r="AI764" s="83"/>
      <c r="AJ764" s="84"/>
      <c r="AK764" s="84"/>
      <c r="AL764" s="84"/>
      <c r="AM764" s="84"/>
      <c r="AN764" s="84"/>
      <c r="AO764" s="84"/>
      <c r="AP764" s="84"/>
      <c r="AQ764" s="95" t="s">
        <v>1883</v>
      </c>
      <c r="AR764" s="72"/>
      <c r="AS764" s="72"/>
      <c r="AT764" s="72"/>
      <c r="AU764" s="72"/>
      <c r="AV764" s="72"/>
      <c r="AW764" s="72"/>
      <c r="AX764" s="72"/>
      <c r="AY764" s="72"/>
      <c r="AZ764" s="72"/>
      <c r="BA764" s="72"/>
      <c r="BB764" s="16"/>
      <c r="BC764" s="72"/>
      <c r="BD764" s="20"/>
      <c r="BE764" s="352"/>
    </row>
    <row r="765" spans="1:57" s="81" customFormat="1" ht="12.95" hidden="1" customHeight="1">
      <c r="A765" s="348"/>
      <c r="B765" s="350"/>
      <c r="C765" s="248" t="s">
        <v>1614</v>
      </c>
      <c r="D765" s="239" t="s">
        <v>4606</v>
      </c>
      <c r="E765" s="58"/>
      <c r="F765" s="59" t="s">
        <v>4607</v>
      </c>
      <c r="G765" s="191" t="s">
        <v>2511</v>
      </c>
      <c r="H765" s="192" t="s">
        <v>1884</v>
      </c>
      <c r="I765" s="61" t="s">
        <v>2511</v>
      </c>
      <c r="J765" s="61" t="s">
        <v>2511</v>
      </c>
      <c r="K765" s="62" t="s">
        <v>2511</v>
      </c>
      <c r="L765" s="60" t="s">
        <v>2511</v>
      </c>
      <c r="M765" s="61" t="s">
        <v>2389</v>
      </c>
      <c r="N765" s="61" t="s">
        <v>2511</v>
      </c>
      <c r="O765" s="61" t="s">
        <v>2511</v>
      </c>
      <c r="P765" s="62" t="s">
        <v>2511</v>
      </c>
      <c r="Q765" s="82"/>
      <c r="R765" s="82"/>
      <c r="S765" s="82"/>
      <c r="T765" s="82"/>
      <c r="U765" s="82"/>
      <c r="V765" s="138" t="s">
        <v>4608</v>
      </c>
      <c r="W765" s="57" t="s">
        <v>4532</v>
      </c>
      <c r="X765" s="126" t="s">
        <v>2511</v>
      </c>
      <c r="Y765" s="126" t="s">
        <v>2511</v>
      </c>
      <c r="Z765" s="57"/>
      <c r="AA765" s="57" t="s">
        <v>4533</v>
      </c>
      <c r="AB765" s="138"/>
      <c r="AC765" s="138" t="s">
        <v>2631</v>
      </c>
      <c r="AD765" s="96"/>
      <c r="AE765" s="80"/>
      <c r="AF765" s="80"/>
      <c r="AG765" s="80"/>
      <c r="AH765" s="83"/>
      <c r="AI765" s="83"/>
      <c r="AJ765" s="84"/>
      <c r="AK765" s="84"/>
      <c r="AL765" s="84"/>
      <c r="AM765" s="84"/>
      <c r="AN765" s="84"/>
      <c r="AO765" s="84"/>
      <c r="AP765" s="84"/>
      <c r="AQ765" s="95" t="s">
        <v>1884</v>
      </c>
      <c r="AR765" s="72"/>
      <c r="AS765" s="72"/>
      <c r="AT765" s="72"/>
      <c r="AU765" s="72"/>
      <c r="AV765" s="72"/>
      <c r="AW765" s="72"/>
      <c r="AX765" s="72"/>
      <c r="AY765" s="72"/>
      <c r="AZ765" s="72"/>
      <c r="BA765" s="72"/>
      <c r="BB765" s="16"/>
      <c r="BC765" s="72"/>
      <c r="BD765" s="20"/>
      <c r="BE765" s="352"/>
    </row>
    <row r="766" spans="1:57" s="81" customFormat="1" ht="12.95" hidden="1" customHeight="1">
      <c r="A766" s="348"/>
      <c r="B766" s="350"/>
      <c r="C766" s="248" t="s">
        <v>1615</v>
      </c>
      <c r="D766" s="239" t="s">
        <v>4609</v>
      </c>
      <c r="E766" s="58"/>
      <c r="F766" s="59" t="s">
        <v>4610</v>
      </c>
      <c r="G766" s="191" t="s">
        <v>2511</v>
      </c>
      <c r="H766" s="192" t="s">
        <v>1885</v>
      </c>
      <c r="I766" s="61" t="s">
        <v>2511</v>
      </c>
      <c r="J766" s="61" t="s">
        <v>2511</v>
      </c>
      <c r="K766" s="62" t="s">
        <v>2511</v>
      </c>
      <c r="L766" s="60" t="s">
        <v>2511</v>
      </c>
      <c r="M766" s="61" t="s">
        <v>2389</v>
      </c>
      <c r="N766" s="61" t="s">
        <v>2511</v>
      </c>
      <c r="O766" s="61" t="s">
        <v>2511</v>
      </c>
      <c r="P766" s="62" t="s">
        <v>2511</v>
      </c>
      <c r="Q766" s="82"/>
      <c r="R766" s="82"/>
      <c r="S766" s="82"/>
      <c r="T766" s="82"/>
      <c r="U766" s="82"/>
      <c r="V766" s="138" t="s">
        <v>4611</v>
      </c>
      <c r="W766" s="57" t="s">
        <v>4532</v>
      </c>
      <c r="X766" s="126" t="s">
        <v>2511</v>
      </c>
      <c r="Y766" s="126" t="s">
        <v>2511</v>
      </c>
      <c r="Z766" s="57"/>
      <c r="AA766" s="57" t="s">
        <v>4533</v>
      </c>
      <c r="AB766" s="138"/>
      <c r="AC766" s="138" t="s">
        <v>2631</v>
      </c>
      <c r="AD766" s="96"/>
      <c r="AE766" s="80"/>
      <c r="AF766" s="80"/>
      <c r="AG766" s="80"/>
      <c r="AH766" s="83"/>
      <c r="AI766" s="83"/>
      <c r="AJ766" s="84"/>
      <c r="AK766" s="84"/>
      <c r="AL766" s="84"/>
      <c r="AM766" s="84"/>
      <c r="AN766" s="84"/>
      <c r="AO766" s="84"/>
      <c r="AP766" s="84"/>
      <c r="AQ766" s="95" t="s">
        <v>1885</v>
      </c>
      <c r="AR766" s="72"/>
      <c r="AS766" s="72"/>
      <c r="AT766" s="72"/>
      <c r="AU766" s="72"/>
      <c r="AV766" s="72"/>
      <c r="AW766" s="72"/>
      <c r="AX766" s="72"/>
      <c r="AY766" s="72"/>
      <c r="AZ766" s="72"/>
      <c r="BA766" s="72"/>
      <c r="BB766" s="16"/>
      <c r="BC766" s="72"/>
      <c r="BD766" s="20"/>
      <c r="BE766" s="352"/>
    </row>
    <row r="767" spans="1:57" s="81" customFormat="1" ht="12.95" hidden="1" customHeight="1">
      <c r="A767" s="348"/>
      <c r="B767" s="350"/>
      <c r="C767" s="248" t="s">
        <v>1616</v>
      </c>
      <c r="D767" s="239" t="s">
        <v>4612</v>
      </c>
      <c r="E767" s="58"/>
      <c r="F767" s="59" t="s">
        <v>4613</v>
      </c>
      <c r="G767" s="191" t="s">
        <v>2511</v>
      </c>
      <c r="H767" s="192" t="s">
        <v>1886</v>
      </c>
      <c r="I767" s="61" t="s">
        <v>2511</v>
      </c>
      <c r="J767" s="61" t="s">
        <v>2511</v>
      </c>
      <c r="K767" s="62" t="s">
        <v>2511</v>
      </c>
      <c r="L767" s="60" t="s">
        <v>2511</v>
      </c>
      <c r="M767" s="61" t="s">
        <v>2389</v>
      </c>
      <c r="N767" s="61" t="s">
        <v>2511</v>
      </c>
      <c r="O767" s="61" t="s">
        <v>2511</v>
      </c>
      <c r="P767" s="62" t="s">
        <v>2511</v>
      </c>
      <c r="Q767" s="82"/>
      <c r="R767" s="82"/>
      <c r="S767" s="82"/>
      <c r="T767" s="82"/>
      <c r="U767" s="82"/>
      <c r="V767" s="138" t="s">
        <v>4614</v>
      </c>
      <c r="W767" s="57" t="s">
        <v>4532</v>
      </c>
      <c r="X767" s="126" t="s">
        <v>2511</v>
      </c>
      <c r="Y767" s="126" t="s">
        <v>2511</v>
      </c>
      <c r="Z767" s="57"/>
      <c r="AA767" s="57" t="s">
        <v>4533</v>
      </c>
      <c r="AB767" s="138"/>
      <c r="AC767" s="138" t="s">
        <v>2631</v>
      </c>
      <c r="AD767" s="96"/>
      <c r="AE767" s="80"/>
      <c r="AF767" s="80"/>
      <c r="AG767" s="80"/>
      <c r="AH767" s="83"/>
      <c r="AI767" s="83"/>
      <c r="AJ767" s="84"/>
      <c r="AK767" s="84"/>
      <c r="AL767" s="84"/>
      <c r="AM767" s="84"/>
      <c r="AN767" s="84"/>
      <c r="AO767" s="84"/>
      <c r="AP767" s="84"/>
      <c r="AQ767" s="95" t="s">
        <v>1886</v>
      </c>
      <c r="AR767" s="72"/>
      <c r="AS767" s="72"/>
      <c r="AT767" s="72"/>
      <c r="AU767" s="72"/>
      <c r="AV767" s="72"/>
      <c r="AW767" s="72"/>
      <c r="AX767" s="72"/>
      <c r="AY767" s="72"/>
      <c r="AZ767" s="72"/>
      <c r="BA767" s="72"/>
      <c r="BB767" s="16"/>
      <c r="BC767" s="72"/>
      <c r="BD767" s="20"/>
      <c r="BE767" s="352"/>
    </row>
    <row r="768" spans="1:57" s="81" customFormat="1" ht="12.95" hidden="1" customHeight="1">
      <c r="A768" s="348"/>
      <c r="B768" s="350"/>
      <c r="C768" s="248" t="s">
        <v>1617</v>
      </c>
      <c r="D768" s="239" t="s">
        <v>4615</v>
      </c>
      <c r="E768" s="58"/>
      <c r="F768" s="59" t="s">
        <v>4616</v>
      </c>
      <c r="G768" s="191" t="s">
        <v>2511</v>
      </c>
      <c r="H768" s="192" t="s">
        <v>1887</v>
      </c>
      <c r="I768" s="61" t="s">
        <v>2511</v>
      </c>
      <c r="J768" s="61" t="s">
        <v>2511</v>
      </c>
      <c r="K768" s="62" t="s">
        <v>2511</v>
      </c>
      <c r="L768" s="60" t="s">
        <v>2511</v>
      </c>
      <c r="M768" s="61" t="s">
        <v>2389</v>
      </c>
      <c r="N768" s="61" t="s">
        <v>2511</v>
      </c>
      <c r="O768" s="61" t="s">
        <v>2511</v>
      </c>
      <c r="P768" s="62" t="s">
        <v>2511</v>
      </c>
      <c r="Q768" s="82"/>
      <c r="R768" s="82"/>
      <c r="S768" s="82"/>
      <c r="T768" s="82"/>
      <c r="U768" s="82"/>
      <c r="V768" s="138" t="s">
        <v>4617</v>
      </c>
      <c r="W768" s="57" t="s">
        <v>4532</v>
      </c>
      <c r="X768" s="126" t="s">
        <v>2511</v>
      </c>
      <c r="Y768" s="126" t="s">
        <v>2511</v>
      </c>
      <c r="Z768" s="57"/>
      <c r="AA768" s="57" t="s">
        <v>4533</v>
      </c>
      <c r="AB768" s="138"/>
      <c r="AC768" s="138" t="s">
        <v>2631</v>
      </c>
      <c r="AD768" s="96"/>
      <c r="AE768" s="80"/>
      <c r="AF768" s="80"/>
      <c r="AG768" s="80"/>
      <c r="AH768" s="83"/>
      <c r="AI768" s="83"/>
      <c r="AJ768" s="84"/>
      <c r="AK768" s="84"/>
      <c r="AL768" s="84"/>
      <c r="AM768" s="84"/>
      <c r="AN768" s="84"/>
      <c r="AO768" s="84"/>
      <c r="AP768" s="84"/>
      <c r="AQ768" s="95" t="s">
        <v>1887</v>
      </c>
      <c r="AR768" s="72"/>
      <c r="AS768" s="72"/>
      <c r="AT768" s="72"/>
      <c r="AU768" s="72"/>
      <c r="AV768" s="72"/>
      <c r="AW768" s="72"/>
      <c r="AX768" s="72"/>
      <c r="AY768" s="72"/>
      <c r="AZ768" s="72"/>
      <c r="BA768" s="72"/>
      <c r="BB768" s="16"/>
      <c r="BC768" s="72"/>
      <c r="BD768" s="20"/>
      <c r="BE768" s="352"/>
    </row>
    <row r="769" spans="1:57" s="81" customFormat="1" ht="12.95" hidden="1" customHeight="1">
      <c r="A769" s="348"/>
      <c r="B769" s="350"/>
      <c r="C769" s="248" t="s">
        <v>1618</v>
      </c>
      <c r="D769" s="239" t="s">
        <v>4618</v>
      </c>
      <c r="E769" s="58"/>
      <c r="F769" s="59" t="s">
        <v>4619</v>
      </c>
      <c r="G769" s="191" t="s">
        <v>2511</v>
      </c>
      <c r="H769" s="192" t="s">
        <v>1888</v>
      </c>
      <c r="I769" s="61" t="s">
        <v>2511</v>
      </c>
      <c r="J769" s="61" t="s">
        <v>2511</v>
      </c>
      <c r="K769" s="62" t="s">
        <v>2511</v>
      </c>
      <c r="L769" s="60" t="s">
        <v>2511</v>
      </c>
      <c r="M769" s="61" t="s">
        <v>2389</v>
      </c>
      <c r="N769" s="61" t="s">
        <v>2511</v>
      </c>
      <c r="O769" s="61" t="s">
        <v>2511</v>
      </c>
      <c r="P769" s="62" t="s">
        <v>2511</v>
      </c>
      <c r="Q769" s="82"/>
      <c r="R769" s="82"/>
      <c r="S769" s="82"/>
      <c r="T769" s="82"/>
      <c r="U769" s="82"/>
      <c r="V769" s="138" t="s">
        <v>4620</v>
      </c>
      <c r="W769" s="57" t="s">
        <v>4532</v>
      </c>
      <c r="X769" s="126" t="s">
        <v>2511</v>
      </c>
      <c r="Y769" s="126" t="s">
        <v>2511</v>
      </c>
      <c r="Z769" s="57"/>
      <c r="AA769" s="57" t="s">
        <v>4533</v>
      </c>
      <c r="AB769" s="138"/>
      <c r="AC769" s="138" t="s">
        <v>2631</v>
      </c>
      <c r="AD769" s="96"/>
      <c r="AE769" s="80"/>
      <c r="AF769" s="80"/>
      <c r="AG769" s="80"/>
      <c r="AH769" s="83"/>
      <c r="AI769" s="83"/>
      <c r="AJ769" s="84"/>
      <c r="AK769" s="84"/>
      <c r="AL769" s="84"/>
      <c r="AM769" s="84"/>
      <c r="AN769" s="84"/>
      <c r="AO769" s="84"/>
      <c r="AP769" s="84"/>
      <c r="AQ769" s="95" t="s">
        <v>1888</v>
      </c>
      <c r="AR769" s="72"/>
      <c r="AS769" s="72"/>
      <c r="AT769" s="72"/>
      <c r="AU769" s="72"/>
      <c r="AV769" s="72"/>
      <c r="AW769" s="72"/>
      <c r="AX769" s="72"/>
      <c r="AY769" s="72"/>
      <c r="AZ769" s="72"/>
      <c r="BA769" s="72"/>
      <c r="BB769" s="16"/>
      <c r="BC769" s="72"/>
      <c r="BD769" s="20"/>
      <c r="BE769" s="352"/>
    </row>
    <row r="770" spans="1:57" s="81" customFormat="1" ht="12.95" hidden="1" customHeight="1">
      <c r="A770" s="348"/>
      <c r="B770" s="350"/>
      <c r="C770" s="248" t="s">
        <v>1619</v>
      </c>
      <c r="D770" s="239" t="s">
        <v>4621</v>
      </c>
      <c r="E770" s="58"/>
      <c r="F770" s="59" t="s">
        <v>4622</v>
      </c>
      <c r="G770" s="191" t="s">
        <v>2511</v>
      </c>
      <c r="H770" s="192" t="s">
        <v>1889</v>
      </c>
      <c r="I770" s="61" t="s">
        <v>2511</v>
      </c>
      <c r="J770" s="61" t="s">
        <v>2511</v>
      </c>
      <c r="K770" s="62" t="s">
        <v>2511</v>
      </c>
      <c r="L770" s="60" t="s">
        <v>2511</v>
      </c>
      <c r="M770" s="61" t="s">
        <v>2389</v>
      </c>
      <c r="N770" s="61" t="s">
        <v>2511</v>
      </c>
      <c r="O770" s="61" t="s">
        <v>2511</v>
      </c>
      <c r="P770" s="62" t="s">
        <v>2511</v>
      </c>
      <c r="Q770" s="82"/>
      <c r="R770" s="82"/>
      <c r="S770" s="82"/>
      <c r="T770" s="82"/>
      <c r="U770" s="82"/>
      <c r="V770" s="138" t="s">
        <v>4623</v>
      </c>
      <c r="W770" s="57" t="s">
        <v>4532</v>
      </c>
      <c r="X770" s="126" t="s">
        <v>2511</v>
      </c>
      <c r="Y770" s="126" t="s">
        <v>2511</v>
      </c>
      <c r="Z770" s="57"/>
      <c r="AA770" s="57" t="s">
        <v>4533</v>
      </c>
      <c r="AB770" s="138"/>
      <c r="AC770" s="138" t="s">
        <v>2631</v>
      </c>
      <c r="AD770" s="96"/>
      <c r="AE770" s="80"/>
      <c r="AF770" s="80"/>
      <c r="AG770" s="80"/>
      <c r="AH770" s="83"/>
      <c r="AI770" s="83"/>
      <c r="AJ770" s="84"/>
      <c r="AK770" s="84"/>
      <c r="AL770" s="84"/>
      <c r="AM770" s="84"/>
      <c r="AN770" s="84"/>
      <c r="AO770" s="84"/>
      <c r="AP770" s="84"/>
      <c r="AQ770" s="95" t="s">
        <v>1889</v>
      </c>
      <c r="AR770" s="72"/>
      <c r="AS770" s="72"/>
      <c r="AT770" s="72"/>
      <c r="AU770" s="72"/>
      <c r="AV770" s="72"/>
      <c r="AW770" s="72"/>
      <c r="AX770" s="72"/>
      <c r="AY770" s="72"/>
      <c r="AZ770" s="72"/>
      <c r="BA770" s="72"/>
      <c r="BB770" s="16"/>
      <c r="BC770" s="72"/>
      <c r="BD770" s="20"/>
      <c r="BE770" s="352"/>
    </row>
    <row r="771" spans="1:57" s="81" customFormat="1" ht="12.95" hidden="1" customHeight="1">
      <c r="A771" s="348"/>
      <c r="B771" s="350"/>
      <c r="C771" s="248" t="s">
        <v>1620</v>
      </c>
      <c r="D771" s="239" t="s">
        <v>4624</v>
      </c>
      <c r="E771" s="58"/>
      <c r="F771" s="59" t="s">
        <v>4625</v>
      </c>
      <c r="G771" s="191" t="s">
        <v>2511</v>
      </c>
      <c r="H771" s="192" t="s">
        <v>1890</v>
      </c>
      <c r="I771" s="61" t="s">
        <v>2511</v>
      </c>
      <c r="J771" s="61" t="s">
        <v>2511</v>
      </c>
      <c r="K771" s="62" t="s">
        <v>2511</v>
      </c>
      <c r="L771" s="60" t="s">
        <v>2511</v>
      </c>
      <c r="M771" s="61" t="s">
        <v>2389</v>
      </c>
      <c r="N771" s="61" t="s">
        <v>2511</v>
      </c>
      <c r="O771" s="61" t="s">
        <v>2511</v>
      </c>
      <c r="P771" s="62" t="s">
        <v>2511</v>
      </c>
      <c r="Q771" s="82"/>
      <c r="R771" s="82"/>
      <c r="S771" s="82"/>
      <c r="T771" s="82"/>
      <c r="U771" s="82"/>
      <c r="V771" s="138" t="s">
        <v>4626</v>
      </c>
      <c r="W771" s="57" t="s">
        <v>4532</v>
      </c>
      <c r="X771" s="126" t="s">
        <v>2511</v>
      </c>
      <c r="Y771" s="126" t="s">
        <v>2511</v>
      </c>
      <c r="Z771" s="57"/>
      <c r="AA771" s="57" t="s">
        <v>4533</v>
      </c>
      <c r="AB771" s="138"/>
      <c r="AC771" s="138" t="s">
        <v>2631</v>
      </c>
      <c r="AD771" s="96"/>
      <c r="AE771" s="80"/>
      <c r="AF771" s="80"/>
      <c r="AG771" s="80"/>
      <c r="AH771" s="83"/>
      <c r="AI771" s="83"/>
      <c r="AJ771" s="84"/>
      <c r="AK771" s="84"/>
      <c r="AL771" s="84"/>
      <c r="AM771" s="84"/>
      <c r="AN771" s="84"/>
      <c r="AO771" s="84"/>
      <c r="AP771" s="84"/>
      <c r="AQ771" s="95" t="s">
        <v>1890</v>
      </c>
      <c r="AR771" s="72"/>
      <c r="AS771" s="72"/>
      <c r="AT771" s="72"/>
      <c r="AU771" s="72"/>
      <c r="AV771" s="72"/>
      <c r="AW771" s="72"/>
      <c r="AX771" s="72"/>
      <c r="AY771" s="72"/>
      <c r="AZ771" s="72"/>
      <c r="BA771" s="72"/>
      <c r="BB771" s="16"/>
      <c r="BC771" s="72"/>
      <c r="BD771" s="20"/>
      <c r="BE771" s="352"/>
    </row>
    <row r="772" spans="1:57" s="81" customFormat="1" ht="12.95" hidden="1" customHeight="1">
      <c r="A772" s="348"/>
      <c r="B772" s="350"/>
      <c r="C772" s="248" t="s">
        <v>1621</v>
      </c>
      <c r="D772" s="239" t="s">
        <v>4627</v>
      </c>
      <c r="E772" s="58"/>
      <c r="F772" s="59" t="s">
        <v>4628</v>
      </c>
      <c r="G772" s="191" t="s">
        <v>2511</v>
      </c>
      <c r="H772" s="192" t="s">
        <v>1891</v>
      </c>
      <c r="I772" s="61" t="s">
        <v>2511</v>
      </c>
      <c r="J772" s="61" t="s">
        <v>2511</v>
      </c>
      <c r="K772" s="62" t="s">
        <v>2511</v>
      </c>
      <c r="L772" s="60" t="s">
        <v>2511</v>
      </c>
      <c r="M772" s="61" t="s">
        <v>2389</v>
      </c>
      <c r="N772" s="61" t="s">
        <v>2511</v>
      </c>
      <c r="O772" s="61" t="s">
        <v>2511</v>
      </c>
      <c r="P772" s="62" t="s">
        <v>2511</v>
      </c>
      <c r="Q772" s="82"/>
      <c r="R772" s="82"/>
      <c r="S772" s="82"/>
      <c r="T772" s="82"/>
      <c r="U772" s="82"/>
      <c r="V772" s="138" t="s">
        <v>4629</v>
      </c>
      <c r="W772" s="57" t="s">
        <v>4532</v>
      </c>
      <c r="X772" s="126" t="s">
        <v>2511</v>
      </c>
      <c r="Y772" s="126" t="s">
        <v>2511</v>
      </c>
      <c r="Z772" s="57"/>
      <c r="AA772" s="57" t="s">
        <v>4533</v>
      </c>
      <c r="AB772" s="138"/>
      <c r="AC772" s="138" t="s">
        <v>2631</v>
      </c>
      <c r="AD772" s="96"/>
      <c r="AE772" s="80"/>
      <c r="AF772" s="80"/>
      <c r="AG772" s="80"/>
      <c r="AH772" s="83"/>
      <c r="AI772" s="83"/>
      <c r="AJ772" s="84"/>
      <c r="AK772" s="84"/>
      <c r="AL772" s="84"/>
      <c r="AM772" s="84"/>
      <c r="AN772" s="84"/>
      <c r="AO772" s="84"/>
      <c r="AP772" s="84"/>
      <c r="AQ772" s="95" t="s">
        <v>1891</v>
      </c>
      <c r="AR772" s="72"/>
      <c r="AS772" s="72"/>
      <c r="AT772" s="72"/>
      <c r="AU772" s="72"/>
      <c r="AV772" s="72"/>
      <c r="AW772" s="72"/>
      <c r="AX772" s="72"/>
      <c r="AY772" s="72"/>
      <c r="AZ772" s="72"/>
      <c r="BA772" s="72"/>
      <c r="BB772" s="16"/>
      <c r="BC772" s="72"/>
      <c r="BD772" s="20"/>
      <c r="BE772" s="352"/>
    </row>
    <row r="773" spans="1:57" s="81" customFormat="1" ht="12.95" hidden="1" customHeight="1">
      <c r="A773" s="348"/>
      <c r="B773" s="350"/>
      <c r="C773" s="270" t="s">
        <v>1622</v>
      </c>
      <c r="D773" s="239" t="s">
        <v>4630</v>
      </c>
      <c r="E773" s="58"/>
      <c r="F773" s="59" t="s">
        <v>4631</v>
      </c>
      <c r="G773" s="191" t="s">
        <v>2511</v>
      </c>
      <c r="H773" s="192" t="s">
        <v>1892</v>
      </c>
      <c r="I773" s="61" t="s">
        <v>2511</v>
      </c>
      <c r="J773" s="61" t="s">
        <v>2511</v>
      </c>
      <c r="K773" s="62" t="s">
        <v>2511</v>
      </c>
      <c r="L773" s="60" t="s">
        <v>2511</v>
      </c>
      <c r="M773" s="61" t="s">
        <v>2389</v>
      </c>
      <c r="N773" s="61" t="s">
        <v>2511</v>
      </c>
      <c r="O773" s="61" t="s">
        <v>2511</v>
      </c>
      <c r="P773" s="62" t="s">
        <v>2511</v>
      </c>
      <c r="Q773" s="82"/>
      <c r="R773" s="82"/>
      <c r="S773" s="82"/>
      <c r="T773" s="82"/>
      <c r="U773" s="82"/>
      <c r="V773" s="138" t="s">
        <v>4632</v>
      </c>
      <c r="W773" s="57" t="s">
        <v>4532</v>
      </c>
      <c r="X773" s="126" t="s">
        <v>2511</v>
      </c>
      <c r="Y773" s="126" t="s">
        <v>2511</v>
      </c>
      <c r="Z773" s="57"/>
      <c r="AA773" s="57" t="s">
        <v>4533</v>
      </c>
      <c r="AB773" s="138"/>
      <c r="AC773" s="138" t="s">
        <v>2631</v>
      </c>
      <c r="AD773" s="96"/>
      <c r="AE773" s="80"/>
      <c r="AF773" s="80"/>
      <c r="AG773" s="80"/>
      <c r="AH773" s="83"/>
      <c r="AI773" s="83"/>
      <c r="AJ773" s="84"/>
      <c r="AK773" s="84"/>
      <c r="AL773" s="84"/>
      <c r="AM773" s="84"/>
      <c r="AN773" s="84"/>
      <c r="AO773" s="84"/>
      <c r="AP773" s="84"/>
      <c r="AQ773" s="95" t="s">
        <v>1892</v>
      </c>
      <c r="AR773" s="72"/>
      <c r="AS773" s="72"/>
      <c r="AT773" s="72"/>
      <c r="AU773" s="72"/>
      <c r="AV773" s="72"/>
      <c r="AW773" s="72"/>
      <c r="AX773" s="72"/>
      <c r="AY773" s="72"/>
      <c r="AZ773" s="72"/>
      <c r="BA773" s="72"/>
      <c r="BB773" s="16"/>
      <c r="BC773" s="72"/>
      <c r="BD773" s="20"/>
      <c r="BE773" s="352"/>
    </row>
    <row r="774" spans="1:57" s="81" customFormat="1" ht="12.95" hidden="1" customHeight="1">
      <c r="A774" s="348"/>
      <c r="B774" s="350"/>
      <c r="C774" s="270" t="s">
        <v>1623</v>
      </c>
      <c r="D774" s="239" t="s">
        <v>4633</v>
      </c>
      <c r="E774" s="58"/>
      <c r="F774" s="59" t="s">
        <v>4634</v>
      </c>
      <c r="G774" s="191" t="s">
        <v>2511</v>
      </c>
      <c r="H774" s="192" t="s">
        <v>1893</v>
      </c>
      <c r="I774" s="61" t="s">
        <v>2511</v>
      </c>
      <c r="J774" s="61" t="s">
        <v>2511</v>
      </c>
      <c r="K774" s="62" t="s">
        <v>2511</v>
      </c>
      <c r="L774" s="60" t="s">
        <v>2511</v>
      </c>
      <c r="M774" s="61" t="s">
        <v>2389</v>
      </c>
      <c r="N774" s="61" t="s">
        <v>2511</v>
      </c>
      <c r="O774" s="61" t="s">
        <v>2511</v>
      </c>
      <c r="P774" s="62" t="s">
        <v>2511</v>
      </c>
      <c r="Q774" s="82"/>
      <c r="R774" s="82"/>
      <c r="S774" s="82"/>
      <c r="T774" s="82"/>
      <c r="U774" s="82"/>
      <c r="V774" s="138" t="s">
        <v>4635</v>
      </c>
      <c r="W774" s="57" t="s">
        <v>4532</v>
      </c>
      <c r="X774" s="126" t="s">
        <v>2511</v>
      </c>
      <c r="Y774" s="126" t="s">
        <v>2511</v>
      </c>
      <c r="Z774" s="57"/>
      <c r="AA774" s="57" t="s">
        <v>4533</v>
      </c>
      <c r="AB774" s="138"/>
      <c r="AC774" s="138" t="s">
        <v>2631</v>
      </c>
      <c r="AD774" s="96"/>
      <c r="AE774" s="80"/>
      <c r="AF774" s="80"/>
      <c r="AG774" s="80"/>
      <c r="AH774" s="83"/>
      <c r="AI774" s="83"/>
      <c r="AJ774" s="84"/>
      <c r="AK774" s="84"/>
      <c r="AL774" s="84"/>
      <c r="AM774" s="84"/>
      <c r="AN774" s="84"/>
      <c r="AO774" s="84"/>
      <c r="AP774" s="84"/>
      <c r="AQ774" s="95" t="s">
        <v>1893</v>
      </c>
      <c r="AR774" s="72"/>
      <c r="AS774" s="72"/>
      <c r="AT774" s="72"/>
      <c r="AU774" s="72"/>
      <c r="AV774" s="72"/>
      <c r="AW774" s="72"/>
      <c r="AX774" s="72"/>
      <c r="AY774" s="72"/>
      <c r="AZ774" s="72"/>
      <c r="BA774" s="72"/>
      <c r="BB774" s="16"/>
      <c r="BC774" s="72"/>
      <c r="BD774" s="20"/>
      <c r="BE774" s="352"/>
    </row>
    <row r="775" spans="1:57" s="81" customFormat="1" ht="12.95" hidden="1" customHeight="1">
      <c r="A775" s="348"/>
      <c r="B775" s="350"/>
      <c r="C775" s="248" t="s">
        <v>1624</v>
      </c>
      <c r="D775" s="239" t="s">
        <v>4636</v>
      </c>
      <c r="E775" s="58"/>
      <c r="F775" s="59" t="s">
        <v>4637</v>
      </c>
      <c r="G775" s="191" t="s">
        <v>2511</v>
      </c>
      <c r="H775" s="192" t="s">
        <v>1894</v>
      </c>
      <c r="I775" s="61" t="s">
        <v>2511</v>
      </c>
      <c r="J775" s="61" t="s">
        <v>2511</v>
      </c>
      <c r="K775" s="62" t="s">
        <v>2511</v>
      </c>
      <c r="L775" s="60" t="s">
        <v>2511</v>
      </c>
      <c r="M775" s="61" t="s">
        <v>2389</v>
      </c>
      <c r="N775" s="61" t="s">
        <v>2511</v>
      </c>
      <c r="O775" s="61" t="s">
        <v>2511</v>
      </c>
      <c r="P775" s="62" t="s">
        <v>2511</v>
      </c>
      <c r="Q775" s="82"/>
      <c r="R775" s="82"/>
      <c r="S775" s="82"/>
      <c r="T775" s="82"/>
      <c r="U775" s="82"/>
      <c r="V775" s="138" t="s">
        <v>4638</v>
      </c>
      <c r="W775" s="57" t="s">
        <v>4532</v>
      </c>
      <c r="X775" s="126" t="s">
        <v>2511</v>
      </c>
      <c r="Y775" s="126" t="s">
        <v>2511</v>
      </c>
      <c r="Z775" s="57"/>
      <c r="AA775" s="57" t="s">
        <v>4533</v>
      </c>
      <c r="AB775" s="138"/>
      <c r="AC775" s="138">
        <v>0</v>
      </c>
      <c r="AD775" s="96"/>
      <c r="AE775" s="80"/>
      <c r="AF775" s="80"/>
      <c r="AG775" s="80"/>
      <c r="AH775" s="83"/>
      <c r="AI775" s="83"/>
      <c r="AJ775" s="84"/>
      <c r="AK775" s="84"/>
      <c r="AL775" s="84"/>
      <c r="AM775" s="84"/>
      <c r="AN775" s="84"/>
      <c r="AO775" s="84"/>
      <c r="AP775" s="84"/>
      <c r="AQ775" s="95" t="s">
        <v>1894</v>
      </c>
      <c r="AR775" s="72"/>
      <c r="AS775" s="72"/>
      <c r="AT775" s="72"/>
      <c r="AU775" s="72"/>
      <c r="AV775" s="72"/>
      <c r="AW775" s="72"/>
      <c r="AX775" s="72"/>
      <c r="AY775" s="72"/>
      <c r="AZ775" s="72"/>
      <c r="BA775" s="72"/>
      <c r="BB775" s="16"/>
      <c r="BC775" s="72"/>
      <c r="BD775" s="20"/>
      <c r="BE775" s="352"/>
    </row>
    <row r="776" spans="1:57" s="81" customFormat="1" ht="12.95" hidden="1" customHeight="1">
      <c r="A776" s="348"/>
      <c r="B776" s="350"/>
      <c r="C776" s="248" t="s">
        <v>1625</v>
      </c>
      <c r="D776" s="239" t="s">
        <v>4639</v>
      </c>
      <c r="E776" s="58"/>
      <c r="F776" s="59" t="s">
        <v>4640</v>
      </c>
      <c r="G776" s="191" t="s">
        <v>2511</v>
      </c>
      <c r="H776" s="192" t="s">
        <v>1895</v>
      </c>
      <c r="I776" s="61" t="s">
        <v>2511</v>
      </c>
      <c r="J776" s="61" t="s">
        <v>2511</v>
      </c>
      <c r="K776" s="62" t="s">
        <v>2511</v>
      </c>
      <c r="L776" s="60" t="s">
        <v>2511</v>
      </c>
      <c r="M776" s="61" t="s">
        <v>2389</v>
      </c>
      <c r="N776" s="61" t="s">
        <v>2511</v>
      </c>
      <c r="O776" s="61" t="s">
        <v>2511</v>
      </c>
      <c r="P776" s="62" t="s">
        <v>2511</v>
      </c>
      <c r="Q776" s="82"/>
      <c r="R776" s="82"/>
      <c r="S776" s="82"/>
      <c r="T776" s="82"/>
      <c r="U776" s="82"/>
      <c r="V776" s="138" t="s">
        <v>4641</v>
      </c>
      <c r="W776" s="57" t="s">
        <v>4532</v>
      </c>
      <c r="X776" s="126" t="s">
        <v>2511</v>
      </c>
      <c r="Y776" s="126" t="s">
        <v>2511</v>
      </c>
      <c r="Z776" s="57"/>
      <c r="AA776" s="57" t="s">
        <v>4533</v>
      </c>
      <c r="AB776" s="138"/>
      <c r="AC776" s="138" t="s">
        <v>2631</v>
      </c>
      <c r="AD776" s="96"/>
      <c r="AE776" s="80"/>
      <c r="AF776" s="80"/>
      <c r="AG776" s="80"/>
      <c r="AH776" s="83"/>
      <c r="AI776" s="83"/>
      <c r="AJ776" s="84"/>
      <c r="AK776" s="84"/>
      <c r="AL776" s="84"/>
      <c r="AM776" s="84"/>
      <c r="AN776" s="84"/>
      <c r="AO776" s="84"/>
      <c r="AP776" s="84"/>
      <c r="AQ776" s="95" t="s">
        <v>1895</v>
      </c>
      <c r="AR776" s="72"/>
      <c r="AS776" s="72"/>
      <c r="AT776" s="72"/>
      <c r="AU776" s="72"/>
      <c r="AV776" s="72"/>
      <c r="AW776" s="72"/>
      <c r="AX776" s="72"/>
      <c r="AY776" s="72"/>
      <c r="AZ776" s="72"/>
      <c r="BA776" s="72"/>
      <c r="BB776" s="16"/>
      <c r="BC776" s="72"/>
      <c r="BD776" s="20"/>
      <c r="BE776" s="352"/>
    </row>
    <row r="777" spans="1:57" s="81" customFormat="1" ht="12.95" hidden="1" customHeight="1">
      <c r="A777" s="348"/>
      <c r="B777" s="350"/>
      <c r="C777" s="248" t="s">
        <v>1626</v>
      </c>
      <c r="D777" s="239" t="s">
        <v>4642</v>
      </c>
      <c r="E777" s="58"/>
      <c r="F777" s="59" t="s">
        <v>4643</v>
      </c>
      <c r="G777" s="191" t="s">
        <v>2511</v>
      </c>
      <c r="H777" s="192" t="s">
        <v>1896</v>
      </c>
      <c r="I777" s="61" t="s">
        <v>2511</v>
      </c>
      <c r="J777" s="61" t="s">
        <v>2511</v>
      </c>
      <c r="K777" s="62" t="s">
        <v>2511</v>
      </c>
      <c r="L777" s="60" t="s">
        <v>2511</v>
      </c>
      <c r="M777" s="61" t="s">
        <v>2389</v>
      </c>
      <c r="N777" s="61" t="s">
        <v>2511</v>
      </c>
      <c r="O777" s="61" t="s">
        <v>2511</v>
      </c>
      <c r="P777" s="62" t="s">
        <v>2511</v>
      </c>
      <c r="Q777" s="82"/>
      <c r="R777" s="82"/>
      <c r="S777" s="82"/>
      <c r="T777" s="82"/>
      <c r="U777" s="82"/>
      <c r="V777" s="138" t="s">
        <v>4644</v>
      </c>
      <c r="W777" s="57" t="s">
        <v>4532</v>
      </c>
      <c r="X777" s="126" t="s">
        <v>2511</v>
      </c>
      <c r="Y777" s="126" t="s">
        <v>2511</v>
      </c>
      <c r="Z777" s="57"/>
      <c r="AA777" s="57" t="s">
        <v>4533</v>
      </c>
      <c r="AB777" s="138"/>
      <c r="AC777" s="138" t="s">
        <v>2631</v>
      </c>
      <c r="AD777" s="96"/>
      <c r="AE777" s="80"/>
      <c r="AF777" s="80"/>
      <c r="AG777" s="80"/>
      <c r="AH777" s="83"/>
      <c r="AI777" s="83"/>
      <c r="AJ777" s="84"/>
      <c r="AK777" s="84"/>
      <c r="AL777" s="84"/>
      <c r="AM777" s="84"/>
      <c r="AN777" s="84"/>
      <c r="AO777" s="84"/>
      <c r="AP777" s="84"/>
      <c r="AQ777" s="95" t="s">
        <v>1896</v>
      </c>
      <c r="AR777" s="72"/>
      <c r="AS777" s="72"/>
      <c r="AT777" s="72"/>
      <c r="AU777" s="72"/>
      <c r="AV777" s="72"/>
      <c r="AW777" s="72"/>
      <c r="AX777" s="72"/>
      <c r="AY777" s="72"/>
      <c r="AZ777" s="72"/>
      <c r="BA777" s="72"/>
      <c r="BB777" s="16"/>
      <c r="BC777" s="72"/>
      <c r="BD777" s="20"/>
      <c r="BE777" s="352"/>
    </row>
    <row r="778" spans="1:57" s="81" customFormat="1" ht="12.95" hidden="1" customHeight="1">
      <c r="A778" s="348"/>
      <c r="B778" s="350"/>
      <c r="C778" s="248" t="s">
        <v>1627</v>
      </c>
      <c r="D778" s="239" t="s">
        <v>4645</v>
      </c>
      <c r="E778" s="58"/>
      <c r="F778" s="59" t="s">
        <v>4646</v>
      </c>
      <c r="G778" s="191" t="s">
        <v>2511</v>
      </c>
      <c r="H778" s="192" t="s">
        <v>1897</v>
      </c>
      <c r="I778" s="61" t="s">
        <v>2511</v>
      </c>
      <c r="J778" s="61" t="s">
        <v>2511</v>
      </c>
      <c r="K778" s="62" t="s">
        <v>2511</v>
      </c>
      <c r="L778" s="60" t="s">
        <v>2511</v>
      </c>
      <c r="M778" s="61" t="s">
        <v>2389</v>
      </c>
      <c r="N778" s="61" t="s">
        <v>2511</v>
      </c>
      <c r="O778" s="61" t="s">
        <v>2511</v>
      </c>
      <c r="P778" s="62" t="s">
        <v>2511</v>
      </c>
      <c r="Q778" s="82"/>
      <c r="R778" s="82"/>
      <c r="S778" s="82"/>
      <c r="T778" s="82"/>
      <c r="U778" s="82"/>
      <c r="V778" s="138" t="s">
        <v>4647</v>
      </c>
      <c r="W778" s="57" t="s">
        <v>4532</v>
      </c>
      <c r="X778" s="126" t="s">
        <v>2511</v>
      </c>
      <c r="Y778" s="126" t="s">
        <v>2511</v>
      </c>
      <c r="Z778" s="57"/>
      <c r="AA778" s="57" t="s">
        <v>4533</v>
      </c>
      <c r="AB778" s="138"/>
      <c r="AC778" s="138" t="s">
        <v>2631</v>
      </c>
      <c r="AD778" s="96"/>
      <c r="AE778" s="80"/>
      <c r="AF778" s="80"/>
      <c r="AG778" s="80"/>
      <c r="AH778" s="83"/>
      <c r="AI778" s="83"/>
      <c r="AJ778" s="84"/>
      <c r="AK778" s="84"/>
      <c r="AL778" s="84"/>
      <c r="AM778" s="84"/>
      <c r="AN778" s="84"/>
      <c r="AO778" s="84"/>
      <c r="AP778" s="84"/>
      <c r="AQ778" s="95" t="s">
        <v>1897</v>
      </c>
      <c r="AR778" s="72"/>
      <c r="AS778" s="72"/>
      <c r="AT778" s="72"/>
      <c r="AU778" s="72"/>
      <c r="AV778" s="72"/>
      <c r="AW778" s="72"/>
      <c r="AX778" s="72"/>
      <c r="AY778" s="72"/>
      <c r="AZ778" s="72"/>
      <c r="BA778" s="72"/>
      <c r="BB778" s="16"/>
      <c r="BC778" s="72"/>
      <c r="BD778" s="20"/>
      <c r="BE778" s="352"/>
    </row>
    <row r="779" spans="1:57" s="81" customFormat="1" ht="12.95" hidden="1" customHeight="1">
      <c r="A779" s="348"/>
      <c r="B779" s="350"/>
      <c r="C779" s="248" t="s">
        <v>1628</v>
      </c>
      <c r="D779" s="239" t="s">
        <v>4648</v>
      </c>
      <c r="E779" s="58"/>
      <c r="F779" s="59" t="s">
        <v>4649</v>
      </c>
      <c r="G779" s="191" t="s">
        <v>2511</v>
      </c>
      <c r="H779" s="192" t="s">
        <v>1898</v>
      </c>
      <c r="I779" s="61" t="s">
        <v>2511</v>
      </c>
      <c r="J779" s="61" t="s">
        <v>2511</v>
      </c>
      <c r="K779" s="62" t="s">
        <v>2511</v>
      </c>
      <c r="L779" s="60" t="s">
        <v>2511</v>
      </c>
      <c r="M779" s="61" t="s">
        <v>2389</v>
      </c>
      <c r="N779" s="61" t="s">
        <v>2511</v>
      </c>
      <c r="O779" s="61" t="s">
        <v>2511</v>
      </c>
      <c r="P779" s="62" t="s">
        <v>2511</v>
      </c>
      <c r="Q779" s="82"/>
      <c r="R779" s="82"/>
      <c r="S779" s="82"/>
      <c r="T779" s="82"/>
      <c r="U779" s="82"/>
      <c r="V779" s="138" t="s">
        <v>4650</v>
      </c>
      <c r="W779" s="57" t="s">
        <v>4532</v>
      </c>
      <c r="X779" s="126" t="s">
        <v>2511</v>
      </c>
      <c r="Y779" s="126" t="s">
        <v>2511</v>
      </c>
      <c r="Z779" s="57"/>
      <c r="AA779" s="57" t="s">
        <v>4533</v>
      </c>
      <c r="AB779" s="138"/>
      <c r="AC779" s="138" t="s">
        <v>2631</v>
      </c>
      <c r="AD779" s="96"/>
      <c r="AE779" s="80"/>
      <c r="AF779" s="80"/>
      <c r="AG779" s="80"/>
      <c r="AH779" s="83"/>
      <c r="AI779" s="83"/>
      <c r="AJ779" s="84"/>
      <c r="AK779" s="84"/>
      <c r="AL779" s="84"/>
      <c r="AM779" s="84"/>
      <c r="AN779" s="84"/>
      <c r="AO779" s="84"/>
      <c r="AP779" s="84"/>
      <c r="AQ779" s="95" t="s">
        <v>1898</v>
      </c>
      <c r="AR779" s="72"/>
      <c r="AS779" s="72"/>
      <c r="AT779" s="72"/>
      <c r="AU779" s="72"/>
      <c r="AV779" s="72"/>
      <c r="AW779" s="72"/>
      <c r="AX779" s="72"/>
      <c r="AY779" s="72"/>
      <c r="AZ779" s="72"/>
      <c r="BA779" s="72"/>
      <c r="BB779" s="16"/>
      <c r="BC779" s="72"/>
      <c r="BD779" s="20"/>
      <c r="BE779" s="352"/>
    </row>
    <row r="780" spans="1:57" s="81" customFormat="1" ht="12.95" hidden="1" customHeight="1">
      <c r="A780" s="348"/>
      <c r="B780" s="350"/>
      <c r="C780" s="248" t="s">
        <v>1629</v>
      </c>
      <c r="D780" s="239" t="s">
        <v>4651</v>
      </c>
      <c r="E780" s="58"/>
      <c r="F780" s="59" t="s">
        <v>4652</v>
      </c>
      <c r="G780" s="191" t="s">
        <v>2511</v>
      </c>
      <c r="H780" s="192" t="s">
        <v>1899</v>
      </c>
      <c r="I780" s="61" t="s">
        <v>2511</v>
      </c>
      <c r="J780" s="61" t="s">
        <v>2511</v>
      </c>
      <c r="K780" s="62" t="s">
        <v>2511</v>
      </c>
      <c r="L780" s="60" t="s">
        <v>2511</v>
      </c>
      <c r="M780" s="61" t="s">
        <v>2389</v>
      </c>
      <c r="N780" s="61" t="s">
        <v>2511</v>
      </c>
      <c r="O780" s="61" t="s">
        <v>2511</v>
      </c>
      <c r="P780" s="62" t="s">
        <v>2511</v>
      </c>
      <c r="Q780" s="82"/>
      <c r="R780" s="82"/>
      <c r="S780" s="82"/>
      <c r="T780" s="82"/>
      <c r="U780" s="82"/>
      <c r="V780" s="138" t="s">
        <v>4653</v>
      </c>
      <c r="W780" s="57" t="s">
        <v>4532</v>
      </c>
      <c r="X780" s="126" t="s">
        <v>2511</v>
      </c>
      <c r="Y780" s="126" t="s">
        <v>2511</v>
      </c>
      <c r="Z780" s="57"/>
      <c r="AA780" s="57" t="s">
        <v>4533</v>
      </c>
      <c r="AB780" s="138"/>
      <c r="AC780" s="138" t="s">
        <v>2631</v>
      </c>
      <c r="AD780" s="96"/>
      <c r="AE780" s="80"/>
      <c r="AF780" s="80"/>
      <c r="AG780" s="80"/>
      <c r="AH780" s="83"/>
      <c r="AI780" s="83"/>
      <c r="AJ780" s="84"/>
      <c r="AK780" s="84"/>
      <c r="AL780" s="84"/>
      <c r="AM780" s="84"/>
      <c r="AN780" s="84"/>
      <c r="AO780" s="84"/>
      <c r="AP780" s="84"/>
      <c r="AQ780" s="95" t="s">
        <v>1899</v>
      </c>
      <c r="AR780" s="72"/>
      <c r="AS780" s="72"/>
      <c r="AT780" s="72"/>
      <c r="AU780" s="72"/>
      <c r="AV780" s="72"/>
      <c r="AW780" s="72"/>
      <c r="AX780" s="72"/>
      <c r="AY780" s="72"/>
      <c r="AZ780" s="72"/>
      <c r="BA780" s="72"/>
      <c r="BB780" s="16"/>
      <c r="BC780" s="72"/>
      <c r="BD780" s="20"/>
      <c r="BE780" s="352"/>
    </row>
    <row r="781" spans="1:57" s="81" customFormat="1" ht="12.95" hidden="1" customHeight="1">
      <c r="A781" s="348"/>
      <c r="B781" s="350"/>
      <c r="C781" s="248" t="s">
        <v>1630</v>
      </c>
      <c r="D781" s="239" t="s">
        <v>4654</v>
      </c>
      <c r="E781" s="58"/>
      <c r="F781" s="59" t="s">
        <v>4655</v>
      </c>
      <c r="G781" s="191" t="s">
        <v>2511</v>
      </c>
      <c r="H781" s="192" t="s">
        <v>1900</v>
      </c>
      <c r="I781" s="61" t="s">
        <v>2511</v>
      </c>
      <c r="J781" s="61" t="s">
        <v>2511</v>
      </c>
      <c r="K781" s="62" t="s">
        <v>2511</v>
      </c>
      <c r="L781" s="60" t="s">
        <v>2511</v>
      </c>
      <c r="M781" s="61" t="s">
        <v>2389</v>
      </c>
      <c r="N781" s="61" t="s">
        <v>2511</v>
      </c>
      <c r="O781" s="61" t="s">
        <v>2511</v>
      </c>
      <c r="P781" s="62" t="s">
        <v>2511</v>
      </c>
      <c r="Q781" s="82"/>
      <c r="R781" s="82"/>
      <c r="S781" s="82"/>
      <c r="T781" s="82"/>
      <c r="U781" s="82"/>
      <c r="V781" s="138" t="s">
        <v>4656</v>
      </c>
      <c r="W781" s="57" t="s">
        <v>4532</v>
      </c>
      <c r="X781" s="126" t="s">
        <v>2511</v>
      </c>
      <c r="Y781" s="126" t="s">
        <v>2511</v>
      </c>
      <c r="Z781" s="57"/>
      <c r="AA781" s="57" t="s">
        <v>4533</v>
      </c>
      <c r="AB781" s="138"/>
      <c r="AC781" s="138" t="s">
        <v>2631</v>
      </c>
      <c r="AD781" s="96"/>
      <c r="AE781" s="80"/>
      <c r="AF781" s="80"/>
      <c r="AG781" s="80"/>
      <c r="AH781" s="83"/>
      <c r="AI781" s="83"/>
      <c r="AJ781" s="84"/>
      <c r="AK781" s="84"/>
      <c r="AL781" s="84"/>
      <c r="AM781" s="84"/>
      <c r="AN781" s="84"/>
      <c r="AO781" s="84"/>
      <c r="AP781" s="84"/>
      <c r="AQ781" s="95" t="s">
        <v>1900</v>
      </c>
      <c r="AR781" s="72"/>
      <c r="AS781" s="72"/>
      <c r="AT781" s="72"/>
      <c r="AU781" s="72"/>
      <c r="AV781" s="72"/>
      <c r="AW781" s="72"/>
      <c r="AX781" s="72"/>
      <c r="AY781" s="72"/>
      <c r="AZ781" s="72"/>
      <c r="BA781" s="72"/>
      <c r="BB781" s="16"/>
      <c r="BC781" s="72"/>
      <c r="BD781" s="20"/>
      <c r="BE781" s="352"/>
    </row>
    <row r="782" spans="1:57" s="81" customFormat="1" ht="12.95" hidden="1" customHeight="1">
      <c r="A782" s="348"/>
      <c r="B782" s="350"/>
      <c r="C782" s="248" t="s">
        <v>1631</v>
      </c>
      <c r="D782" s="239" t="s">
        <v>4657</v>
      </c>
      <c r="E782" s="58"/>
      <c r="F782" s="59" t="s">
        <v>4658</v>
      </c>
      <c r="G782" s="191" t="s">
        <v>2511</v>
      </c>
      <c r="H782" s="192" t="s">
        <v>1901</v>
      </c>
      <c r="I782" s="61" t="s">
        <v>2511</v>
      </c>
      <c r="J782" s="61" t="s">
        <v>2511</v>
      </c>
      <c r="K782" s="62" t="s">
        <v>2511</v>
      </c>
      <c r="L782" s="60" t="s">
        <v>2511</v>
      </c>
      <c r="M782" s="61" t="s">
        <v>2389</v>
      </c>
      <c r="N782" s="61" t="s">
        <v>2511</v>
      </c>
      <c r="O782" s="61" t="s">
        <v>2511</v>
      </c>
      <c r="P782" s="62" t="s">
        <v>2511</v>
      </c>
      <c r="Q782" s="82"/>
      <c r="R782" s="82"/>
      <c r="S782" s="82"/>
      <c r="T782" s="82"/>
      <c r="U782" s="82"/>
      <c r="V782" s="138" t="s">
        <v>4659</v>
      </c>
      <c r="W782" s="57" t="s">
        <v>4532</v>
      </c>
      <c r="X782" s="126" t="s">
        <v>2511</v>
      </c>
      <c r="Y782" s="126" t="s">
        <v>2511</v>
      </c>
      <c r="Z782" s="57"/>
      <c r="AA782" s="57" t="s">
        <v>4533</v>
      </c>
      <c r="AB782" s="138"/>
      <c r="AC782" s="138" t="s">
        <v>2631</v>
      </c>
      <c r="AD782" s="96"/>
      <c r="AE782" s="80"/>
      <c r="AF782" s="80"/>
      <c r="AG782" s="80"/>
      <c r="AH782" s="83"/>
      <c r="AI782" s="83"/>
      <c r="AJ782" s="84"/>
      <c r="AK782" s="84"/>
      <c r="AL782" s="84"/>
      <c r="AM782" s="84"/>
      <c r="AN782" s="84"/>
      <c r="AO782" s="84"/>
      <c r="AP782" s="84"/>
      <c r="AQ782" s="95" t="s">
        <v>1901</v>
      </c>
      <c r="AR782" s="72"/>
      <c r="AS782" s="72"/>
      <c r="AT782" s="72"/>
      <c r="AU782" s="72"/>
      <c r="AV782" s="72"/>
      <c r="AW782" s="72"/>
      <c r="AX782" s="72"/>
      <c r="AY782" s="72"/>
      <c r="AZ782" s="72"/>
      <c r="BA782" s="72"/>
      <c r="BB782" s="16"/>
      <c r="BC782" s="72"/>
      <c r="BD782" s="20"/>
      <c r="BE782" s="352"/>
    </row>
    <row r="783" spans="1:57" s="81" customFormat="1" ht="12.95" hidden="1" customHeight="1">
      <c r="A783" s="348"/>
      <c r="B783" s="350"/>
      <c r="C783" s="248" t="s">
        <v>1632</v>
      </c>
      <c r="D783" s="239" t="s">
        <v>4660</v>
      </c>
      <c r="E783" s="58"/>
      <c r="F783" s="59" t="s">
        <v>4661</v>
      </c>
      <c r="G783" s="191" t="s">
        <v>2511</v>
      </c>
      <c r="H783" s="192" t="s">
        <v>1902</v>
      </c>
      <c r="I783" s="61" t="s">
        <v>2511</v>
      </c>
      <c r="J783" s="61" t="s">
        <v>2511</v>
      </c>
      <c r="K783" s="62" t="s">
        <v>2511</v>
      </c>
      <c r="L783" s="60" t="s">
        <v>2511</v>
      </c>
      <c r="M783" s="61" t="s">
        <v>2389</v>
      </c>
      <c r="N783" s="61" t="s">
        <v>2511</v>
      </c>
      <c r="O783" s="61" t="s">
        <v>2511</v>
      </c>
      <c r="P783" s="62" t="s">
        <v>2511</v>
      </c>
      <c r="Q783" s="82"/>
      <c r="R783" s="82"/>
      <c r="S783" s="82"/>
      <c r="T783" s="82"/>
      <c r="U783" s="82"/>
      <c r="V783" s="138" t="s">
        <v>4662</v>
      </c>
      <c r="W783" s="57" t="s">
        <v>4532</v>
      </c>
      <c r="X783" s="126" t="s">
        <v>2511</v>
      </c>
      <c r="Y783" s="126" t="s">
        <v>2511</v>
      </c>
      <c r="Z783" s="57"/>
      <c r="AA783" s="57" t="s">
        <v>4533</v>
      </c>
      <c r="AB783" s="138"/>
      <c r="AC783" s="138" t="s">
        <v>2631</v>
      </c>
      <c r="AD783" s="96"/>
      <c r="AE783" s="80"/>
      <c r="AF783" s="80"/>
      <c r="AG783" s="80"/>
      <c r="AH783" s="83"/>
      <c r="AI783" s="83"/>
      <c r="AJ783" s="84"/>
      <c r="AK783" s="84"/>
      <c r="AL783" s="84"/>
      <c r="AM783" s="84"/>
      <c r="AN783" s="84"/>
      <c r="AO783" s="84"/>
      <c r="AP783" s="84"/>
      <c r="AQ783" s="95" t="s">
        <v>1902</v>
      </c>
      <c r="AR783" s="72"/>
      <c r="AS783" s="72"/>
      <c r="AT783" s="72"/>
      <c r="AU783" s="72"/>
      <c r="AV783" s="72"/>
      <c r="AW783" s="72"/>
      <c r="AX783" s="72"/>
      <c r="AY783" s="72"/>
      <c r="AZ783" s="72"/>
      <c r="BA783" s="72"/>
      <c r="BB783" s="16"/>
      <c r="BC783" s="72"/>
      <c r="BD783" s="20"/>
      <c r="BE783" s="352"/>
    </row>
    <row r="784" spans="1:57" s="81" customFormat="1" ht="12.95" hidden="1" customHeight="1">
      <c r="A784" s="348"/>
      <c r="B784" s="350"/>
      <c r="C784" s="248" t="s">
        <v>1633</v>
      </c>
      <c r="D784" s="239" t="s">
        <v>4663</v>
      </c>
      <c r="E784" s="58"/>
      <c r="F784" s="59" t="s">
        <v>4664</v>
      </c>
      <c r="G784" s="191" t="s">
        <v>2511</v>
      </c>
      <c r="H784" s="192" t="s">
        <v>1903</v>
      </c>
      <c r="I784" s="61" t="s">
        <v>2511</v>
      </c>
      <c r="J784" s="61" t="s">
        <v>2511</v>
      </c>
      <c r="K784" s="62" t="s">
        <v>2511</v>
      </c>
      <c r="L784" s="60" t="s">
        <v>2511</v>
      </c>
      <c r="M784" s="61" t="s">
        <v>2389</v>
      </c>
      <c r="N784" s="61" t="s">
        <v>2511</v>
      </c>
      <c r="O784" s="61" t="s">
        <v>2511</v>
      </c>
      <c r="P784" s="62" t="s">
        <v>2511</v>
      </c>
      <c r="Q784" s="82"/>
      <c r="R784" s="82"/>
      <c r="S784" s="82"/>
      <c r="T784" s="82"/>
      <c r="U784" s="82"/>
      <c r="V784" s="138" t="s">
        <v>4665</v>
      </c>
      <c r="W784" s="57" t="s">
        <v>4532</v>
      </c>
      <c r="X784" s="126" t="s">
        <v>2511</v>
      </c>
      <c r="Y784" s="126" t="s">
        <v>2511</v>
      </c>
      <c r="Z784" s="57"/>
      <c r="AA784" s="57" t="s">
        <v>4533</v>
      </c>
      <c r="AB784" s="138"/>
      <c r="AC784" s="138" t="s">
        <v>2631</v>
      </c>
      <c r="AD784" s="96"/>
      <c r="AE784" s="80"/>
      <c r="AF784" s="80"/>
      <c r="AG784" s="80"/>
      <c r="AH784" s="83"/>
      <c r="AI784" s="83"/>
      <c r="AJ784" s="84"/>
      <c r="AK784" s="84"/>
      <c r="AL784" s="84"/>
      <c r="AM784" s="84"/>
      <c r="AN784" s="84"/>
      <c r="AO784" s="84"/>
      <c r="AP784" s="84"/>
      <c r="AQ784" s="95" t="s">
        <v>1903</v>
      </c>
      <c r="AR784" s="72"/>
      <c r="AS784" s="72"/>
      <c r="AT784" s="72"/>
      <c r="AU784" s="72"/>
      <c r="AV784" s="72"/>
      <c r="AW784" s="72"/>
      <c r="AX784" s="72"/>
      <c r="AY784" s="72"/>
      <c r="AZ784" s="72"/>
      <c r="BA784" s="72"/>
      <c r="BB784" s="16"/>
      <c r="BC784" s="72"/>
      <c r="BD784" s="20"/>
      <c r="BE784" s="352"/>
    </row>
    <row r="785" spans="1:57" s="81" customFormat="1" ht="12.95" hidden="1" customHeight="1">
      <c r="A785" s="348"/>
      <c r="B785" s="350"/>
      <c r="C785" s="270" t="s">
        <v>1634</v>
      </c>
      <c r="D785" s="239" t="s">
        <v>4666</v>
      </c>
      <c r="E785" s="58"/>
      <c r="F785" s="59" t="s">
        <v>4667</v>
      </c>
      <c r="G785" s="191" t="s">
        <v>2511</v>
      </c>
      <c r="H785" s="192" t="s">
        <v>1904</v>
      </c>
      <c r="I785" s="61" t="s">
        <v>2511</v>
      </c>
      <c r="J785" s="61" t="s">
        <v>2511</v>
      </c>
      <c r="K785" s="62" t="s">
        <v>2511</v>
      </c>
      <c r="L785" s="60" t="s">
        <v>2511</v>
      </c>
      <c r="M785" s="61" t="s">
        <v>2389</v>
      </c>
      <c r="N785" s="61" t="s">
        <v>2511</v>
      </c>
      <c r="O785" s="61" t="s">
        <v>2511</v>
      </c>
      <c r="P785" s="62" t="s">
        <v>2511</v>
      </c>
      <c r="Q785" s="82"/>
      <c r="R785" s="82"/>
      <c r="S785" s="82"/>
      <c r="T785" s="82"/>
      <c r="U785" s="82"/>
      <c r="V785" s="138" t="s">
        <v>4668</v>
      </c>
      <c r="W785" s="57" t="s">
        <v>4532</v>
      </c>
      <c r="X785" s="126" t="s">
        <v>2511</v>
      </c>
      <c r="Y785" s="126" t="s">
        <v>2511</v>
      </c>
      <c r="Z785" s="57"/>
      <c r="AA785" s="57" t="s">
        <v>4533</v>
      </c>
      <c r="AB785" s="138"/>
      <c r="AC785" s="138" t="s">
        <v>2631</v>
      </c>
      <c r="AD785" s="96"/>
      <c r="AE785" s="80"/>
      <c r="AF785" s="80"/>
      <c r="AG785" s="80"/>
      <c r="AH785" s="83"/>
      <c r="AI785" s="83"/>
      <c r="AJ785" s="84"/>
      <c r="AK785" s="84"/>
      <c r="AL785" s="84"/>
      <c r="AM785" s="84"/>
      <c r="AN785" s="84"/>
      <c r="AO785" s="84"/>
      <c r="AP785" s="84"/>
      <c r="AQ785" s="95" t="s">
        <v>1904</v>
      </c>
      <c r="AR785" s="72"/>
      <c r="AS785" s="72"/>
      <c r="AT785" s="72"/>
      <c r="AU785" s="72"/>
      <c r="AV785" s="72"/>
      <c r="AW785" s="72"/>
      <c r="AX785" s="72"/>
      <c r="AY785" s="72"/>
      <c r="AZ785" s="72"/>
      <c r="BA785" s="72"/>
      <c r="BB785" s="16"/>
      <c r="BC785" s="72"/>
      <c r="BD785" s="20"/>
      <c r="BE785" s="352"/>
    </row>
    <row r="786" spans="1:57" s="81" customFormat="1" ht="12.95" hidden="1" customHeight="1">
      <c r="A786" s="348"/>
      <c r="B786" s="350"/>
      <c r="C786" s="270" t="s">
        <v>1635</v>
      </c>
      <c r="D786" s="239" t="s">
        <v>4669</v>
      </c>
      <c r="E786" s="58"/>
      <c r="F786" s="59" t="s">
        <v>4670</v>
      </c>
      <c r="G786" s="191" t="s">
        <v>2511</v>
      </c>
      <c r="H786" s="192" t="s">
        <v>1905</v>
      </c>
      <c r="I786" s="61" t="s">
        <v>2511</v>
      </c>
      <c r="J786" s="61" t="s">
        <v>2511</v>
      </c>
      <c r="K786" s="62" t="s">
        <v>2511</v>
      </c>
      <c r="L786" s="60" t="s">
        <v>2511</v>
      </c>
      <c r="M786" s="61" t="s">
        <v>2389</v>
      </c>
      <c r="N786" s="61" t="s">
        <v>2511</v>
      </c>
      <c r="O786" s="61" t="s">
        <v>2511</v>
      </c>
      <c r="P786" s="62" t="s">
        <v>2511</v>
      </c>
      <c r="Q786" s="82"/>
      <c r="R786" s="82"/>
      <c r="S786" s="82"/>
      <c r="T786" s="82"/>
      <c r="U786" s="82"/>
      <c r="V786" s="138" t="s">
        <v>4671</v>
      </c>
      <c r="W786" s="57" t="s">
        <v>4532</v>
      </c>
      <c r="X786" s="126" t="s">
        <v>2511</v>
      </c>
      <c r="Y786" s="126" t="s">
        <v>2511</v>
      </c>
      <c r="Z786" s="57"/>
      <c r="AA786" s="57" t="s">
        <v>4533</v>
      </c>
      <c r="AB786" s="138"/>
      <c r="AC786" s="138" t="s">
        <v>2631</v>
      </c>
      <c r="AD786" s="96"/>
      <c r="AE786" s="80"/>
      <c r="AF786" s="80"/>
      <c r="AG786" s="80"/>
      <c r="AH786" s="83"/>
      <c r="AI786" s="83"/>
      <c r="AJ786" s="84"/>
      <c r="AK786" s="84"/>
      <c r="AL786" s="84"/>
      <c r="AM786" s="84"/>
      <c r="AN786" s="84"/>
      <c r="AO786" s="84"/>
      <c r="AP786" s="84"/>
      <c r="AQ786" s="95" t="s">
        <v>1905</v>
      </c>
      <c r="AR786" s="72"/>
      <c r="AS786" s="72"/>
      <c r="AT786" s="72"/>
      <c r="AU786" s="72"/>
      <c r="AV786" s="72"/>
      <c r="AW786" s="72"/>
      <c r="AX786" s="72"/>
      <c r="AY786" s="72"/>
      <c r="AZ786" s="72"/>
      <c r="BA786" s="72"/>
      <c r="BB786" s="16"/>
      <c r="BC786" s="72"/>
      <c r="BD786" s="20"/>
      <c r="BE786" s="352"/>
    </row>
    <row r="787" spans="1:57" s="81" customFormat="1" ht="12.95" hidden="1" customHeight="1">
      <c r="A787" s="348"/>
      <c r="B787" s="350"/>
      <c r="C787" s="248" t="s">
        <v>1636</v>
      </c>
      <c r="D787" s="239" t="s">
        <v>4672</v>
      </c>
      <c r="E787" s="58"/>
      <c r="F787" s="59" t="s">
        <v>4673</v>
      </c>
      <c r="G787" s="191" t="s">
        <v>2511</v>
      </c>
      <c r="H787" s="192" t="s">
        <v>1906</v>
      </c>
      <c r="I787" s="61" t="s">
        <v>2511</v>
      </c>
      <c r="J787" s="61" t="s">
        <v>2511</v>
      </c>
      <c r="K787" s="62" t="s">
        <v>2511</v>
      </c>
      <c r="L787" s="60" t="s">
        <v>2511</v>
      </c>
      <c r="M787" s="61" t="s">
        <v>2389</v>
      </c>
      <c r="N787" s="61" t="s">
        <v>2511</v>
      </c>
      <c r="O787" s="61" t="s">
        <v>2511</v>
      </c>
      <c r="P787" s="62" t="s">
        <v>2511</v>
      </c>
      <c r="Q787" s="82"/>
      <c r="R787" s="82"/>
      <c r="S787" s="82"/>
      <c r="T787" s="82"/>
      <c r="U787" s="82"/>
      <c r="V787" s="138" t="s">
        <v>4674</v>
      </c>
      <c r="W787" s="57" t="s">
        <v>4532</v>
      </c>
      <c r="X787" s="126" t="s">
        <v>2511</v>
      </c>
      <c r="Y787" s="126" t="s">
        <v>2511</v>
      </c>
      <c r="Z787" s="57"/>
      <c r="AA787" s="57" t="s">
        <v>4533</v>
      </c>
      <c r="AB787" s="138"/>
      <c r="AC787" s="138">
        <v>0</v>
      </c>
      <c r="AD787" s="96"/>
      <c r="AE787" s="80"/>
      <c r="AF787" s="80"/>
      <c r="AG787" s="80"/>
      <c r="AH787" s="83"/>
      <c r="AI787" s="83"/>
      <c r="AJ787" s="84"/>
      <c r="AK787" s="84"/>
      <c r="AL787" s="84"/>
      <c r="AM787" s="84"/>
      <c r="AN787" s="84"/>
      <c r="AO787" s="84"/>
      <c r="AP787" s="84"/>
      <c r="AQ787" s="95" t="s">
        <v>1906</v>
      </c>
      <c r="AR787" s="72"/>
      <c r="AS787" s="72"/>
      <c r="AT787" s="72"/>
      <c r="AU787" s="72"/>
      <c r="AV787" s="72"/>
      <c r="AW787" s="72"/>
      <c r="AX787" s="72"/>
      <c r="AY787" s="72"/>
      <c r="AZ787" s="72"/>
      <c r="BA787" s="72"/>
      <c r="BB787" s="16"/>
      <c r="BC787" s="72"/>
      <c r="BD787" s="20"/>
      <c r="BE787" s="352"/>
    </row>
    <row r="788" spans="1:57" s="81" customFormat="1" ht="12.95" hidden="1" customHeight="1">
      <c r="A788" s="348"/>
      <c r="B788" s="350"/>
      <c r="C788" s="248" t="s">
        <v>1637</v>
      </c>
      <c r="D788" s="239" t="s">
        <v>4675</v>
      </c>
      <c r="E788" s="58"/>
      <c r="F788" s="59" t="s">
        <v>4676</v>
      </c>
      <c r="G788" s="191" t="s">
        <v>2511</v>
      </c>
      <c r="H788" s="192" t="s">
        <v>1907</v>
      </c>
      <c r="I788" s="61" t="s">
        <v>2511</v>
      </c>
      <c r="J788" s="61" t="s">
        <v>2511</v>
      </c>
      <c r="K788" s="62" t="s">
        <v>2511</v>
      </c>
      <c r="L788" s="60" t="s">
        <v>2511</v>
      </c>
      <c r="M788" s="61" t="s">
        <v>2389</v>
      </c>
      <c r="N788" s="61" t="s">
        <v>2511</v>
      </c>
      <c r="O788" s="61" t="s">
        <v>2511</v>
      </c>
      <c r="P788" s="62" t="s">
        <v>2511</v>
      </c>
      <c r="Q788" s="82"/>
      <c r="R788" s="82"/>
      <c r="S788" s="82"/>
      <c r="T788" s="82"/>
      <c r="U788" s="82"/>
      <c r="V788" s="138" t="s">
        <v>4677</v>
      </c>
      <c r="W788" s="57" t="s">
        <v>4532</v>
      </c>
      <c r="X788" s="126" t="s">
        <v>2511</v>
      </c>
      <c r="Y788" s="126" t="s">
        <v>2511</v>
      </c>
      <c r="Z788" s="57"/>
      <c r="AA788" s="57" t="s">
        <v>4533</v>
      </c>
      <c r="AB788" s="138"/>
      <c r="AC788" s="138" t="s">
        <v>2631</v>
      </c>
      <c r="AD788" s="96"/>
      <c r="AE788" s="80"/>
      <c r="AF788" s="80"/>
      <c r="AG788" s="80"/>
      <c r="AH788" s="83"/>
      <c r="AI788" s="83"/>
      <c r="AJ788" s="84"/>
      <c r="AK788" s="84"/>
      <c r="AL788" s="84"/>
      <c r="AM788" s="84"/>
      <c r="AN788" s="84"/>
      <c r="AO788" s="84"/>
      <c r="AP788" s="84"/>
      <c r="AQ788" s="95" t="s">
        <v>1907</v>
      </c>
      <c r="AR788" s="72"/>
      <c r="AS788" s="72"/>
      <c r="AT788" s="72"/>
      <c r="AU788" s="72"/>
      <c r="AV788" s="72"/>
      <c r="AW788" s="72"/>
      <c r="AX788" s="72"/>
      <c r="AY788" s="72"/>
      <c r="AZ788" s="72"/>
      <c r="BA788" s="72"/>
      <c r="BB788" s="16"/>
      <c r="BC788" s="72"/>
      <c r="BD788" s="20"/>
      <c r="BE788" s="352"/>
    </row>
    <row r="789" spans="1:57" s="81" customFormat="1" ht="12.95" hidden="1" customHeight="1">
      <c r="A789" s="348"/>
      <c r="B789" s="350"/>
      <c r="C789" s="248" t="s">
        <v>1638</v>
      </c>
      <c r="D789" s="239" t="s">
        <v>4678</v>
      </c>
      <c r="E789" s="58"/>
      <c r="F789" s="59" t="s">
        <v>4679</v>
      </c>
      <c r="G789" s="191" t="s">
        <v>2511</v>
      </c>
      <c r="H789" s="192" t="s">
        <v>1908</v>
      </c>
      <c r="I789" s="61" t="s">
        <v>2511</v>
      </c>
      <c r="J789" s="61" t="s">
        <v>2511</v>
      </c>
      <c r="K789" s="62" t="s">
        <v>2511</v>
      </c>
      <c r="L789" s="60" t="s">
        <v>2511</v>
      </c>
      <c r="M789" s="61" t="s">
        <v>2389</v>
      </c>
      <c r="N789" s="61" t="s">
        <v>2511</v>
      </c>
      <c r="O789" s="61" t="s">
        <v>2511</v>
      </c>
      <c r="P789" s="62" t="s">
        <v>2511</v>
      </c>
      <c r="Q789" s="82"/>
      <c r="R789" s="82"/>
      <c r="S789" s="82"/>
      <c r="T789" s="82"/>
      <c r="U789" s="82"/>
      <c r="V789" s="138" t="s">
        <v>4680</v>
      </c>
      <c r="W789" s="57" t="s">
        <v>4532</v>
      </c>
      <c r="X789" s="126" t="s">
        <v>2511</v>
      </c>
      <c r="Y789" s="126" t="s">
        <v>2511</v>
      </c>
      <c r="Z789" s="57"/>
      <c r="AA789" s="57" t="s">
        <v>4533</v>
      </c>
      <c r="AB789" s="138"/>
      <c r="AC789" s="138" t="s">
        <v>2631</v>
      </c>
      <c r="AD789" s="96"/>
      <c r="AE789" s="80"/>
      <c r="AF789" s="80"/>
      <c r="AG789" s="80"/>
      <c r="AH789" s="83"/>
      <c r="AI789" s="83"/>
      <c r="AJ789" s="84"/>
      <c r="AK789" s="84"/>
      <c r="AL789" s="84"/>
      <c r="AM789" s="84"/>
      <c r="AN789" s="84"/>
      <c r="AO789" s="84"/>
      <c r="AP789" s="84"/>
      <c r="AQ789" s="95" t="s">
        <v>1908</v>
      </c>
      <c r="AR789" s="72"/>
      <c r="AS789" s="72"/>
      <c r="AT789" s="72"/>
      <c r="AU789" s="72"/>
      <c r="AV789" s="72"/>
      <c r="AW789" s="72"/>
      <c r="AX789" s="72"/>
      <c r="AY789" s="72"/>
      <c r="AZ789" s="72"/>
      <c r="BA789" s="72"/>
      <c r="BB789" s="16"/>
      <c r="BC789" s="72"/>
      <c r="BD789" s="20"/>
      <c r="BE789" s="352"/>
    </row>
    <row r="790" spans="1:57" s="81" customFormat="1" ht="12.95" hidden="1" customHeight="1">
      <c r="A790" s="348"/>
      <c r="B790" s="350"/>
      <c r="C790" s="248" t="s">
        <v>1639</v>
      </c>
      <c r="D790" s="239" t="s">
        <v>4681</v>
      </c>
      <c r="E790" s="58"/>
      <c r="F790" s="59" t="s">
        <v>4682</v>
      </c>
      <c r="G790" s="191" t="s">
        <v>2511</v>
      </c>
      <c r="H790" s="192" t="s">
        <v>1909</v>
      </c>
      <c r="I790" s="61" t="s">
        <v>2511</v>
      </c>
      <c r="J790" s="61" t="s">
        <v>2511</v>
      </c>
      <c r="K790" s="62" t="s">
        <v>2511</v>
      </c>
      <c r="L790" s="60" t="s">
        <v>2511</v>
      </c>
      <c r="M790" s="61" t="s">
        <v>2389</v>
      </c>
      <c r="N790" s="61" t="s">
        <v>2511</v>
      </c>
      <c r="O790" s="61" t="s">
        <v>2511</v>
      </c>
      <c r="P790" s="62" t="s">
        <v>2511</v>
      </c>
      <c r="Q790" s="82"/>
      <c r="R790" s="82"/>
      <c r="S790" s="82"/>
      <c r="T790" s="82"/>
      <c r="U790" s="82"/>
      <c r="V790" s="138" t="s">
        <v>4683</v>
      </c>
      <c r="W790" s="57" t="s">
        <v>4532</v>
      </c>
      <c r="X790" s="126" t="s">
        <v>2511</v>
      </c>
      <c r="Y790" s="126" t="s">
        <v>2511</v>
      </c>
      <c r="Z790" s="57"/>
      <c r="AA790" s="57" t="s">
        <v>4533</v>
      </c>
      <c r="AB790" s="138"/>
      <c r="AC790" s="138" t="s">
        <v>2631</v>
      </c>
      <c r="AD790" s="96"/>
      <c r="AE790" s="80"/>
      <c r="AF790" s="80"/>
      <c r="AG790" s="80"/>
      <c r="AH790" s="83"/>
      <c r="AI790" s="83"/>
      <c r="AJ790" s="84"/>
      <c r="AK790" s="84"/>
      <c r="AL790" s="84"/>
      <c r="AM790" s="84"/>
      <c r="AN790" s="84"/>
      <c r="AO790" s="84"/>
      <c r="AP790" s="84"/>
      <c r="AQ790" s="95" t="s">
        <v>1909</v>
      </c>
      <c r="AR790" s="72"/>
      <c r="AS790" s="72"/>
      <c r="AT790" s="72"/>
      <c r="AU790" s="72"/>
      <c r="AV790" s="72"/>
      <c r="AW790" s="72"/>
      <c r="AX790" s="72"/>
      <c r="AY790" s="72"/>
      <c r="AZ790" s="72"/>
      <c r="BA790" s="72"/>
      <c r="BB790" s="16"/>
      <c r="BC790" s="72"/>
      <c r="BD790" s="20"/>
      <c r="BE790" s="352"/>
    </row>
    <row r="791" spans="1:57" s="81" customFormat="1" ht="12.95" hidden="1" customHeight="1">
      <c r="A791" s="348"/>
      <c r="B791" s="350"/>
      <c r="C791" s="248" t="s">
        <v>1640</v>
      </c>
      <c r="D791" s="239" t="s">
        <v>4684</v>
      </c>
      <c r="E791" s="58"/>
      <c r="F791" s="59" t="s">
        <v>4685</v>
      </c>
      <c r="G791" s="191" t="s">
        <v>2511</v>
      </c>
      <c r="H791" s="192" t="s">
        <v>1910</v>
      </c>
      <c r="I791" s="61" t="s">
        <v>2511</v>
      </c>
      <c r="J791" s="61" t="s">
        <v>2511</v>
      </c>
      <c r="K791" s="62" t="s">
        <v>2511</v>
      </c>
      <c r="L791" s="60" t="s">
        <v>2511</v>
      </c>
      <c r="M791" s="61" t="s">
        <v>2389</v>
      </c>
      <c r="N791" s="61" t="s">
        <v>2511</v>
      </c>
      <c r="O791" s="61" t="s">
        <v>2511</v>
      </c>
      <c r="P791" s="62" t="s">
        <v>2511</v>
      </c>
      <c r="Q791" s="82"/>
      <c r="R791" s="82"/>
      <c r="S791" s="82"/>
      <c r="T791" s="82"/>
      <c r="U791" s="82"/>
      <c r="V791" s="138" t="s">
        <v>4686</v>
      </c>
      <c r="W791" s="57" t="s">
        <v>4532</v>
      </c>
      <c r="X791" s="126" t="s">
        <v>2511</v>
      </c>
      <c r="Y791" s="126" t="s">
        <v>2511</v>
      </c>
      <c r="Z791" s="57"/>
      <c r="AA791" s="57" t="s">
        <v>4533</v>
      </c>
      <c r="AB791" s="138"/>
      <c r="AC791" s="138" t="s">
        <v>2631</v>
      </c>
      <c r="AD791" s="96"/>
      <c r="AE791" s="80"/>
      <c r="AF791" s="80"/>
      <c r="AG791" s="80"/>
      <c r="AH791" s="83"/>
      <c r="AI791" s="83"/>
      <c r="AJ791" s="84"/>
      <c r="AK791" s="84"/>
      <c r="AL791" s="84"/>
      <c r="AM791" s="84"/>
      <c r="AN791" s="84"/>
      <c r="AO791" s="84"/>
      <c r="AP791" s="84"/>
      <c r="AQ791" s="95" t="s">
        <v>1910</v>
      </c>
      <c r="AR791" s="72"/>
      <c r="AS791" s="72"/>
      <c r="AT791" s="72"/>
      <c r="AU791" s="72"/>
      <c r="AV791" s="72"/>
      <c r="AW791" s="72"/>
      <c r="AX791" s="72"/>
      <c r="AY791" s="72"/>
      <c r="AZ791" s="72"/>
      <c r="BA791" s="72"/>
      <c r="BB791" s="16"/>
      <c r="BC791" s="72"/>
      <c r="BD791" s="20"/>
      <c r="BE791" s="352"/>
    </row>
    <row r="792" spans="1:57" s="81" customFormat="1" ht="12.95" hidden="1" customHeight="1">
      <c r="A792" s="348"/>
      <c r="B792" s="350"/>
      <c r="C792" s="248" t="s">
        <v>1641</v>
      </c>
      <c r="D792" s="239" t="s">
        <v>4687</v>
      </c>
      <c r="E792" s="58"/>
      <c r="F792" s="59" t="s">
        <v>4688</v>
      </c>
      <c r="G792" s="191" t="s">
        <v>2511</v>
      </c>
      <c r="H792" s="192" t="s">
        <v>1911</v>
      </c>
      <c r="I792" s="61" t="s">
        <v>2511</v>
      </c>
      <c r="J792" s="61" t="s">
        <v>2511</v>
      </c>
      <c r="K792" s="62" t="s">
        <v>2511</v>
      </c>
      <c r="L792" s="60" t="s">
        <v>2511</v>
      </c>
      <c r="M792" s="61" t="s">
        <v>2389</v>
      </c>
      <c r="N792" s="61" t="s">
        <v>2511</v>
      </c>
      <c r="O792" s="61" t="s">
        <v>2511</v>
      </c>
      <c r="P792" s="62" t="s">
        <v>2511</v>
      </c>
      <c r="Q792" s="82"/>
      <c r="R792" s="82"/>
      <c r="S792" s="82"/>
      <c r="T792" s="82"/>
      <c r="U792" s="82"/>
      <c r="V792" s="138" t="s">
        <v>4689</v>
      </c>
      <c r="W792" s="57" t="s">
        <v>4532</v>
      </c>
      <c r="X792" s="126" t="s">
        <v>2511</v>
      </c>
      <c r="Y792" s="126" t="s">
        <v>2511</v>
      </c>
      <c r="Z792" s="57"/>
      <c r="AA792" s="57" t="s">
        <v>4533</v>
      </c>
      <c r="AB792" s="138"/>
      <c r="AC792" s="138" t="s">
        <v>2631</v>
      </c>
      <c r="AD792" s="96"/>
      <c r="AE792" s="80"/>
      <c r="AF792" s="80"/>
      <c r="AG792" s="80"/>
      <c r="AH792" s="83"/>
      <c r="AI792" s="83"/>
      <c r="AJ792" s="84"/>
      <c r="AK792" s="84"/>
      <c r="AL792" s="84"/>
      <c r="AM792" s="84"/>
      <c r="AN792" s="84"/>
      <c r="AO792" s="84"/>
      <c r="AP792" s="84"/>
      <c r="AQ792" s="95" t="s">
        <v>1911</v>
      </c>
      <c r="AR792" s="72"/>
      <c r="AS792" s="72"/>
      <c r="AT792" s="72"/>
      <c r="AU792" s="72"/>
      <c r="AV792" s="72"/>
      <c r="AW792" s="72"/>
      <c r="AX792" s="72"/>
      <c r="AY792" s="72"/>
      <c r="AZ792" s="72"/>
      <c r="BA792" s="72"/>
      <c r="BB792" s="16"/>
      <c r="BC792" s="72"/>
      <c r="BD792" s="20"/>
      <c r="BE792" s="352"/>
    </row>
    <row r="793" spans="1:57" s="81" customFormat="1" ht="12.95" hidden="1" customHeight="1">
      <c r="A793" s="348"/>
      <c r="B793" s="350"/>
      <c r="C793" s="248" t="s">
        <v>1642</v>
      </c>
      <c r="D793" s="239" t="s">
        <v>4690</v>
      </c>
      <c r="E793" s="58"/>
      <c r="F793" s="59" t="s">
        <v>4691</v>
      </c>
      <c r="G793" s="191" t="s">
        <v>2511</v>
      </c>
      <c r="H793" s="192" t="s">
        <v>1912</v>
      </c>
      <c r="I793" s="61" t="s">
        <v>2511</v>
      </c>
      <c r="J793" s="61" t="s">
        <v>2511</v>
      </c>
      <c r="K793" s="62" t="s">
        <v>2511</v>
      </c>
      <c r="L793" s="60" t="s">
        <v>2511</v>
      </c>
      <c r="M793" s="61" t="s">
        <v>2389</v>
      </c>
      <c r="N793" s="61" t="s">
        <v>2511</v>
      </c>
      <c r="O793" s="61" t="s">
        <v>2511</v>
      </c>
      <c r="P793" s="62" t="s">
        <v>2511</v>
      </c>
      <c r="Q793" s="82"/>
      <c r="R793" s="82"/>
      <c r="S793" s="82"/>
      <c r="T793" s="82"/>
      <c r="U793" s="82"/>
      <c r="V793" s="138" t="s">
        <v>4692</v>
      </c>
      <c r="W793" s="57" t="s">
        <v>4532</v>
      </c>
      <c r="X793" s="126" t="s">
        <v>2511</v>
      </c>
      <c r="Y793" s="126" t="s">
        <v>2511</v>
      </c>
      <c r="Z793" s="57"/>
      <c r="AA793" s="57" t="s">
        <v>4533</v>
      </c>
      <c r="AB793" s="138"/>
      <c r="AC793" s="138" t="s">
        <v>2631</v>
      </c>
      <c r="AD793" s="96"/>
      <c r="AE793" s="80"/>
      <c r="AF793" s="80"/>
      <c r="AG793" s="80"/>
      <c r="AH793" s="83"/>
      <c r="AI793" s="83"/>
      <c r="AJ793" s="84"/>
      <c r="AK793" s="84"/>
      <c r="AL793" s="84"/>
      <c r="AM793" s="84"/>
      <c r="AN793" s="84"/>
      <c r="AO793" s="84"/>
      <c r="AP793" s="84"/>
      <c r="AQ793" s="95" t="s">
        <v>1912</v>
      </c>
      <c r="AR793" s="72"/>
      <c r="AS793" s="72"/>
      <c r="AT793" s="72"/>
      <c r="AU793" s="72"/>
      <c r="AV793" s="72"/>
      <c r="AW793" s="72"/>
      <c r="AX793" s="72"/>
      <c r="AY793" s="72"/>
      <c r="AZ793" s="72"/>
      <c r="BA793" s="72"/>
      <c r="BB793" s="16"/>
      <c r="BC793" s="72"/>
      <c r="BD793" s="20"/>
      <c r="BE793" s="352"/>
    </row>
    <row r="794" spans="1:57" s="81" customFormat="1" ht="12.95" hidden="1" customHeight="1">
      <c r="A794" s="348"/>
      <c r="B794" s="350"/>
      <c r="C794" s="248" t="s">
        <v>1643</v>
      </c>
      <c r="D794" s="239" t="s">
        <v>4693</v>
      </c>
      <c r="E794" s="58"/>
      <c r="F794" s="59" t="s">
        <v>4694</v>
      </c>
      <c r="G794" s="191" t="s">
        <v>2511</v>
      </c>
      <c r="H794" s="192" t="s">
        <v>1913</v>
      </c>
      <c r="I794" s="61" t="s">
        <v>2511</v>
      </c>
      <c r="J794" s="61" t="s">
        <v>2511</v>
      </c>
      <c r="K794" s="62" t="s">
        <v>2511</v>
      </c>
      <c r="L794" s="60" t="s">
        <v>2511</v>
      </c>
      <c r="M794" s="61" t="s">
        <v>2389</v>
      </c>
      <c r="N794" s="61" t="s">
        <v>2511</v>
      </c>
      <c r="O794" s="61" t="s">
        <v>2511</v>
      </c>
      <c r="P794" s="62" t="s">
        <v>2511</v>
      </c>
      <c r="Q794" s="82"/>
      <c r="R794" s="82"/>
      <c r="S794" s="82"/>
      <c r="T794" s="82"/>
      <c r="U794" s="82"/>
      <c r="V794" s="138" t="s">
        <v>4695</v>
      </c>
      <c r="W794" s="57" t="s">
        <v>4532</v>
      </c>
      <c r="X794" s="126" t="s">
        <v>2511</v>
      </c>
      <c r="Y794" s="126" t="s">
        <v>2511</v>
      </c>
      <c r="Z794" s="57"/>
      <c r="AA794" s="57" t="s">
        <v>4533</v>
      </c>
      <c r="AB794" s="138"/>
      <c r="AC794" s="138" t="s">
        <v>2631</v>
      </c>
      <c r="AD794" s="96"/>
      <c r="AE794" s="80"/>
      <c r="AF794" s="80"/>
      <c r="AG794" s="80"/>
      <c r="AH794" s="83"/>
      <c r="AI794" s="83"/>
      <c r="AJ794" s="84"/>
      <c r="AK794" s="84"/>
      <c r="AL794" s="84"/>
      <c r="AM794" s="84"/>
      <c r="AN794" s="84"/>
      <c r="AO794" s="84"/>
      <c r="AP794" s="84"/>
      <c r="AQ794" s="95" t="s">
        <v>1913</v>
      </c>
      <c r="AR794" s="72"/>
      <c r="AS794" s="72"/>
      <c r="AT794" s="72"/>
      <c r="AU794" s="72"/>
      <c r="AV794" s="72"/>
      <c r="AW794" s="72"/>
      <c r="AX794" s="72"/>
      <c r="AY794" s="72"/>
      <c r="AZ794" s="72"/>
      <c r="BA794" s="72"/>
      <c r="BB794" s="16"/>
      <c r="BC794" s="72"/>
      <c r="BD794" s="20"/>
      <c r="BE794" s="352"/>
    </row>
    <row r="795" spans="1:57" s="81" customFormat="1" ht="12.95" hidden="1" customHeight="1">
      <c r="A795" s="348"/>
      <c r="B795" s="350"/>
      <c r="C795" s="248" t="s">
        <v>1644</v>
      </c>
      <c r="D795" s="239" t="s">
        <v>4696</v>
      </c>
      <c r="E795" s="58"/>
      <c r="F795" s="59" t="s">
        <v>4697</v>
      </c>
      <c r="G795" s="191" t="s">
        <v>2511</v>
      </c>
      <c r="H795" s="192" t="s">
        <v>1914</v>
      </c>
      <c r="I795" s="61" t="s">
        <v>2511</v>
      </c>
      <c r="J795" s="61" t="s">
        <v>2511</v>
      </c>
      <c r="K795" s="62" t="s">
        <v>2511</v>
      </c>
      <c r="L795" s="60" t="s">
        <v>2511</v>
      </c>
      <c r="M795" s="61" t="s">
        <v>2389</v>
      </c>
      <c r="N795" s="61" t="s">
        <v>2511</v>
      </c>
      <c r="O795" s="61" t="s">
        <v>2511</v>
      </c>
      <c r="P795" s="62" t="s">
        <v>2511</v>
      </c>
      <c r="Q795" s="82"/>
      <c r="R795" s="82"/>
      <c r="S795" s="82"/>
      <c r="T795" s="82"/>
      <c r="U795" s="82"/>
      <c r="V795" s="138" t="s">
        <v>4698</v>
      </c>
      <c r="W795" s="57" t="s">
        <v>4532</v>
      </c>
      <c r="X795" s="126" t="s">
        <v>2511</v>
      </c>
      <c r="Y795" s="126" t="s">
        <v>2511</v>
      </c>
      <c r="Z795" s="57"/>
      <c r="AA795" s="57" t="s">
        <v>4533</v>
      </c>
      <c r="AB795" s="138"/>
      <c r="AC795" s="138" t="s">
        <v>2631</v>
      </c>
      <c r="AD795" s="96"/>
      <c r="AE795" s="80"/>
      <c r="AF795" s="80"/>
      <c r="AG795" s="80"/>
      <c r="AH795" s="83"/>
      <c r="AI795" s="83"/>
      <c r="AJ795" s="84"/>
      <c r="AK795" s="84"/>
      <c r="AL795" s="84"/>
      <c r="AM795" s="84"/>
      <c r="AN795" s="84"/>
      <c r="AO795" s="84"/>
      <c r="AP795" s="84"/>
      <c r="AQ795" s="95" t="s">
        <v>1914</v>
      </c>
      <c r="AR795" s="72"/>
      <c r="AS795" s="72"/>
      <c r="AT795" s="72"/>
      <c r="AU795" s="72"/>
      <c r="AV795" s="72"/>
      <c r="AW795" s="72"/>
      <c r="AX795" s="72"/>
      <c r="AY795" s="72"/>
      <c r="AZ795" s="72"/>
      <c r="BA795" s="72"/>
      <c r="BB795" s="16"/>
      <c r="BC795" s="72"/>
      <c r="BD795" s="20"/>
      <c r="BE795" s="352"/>
    </row>
    <row r="796" spans="1:57" s="81" customFormat="1" ht="12.95" hidden="1" customHeight="1">
      <c r="A796" s="348"/>
      <c r="B796" s="350"/>
      <c r="C796" s="248" t="s">
        <v>1645</v>
      </c>
      <c r="D796" s="239" t="s">
        <v>4699</v>
      </c>
      <c r="E796" s="58"/>
      <c r="F796" s="59" t="s">
        <v>4700</v>
      </c>
      <c r="G796" s="191" t="s">
        <v>2511</v>
      </c>
      <c r="H796" s="192" t="s">
        <v>1915</v>
      </c>
      <c r="I796" s="61" t="s">
        <v>2511</v>
      </c>
      <c r="J796" s="61" t="s">
        <v>2511</v>
      </c>
      <c r="K796" s="62" t="s">
        <v>2511</v>
      </c>
      <c r="L796" s="60" t="s">
        <v>2511</v>
      </c>
      <c r="M796" s="61" t="s">
        <v>2389</v>
      </c>
      <c r="N796" s="61" t="s">
        <v>2511</v>
      </c>
      <c r="O796" s="61" t="s">
        <v>2511</v>
      </c>
      <c r="P796" s="62" t="s">
        <v>2511</v>
      </c>
      <c r="Q796" s="82"/>
      <c r="R796" s="82"/>
      <c r="S796" s="82"/>
      <c r="T796" s="82"/>
      <c r="U796" s="82"/>
      <c r="V796" s="138" t="s">
        <v>4701</v>
      </c>
      <c r="W796" s="57" t="s">
        <v>4532</v>
      </c>
      <c r="X796" s="126" t="s">
        <v>2511</v>
      </c>
      <c r="Y796" s="126" t="s">
        <v>2511</v>
      </c>
      <c r="Z796" s="57"/>
      <c r="AA796" s="57" t="s">
        <v>4533</v>
      </c>
      <c r="AB796" s="138"/>
      <c r="AC796" s="138" t="s">
        <v>2631</v>
      </c>
      <c r="AD796" s="96"/>
      <c r="AE796" s="80"/>
      <c r="AF796" s="80"/>
      <c r="AG796" s="80"/>
      <c r="AH796" s="83"/>
      <c r="AI796" s="83"/>
      <c r="AJ796" s="84"/>
      <c r="AK796" s="84"/>
      <c r="AL796" s="84"/>
      <c r="AM796" s="84"/>
      <c r="AN796" s="84"/>
      <c r="AO796" s="84"/>
      <c r="AP796" s="84"/>
      <c r="AQ796" s="95" t="s">
        <v>1915</v>
      </c>
      <c r="AR796" s="72"/>
      <c r="AS796" s="72"/>
      <c r="AT796" s="72"/>
      <c r="AU796" s="72"/>
      <c r="AV796" s="72"/>
      <c r="AW796" s="72"/>
      <c r="AX796" s="72"/>
      <c r="AY796" s="72"/>
      <c r="AZ796" s="72"/>
      <c r="BA796" s="72"/>
      <c r="BB796" s="16"/>
      <c r="BC796" s="72"/>
      <c r="BD796" s="20"/>
      <c r="BE796" s="352"/>
    </row>
    <row r="797" spans="1:57" s="81" customFormat="1" ht="12.95" hidden="1" customHeight="1">
      <c r="A797" s="348"/>
      <c r="B797" s="350"/>
      <c r="C797" s="270" t="s">
        <v>1646</v>
      </c>
      <c r="D797" s="239" t="s">
        <v>4702</v>
      </c>
      <c r="E797" s="58"/>
      <c r="F797" s="59" t="s">
        <v>4703</v>
      </c>
      <c r="G797" s="191" t="s">
        <v>2511</v>
      </c>
      <c r="H797" s="192" t="s">
        <v>1916</v>
      </c>
      <c r="I797" s="61" t="s">
        <v>2511</v>
      </c>
      <c r="J797" s="61" t="s">
        <v>2511</v>
      </c>
      <c r="K797" s="62" t="s">
        <v>2511</v>
      </c>
      <c r="L797" s="60" t="s">
        <v>2511</v>
      </c>
      <c r="M797" s="61" t="s">
        <v>2389</v>
      </c>
      <c r="N797" s="61" t="s">
        <v>2511</v>
      </c>
      <c r="O797" s="61" t="s">
        <v>2511</v>
      </c>
      <c r="P797" s="62" t="s">
        <v>2511</v>
      </c>
      <c r="Q797" s="82"/>
      <c r="R797" s="82"/>
      <c r="S797" s="82"/>
      <c r="T797" s="82"/>
      <c r="U797" s="82"/>
      <c r="V797" s="138" t="s">
        <v>4704</v>
      </c>
      <c r="W797" s="57" t="s">
        <v>4532</v>
      </c>
      <c r="X797" s="126" t="s">
        <v>2511</v>
      </c>
      <c r="Y797" s="126" t="s">
        <v>2511</v>
      </c>
      <c r="Z797" s="57"/>
      <c r="AA797" s="57" t="s">
        <v>4533</v>
      </c>
      <c r="AB797" s="138"/>
      <c r="AC797" s="138" t="s">
        <v>2631</v>
      </c>
      <c r="AD797" s="96"/>
      <c r="AE797" s="80"/>
      <c r="AF797" s="80"/>
      <c r="AG797" s="80"/>
      <c r="AH797" s="83"/>
      <c r="AI797" s="83"/>
      <c r="AJ797" s="84"/>
      <c r="AK797" s="84"/>
      <c r="AL797" s="84"/>
      <c r="AM797" s="84"/>
      <c r="AN797" s="84"/>
      <c r="AO797" s="84"/>
      <c r="AP797" s="84"/>
      <c r="AQ797" s="95" t="s">
        <v>1916</v>
      </c>
      <c r="AR797" s="72"/>
      <c r="AS797" s="72"/>
      <c r="AT797" s="72"/>
      <c r="AU797" s="72"/>
      <c r="AV797" s="72"/>
      <c r="AW797" s="72"/>
      <c r="AX797" s="72"/>
      <c r="AY797" s="72"/>
      <c r="AZ797" s="72"/>
      <c r="BA797" s="72"/>
      <c r="BB797" s="16"/>
      <c r="BC797" s="72"/>
      <c r="BD797" s="20"/>
      <c r="BE797" s="352"/>
    </row>
    <row r="798" spans="1:57" s="81" customFormat="1" ht="12.95" hidden="1" customHeight="1">
      <c r="A798" s="348"/>
      <c r="B798" s="350"/>
      <c r="C798" s="270" t="s">
        <v>1647</v>
      </c>
      <c r="D798" s="239" t="s">
        <v>4705</v>
      </c>
      <c r="E798" s="58"/>
      <c r="F798" s="59" t="s">
        <v>4706</v>
      </c>
      <c r="G798" s="191" t="s">
        <v>2511</v>
      </c>
      <c r="H798" s="192" t="s">
        <v>1917</v>
      </c>
      <c r="I798" s="61" t="s">
        <v>2511</v>
      </c>
      <c r="J798" s="61" t="s">
        <v>2511</v>
      </c>
      <c r="K798" s="62" t="s">
        <v>2511</v>
      </c>
      <c r="L798" s="60" t="s">
        <v>2511</v>
      </c>
      <c r="M798" s="61" t="s">
        <v>2389</v>
      </c>
      <c r="N798" s="61" t="s">
        <v>2511</v>
      </c>
      <c r="O798" s="61" t="s">
        <v>2511</v>
      </c>
      <c r="P798" s="62" t="s">
        <v>2511</v>
      </c>
      <c r="Q798" s="82"/>
      <c r="R798" s="82"/>
      <c r="S798" s="82"/>
      <c r="T798" s="82"/>
      <c r="U798" s="82"/>
      <c r="V798" s="138" t="s">
        <v>4707</v>
      </c>
      <c r="W798" s="57" t="s">
        <v>4532</v>
      </c>
      <c r="X798" s="126" t="s">
        <v>2511</v>
      </c>
      <c r="Y798" s="126" t="s">
        <v>2511</v>
      </c>
      <c r="Z798" s="57"/>
      <c r="AA798" s="57" t="s">
        <v>4533</v>
      </c>
      <c r="AB798" s="138"/>
      <c r="AC798" s="138" t="s">
        <v>2631</v>
      </c>
      <c r="AD798" s="96"/>
      <c r="AE798" s="80"/>
      <c r="AF798" s="80"/>
      <c r="AG798" s="80"/>
      <c r="AH798" s="83"/>
      <c r="AI798" s="83"/>
      <c r="AJ798" s="84"/>
      <c r="AK798" s="84"/>
      <c r="AL798" s="84"/>
      <c r="AM798" s="84"/>
      <c r="AN798" s="84"/>
      <c r="AO798" s="84"/>
      <c r="AP798" s="84"/>
      <c r="AQ798" s="95" t="s">
        <v>1917</v>
      </c>
      <c r="AR798" s="72"/>
      <c r="AS798" s="72"/>
      <c r="AT798" s="72"/>
      <c r="AU798" s="72"/>
      <c r="AV798" s="72"/>
      <c r="AW798" s="72"/>
      <c r="AX798" s="72"/>
      <c r="AY798" s="72"/>
      <c r="AZ798" s="72"/>
      <c r="BA798" s="72"/>
      <c r="BB798" s="16"/>
      <c r="BC798" s="72"/>
      <c r="BD798" s="20"/>
      <c r="BE798" s="352"/>
    </row>
    <row r="799" spans="1:57" s="81" customFormat="1" ht="12.95" hidden="1" customHeight="1">
      <c r="A799" s="348"/>
      <c r="B799" s="350"/>
      <c r="C799" s="248" t="s">
        <v>1648</v>
      </c>
      <c r="D799" s="239" t="s">
        <v>4708</v>
      </c>
      <c r="E799" s="58"/>
      <c r="F799" s="59" t="s">
        <v>4709</v>
      </c>
      <c r="G799" s="191" t="s">
        <v>2511</v>
      </c>
      <c r="H799" s="192" t="s">
        <v>1918</v>
      </c>
      <c r="I799" s="61" t="s">
        <v>2511</v>
      </c>
      <c r="J799" s="61" t="s">
        <v>2511</v>
      </c>
      <c r="K799" s="62" t="s">
        <v>2511</v>
      </c>
      <c r="L799" s="60" t="s">
        <v>2511</v>
      </c>
      <c r="M799" s="61" t="s">
        <v>2389</v>
      </c>
      <c r="N799" s="61" t="s">
        <v>2511</v>
      </c>
      <c r="O799" s="61" t="s">
        <v>2511</v>
      </c>
      <c r="P799" s="62" t="s">
        <v>2511</v>
      </c>
      <c r="Q799" s="82"/>
      <c r="R799" s="82"/>
      <c r="S799" s="82"/>
      <c r="T799" s="82"/>
      <c r="U799" s="82"/>
      <c r="V799" s="138" t="s">
        <v>4710</v>
      </c>
      <c r="W799" s="57" t="s">
        <v>4532</v>
      </c>
      <c r="X799" s="126" t="s">
        <v>2511</v>
      </c>
      <c r="Y799" s="126" t="s">
        <v>2511</v>
      </c>
      <c r="Z799" s="57"/>
      <c r="AA799" s="57" t="s">
        <v>4533</v>
      </c>
      <c r="AB799" s="138"/>
      <c r="AC799" s="138">
        <v>0</v>
      </c>
      <c r="AD799" s="96"/>
      <c r="AE799" s="80"/>
      <c r="AF799" s="80"/>
      <c r="AG799" s="80"/>
      <c r="AH799" s="83"/>
      <c r="AI799" s="83"/>
      <c r="AJ799" s="84"/>
      <c r="AK799" s="84"/>
      <c r="AL799" s="84"/>
      <c r="AM799" s="84"/>
      <c r="AN799" s="84"/>
      <c r="AO799" s="84"/>
      <c r="AP799" s="84"/>
      <c r="AQ799" s="95" t="s">
        <v>1918</v>
      </c>
      <c r="AR799" s="72"/>
      <c r="AS799" s="72"/>
      <c r="AT799" s="72"/>
      <c r="AU799" s="72"/>
      <c r="AV799" s="72"/>
      <c r="AW799" s="72"/>
      <c r="AX799" s="72"/>
      <c r="AY799" s="72"/>
      <c r="AZ799" s="72"/>
      <c r="BA799" s="72"/>
      <c r="BB799" s="16"/>
      <c r="BC799" s="72"/>
      <c r="BD799" s="20"/>
      <c r="BE799" s="352"/>
    </row>
    <row r="800" spans="1:57" s="81" customFormat="1" ht="12.95" hidden="1" customHeight="1">
      <c r="A800" s="348"/>
      <c r="B800" s="350"/>
      <c r="C800" s="248" t="s">
        <v>1649</v>
      </c>
      <c r="D800" s="239" t="s">
        <v>4711</v>
      </c>
      <c r="E800" s="58"/>
      <c r="F800" s="59" t="s">
        <v>4712</v>
      </c>
      <c r="G800" s="191" t="s">
        <v>2511</v>
      </c>
      <c r="H800" s="192" t="s">
        <v>1919</v>
      </c>
      <c r="I800" s="61" t="s">
        <v>2511</v>
      </c>
      <c r="J800" s="61" t="s">
        <v>2511</v>
      </c>
      <c r="K800" s="62" t="s">
        <v>2511</v>
      </c>
      <c r="L800" s="60" t="s">
        <v>2511</v>
      </c>
      <c r="M800" s="61" t="s">
        <v>2389</v>
      </c>
      <c r="N800" s="61" t="s">
        <v>2511</v>
      </c>
      <c r="O800" s="61" t="s">
        <v>2511</v>
      </c>
      <c r="P800" s="62" t="s">
        <v>2511</v>
      </c>
      <c r="Q800" s="82"/>
      <c r="R800" s="82"/>
      <c r="S800" s="82"/>
      <c r="T800" s="82"/>
      <c r="U800" s="82"/>
      <c r="V800" s="138" t="s">
        <v>4713</v>
      </c>
      <c r="W800" s="57" t="s">
        <v>4532</v>
      </c>
      <c r="X800" s="126" t="s">
        <v>2511</v>
      </c>
      <c r="Y800" s="126" t="s">
        <v>2511</v>
      </c>
      <c r="Z800" s="57"/>
      <c r="AA800" s="57" t="s">
        <v>4533</v>
      </c>
      <c r="AB800" s="138"/>
      <c r="AC800" s="138" t="s">
        <v>895</v>
      </c>
      <c r="AD800" s="96"/>
      <c r="AE800" s="80"/>
      <c r="AF800" s="80"/>
      <c r="AG800" s="80"/>
      <c r="AH800" s="83"/>
      <c r="AI800" s="83"/>
      <c r="AJ800" s="84"/>
      <c r="AK800" s="84"/>
      <c r="AL800" s="84"/>
      <c r="AM800" s="84"/>
      <c r="AN800" s="84"/>
      <c r="AO800" s="84"/>
      <c r="AP800" s="84"/>
      <c r="AQ800" s="95" t="s">
        <v>1919</v>
      </c>
      <c r="AR800" s="72"/>
      <c r="AS800" s="72"/>
      <c r="AT800" s="72"/>
      <c r="AU800" s="72"/>
      <c r="AV800" s="72"/>
      <c r="AW800" s="72"/>
      <c r="AX800" s="72"/>
      <c r="AY800" s="72"/>
      <c r="AZ800" s="72"/>
      <c r="BA800" s="72"/>
      <c r="BB800" s="16"/>
      <c r="BC800" s="72"/>
      <c r="BD800" s="20"/>
      <c r="BE800" s="352"/>
    </row>
    <row r="801" spans="1:57" s="81" customFormat="1" ht="12.95" hidden="1" customHeight="1">
      <c r="A801" s="348"/>
      <c r="B801" s="350"/>
      <c r="C801" s="248" t="s">
        <v>1650</v>
      </c>
      <c r="D801" s="239" t="s">
        <v>4714</v>
      </c>
      <c r="E801" s="58"/>
      <c r="F801" s="59" t="s">
        <v>4715</v>
      </c>
      <c r="G801" s="191" t="s">
        <v>2511</v>
      </c>
      <c r="H801" s="192" t="s">
        <v>1920</v>
      </c>
      <c r="I801" s="61" t="s">
        <v>2511</v>
      </c>
      <c r="J801" s="61" t="s">
        <v>2511</v>
      </c>
      <c r="K801" s="62" t="s">
        <v>2511</v>
      </c>
      <c r="L801" s="60" t="s">
        <v>2511</v>
      </c>
      <c r="M801" s="61" t="s">
        <v>2389</v>
      </c>
      <c r="N801" s="61" t="s">
        <v>2511</v>
      </c>
      <c r="O801" s="61" t="s">
        <v>2511</v>
      </c>
      <c r="P801" s="62" t="s">
        <v>2511</v>
      </c>
      <c r="Q801" s="82"/>
      <c r="R801" s="82"/>
      <c r="S801" s="82"/>
      <c r="T801" s="82"/>
      <c r="U801" s="82"/>
      <c r="V801" s="138" t="s">
        <v>4716</v>
      </c>
      <c r="W801" s="57" t="s">
        <v>4532</v>
      </c>
      <c r="X801" s="126" t="s">
        <v>2511</v>
      </c>
      <c r="Y801" s="126" t="s">
        <v>2511</v>
      </c>
      <c r="Z801" s="57"/>
      <c r="AA801" s="57" t="s">
        <v>4533</v>
      </c>
      <c r="AB801" s="138"/>
      <c r="AC801" s="138" t="s">
        <v>895</v>
      </c>
      <c r="AD801" s="96"/>
      <c r="AE801" s="80"/>
      <c r="AF801" s="80"/>
      <c r="AG801" s="80"/>
      <c r="AH801" s="83"/>
      <c r="AI801" s="83"/>
      <c r="AJ801" s="84"/>
      <c r="AK801" s="84"/>
      <c r="AL801" s="84"/>
      <c r="AM801" s="84"/>
      <c r="AN801" s="84"/>
      <c r="AO801" s="84"/>
      <c r="AP801" s="84"/>
      <c r="AQ801" s="95" t="s">
        <v>1920</v>
      </c>
      <c r="AR801" s="72"/>
      <c r="AS801" s="72"/>
      <c r="AT801" s="72"/>
      <c r="AU801" s="72"/>
      <c r="AV801" s="72"/>
      <c r="AW801" s="72"/>
      <c r="AX801" s="72"/>
      <c r="AY801" s="72"/>
      <c r="AZ801" s="72"/>
      <c r="BA801" s="72"/>
      <c r="BB801" s="16"/>
      <c r="BC801" s="72"/>
      <c r="BD801" s="20"/>
      <c r="BE801" s="352"/>
    </row>
    <row r="802" spans="1:57" s="81" customFormat="1" ht="12.95" hidden="1" customHeight="1">
      <c r="A802" s="348"/>
      <c r="B802" s="350"/>
      <c r="C802" s="248" t="s">
        <v>1651</v>
      </c>
      <c r="D802" s="239" t="s">
        <v>4717</v>
      </c>
      <c r="E802" s="58"/>
      <c r="F802" s="59" t="s">
        <v>4718</v>
      </c>
      <c r="G802" s="191" t="s">
        <v>2511</v>
      </c>
      <c r="H802" s="192" t="s">
        <v>1921</v>
      </c>
      <c r="I802" s="61" t="s">
        <v>2511</v>
      </c>
      <c r="J802" s="61" t="s">
        <v>2511</v>
      </c>
      <c r="K802" s="62" t="s">
        <v>2511</v>
      </c>
      <c r="L802" s="60" t="s">
        <v>2511</v>
      </c>
      <c r="M802" s="61" t="s">
        <v>2389</v>
      </c>
      <c r="N802" s="61" t="s">
        <v>2511</v>
      </c>
      <c r="O802" s="61" t="s">
        <v>2511</v>
      </c>
      <c r="P802" s="62" t="s">
        <v>2511</v>
      </c>
      <c r="Q802" s="82"/>
      <c r="R802" s="82"/>
      <c r="S802" s="82"/>
      <c r="T802" s="82"/>
      <c r="U802" s="82"/>
      <c r="V802" s="138" t="s">
        <v>4719</v>
      </c>
      <c r="W802" s="57" t="s">
        <v>4532</v>
      </c>
      <c r="X802" s="126" t="s">
        <v>2511</v>
      </c>
      <c r="Y802" s="126" t="s">
        <v>2511</v>
      </c>
      <c r="Z802" s="57"/>
      <c r="AA802" s="57" t="s">
        <v>4533</v>
      </c>
      <c r="AB802" s="138"/>
      <c r="AC802" s="138" t="s">
        <v>895</v>
      </c>
      <c r="AD802" s="96"/>
      <c r="AE802" s="80"/>
      <c r="AF802" s="80"/>
      <c r="AG802" s="80"/>
      <c r="AH802" s="83"/>
      <c r="AI802" s="83"/>
      <c r="AJ802" s="84"/>
      <c r="AK802" s="84"/>
      <c r="AL802" s="84"/>
      <c r="AM802" s="84"/>
      <c r="AN802" s="84"/>
      <c r="AO802" s="84"/>
      <c r="AP802" s="84"/>
      <c r="AQ802" s="95" t="s">
        <v>1921</v>
      </c>
      <c r="AR802" s="72"/>
      <c r="AS802" s="72"/>
      <c r="AT802" s="72"/>
      <c r="AU802" s="72"/>
      <c r="AV802" s="72"/>
      <c r="AW802" s="72"/>
      <c r="AX802" s="72"/>
      <c r="AY802" s="72"/>
      <c r="AZ802" s="72"/>
      <c r="BA802" s="72"/>
      <c r="BB802" s="16"/>
      <c r="BC802" s="72"/>
      <c r="BD802" s="20"/>
      <c r="BE802" s="352"/>
    </row>
    <row r="803" spans="1:57" s="81" customFormat="1" ht="12.95" hidden="1" customHeight="1">
      <c r="A803" s="348"/>
      <c r="B803" s="350"/>
      <c r="C803" s="248" t="s">
        <v>1652</v>
      </c>
      <c r="D803" s="239" t="s">
        <v>4720</v>
      </c>
      <c r="E803" s="58"/>
      <c r="F803" s="59" t="s">
        <v>4721</v>
      </c>
      <c r="G803" s="191" t="s">
        <v>2511</v>
      </c>
      <c r="H803" s="192" t="s">
        <v>1922</v>
      </c>
      <c r="I803" s="61" t="s">
        <v>2511</v>
      </c>
      <c r="J803" s="61" t="s">
        <v>2511</v>
      </c>
      <c r="K803" s="62" t="s">
        <v>2511</v>
      </c>
      <c r="L803" s="60" t="s">
        <v>2511</v>
      </c>
      <c r="M803" s="61" t="s">
        <v>2389</v>
      </c>
      <c r="N803" s="61" t="s">
        <v>2511</v>
      </c>
      <c r="O803" s="61" t="s">
        <v>2511</v>
      </c>
      <c r="P803" s="62" t="s">
        <v>2511</v>
      </c>
      <c r="Q803" s="82"/>
      <c r="R803" s="82"/>
      <c r="S803" s="82"/>
      <c r="T803" s="82"/>
      <c r="U803" s="82"/>
      <c r="V803" s="138" t="s">
        <v>4722</v>
      </c>
      <c r="W803" s="57" t="s">
        <v>4532</v>
      </c>
      <c r="X803" s="126" t="s">
        <v>2511</v>
      </c>
      <c r="Y803" s="126" t="s">
        <v>2511</v>
      </c>
      <c r="Z803" s="57"/>
      <c r="AA803" s="57" t="s">
        <v>4533</v>
      </c>
      <c r="AB803" s="138"/>
      <c r="AC803" s="138" t="s">
        <v>895</v>
      </c>
      <c r="AD803" s="96"/>
      <c r="AE803" s="80"/>
      <c r="AF803" s="80"/>
      <c r="AG803" s="80"/>
      <c r="AH803" s="83"/>
      <c r="AI803" s="83"/>
      <c r="AJ803" s="84"/>
      <c r="AK803" s="84"/>
      <c r="AL803" s="84"/>
      <c r="AM803" s="84"/>
      <c r="AN803" s="84"/>
      <c r="AO803" s="84"/>
      <c r="AP803" s="84"/>
      <c r="AQ803" s="95" t="s">
        <v>1922</v>
      </c>
      <c r="AR803" s="72"/>
      <c r="AS803" s="72"/>
      <c r="AT803" s="72"/>
      <c r="AU803" s="72"/>
      <c r="AV803" s="72"/>
      <c r="AW803" s="72"/>
      <c r="AX803" s="72"/>
      <c r="AY803" s="72"/>
      <c r="AZ803" s="72"/>
      <c r="BA803" s="72"/>
      <c r="BB803" s="16"/>
      <c r="BC803" s="72"/>
      <c r="BD803" s="20"/>
      <c r="BE803" s="352"/>
    </row>
    <row r="804" spans="1:57" s="81" customFormat="1" ht="12.95" hidden="1" customHeight="1">
      <c r="A804" s="348"/>
      <c r="B804" s="350"/>
      <c r="C804" s="248" t="s">
        <v>1653</v>
      </c>
      <c r="D804" s="239" t="s">
        <v>4723</v>
      </c>
      <c r="E804" s="58"/>
      <c r="F804" s="59" t="s">
        <v>4724</v>
      </c>
      <c r="G804" s="191" t="s">
        <v>2511</v>
      </c>
      <c r="H804" s="192" t="s">
        <v>1923</v>
      </c>
      <c r="I804" s="61" t="s">
        <v>2511</v>
      </c>
      <c r="J804" s="61" t="s">
        <v>2511</v>
      </c>
      <c r="K804" s="62" t="s">
        <v>2511</v>
      </c>
      <c r="L804" s="60" t="s">
        <v>2511</v>
      </c>
      <c r="M804" s="61" t="s">
        <v>2389</v>
      </c>
      <c r="N804" s="61" t="s">
        <v>2511</v>
      </c>
      <c r="O804" s="61" t="s">
        <v>2511</v>
      </c>
      <c r="P804" s="62" t="s">
        <v>2511</v>
      </c>
      <c r="Q804" s="82"/>
      <c r="R804" s="82"/>
      <c r="S804" s="82"/>
      <c r="T804" s="82"/>
      <c r="U804" s="82"/>
      <c r="V804" s="138" t="s">
        <v>4725</v>
      </c>
      <c r="W804" s="57" t="s">
        <v>4532</v>
      </c>
      <c r="X804" s="126" t="s">
        <v>2511</v>
      </c>
      <c r="Y804" s="126" t="s">
        <v>2511</v>
      </c>
      <c r="Z804" s="57"/>
      <c r="AA804" s="57" t="s">
        <v>4533</v>
      </c>
      <c r="AB804" s="138"/>
      <c r="AC804" s="138" t="s">
        <v>895</v>
      </c>
      <c r="AD804" s="96"/>
      <c r="AE804" s="80"/>
      <c r="AF804" s="80"/>
      <c r="AG804" s="80"/>
      <c r="AH804" s="83"/>
      <c r="AI804" s="83"/>
      <c r="AJ804" s="84"/>
      <c r="AK804" s="84"/>
      <c r="AL804" s="84"/>
      <c r="AM804" s="84"/>
      <c r="AN804" s="84"/>
      <c r="AO804" s="84"/>
      <c r="AP804" s="84"/>
      <c r="AQ804" s="95" t="s">
        <v>1923</v>
      </c>
      <c r="AR804" s="72"/>
      <c r="AS804" s="72"/>
      <c r="AT804" s="72"/>
      <c r="AU804" s="72"/>
      <c r="AV804" s="72"/>
      <c r="AW804" s="72"/>
      <c r="AX804" s="72"/>
      <c r="AY804" s="72"/>
      <c r="AZ804" s="72"/>
      <c r="BA804" s="72"/>
      <c r="BB804" s="16"/>
      <c r="BC804" s="72"/>
      <c r="BD804" s="20"/>
      <c r="BE804" s="352"/>
    </row>
    <row r="805" spans="1:57" s="81" customFormat="1" ht="12.95" hidden="1" customHeight="1">
      <c r="A805" s="348"/>
      <c r="B805" s="350"/>
      <c r="C805" s="248" t="s">
        <v>1654</v>
      </c>
      <c r="D805" s="239" t="s">
        <v>4726</v>
      </c>
      <c r="E805" s="58"/>
      <c r="F805" s="59" t="s">
        <v>4727</v>
      </c>
      <c r="G805" s="191" t="s">
        <v>2511</v>
      </c>
      <c r="H805" s="192" t="s">
        <v>1924</v>
      </c>
      <c r="I805" s="61" t="s">
        <v>2511</v>
      </c>
      <c r="J805" s="61" t="s">
        <v>2511</v>
      </c>
      <c r="K805" s="62" t="s">
        <v>2511</v>
      </c>
      <c r="L805" s="60" t="s">
        <v>2511</v>
      </c>
      <c r="M805" s="61" t="s">
        <v>2389</v>
      </c>
      <c r="N805" s="61" t="s">
        <v>2511</v>
      </c>
      <c r="O805" s="61" t="s">
        <v>2511</v>
      </c>
      <c r="P805" s="62" t="s">
        <v>2511</v>
      </c>
      <c r="Q805" s="82"/>
      <c r="R805" s="82"/>
      <c r="S805" s="82"/>
      <c r="T805" s="82"/>
      <c r="U805" s="82"/>
      <c r="V805" s="138" t="s">
        <v>4728</v>
      </c>
      <c r="W805" s="57" t="s">
        <v>4532</v>
      </c>
      <c r="X805" s="126" t="s">
        <v>2511</v>
      </c>
      <c r="Y805" s="126" t="s">
        <v>2511</v>
      </c>
      <c r="Z805" s="57"/>
      <c r="AA805" s="57" t="s">
        <v>4533</v>
      </c>
      <c r="AB805" s="138"/>
      <c r="AC805" s="138" t="s">
        <v>895</v>
      </c>
      <c r="AD805" s="96"/>
      <c r="AE805" s="80"/>
      <c r="AF805" s="80"/>
      <c r="AG805" s="80"/>
      <c r="AH805" s="83"/>
      <c r="AI805" s="83"/>
      <c r="AJ805" s="84"/>
      <c r="AK805" s="84"/>
      <c r="AL805" s="84"/>
      <c r="AM805" s="84"/>
      <c r="AN805" s="84"/>
      <c r="AO805" s="84"/>
      <c r="AP805" s="84"/>
      <c r="AQ805" s="95" t="s">
        <v>1924</v>
      </c>
      <c r="AR805" s="72"/>
      <c r="AS805" s="72"/>
      <c r="AT805" s="72"/>
      <c r="AU805" s="72"/>
      <c r="AV805" s="72"/>
      <c r="AW805" s="72"/>
      <c r="AX805" s="72"/>
      <c r="AY805" s="72"/>
      <c r="AZ805" s="72"/>
      <c r="BA805" s="72"/>
      <c r="BB805" s="16"/>
      <c r="BC805" s="72"/>
      <c r="BD805" s="20"/>
      <c r="BE805" s="352"/>
    </row>
    <row r="806" spans="1:57" s="81" customFormat="1" ht="12.95" hidden="1" customHeight="1">
      <c r="A806" s="348"/>
      <c r="B806" s="350"/>
      <c r="C806" s="248" t="s">
        <v>1655</v>
      </c>
      <c r="D806" s="239" t="s">
        <v>4729</v>
      </c>
      <c r="E806" s="58"/>
      <c r="F806" s="59" t="s">
        <v>4730</v>
      </c>
      <c r="G806" s="191" t="s">
        <v>2511</v>
      </c>
      <c r="H806" s="192" t="s">
        <v>1925</v>
      </c>
      <c r="I806" s="61" t="s">
        <v>2511</v>
      </c>
      <c r="J806" s="61" t="s">
        <v>2511</v>
      </c>
      <c r="K806" s="62" t="s">
        <v>2511</v>
      </c>
      <c r="L806" s="60" t="s">
        <v>2511</v>
      </c>
      <c r="M806" s="61" t="s">
        <v>2389</v>
      </c>
      <c r="N806" s="61" t="s">
        <v>2511</v>
      </c>
      <c r="O806" s="61" t="s">
        <v>2511</v>
      </c>
      <c r="P806" s="62" t="s">
        <v>2511</v>
      </c>
      <c r="Q806" s="82"/>
      <c r="R806" s="82"/>
      <c r="S806" s="82"/>
      <c r="T806" s="82"/>
      <c r="U806" s="82"/>
      <c r="V806" s="138" t="s">
        <v>4731</v>
      </c>
      <c r="W806" s="57" t="s">
        <v>4532</v>
      </c>
      <c r="X806" s="126" t="s">
        <v>2511</v>
      </c>
      <c r="Y806" s="126" t="s">
        <v>2511</v>
      </c>
      <c r="Z806" s="57"/>
      <c r="AA806" s="57" t="s">
        <v>4533</v>
      </c>
      <c r="AB806" s="138"/>
      <c r="AC806" s="138" t="s">
        <v>895</v>
      </c>
      <c r="AD806" s="96"/>
      <c r="AE806" s="80"/>
      <c r="AF806" s="80"/>
      <c r="AG806" s="80"/>
      <c r="AH806" s="83"/>
      <c r="AI806" s="83"/>
      <c r="AJ806" s="84"/>
      <c r="AK806" s="84"/>
      <c r="AL806" s="84"/>
      <c r="AM806" s="84"/>
      <c r="AN806" s="84"/>
      <c r="AO806" s="84"/>
      <c r="AP806" s="84"/>
      <c r="AQ806" s="95" t="s">
        <v>1925</v>
      </c>
      <c r="AR806" s="72"/>
      <c r="AS806" s="72"/>
      <c r="AT806" s="72"/>
      <c r="AU806" s="72"/>
      <c r="AV806" s="72"/>
      <c r="AW806" s="72"/>
      <c r="AX806" s="72"/>
      <c r="AY806" s="72"/>
      <c r="AZ806" s="72"/>
      <c r="BA806" s="72"/>
      <c r="BB806" s="16"/>
      <c r="BC806" s="72"/>
      <c r="BD806" s="20"/>
      <c r="BE806" s="352"/>
    </row>
    <row r="807" spans="1:57" s="81" customFormat="1" ht="12.95" hidden="1" customHeight="1">
      <c r="A807" s="348"/>
      <c r="B807" s="350"/>
      <c r="C807" s="248" t="s">
        <v>1656</v>
      </c>
      <c r="D807" s="239" t="s">
        <v>4732</v>
      </c>
      <c r="E807" s="58"/>
      <c r="F807" s="59" t="s">
        <v>4733</v>
      </c>
      <c r="G807" s="191" t="s">
        <v>2511</v>
      </c>
      <c r="H807" s="192" t="s">
        <v>1926</v>
      </c>
      <c r="I807" s="61" t="s">
        <v>2511</v>
      </c>
      <c r="J807" s="61" t="s">
        <v>2511</v>
      </c>
      <c r="K807" s="62" t="s">
        <v>2511</v>
      </c>
      <c r="L807" s="60" t="s">
        <v>2511</v>
      </c>
      <c r="M807" s="61" t="s">
        <v>2389</v>
      </c>
      <c r="N807" s="61" t="s">
        <v>2511</v>
      </c>
      <c r="O807" s="61" t="s">
        <v>2511</v>
      </c>
      <c r="P807" s="62" t="s">
        <v>2511</v>
      </c>
      <c r="Q807" s="82"/>
      <c r="R807" s="82"/>
      <c r="S807" s="82"/>
      <c r="T807" s="82"/>
      <c r="U807" s="82"/>
      <c r="V807" s="138" t="s">
        <v>4734</v>
      </c>
      <c r="W807" s="57" t="s">
        <v>4532</v>
      </c>
      <c r="X807" s="126" t="s">
        <v>2511</v>
      </c>
      <c r="Y807" s="126" t="s">
        <v>2511</v>
      </c>
      <c r="Z807" s="57"/>
      <c r="AA807" s="57" t="s">
        <v>4533</v>
      </c>
      <c r="AB807" s="138"/>
      <c r="AC807" s="138" t="s">
        <v>895</v>
      </c>
      <c r="AD807" s="96"/>
      <c r="AE807" s="80"/>
      <c r="AF807" s="80"/>
      <c r="AG807" s="80"/>
      <c r="AH807" s="83"/>
      <c r="AI807" s="83"/>
      <c r="AJ807" s="84"/>
      <c r="AK807" s="84"/>
      <c r="AL807" s="84"/>
      <c r="AM807" s="84"/>
      <c r="AN807" s="84"/>
      <c r="AO807" s="84"/>
      <c r="AP807" s="84"/>
      <c r="AQ807" s="95" t="s">
        <v>1926</v>
      </c>
      <c r="AR807" s="72"/>
      <c r="AS807" s="72"/>
      <c r="AT807" s="72"/>
      <c r="AU807" s="72"/>
      <c r="AV807" s="72"/>
      <c r="AW807" s="72"/>
      <c r="AX807" s="72"/>
      <c r="AY807" s="72"/>
      <c r="AZ807" s="72"/>
      <c r="BA807" s="72"/>
      <c r="BB807" s="16"/>
      <c r="BC807" s="72"/>
      <c r="BD807" s="20"/>
      <c r="BE807" s="352"/>
    </row>
    <row r="808" spans="1:57" s="81" customFormat="1" ht="12.95" hidden="1" customHeight="1">
      <c r="A808" s="348"/>
      <c r="B808" s="350"/>
      <c r="C808" s="248" t="s">
        <v>1657</v>
      </c>
      <c r="D808" s="239" t="s">
        <v>4735</v>
      </c>
      <c r="E808" s="58"/>
      <c r="F808" s="59" t="s">
        <v>4736</v>
      </c>
      <c r="G808" s="191" t="s">
        <v>2511</v>
      </c>
      <c r="H808" s="192" t="s">
        <v>1927</v>
      </c>
      <c r="I808" s="61" t="s">
        <v>2511</v>
      </c>
      <c r="J808" s="61" t="s">
        <v>2511</v>
      </c>
      <c r="K808" s="62" t="s">
        <v>2511</v>
      </c>
      <c r="L808" s="60" t="s">
        <v>2511</v>
      </c>
      <c r="M808" s="61" t="s">
        <v>2389</v>
      </c>
      <c r="N808" s="61" t="s">
        <v>2511</v>
      </c>
      <c r="O808" s="61" t="s">
        <v>2511</v>
      </c>
      <c r="P808" s="62" t="s">
        <v>2511</v>
      </c>
      <c r="Q808" s="82"/>
      <c r="R808" s="82"/>
      <c r="S808" s="82"/>
      <c r="T808" s="82"/>
      <c r="U808" s="82"/>
      <c r="V808" s="138" t="s">
        <v>4737</v>
      </c>
      <c r="W808" s="57" t="s">
        <v>4532</v>
      </c>
      <c r="X808" s="126" t="s">
        <v>2511</v>
      </c>
      <c r="Y808" s="126" t="s">
        <v>2511</v>
      </c>
      <c r="Z808" s="57"/>
      <c r="AA808" s="57" t="s">
        <v>4533</v>
      </c>
      <c r="AB808" s="138"/>
      <c r="AC808" s="138" t="s">
        <v>895</v>
      </c>
      <c r="AD808" s="96"/>
      <c r="AE808" s="80"/>
      <c r="AF808" s="80"/>
      <c r="AG808" s="80"/>
      <c r="AH808" s="83"/>
      <c r="AI808" s="83"/>
      <c r="AJ808" s="84"/>
      <c r="AK808" s="84"/>
      <c r="AL808" s="84"/>
      <c r="AM808" s="84"/>
      <c r="AN808" s="84"/>
      <c r="AO808" s="84"/>
      <c r="AP808" s="84"/>
      <c r="AQ808" s="95" t="s">
        <v>1927</v>
      </c>
      <c r="AR808" s="72"/>
      <c r="AS808" s="72"/>
      <c r="AT808" s="72"/>
      <c r="AU808" s="72"/>
      <c r="AV808" s="72"/>
      <c r="AW808" s="72"/>
      <c r="AX808" s="72"/>
      <c r="AY808" s="72"/>
      <c r="AZ808" s="72"/>
      <c r="BA808" s="72"/>
      <c r="BB808" s="16"/>
      <c r="BC808" s="72"/>
      <c r="BD808" s="20"/>
      <c r="BE808" s="352"/>
    </row>
    <row r="809" spans="1:57" s="81" customFormat="1" ht="12.95" hidden="1" customHeight="1">
      <c r="A809" s="348"/>
      <c r="B809" s="350"/>
      <c r="C809" s="270" t="s">
        <v>1658</v>
      </c>
      <c r="D809" s="239" t="s">
        <v>4738</v>
      </c>
      <c r="E809" s="58"/>
      <c r="F809" s="59" t="s">
        <v>4739</v>
      </c>
      <c r="G809" s="191" t="s">
        <v>2511</v>
      </c>
      <c r="H809" s="192" t="s">
        <v>1928</v>
      </c>
      <c r="I809" s="61" t="s">
        <v>2511</v>
      </c>
      <c r="J809" s="61" t="s">
        <v>2511</v>
      </c>
      <c r="K809" s="62" t="s">
        <v>2511</v>
      </c>
      <c r="L809" s="60" t="s">
        <v>2511</v>
      </c>
      <c r="M809" s="61" t="s">
        <v>2389</v>
      </c>
      <c r="N809" s="61" t="s">
        <v>2511</v>
      </c>
      <c r="O809" s="61" t="s">
        <v>2511</v>
      </c>
      <c r="P809" s="62" t="s">
        <v>2511</v>
      </c>
      <c r="Q809" s="82"/>
      <c r="R809" s="82"/>
      <c r="S809" s="82"/>
      <c r="T809" s="82"/>
      <c r="U809" s="82"/>
      <c r="V809" s="138" t="s">
        <v>4740</v>
      </c>
      <c r="W809" s="57" t="s">
        <v>4532</v>
      </c>
      <c r="X809" s="126" t="s">
        <v>2511</v>
      </c>
      <c r="Y809" s="126" t="s">
        <v>2511</v>
      </c>
      <c r="Z809" s="57"/>
      <c r="AA809" s="57" t="s">
        <v>4533</v>
      </c>
      <c r="AB809" s="138"/>
      <c r="AC809" s="138" t="s">
        <v>895</v>
      </c>
      <c r="AD809" s="96"/>
      <c r="AE809" s="80"/>
      <c r="AF809" s="80"/>
      <c r="AG809" s="80"/>
      <c r="AH809" s="83"/>
      <c r="AI809" s="83"/>
      <c r="AJ809" s="84"/>
      <c r="AK809" s="84"/>
      <c r="AL809" s="84"/>
      <c r="AM809" s="84"/>
      <c r="AN809" s="84"/>
      <c r="AO809" s="84"/>
      <c r="AP809" s="84"/>
      <c r="AQ809" s="95" t="s">
        <v>1928</v>
      </c>
      <c r="AR809" s="72"/>
      <c r="AS809" s="72"/>
      <c r="AT809" s="72"/>
      <c r="AU809" s="72"/>
      <c r="AV809" s="72"/>
      <c r="AW809" s="72"/>
      <c r="AX809" s="72"/>
      <c r="AY809" s="72"/>
      <c r="AZ809" s="72"/>
      <c r="BA809" s="72"/>
      <c r="BB809" s="16"/>
      <c r="BC809" s="72"/>
      <c r="BD809" s="20"/>
      <c r="BE809" s="352"/>
    </row>
    <row r="810" spans="1:57" s="81" customFormat="1" ht="12.95" hidden="1" customHeight="1">
      <c r="A810" s="348"/>
      <c r="B810" s="350"/>
      <c r="C810" s="270" t="s">
        <v>1659</v>
      </c>
      <c r="D810" s="239" t="s">
        <v>4741</v>
      </c>
      <c r="E810" s="58"/>
      <c r="F810" s="59" t="s">
        <v>4742</v>
      </c>
      <c r="G810" s="191" t="s">
        <v>2511</v>
      </c>
      <c r="H810" s="192" t="s">
        <v>1929</v>
      </c>
      <c r="I810" s="61" t="s">
        <v>2511</v>
      </c>
      <c r="J810" s="61" t="s">
        <v>2511</v>
      </c>
      <c r="K810" s="62" t="s">
        <v>2511</v>
      </c>
      <c r="L810" s="60" t="s">
        <v>2511</v>
      </c>
      <c r="M810" s="61" t="s">
        <v>2389</v>
      </c>
      <c r="N810" s="61" t="s">
        <v>2511</v>
      </c>
      <c r="O810" s="61" t="s">
        <v>2511</v>
      </c>
      <c r="P810" s="62" t="s">
        <v>2511</v>
      </c>
      <c r="Q810" s="82"/>
      <c r="R810" s="82"/>
      <c r="S810" s="82"/>
      <c r="T810" s="82"/>
      <c r="U810" s="82"/>
      <c r="V810" s="138" t="s">
        <v>4743</v>
      </c>
      <c r="W810" s="57" t="s">
        <v>4532</v>
      </c>
      <c r="X810" s="126" t="s">
        <v>2511</v>
      </c>
      <c r="Y810" s="126" t="s">
        <v>2511</v>
      </c>
      <c r="Z810" s="57"/>
      <c r="AA810" s="57" t="s">
        <v>4533</v>
      </c>
      <c r="AB810" s="138"/>
      <c r="AC810" s="138" t="s">
        <v>895</v>
      </c>
      <c r="AD810" s="96"/>
      <c r="AE810" s="80"/>
      <c r="AF810" s="80"/>
      <c r="AG810" s="80"/>
      <c r="AH810" s="83"/>
      <c r="AI810" s="83"/>
      <c r="AJ810" s="84"/>
      <c r="AK810" s="84"/>
      <c r="AL810" s="84"/>
      <c r="AM810" s="84"/>
      <c r="AN810" s="84"/>
      <c r="AO810" s="84"/>
      <c r="AP810" s="84"/>
      <c r="AQ810" s="95" t="s">
        <v>1929</v>
      </c>
      <c r="AR810" s="72"/>
      <c r="AS810" s="72"/>
      <c r="AT810" s="72"/>
      <c r="AU810" s="72"/>
      <c r="AV810" s="72"/>
      <c r="AW810" s="72"/>
      <c r="AX810" s="72"/>
      <c r="AY810" s="72"/>
      <c r="AZ810" s="72"/>
      <c r="BA810" s="72"/>
      <c r="BB810" s="16"/>
      <c r="BC810" s="72"/>
      <c r="BD810" s="20"/>
      <c r="BE810" s="352"/>
    </row>
    <row r="811" spans="1:57" s="81" customFormat="1" ht="12.95" hidden="1" customHeight="1">
      <c r="A811" s="348"/>
      <c r="B811" s="350"/>
      <c r="C811" s="248" t="s">
        <v>1660</v>
      </c>
      <c r="D811" s="239" t="s">
        <v>4744</v>
      </c>
      <c r="E811" s="58"/>
      <c r="F811" s="59" t="s">
        <v>4745</v>
      </c>
      <c r="G811" s="191" t="s">
        <v>2511</v>
      </c>
      <c r="H811" s="192" t="s">
        <v>1930</v>
      </c>
      <c r="I811" s="61" t="s">
        <v>2511</v>
      </c>
      <c r="J811" s="61" t="s">
        <v>2511</v>
      </c>
      <c r="K811" s="62" t="s">
        <v>2511</v>
      </c>
      <c r="L811" s="60" t="s">
        <v>2511</v>
      </c>
      <c r="M811" s="61" t="s">
        <v>2389</v>
      </c>
      <c r="N811" s="61" t="s">
        <v>2511</v>
      </c>
      <c r="O811" s="61" t="s">
        <v>2511</v>
      </c>
      <c r="P811" s="62" t="s">
        <v>2511</v>
      </c>
      <c r="Q811" s="82"/>
      <c r="R811" s="82"/>
      <c r="S811" s="82"/>
      <c r="T811" s="82"/>
      <c r="U811" s="82"/>
      <c r="V811" s="138" t="s">
        <v>4746</v>
      </c>
      <c r="W811" s="57" t="s">
        <v>4532</v>
      </c>
      <c r="X811" s="126" t="s">
        <v>2511</v>
      </c>
      <c r="Y811" s="126" t="s">
        <v>2511</v>
      </c>
      <c r="Z811" s="57"/>
      <c r="AA811" s="57" t="s">
        <v>4533</v>
      </c>
      <c r="AB811" s="138"/>
      <c r="AC811" s="138">
        <v>0</v>
      </c>
      <c r="AD811" s="96"/>
      <c r="AE811" s="80"/>
      <c r="AF811" s="80"/>
      <c r="AG811" s="80"/>
      <c r="AH811" s="83"/>
      <c r="AI811" s="83"/>
      <c r="AJ811" s="84"/>
      <c r="AK811" s="84"/>
      <c r="AL811" s="84"/>
      <c r="AM811" s="84"/>
      <c r="AN811" s="84"/>
      <c r="AO811" s="84"/>
      <c r="AP811" s="84"/>
      <c r="AQ811" s="95" t="s">
        <v>1930</v>
      </c>
      <c r="AR811" s="72"/>
      <c r="AS811" s="72"/>
      <c r="AT811" s="72"/>
      <c r="AU811" s="72"/>
      <c r="AV811" s="72"/>
      <c r="AW811" s="72"/>
      <c r="AX811" s="72"/>
      <c r="AY811" s="72"/>
      <c r="AZ811" s="72"/>
      <c r="BA811" s="72"/>
      <c r="BB811" s="16"/>
      <c r="BC811" s="72"/>
      <c r="BD811" s="20"/>
      <c r="BE811" s="352"/>
    </row>
    <row r="812" spans="1:57" s="81" customFormat="1" ht="12.95" hidden="1" customHeight="1">
      <c r="A812" s="348"/>
      <c r="B812" s="350"/>
      <c r="C812" s="248" t="s">
        <v>1661</v>
      </c>
      <c r="D812" s="239" t="s">
        <v>4747</v>
      </c>
      <c r="E812" s="58"/>
      <c r="F812" s="59" t="s">
        <v>4748</v>
      </c>
      <c r="G812" s="191" t="s">
        <v>2511</v>
      </c>
      <c r="H812" s="192" t="s">
        <v>1931</v>
      </c>
      <c r="I812" s="61" t="s">
        <v>2511</v>
      </c>
      <c r="J812" s="61" t="s">
        <v>2511</v>
      </c>
      <c r="K812" s="62" t="s">
        <v>2511</v>
      </c>
      <c r="L812" s="60" t="s">
        <v>2511</v>
      </c>
      <c r="M812" s="61" t="s">
        <v>2389</v>
      </c>
      <c r="N812" s="61" t="s">
        <v>2511</v>
      </c>
      <c r="O812" s="61" t="s">
        <v>2511</v>
      </c>
      <c r="P812" s="62" t="s">
        <v>2511</v>
      </c>
      <c r="Q812" s="82"/>
      <c r="R812" s="82"/>
      <c r="S812" s="82"/>
      <c r="T812" s="82"/>
      <c r="U812" s="82"/>
      <c r="V812" s="138" t="s">
        <v>4749</v>
      </c>
      <c r="W812" s="57" t="s">
        <v>4532</v>
      </c>
      <c r="X812" s="126" t="s">
        <v>2511</v>
      </c>
      <c r="Y812" s="126" t="s">
        <v>2511</v>
      </c>
      <c r="Z812" s="57"/>
      <c r="AA812" s="57" t="s">
        <v>4533</v>
      </c>
      <c r="AB812" s="138"/>
      <c r="AC812" s="138" t="s">
        <v>2631</v>
      </c>
      <c r="AD812" s="96"/>
      <c r="AE812" s="80"/>
      <c r="AF812" s="80"/>
      <c r="AG812" s="80"/>
      <c r="AH812" s="83"/>
      <c r="AI812" s="83"/>
      <c r="AJ812" s="84"/>
      <c r="AK812" s="84"/>
      <c r="AL812" s="84"/>
      <c r="AM812" s="84"/>
      <c r="AN812" s="84"/>
      <c r="AO812" s="84"/>
      <c r="AP812" s="84"/>
      <c r="AQ812" s="95" t="s">
        <v>1931</v>
      </c>
      <c r="AR812" s="72"/>
      <c r="AS812" s="72"/>
      <c r="AT812" s="72"/>
      <c r="AU812" s="72"/>
      <c r="AV812" s="72"/>
      <c r="AW812" s="72"/>
      <c r="AX812" s="72"/>
      <c r="AY812" s="72"/>
      <c r="AZ812" s="72"/>
      <c r="BA812" s="72"/>
      <c r="BB812" s="16"/>
      <c r="BC812" s="72"/>
      <c r="BD812" s="20"/>
      <c r="BE812" s="352"/>
    </row>
    <row r="813" spans="1:57" s="81" customFormat="1" ht="12.95" hidden="1" customHeight="1">
      <c r="A813" s="348"/>
      <c r="B813" s="350"/>
      <c r="C813" s="248" t="s">
        <v>1662</v>
      </c>
      <c r="D813" s="239" t="s">
        <v>4750</v>
      </c>
      <c r="E813" s="58"/>
      <c r="F813" s="59" t="s">
        <v>4751</v>
      </c>
      <c r="G813" s="191" t="s">
        <v>2511</v>
      </c>
      <c r="H813" s="192" t="s">
        <v>1932</v>
      </c>
      <c r="I813" s="61" t="s">
        <v>2511</v>
      </c>
      <c r="J813" s="61" t="s">
        <v>2511</v>
      </c>
      <c r="K813" s="62" t="s">
        <v>2511</v>
      </c>
      <c r="L813" s="60" t="s">
        <v>2511</v>
      </c>
      <c r="M813" s="61" t="s">
        <v>2389</v>
      </c>
      <c r="N813" s="61" t="s">
        <v>2511</v>
      </c>
      <c r="O813" s="61" t="s">
        <v>2511</v>
      </c>
      <c r="P813" s="62" t="s">
        <v>2511</v>
      </c>
      <c r="Q813" s="82"/>
      <c r="R813" s="82"/>
      <c r="S813" s="82"/>
      <c r="T813" s="82"/>
      <c r="U813" s="82"/>
      <c r="V813" s="138" t="s">
        <v>4752</v>
      </c>
      <c r="W813" s="57" t="s">
        <v>4532</v>
      </c>
      <c r="X813" s="126" t="s">
        <v>2511</v>
      </c>
      <c r="Y813" s="126" t="s">
        <v>2511</v>
      </c>
      <c r="Z813" s="57"/>
      <c r="AA813" s="57" t="s">
        <v>4533</v>
      </c>
      <c r="AB813" s="138"/>
      <c r="AC813" s="138" t="s">
        <v>2631</v>
      </c>
      <c r="AD813" s="96"/>
      <c r="AE813" s="80"/>
      <c r="AF813" s="80"/>
      <c r="AG813" s="80"/>
      <c r="AH813" s="83"/>
      <c r="AI813" s="83"/>
      <c r="AJ813" s="84"/>
      <c r="AK813" s="84"/>
      <c r="AL813" s="84"/>
      <c r="AM813" s="84"/>
      <c r="AN813" s="84"/>
      <c r="AO813" s="84"/>
      <c r="AP813" s="84"/>
      <c r="AQ813" s="95" t="s">
        <v>1932</v>
      </c>
      <c r="AR813" s="72"/>
      <c r="AS813" s="72"/>
      <c r="AT813" s="72"/>
      <c r="AU813" s="72"/>
      <c r="AV813" s="72"/>
      <c r="AW813" s="72"/>
      <c r="AX813" s="72"/>
      <c r="AY813" s="72"/>
      <c r="AZ813" s="72"/>
      <c r="BA813" s="72"/>
      <c r="BB813" s="16"/>
      <c r="BC813" s="72"/>
      <c r="BD813" s="20"/>
      <c r="BE813" s="352"/>
    </row>
    <row r="814" spans="1:57" s="81" customFormat="1" ht="12.95" hidden="1" customHeight="1">
      <c r="A814" s="348"/>
      <c r="B814" s="350"/>
      <c r="C814" s="248" t="s">
        <v>1663</v>
      </c>
      <c r="D814" s="239" t="s">
        <v>4753</v>
      </c>
      <c r="E814" s="58"/>
      <c r="F814" s="59" t="s">
        <v>4754</v>
      </c>
      <c r="G814" s="191" t="s">
        <v>2511</v>
      </c>
      <c r="H814" s="192" t="s">
        <v>1933</v>
      </c>
      <c r="I814" s="61" t="s">
        <v>2511</v>
      </c>
      <c r="J814" s="61" t="s">
        <v>2511</v>
      </c>
      <c r="K814" s="62" t="s">
        <v>2511</v>
      </c>
      <c r="L814" s="60" t="s">
        <v>2511</v>
      </c>
      <c r="M814" s="61" t="s">
        <v>2389</v>
      </c>
      <c r="N814" s="61" t="s">
        <v>2511</v>
      </c>
      <c r="O814" s="61" t="s">
        <v>2511</v>
      </c>
      <c r="P814" s="62" t="s">
        <v>2511</v>
      </c>
      <c r="Q814" s="82"/>
      <c r="R814" s="82"/>
      <c r="S814" s="82"/>
      <c r="T814" s="82"/>
      <c r="U814" s="82"/>
      <c r="V814" s="138" t="s">
        <v>4755</v>
      </c>
      <c r="W814" s="57" t="s">
        <v>4532</v>
      </c>
      <c r="X814" s="126" t="s">
        <v>2511</v>
      </c>
      <c r="Y814" s="126" t="s">
        <v>2511</v>
      </c>
      <c r="Z814" s="57"/>
      <c r="AA814" s="57" t="s">
        <v>4533</v>
      </c>
      <c r="AB814" s="138"/>
      <c r="AC814" s="138" t="s">
        <v>2631</v>
      </c>
      <c r="AD814" s="96"/>
      <c r="AE814" s="80"/>
      <c r="AF814" s="80"/>
      <c r="AG814" s="80"/>
      <c r="AH814" s="83"/>
      <c r="AI814" s="83"/>
      <c r="AJ814" s="84"/>
      <c r="AK814" s="84"/>
      <c r="AL814" s="84"/>
      <c r="AM814" s="84"/>
      <c r="AN814" s="84"/>
      <c r="AO814" s="84"/>
      <c r="AP814" s="84"/>
      <c r="AQ814" s="95" t="s">
        <v>1933</v>
      </c>
      <c r="AR814" s="72"/>
      <c r="AS814" s="72"/>
      <c r="AT814" s="72"/>
      <c r="AU814" s="72"/>
      <c r="AV814" s="72"/>
      <c r="AW814" s="72"/>
      <c r="AX814" s="72"/>
      <c r="AY814" s="72"/>
      <c r="AZ814" s="72"/>
      <c r="BA814" s="72"/>
      <c r="BB814" s="16"/>
      <c r="BC814" s="72"/>
      <c r="BD814" s="20"/>
      <c r="BE814" s="352"/>
    </row>
    <row r="815" spans="1:57" s="81" customFormat="1" ht="12.95" hidden="1" customHeight="1">
      <c r="A815" s="348"/>
      <c r="B815" s="350"/>
      <c r="C815" s="248" t="s">
        <v>1664</v>
      </c>
      <c r="D815" s="239" t="s">
        <v>4756</v>
      </c>
      <c r="E815" s="58"/>
      <c r="F815" s="59" t="s">
        <v>4757</v>
      </c>
      <c r="G815" s="191" t="s">
        <v>2511</v>
      </c>
      <c r="H815" s="192" t="s">
        <v>1934</v>
      </c>
      <c r="I815" s="61" t="s">
        <v>2511</v>
      </c>
      <c r="J815" s="61" t="s">
        <v>2511</v>
      </c>
      <c r="K815" s="62" t="s">
        <v>2511</v>
      </c>
      <c r="L815" s="60" t="s">
        <v>2511</v>
      </c>
      <c r="M815" s="61" t="s">
        <v>2389</v>
      </c>
      <c r="N815" s="61" t="s">
        <v>2511</v>
      </c>
      <c r="O815" s="61" t="s">
        <v>2511</v>
      </c>
      <c r="P815" s="62" t="s">
        <v>2511</v>
      </c>
      <c r="Q815" s="82"/>
      <c r="R815" s="82"/>
      <c r="S815" s="82"/>
      <c r="T815" s="82"/>
      <c r="U815" s="82"/>
      <c r="V815" s="138" t="s">
        <v>4758</v>
      </c>
      <c r="W815" s="57" t="s">
        <v>4532</v>
      </c>
      <c r="X815" s="126" t="s">
        <v>2511</v>
      </c>
      <c r="Y815" s="126" t="s">
        <v>2511</v>
      </c>
      <c r="Z815" s="57"/>
      <c r="AA815" s="57" t="s">
        <v>4533</v>
      </c>
      <c r="AB815" s="138"/>
      <c r="AC815" s="138" t="s">
        <v>2631</v>
      </c>
      <c r="AD815" s="96"/>
      <c r="AE815" s="80"/>
      <c r="AF815" s="80"/>
      <c r="AG815" s="80"/>
      <c r="AH815" s="83"/>
      <c r="AI815" s="83"/>
      <c r="AJ815" s="84"/>
      <c r="AK815" s="84"/>
      <c r="AL815" s="84"/>
      <c r="AM815" s="84"/>
      <c r="AN815" s="84"/>
      <c r="AO815" s="84"/>
      <c r="AP815" s="84"/>
      <c r="AQ815" s="95" t="s">
        <v>1934</v>
      </c>
      <c r="AR815" s="72"/>
      <c r="AS815" s="72"/>
      <c r="AT815" s="72"/>
      <c r="AU815" s="72"/>
      <c r="AV815" s="72"/>
      <c r="AW815" s="72"/>
      <c r="AX815" s="72"/>
      <c r="AY815" s="72"/>
      <c r="AZ815" s="72"/>
      <c r="BA815" s="72"/>
      <c r="BB815" s="16"/>
      <c r="BC815" s="72"/>
      <c r="BD815" s="20"/>
      <c r="BE815" s="352"/>
    </row>
    <row r="816" spans="1:57" s="81" customFormat="1" ht="12.95" hidden="1" customHeight="1">
      <c r="A816" s="348"/>
      <c r="B816" s="350"/>
      <c r="C816" s="248" t="s">
        <v>1665</v>
      </c>
      <c r="D816" s="239" t="s">
        <v>4759</v>
      </c>
      <c r="E816" s="58"/>
      <c r="F816" s="59" t="s">
        <v>4760</v>
      </c>
      <c r="G816" s="191" t="s">
        <v>2511</v>
      </c>
      <c r="H816" s="192" t="s">
        <v>1935</v>
      </c>
      <c r="I816" s="61" t="s">
        <v>2511</v>
      </c>
      <c r="J816" s="61" t="s">
        <v>2511</v>
      </c>
      <c r="K816" s="62" t="s">
        <v>2511</v>
      </c>
      <c r="L816" s="60" t="s">
        <v>2511</v>
      </c>
      <c r="M816" s="61" t="s">
        <v>2389</v>
      </c>
      <c r="N816" s="61" t="s">
        <v>2511</v>
      </c>
      <c r="O816" s="61" t="s">
        <v>2511</v>
      </c>
      <c r="P816" s="62" t="s">
        <v>2511</v>
      </c>
      <c r="Q816" s="82"/>
      <c r="R816" s="82"/>
      <c r="S816" s="82"/>
      <c r="T816" s="82"/>
      <c r="U816" s="82"/>
      <c r="V816" s="138" t="s">
        <v>4761</v>
      </c>
      <c r="W816" s="57" t="s">
        <v>4532</v>
      </c>
      <c r="X816" s="126" t="s">
        <v>2511</v>
      </c>
      <c r="Y816" s="126" t="s">
        <v>2511</v>
      </c>
      <c r="Z816" s="57"/>
      <c r="AA816" s="57" t="s">
        <v>4533</v>
      </c>
      <c r="AB816" s="138"/>
      <c r="AC816" s="138" t="s">
        <v>2631</v>
      </c>
      <c r="AD816" s="96"/>
      <c r="AE816" s="80"/>
      <c r="AF816" s="80"/>
      <c r="AG816" s="80"/>
      <c r="AH816" s="83"/>
      <c r="AI816" s="83"/>
      <c r="AJ816" s="84"/>
      <c r="AK816" s="84"/>
      <c r="AL816" s="84"/>
      <c r="AM816" s="84"/>
      <c r="AN816" s="84"/>
      <c r="AO816" s="84"/>
      <c r="AP816" s="84"/>
      <c r="AQ816" s="95" t="s">
        <v>1935</v>
      </c>
      <c r="AR816" s="72"/>
      <c r="AS816" s="72"/>
      <c r="AT816" s="72"/>
      <c r="AU816" s="72"/>
      <c r="AV816" s="72"/>
      <c r="AW816" s="72"/>
      <c r="AX816" s="72"/>
      <c r="AY816" s="72"/>
      <c r="AZ816" s="72"/>
      <c r="BA816" s="72"/>
      <c r="BB816" s="16"/>
      <c r="BC816" s="72"/>
      <c r="BD816" s="20"/>
      <c r="BE816" s="352"/>
    </row>
    <row r="817" spans="1:57" s="81" customFormat="1" ht="12.95" hidden="1" customHeight="1">
      <c r="A817" s="348"/>
      <c r="B817" s="350"/>
      <c r="C817" s="248" t="s">
        <v>1666</v>
      </c>
      <c r="D817" s="239" t="s">
        <v>4762</v>
      </c>
      <c r="E817" s="58"/>
      <c r="F817" s="59" t="s">
        <v>4763</v>
      </c>
      <c r="G817" s="191" t="s">
        <v>2511</v>
      </c>
      <c r="H817" s="192" t="s">
        <v>1936</v>
      </c>
      <c r="I817" s="61" t="s">
        <v>2511</v>
      </c>
      <c r="J817" s="61" t="s">
        <v>2511</v>
      </c>
      <c r="K817" s="62" t="s">
        <v>2511</v>
      </c>
      <c r="L817" s="60" t="s">
        <v>2511</v>
      </c>
      <c r="M817" s="61" t="s">
        <v>2389</v>
      </c>
      <c r="N817" s="61" t="s">
        <v>2511</v>
      </c>
      <c r="O817" s="61" t="s">
        <v>2511</v>
      </c>
      <c r="P817" s="62" t="s">
        <v>2511</v>
      </c>
      <c r="Q817" s="82"/>
      <c r="R817" s="82"/>
      <c r="S817" s="82"/>
      <c r="T817" s="82"/>
      <c r="U817" s="82"/>
      <c r="V817" s="138" t="s">
        <v>4764</v>
      </c>
      <c r="W817" s="57" t="s">
        <v>4532</v>
      </c>
      <c r="X817" s="126" t="s">
        <v>2511</v>
      </c>
      <c r="Y817" s="126" t="s">
        <v>2511</v>
      </c>
      <c r="Z817" s="57"/>
      <c r="AA817" s="57" t="s">
        <v>4533</v>
      </c>
      <c r="AB817" s="138"/>
      <c r="AC817" s="138" t="s">
        <v>2631</v>
      </c>
      <c r="AD817" s="96"/>
      <c r="AE817" s="80"/>
      <c r="AF817" s="80"/>
      <c r="AG817" s="80"/>
      <c r="AH817" s="83"/>
      <c r="AI817" s="83"/>
      <c r="AJ817" s="84"/>
      <c r="AK817" s="84"/>
      <c r="AL817" s="84"/>
      <c r="AM817" s="84"/>
      <c r="AN817" s="84"/>
      <c r="AO817" s="84"/>
      <c r="AP817" s="84"/>
      <c r="AQ817" s="95" t="s">
        <v>1936</v>
      </c>
      <c r="AR817" s="72"/>
      <c r="AS817" s="72"/>
      <c r="AT817" s="72"/>
      <c r="AU817" s="72"/>
      <c r="AV817" s="72"/>
      <c r="AW817" s="72"/>
      <c r="AX817" s="72"/>
      <c r="AY817" s="72"/>
      <c r="AZ817" s="72"/>
      <c r="BA817" s="72"/>
      <c r="BB817" s="16"/>
      <c r="BC817" s="72"/>
      <c r="BD817" s="20"/>
      <c r="BE817" s="352"/>
    </row>
    <row r="818" spans="1:57" s="81" customFormat="1" ht="12.95" hidden="1" customHeight="1">
      <c r="A818" s="348"/>
      <c r="B818" s="350"/>
      <c r="C818" s="248" t="s">
        <v>1667</v>
      </c>
      <c r="D818" s="239" t="s">
        <v>4765</v>
      </c>
      <c r="E818" s="58"/>
      <c r="F818" s="59" t="s">
        <v>4766</v>
      </c>
      <c r="G818" s="191" t="s">
        <v>2511</v>
      </c>
      <c r="H818" s="192" t="s">
        <v>1937</v>
      </c>
      <c r="I818" s="61" t="s">
        <v>2511</v>
      </c>
      <c r="J818" s="61" t="s">
        <v>2511</v>
      </c>
      <c r="K818" s="62" t="s">
        <v>2511</v>
      </c>
      <c r="L818" s="60" t="s">
        <v>2511</v>
      </c>
      <c r="M818" s="61" t="s">
        <v>2389</v>
      </c>
      <c r="N818" s="61" t="s">
        <v>2511</v>
      </c>
      <c r="O818" s="61" t="s">
        <v>2511</v>
      </c>
      <c r="P818" s="62" t="s">
        <v>2511</v>
      </c>
      <c r="Q818" s="82"/>
      <c r="R818" s="82"/>
      <c r="S818" s="82"/>
      <c r="T818" s="82"/>
      <c r="U818" s="82"/>
      <c r="V818" s="138" t="s">
        <v>4767</v>
      </c>
      <c r="W818" s="57" t="s">
        <v>4532</v>
      </c>
      <c r="X818" s="126" t="s">
        <v>2511</v>
      </c>
      <c r="Y818" s="126" t="s">
        <v>2511</v>
      </c>
      <c r="Z818" s="57"/>
      <c r="AA818" s="57" t="s">
        <v>4533</v>
      </c>
      <c r="AB818" s="138"/>
      <c r="AC818" s="138" t="s">
        <v>2631</v>
      </c>
      <c r="AD818" s="96"/>
      <c r="AE818" s="80"/>
      <c r="AF818" s="80"/>
      <c r="AG818" s="80"/>
      <c r="AH818" s="83"/>
      <c r="AI818" s="83"/>
      <c r="AJ818" s="84"/>
      <c r="AK818" s="84"/>
      <c r="AL818" s="84"/>
      <c r="AM818" s="84"/>
      <c r="AN818" s="84"/>
      <c r="AO818" s="84"/>
      <c r="AP818" s="84"/>
      <c r="AQ818" s="95" t="s">
        <v>1937</v>
      </c>
      <c r="AR818" s="72"/>
      <c r="AS818" s="72"/>
      <c r="AT818" s="72"/>
      <c r="AU818" s="72"/>
      <c r="AV818" s="72"/>
      <c r="AW818" s="72"/>
      <c r="AX818" s="72"/>
      <c r="AY818" s="72"/>
      <c r="AZ818" s="72"/>
      <c r="BA818" s="72"/>
      <c r="BB818" s="16"/>
      <c r="BC818" s="72"/>
      <c r="BD818" s="20"/>
      <c r="BE818" s="352"/>
    </row>
    <row r="819" spans="1:57" s="81" customFormat="1" ht="12.95" hidden="1" customHeight="1">
      <c r="A819" s="348"/>
      <c r="B819" s="350"/>
      <c r="C819" s="248" t="s">
        <v>1668</v>
      </c>
      <c r="D819" s="239" t="s">
        <v>4768</v>
      </c>
      <c r="E819" s="58"/>
      <c r="F819" s="59" t="s">
        <v>4769</v>
      </c>
      <c r="G819" s="191" t="s">
        <v>2511</v>
      </c>
      <c r="H819" s="192" t="s">
        <v>1938</v>
      </c>
      <c r="I819" s="61" t="s">
        <v>2511</v>
      </c>
      <c r="J819" s="61" t="s">
        <v>2511</v>
      </c>
      <c r="K819" s="62" t="s">
        <v>2511</v>
      </c>
      <c r="L819" s="60" t="s">
        <v>2511</v>
      </c>
      <c r="M819" s="61" t="s">
        <v>2389</v>
      </c>
      <c r="N819" s="61" t="s">
        <v>2511</v>
      </c>
      <c r="O819" s="61" t="s">
        <v>2511</v>
      </c>
      <c r="P819" s="62" t="s">
        <v>2511</v>
      </c>
      <c r="Q819" s="82"/>
      <c r="R819" s="82"/>
      <c r="S819" s="82"/>
      <c r="T819" s="82"/>
      <c r="U819" s="82"/>
      <c r="V819" s="138" t="s">
        <v>4770</v>
      </c>
      <c r="W819" s="57" t="s">
        <v>4532</v>
      </c>
      <c r="X819" s="126" t="s">
        <v>2511</v>
      </c>
      <c r="Y819" s="126" t="s">
        <v>2511</v>
      </c>
      <c r="Z819" s="57"/>
      <c r="AA819" s="57" t="s">
        <v>4533</v>
      </c>
      <c r="AB819" s="138"/>
      <c r="AC819" s="138" t="s">
        <v>2631</v>
      </c>
      <c r="AD819" s="96"/>
      <c r="AE819" s="80"/>
      <c r="AF819" s="80"/>
      <c r="AG819" s="80"/>
      <c r="AH819" s="83"/>
      <c r="AI819" s="83"/>
      <c r="AJ819" s="84"/>
      <c r="AK819" s="84"/>
      <c r="AL819" s="84"/>
      <c r="AM819" s="84"/>
      <c r="AN819" s="84"/>
      <c r="AO819" s="84"/>
      <c r="AP819" s="84"/>
      <c r="AQ819" s="95" t="s">
        <v>1938</v>
      </c>
      <c r="AR819" s="72"/>
      <c r="AS819" s="72"/>
      <c r="AT819" s="72"/>
      <c r="AU819" s="72"/>
      <c r="AV819" s="72"/>
      <c r="AW819" s="72"/>
      <c r="AX819" s="72"/>
      <c r="AY819" s="72"/>
      <c r="AZ819" s="72"/>
      <c r="BA819" s="72"/>
      <c r="BB819" s="16"/>
      <c r="BC819" s="72"/>
      <c r="BD819" s="20"/>
      <c r="BE819" s="352"/>
    </row>
    <row r="820" spans="1:57" s="81" customFormat="1" ht="12.95" hidden="1" customHeight="1">
      <c r="A820" s="348"/>
      <c r="B820" s="350"/>
      <c r="C820" s="248" t="s">
        <v>1669</v>
      </c>
      <c r="D820" s="239" t="s">
        <v>4771</v>
      </c>
      <c r="E820" s="58"/>
      <c r="F820" s="59" t="s">
        <v>4772</v>
      </c>
      <c r="G820" s="191" t="s">
        <v>2511</v>
      </c>
      <c r="H820" s="192" t="s">
        <v>1939</v>
      </c>
      <c r="I820" s="61" t="s">
        <v>2511</v>
      </c>
      <c r="J820" s="61" t="s">
        <v>2511</v>
      </c>
      <c r="K820" s="62" t="s">
        <v>2511</v>
      </c>
      <c r="L820" s="60" t="s">
        <v>2511</v>
      </c>
      <c r="M820" s="61" t="s">
        <v>2389</v>
      </c>
      <c r="N820" s="61" t="s">
        <v>2511</v>
      </c>
      <c r="O820" s="61" t="s">
        <v>2511</v>
      </c>
      <c r="P820" s="62" t="s">
        <v>2511</v>
      </c>
      <c r="Q820" s="82"/>
      <c r="R820" s="82"/>
      <c r="S820" s="82"/>
      <c r="T820" s="82"/>
      <c r="U820" s="82"/>
      <c r="V820" s="138" t="s">
        <v>4773</v>
      </c>
      <c r="W820" s="57" t="s">
        <v>4532</v>
      </c>
      <c r="X820" s="126" t="s">
        <v>2511</v>
      </c>
      <c r="Y820" s="126" t="s">
        <v>2511</v>
      </c>
      <c r="Z820" s="57"/>
      <c r="AA820" s="57" t="s">
        <v>4533</v>
      </c>
      <c r="AB820" s="138"/>
      <c r="AC820" s="138" t="s">
        <v>2631</v>
      </c>
      <c r="AD820" s="96"/>
      <c r="AE820" s="80"/>
      <c r="AF820" s="80"/>
      <c r="AG820" s="80"/>
      <c r="AH820" s="83"/>
      <c r="AI820" s="83"/>
      <c r="AJ820" s="84"/>
      <c r="AK820" s="84"/>
      <c r="AL820" s="84"/>
      <c r="AM820" s="84"/>
      <c r="AN820" s="84"/>
      <c r="AO820" s="84"/>
      <c r="AP820" s="84"/>
      <c r="AQ820" s="95" t="s">
        <v>1939</v>
      </c>
      <c r="AR820" s="72"/>
      <c r="AS820" s="72"/>
      <c r="AT820" s="72"/>
      <c r="AU820" s="72"/>
      <c r="AV820" s="72"/>
      <c r="AW820" s="72"/>
      <c r="AX820" s="72"/>
      <c r="AY820" s="72"/>
      <c r="AZ820" s="72"/>
      <c r="BA820" s="72"/>
      <c r="BB820" s="16"/>
      <c r="BC820" s="72"/>
      <c r="BD820" s="20"/>
      <c r="BE820" s="352"/>
    </row>
    <row r="821" spans="1:57" s="81" customFormat="1" ht="12.95" hidden="1" customHeight="1">
      <c r="A821" s="348"/>
      <c r="B821" s="350"/>
      <c r="C821" s="270" t="s">
        <v>1670</v>
      </c>
      <c r="D821" s="239" t="s">
        <v>4774</v>
      </c>
      <c r="E821" s="58"/>
      <c r="F821" s="59" t="s">
        <v>4775</v>
      </c>
      <c r="G821" s="191" t="s">
        <v>2511</v>
      </c>
      <c r="H821" s="192" t="s">
        <v>1940</v>
      </c>
      <c r="I821" s="61" t="s">
        <v>2511</v>
      </c>
      <c r="J821" s="61" t="s">
        <v>2511</v>
      </c>
      <c r="K821" s="62" t="s">
        <v>2511</v>
      </c>
      <c r="L821" s="60" t="s">
        <v>2511</v>
      </c>
      <c r="M821" s="61" t="s">
        <v>2389</v>
      </c>
      <c r="N821" s="61" t="s">
        <v>2511</v>
      </c>
      <c r="O821" s="61" t="s">
        <v>2511</v>
      </c>
      <c r="P821" s="62" t="s">
        <v>2511</v>
      </c>
      <c r="Q821" s="82"/>
      <c r="R821" s="82"/>
      <c r="S821" s="82"/>
      <c r="T821" s="82"/>
      <c r="U821" s="82"/>
      <c r="V821" s="138" t="s">
        <v>4776</v>
      </c>
      <c r="W821" s="57" t="s">
        <v>4532</v>
      </c>
      <c r="X821" s="126" t="s">
        <v>2511</v>
      </c>
      <c r="Y821" s="126" t="s">
        <v>2511</v>
      </c>
      <c r="Z821" s="57"/>
      <c r="AA821" s="57" t="s">
        <v>4533</v>
      </c>
      <c r="AB821" s="138"/>
      <c r="AC821" s="138" t="s">
        <v>2631</v>
      </c>
      <c r="AD821" s="96"/>
      <c r="AE821" s="80"/>
      <c r="AF821" s="80"/>
      <c r="AG821" s="80"/>
      <c r="AH821" s="83"/>
      <c r="AI821" s="83"/>
      <c r="AJ821" s="84"/>
      <c r="AK821" s="84"/>
      <c r="AL821" s="84"/>
      <c r="AM821" s="84"/>
      <c r="AN821" s="84"/>
      <c r="AO821" s="84"/>
      <c r="AP821" s="84"/>
      <c r="AQ821" s="95" t="s">
        <v>1940</v>
      </c>
      <c r="AR821" s="72"/>
      <c r="AS821" s="72"/>
      <c r="AT821" s="72"/>
      <c r="AU821" s="72"/>
      <c r="AV821" s="72"/>
      <c r="AW821" s="72"/>
      <c r="AX821" s="72"/>
      <c r="AY821" s="72"/>
      <c r="AZ821" s="72"/>
      <c r="BA821" s="72"/>
      <c r="BB821" s="16"/>
      <c r="BC821" s="72"/>
      <c r="BD821" s="20"/>
      <c r="BE821" s="352"/>
    </row>
    <row r="822" spans="1:57" s="81" customFormat="1" ht="12.95" hidden="1" customHeight="1">
      <c r="A822" s="348"/>
      <c r="B822" s="350"/>
      <c r="C822" s="270" t="s">
        <v>1671</v>
      </c>
      <c r="D822" s="239" t="s">
        <v>4777</v>
      </c>
      <c r="E822" s="58"/>
      <c r="F822" s="59" t="s">
        <v>4778</v>
      </c>
      <c r="G822" s="191" t="s">
        <v>2511</v>
      </c>
      <c r="H822" s="192" t="s">
        <v>1941</v>
      </c>
      <c r="I822" s="61" t="s">
        <v>2511</v>
      </c>
      <c r="J822" s="61" t="s">
        <v>2511</v>
      </c>
      <c r="K822" s="62" t="s">
        <v>2511</v>
      </c>
      <c r="L822" s="60" t="s">
        <v>2511</v>
      </c>
      <c r="M822" s="61" t="s">
        <v>2389</v>
      </c>
      <c r="N822" s="61" t="s">
        <v>2511</v>
      </c>
      <c r="O822" s="61" t="s">
        <v>2511</v>
      </c>
      <c r="P822" s="62" t="s">
        <v>2511</v>
      </c>
      <c r="Q822" s="82"/>
      <c r="R822" s="82"/>
      <c r="S822" s="82"/>
      <c r="T822" s="82"/>
      <c r="U822" s="82"/>
      <c r="V822" s="138" t="s">
        <v>4779</v>
      </c>
      <c r="W822" s="57" t="s">
        <v>4532</v>
      </c>
      <c r="X822" s="126" t="s">
        <v>2511</v>
      </c>
      <c r="Y822" s="126" t="s">
        <v>2511</v>
      </c>
      <c r="Z822" s="57"/>
      <c r="AA822" s="57" t="s">
        <v>4533</v>
      </c>
      <c r="AB822" s="138"/>
      <c r="AC822" s="138" t="s">
        <v>2631</v>
      </c>
      <c r="AD822" s="96"/>
      <c r="AE822" s="80"/>
      <c r="AF822" s="80"/>
      <c r="AG822" s="80"/>
      <c r="AH822" s="83"/>
      <c r="AI822" s="83"/>
      <c r="AJ822" s="84"/>
      <c r="AK822" s="84"/>
      <c r="AL822" s="84"/>
      <c r="AM822" s="84"/>
      <c r="AN822" s="84"/>
      <c r="AO822" s="84"/>
      <c r="AP822" s="84"/>
      <c r="AQ822" s="95" t="s">
        <v>1941</v>
      </c>
      <c r="AR822" s="72"/>
      <c r="AS822" s="72"/>
      <c r="AT822" s="72"/>
      <c r="AU822" s="72"/>
      <c r="AV822" s="72"/>
      <c r="AW822" s="72"/>
      <c r="AX822" s="72"/>
      <c r="AY822" s="72"/>
      <c r="AZ822" s="72"/>
      <c r="BA822" s="72"/>
      <c r="BB822" s="16"/>
      <c r="BC822" s="72"/>
      <c r="BD822" s="20"/>
      <c r="BE822" s="352"/>
    </row>
    <row r="823" spans="1:57" s="81" customFormat="1" ht="12.75" hidden="1" customHeight="1">
      <c r="A823" s="348"/>
      <c r="B823" s="350"/>
      <c r="C823" s="248" t="s">
        <v>1672</v>
      </c>
      <c r="D823" s="239" t="s">
        <v>4780</v>
      </c>
      <c r="E823" s="58"/>
      <c r="F823" s="59" t="s">
        <v>4781</v>
      </c>
      <c r="G823" s="191" t="s">
        <v>2511</v>
      </c>
      <c r="H823" s="192" t="s">
        <v>1942</v>
      </c>
      <c r="I823" s="61" t="s">
        <v>2511</v>
      </c>
      <c r="J823" s="61" t="s">
        <v>2511</v>
      </c>
      <c r="K823" s="62" t="s">
        <v>2511</v>
      </c>
      <c r="L823" s="60" t="s">
        <v>2511</v>
      </c>
      <c r="M823" s="61" t="s">
        <v>2389</v>
      </c>
      <c r="N823" s="61" t="s">
        <v>2511</v>
      </c>
      <c r="O823" s="61" t="s">
        <v>2511</v>
      </c>
      <c r="P823" s="62" t="s">
        <v>2511</v>
      </c>
      <c r="Q823" s="82"/>
      <c r="R823" s="82"/>
      <c r="S823" s="82"/>
      <c r="T823" s="82"/>
      <c r="U823" s="82"/>
      <c r="V823" s="138" t="s">
        <v>4782</v>
      </c>
      <c r="W823" s="57" t="s">
        <v>4532</v>
      </c>
      <c r="X823" s="126" t="s">
        <v>2511</v>
      </c>
      <c r="Y823" s="126" t="s">
        <v>2511</v>
      </c>
      <c r="Z823" s="57"/>
      <c r="AA823" s="57" t="s">
        <v>4533</v>
      </c>
      <c r="AB823" s="138"/>
      <c r="AC823" s="138">
        <v>0</v>
      </c>
      <c r="AD823" s="96"/>
      <c r="AE823" s="80"/>
      <c r="AF823" s="80"/>
      <c r="AG823" s="80"/>
      <c r="AH823" s="83"/>
      <c r="AI823" s="83"/>
      <c r="AJ823" s="84"/>
      <c r="AK823" s="84"/>
      <c r="AL823" s="84"/>
      <c r="AM823" s="84"/>
      <c r="AN823" s="84"/>
      <c r="AO823" s="84"/>
      <c r="AP823" s="84"/>
      <c r="AQ823" s="95" t="s">
        <v>1942</v>
      </c>
      <c r="AR823" s="72"/>
      <c r="AS823" s="72"/>
      <c r="AT823" s="72"/>
      <c r="AU823" s="72"/>
      <c r="AV823" s="72"/>
      <c r="AW823" s="72"/>
      <c r="AX823" s="72"/>
      <c r="AY823" s="72"/>
      <c r="AZ823" s="72"/>
      <c r="BA823" s="72"/>
      <c r="BB823" s="16"/>
      <c r="BC823" s="72"/>
      <c r="BD823" s="20"/>
      <c r="BE823" s="352"/>
    </row>
    <row r="824" spans="1:57" s="81" customFormat="1" ht="12.95" hidden="1" customHeight="1">
      <c r="A824" s="348"/>
      <c r="B824" s="350"/>
      <c r="C824" s="248" t="s">
        <v>1673</v>
      </c>
      <c r="D824" s="239" t="s">
        <v>4783</v>
      </c>
      <c r="E824" s="58"/>
      <c r="F824" s="59" t="s">
        <v>4784</v>
      </c>
      <c r="G824" s="191" t="s">
        <v>2511</v>
      </c>
      <c r="H824" s="192" t="s">
        <v>1943</v>
      </c>
      <c r="I824" s="61" t="s">
        <v>2511</v>
      </c>
      <c r="J824" s="61" t="s">
        <v>2511</v>
      </c>
      <c r="K824" s="62" t="s">
        <v>2511</v>
      </c>
      <c r="L824" s="60" t="s">
        <v>2511</v>
      </c>
      <c r="M824" s="61" t="s">
        <v>2389</v>
      </c>
      <c r="N824" s="61" t="s">
        <v>2511</v>
      </c>
      <c r="O824" s="61" t="s">
        <v>2511</v>
      </c>
      <c r="P824" s="62" t="s">
        <v>2511</v>
      </c>
      <c r="Q824" s="82"/>
      <c r="R824" s="82"/>
      <c r="S824" s="82"/>
      <c r="T824" s="82"/>
      <c r="U824" s="82"/>
      <c r="V824" s="138" t="s">
        <v>4785</v>
      </c>
      <c r="W824" s="57" t="s">
        <v>4532</v>
      </c>
      <c r="X824" s="126" t="s">
        <v>2511</v>
      </c>
      <c r="Y824" s="126" t="s">
        <v>2511</v>
      </c>
      <c r="Z824" s="57"/>
      <c r="AA824" s="57" t="s">
        <v>4533</v>
      </c>
      <c r="AB824" s="138"/>
      <c r="AC824" s="138" t="s">
        <v>2631</v>
      </c>
      <c r="AD824" s="96"/>
      <c r="AE824" s="80"/>
      <c r="AF824" s="80"/>
      <c r="AG824" s="80"/>
      <c r="AH824" s="83"/>
      <c r="AI824" s="83"/>
      <c r="AJ824" s="84"/>
      <c r="AK824" s="84"/>
      <c r="AL824" s="84"/>
      <c r="AM824" s="84"/>
      <c r="AN824" s="84"/>
      <c r="AO824" s="84"/>
      <c r="AP824" s="84"/>
      <c r="AQ824" s="95" t="s">
        <v>1943</v>
      </c>
      <c r="AR824" s="72"/>
      <c r="AS824" s="72"/>
      <c r="AT824" s="72"/>
      <c r="AU824" s="72"/>
      <c r="AV824" s="72"/>
      <c r="AW824" s="72"/>
      <c r="AX824" s="72"/>
      <c r="AY824" s="72"/>
      <c r="AZ824" s="72"/>
      <c r="BA824" s="72"/>
      <c r="BB824" s="16"/>
      <c r="BC824" s="72"/>
      <c r="BD824" s="20"/>
      <c r="BE824" s="352"/>
    </row>
    <row r="825" spans="1:57" s="81" customFormat="1" ht="12.95" hidden="1" customHeight="1">
      <c r="A825" s="348"/>
      <c r="B825" s="350"/>
      <c r="C825" s="248" t="s">
        <v>1674</v>
      </c>
      <c r="D825" s="239" t="s">
        <v>4786</v>
      </c>
      <c r="E825" s="58"/>
      <c r="F825" s="59" t="s">
        <v>4787</v>
      </c>
      <c r="G825" s="191" t="s">
        <v>2511</v>
      </c>
      <c r="H825" s="192" t="s">
        <v>1944</v>
      </c>
      <c r="I825" s="61" t="s">
        <v>2511</v>
      </c>
      <c r="J825" s="61" t="s">
        <v>2511</v>
      </c>
      <c r="K825" s="62" t="s">
        <v>2511</v>
      </c>
      <c r="L825" s="60" t="s">
        <v>2511</v>
      </c>
      <c r="M825" s="61" t="s">
        <v>2389</v>
      </c>
      <c r="N825" s="61" t="s">
        <v>2511</v>
      </c>
      <c r="O825" s="61" t="s">
        <v>2511</v>
      </c>
      <c r="P825" s="62" t="s">
        <v>2511</v>
      </c>
      <c r="Q825" s="82"/>
      <c r="R825" s="82"/>
      <c r="S825" s="82"/>
      <c r="T825" s="82"/>
      <c r="U825" s="82"/>
      <c r="V825" s="138" t="s">
        <v>4788</v>
      </c>
      <c r="W825" s="57" t="s">
        <v>4532</v>
      </c>
      <c r="X825" s="126" t="s">
        <v>2511</v>
      </c>
      <c r="Y825" s="126" t="s">
        <v>2511</v>
      </c>
      <c r="Z825" s="57"/>
      <c r="AA825" s="57" t="s">
        <v>4533</v>
      </c>
      <c r="AB825" s="138"/>
      <c r="AC825" s="138" t="s">
        <v>2631</v>
      </c>
      <c r="AD825" s="96"/>
      <c r="AE825" s="80"/>
      <c r="AF825" s="80"/>
      <c r="AG825" s="80"/>
      <c r="AH825" s="83"/>
      <c r="AI825" s="83"/>
      <c r="AJ825" s="84"/>
      <c r="AK825" s="84"/>
      <c r="AL825" s="84"/>
      <c r="AM825" s="84"/>
      <c r="AN825" s="84"/>
      <c r="AO825" s="84"/>
      <c r="AP825" s="84"/>
      <c r="AQ825" s="95" t="s">
        <v>1944</v>
      </c>
      <c r="AR825" s="72"/>
      <c r="AS825" s="72"/>
      <c r="AT825" s="72"/>
      <c r="AU825" s="72"/>
      <c r="AV825" s="72"/>
      <c r="AW825" s="72"/>
      <c r="AX825" s="72"/>
      <c r="AY825" s="72"/>
      <c r="AZ825" s="72"/>
      <c r="BA825" s="72"/>
      <c r="BB825" s="16"/>
      <c r="BC825" s="72"/>
      <c r="BD825" s="20"/>
      <c r="BE825" s="352"/>
    </row>
    <row r="826" spans="1:57" s="81" customFormat="1" ht="12.95" hidden="1" customHeight="1">
      <c r="A826" s="348"/>
      <c r="B826" s="350"/>
      <c r="C826" s="248" t="s">
        <v>1675</v>
      </c>
      <c r="D826" s="239" t="s">
        <v>4789</v>
      </c>
      <c r="E826" s="58"/>
      <c r="F826" s="59" t="s">
        <v>4790</v>
      </c>
      <c r="G826" s="191" t="s">
        <v>2511</v>
      </c>
      <c r="H826" s="192" t="s">
        <v>1945</v>
      </c>
      <c r="I826" s="61" t="s">
        <v>2511</v>
      </c>
      <c r="J826" s="61" t="s">
        <v>2511</v>
      </c>
      <c r="K826" s="62" t="s">
        <v>2511</v>
      </c>
      <c r="L826" s="60" t="s">
        <v>2511</v>
      </c>
      <c r="M826" s="61" t="s">
        <v>2389</v>
      </c>
      <c r="N826" s="61" t="s">
        <v>2511</v>
      </c>
      <c r="O826" s="61" t="s">
        <v>2511</v>
      </c>
      <c r="P826" s="62" t="s">
        <v>2511</v>
      </c>
      <c r="Q826" s="82"/>
      <c r="R826" s="82"/>
      <c r="S826" s="82"/>
      <c r="T826" s="82"/>
      <c r="U826" s="82"/>
      <c r="V826" s="138" t="s">
        <v>4791</v>
      </c>
      <c r="W826" s="57" t="s">
        <v>4532</v>
      </c>
      <c r="X826" s="126" t="s">
        <v>2511</v>
      </c>
      <c r="Y826" s="126" t="s">
        <v>2511</v>
      </c>
      <c r="Z826" s="57"/>
      <c r="AA826" s="57" t="s">
        <v>4533</v>
      </c>
      <c r="AB826" s="138"/>
      <c r="AC826" s="138" t="s">
        <v>2631</v>
      </c>
      <c r="AD826" s="96"/>
      <c r="AE826" s="80"/>
      <c r="AF826" s="80"/>
      <c r="AG826" s="80"/>
      <c r="AH826" s="83"/>
      <c r="AI826" s="83"/>
      <c r="AJ826" s="84"/>
      <c r="AK826" s="84"/>
      <c r="AL826" s="84"/>
      <c r="AM826" s="84"/>
      <c r="AN826" s="84"/>
      <c r="AO826" s="84"/>
      <c r="AP826" s="84"/>
      <c r="AQ826" s="95" t="s">
        <v>1945</v>
      </c>
      <c r="AR826" s="72"/>
      <c r="AS826" s="72"/>
      <c r="AT826" s="72"/>
      <c r="AU826" s="72"/>
      <c r="AV826" s="72"/>
      <c r="AW826" s="72"/>
      <c r="AX826" s="72"/>
      <c r="AY826" s="72"/>
      <c r="AZ826" s="72"/>
      <c r="BA826" s="72"/>
      <c r="BB826" s="16"/>
      <c r="BC826" s="72"/>
      <c r="BD826" s="20"/>
      <c r="BE826" s="352"/>
    </row>
    <row r="827" spans="1:57" s="81" customFormat="1" ht="12.95" hidden="1" customHeight="1">
      <c r="A827" s="348"/>
      <c r="B827" s="350"/>
      <c r="C827" s="248" t="s">
        <v>1676</v>
      </c>
      <c r="D827" s="239" t="s">
        <v>4792</v>
      </c>
      <c r="E827" s="58"/>
      <c r="F827" s="59" t="s">
        <v>4793</v>
      </c>
      <c r="G827" s="191" t="s">
        <v>2511</v>
      </c>
      <c r="H827" s="192" t="s">
        <v>1946</v>
      </c>
      <c r="I827" s="61" t="s">
        <v>2511</v>
      </c>
      <c r="J827" s="61" t="s">
        <v>2511</v>
      </c>
      <c r="K827" s="62" t="s">
        <v>2511</v>
      </c>
      <c r="L827" s="60" t="s">
        <v>2511</v>
      </c>
      <c r="M827" s="61" t="s">
        <v>2389</v>
      </c>
      <c r="N827" s="61" t="s">
        <v>2511</v>
      </c>
      <c r="O827" s="61" t="s">
        <v>2511</v>
      </c>
      <c r="P827" s="62" t="s">
        <v>2511</v>
      </c>
      <c r="Q827" s="82"/>
      <c r="R827" s="82"/>
      <c r="S827" s="82"/>
      <c r="T827" s="82"/>
      <c r="U827" s="82"/>
      <c r="V827" s="138" t="s">
        <v>4794</v>
      </c>
      <c r="W827" s="57" t="s">
        <v>4532</v>
      </c>
      <c r="X827" s="126" t="s">
        <v>2511</v>
      </c>
      <c r="Y827" s="126" t="s">
        <v>2511</v>
      </c>
      <c r="Z827" s="57"/>
      <c r="AA827" s="57" t="s">
        <v>4533</v>
      </c>
      <c r="AB827" s="138"/>
      <c r="AC827" s="138" t="s">
        <v>2631</v>
      </c>
      <c r="AD827" s="96"/>
      <c r="AE827" s="80"/>
      <c r="AF827" s="80"/>
      <c r="AG827" s="80"/>
      <c r="AH827" s="83"/>
      <c r="AI827" s="83"/>
      <c r="AJ827" s="84"/>
      <c r="AK827" s="84"/>
      <c r="AL827" s="84"/>
      <c r="AM827" s="84"/>
      <c r="AN827" s="84"/>
      <c r="AO827" s="84"/>
      <c r="AP827" s="84"/>
      <c r="AQ827" s="95" t="s">
        <v>1946</v>
      </c>
      <c r="AR827" s="72"/>
      <c r="AS827" s="72"/>
      <c r="AT827" s="72"/>
      <c r="AU827" s="72"/>
      <c r="AV827" s="72"/>
      <c r="AW827" s="72"/>
      <c r="AX827" s="72"/>
      <c r="AY827" s="72"/>
      <c r="AZ827" s="72"/>
      <c r="BA827" s="72"/>
      <c r="BB827" s="16"/>
      <c r="BC827" s="72"/>
      <c r="BD827" s="20"/>
      <c r="BE827" s="352"/>
    </row>
    <row r="828" spans="1:57" s="81" customFormat="1" ht="12.95" hidden="1" customHeight="1">
      <c r="A828" s="348"/>
      <c r="B828" s="350"/>
      <c r="C828" s="248" t="s">
        <v>1677</v>
      </c>
      <c r="D828" s="239" t="s">
        <v>4795</v>
      </c>
      <c r="E828" s="58"/>
      <c r="F828" s="59" t="s">
        <v>4796</v>
      </c>
      <c r="G828" s="191" t="s">
        <v>2511</v>
      </c>
      <c r="H828" s="192" t="s">
        <v>1947</v>
      </c>
      <c r="I828" s="61" t="s">
        <v>2511</v>
      </c>
      <c r="J828" s="61" t="s">
        <v>2511</v>
      </c>
      <c r="K828" s="62" t="s">
        <v>2511</v>
      </c>
      <c r="L828" s="60" t="s">
        <v>2511</v>
      </c>
      <c r="M828" s="61" t="s">
        <v>2389</v>
      </c>
      <c r="N828" s="61" t="s">
        <v>2511</v>
      </c>
      <c r="O828" s="61" t="s">
        <v>2511</v>
      </c>
      <c r="P828" s="62" t="s">
        <v>2511</v>
      </c>
      <c r="Q828" s="82"/>
      <c r="R828" s="82"/>
      <c r="S828" s="82"/>
      <c r="T828" s="82"/>
      <c r="U828" s="82"/>
      <c r="V828" s="138" t="s">
        <v>4797</v>
      </c>
      <c r="W828" s="57" t="s">
        <v>4532</v>
      </c>
      <c r="X828" s="126" t="s">
        <v>2511</v>
      </c>
      <c r="Y828" s="126" t="s">
        <v>2511</v>
      </c>
      <c r="Z828" s="57"/>
      <c r="AA828" s="57" t="s">
        <v>4533</v>
      </c>
      <c r="AB828" s="138"/>
      <c r="AC828" s="138" t="s">
        <v>2631</v>
      </c>
      <c r="AD828" s="96"/>
      <c r="AE828" s="80"/>
      <c r="AF828" s="80"/>
      <c r="AG828" s="80"/>
      <c r="AH828" s="83"/>
      <c r="AI828" s="83"/>
      <c r="AJ828" s="84"/>
      <c r="AK828" s="84"/>
      <c r="AL828" s="84"/>
      <c r="AM828" s="84"/>
      <c r="AN828" s="84"/>
      <c r="AO828" s="84"/>
      <c r="AP828" s="84"/>
      <c r="AQ828" s="95" t="s">
        <v>1947</v>
      </c>
      <c r="AR828" s="72"/>
      <c r="AS828" s="72"/>
      <c r="AT828" s="72"/>
      <c r="AU828" s="72"/>
      <c r="AV828" s="72"/>
      <c r="AW828" s="72"/>
      <c r="AX828" s="72"/>
      <c r="AY828" s="72"/>
      <c r="AZ828" s="72"/>
      <c r="BA828" s="72"/>
      <c r="BB828" s="16"/>
      <c r="BC828" s="72"/>
      <c r="BD828" s="20"/>
      <c r="BE828" s="352"/>
    </row>
    <row r="829" spans="1:57" s="81" customFormat="1" ht="12.95" hidden="1" customHeight="1">
      <c r="A829" s="348"/>
      <c r="B829" s="350"/>
      <c r="C829" s="248" t="s">
        <v>1678</v>
      </c>
      <c r="D829" s="239" t="s">
        <v>4798</v>
      </c>
      <c r="E829" s="58"/>
      <c r="F829" s="59" t="s">
        <v>4799</v>
      </c>
      <c r="G829" s="191" t="s">
        <v>2511</v>
      </c>
      <c r="H829" s="192" t="s">
        <v>1948</v>
      </c>
      <c r="I829" s="61" t="s">
        <v>2511</v>
      </c>
      <c r="J829" s="61" t="s">
        <v>2511</v>
      </c>
      <c r="K829" s="62" t="s">
        <v>2511</v>
      </c>
      <c r="L829" s="60" t="s">
        <v>2511</v>
      </c>
      <c r="M829" s="61" t="s">
        <v>2389</v>
      </c>
      <c r="N829" s="61" t="s">
        <v>2511</v>
      </c>
      <c r="O829" s="61" t="s">
        <v>2511</v>
      </c>
      <c r="P829" s="62" t="s">
        <v>2511</v>
      </c>
      <c r="Q829" s="82"/>
      <c r="R829" s="82"/>
      <c r="S829" s="82"/>
      <c r="T829" s="82"/>
      <c r="U829" s="82"/>
      <c r="V829" s="138" t="s">
        <v>4800</v>
      </c>
      <c r="W829" s="57" t="s">
        <v>4532</v>
      </c>
      <c r="X829" s="126" t="s">
        <v>2511</v>
      </c>
      <c r="Y829" s="126" t="s">
        <v>2511</v>
      </c>
      <c r="Z829" s="57"/>
      <c r="AA829" s="57" t="s">
        <v>4533</v>
      </c>
      <c r="AB829" s="138"/>
      <c r="AC829" s="138" t="s">
        <v>2631</v>
      </c>
      <c r="AD829" s="96"/>
      <c r="AE829" s="80"/>
      <c r="AF829" s="80"/>
      <c r="AG829" s="80"/>
      <c r="AH829" s="83"/>
      <c r="AI829" s="83"/>
      <c r="AJ829" s="84"/>
      <c r="AK829" s="84"/>
      <c r="AL829" s="84"/>
      <c r="AM829" s="84"/>
      <c r="AN829" s="84"/>
      <c r="AO829" s="84"/>
      <c r="AP829" s="84"/>
      <c r="AQ829" s="95" t="s">
        <v>1948</v>
      </c>
      <c r="AR829" s="72"/>
      <c r="AS829" s="72"/>
      <c r="AT829" s="72"/>
      <c r="AU829" s="72"/>
      <c r="AV829" s="72"/>
      <c r="AW829" s="72"/>
      <c r="AX829" s="72"/>
      <c r="AY829" s="72"/>
      <c r="AZ829" s="72"/>
      <c r="BA829" s="72"/>
      <c r="BB829" s="16"/>
      <c r="BC829" s="72"/>
      <c r="BD829" s="20"/>
      <c r="BE829" s="352"/>
    </row>
    <row r="830" spans="1:57" s="81" customFormat="1" ht="12.95" hidden="1" customHeight="1">
      <c r="A830" s="348"/>
      <c r="B830" s="350"/>
      <c r="C830" s="248" t="s">
        <v>1679</v>
      </c>
      <c r="D830" s="239" t="s">
        <v>4801</v>
      </c>
      <c r="E830" s="58"/>
      <c r="F830" s="59" t="s">
        <v>4802</v>
      </c>
      <c r="G830" s="191" t="s">
        <v>2511</v>
      </c>
      <c r="H830" s="192" t="s">
        <v>1949</v>
      </c>
      <c r="I830" s="61" t="s">
        <v>2511</v>
      </c>
      <c r="J830" s="61" t="s">
        <v>2511</v>
      </c>
      <c r="K830" s="62" t="s">
        <v>2511</v>
      </c>
      <c r="L830" s="60" t="s">
        <v>2511</v>
      </c>
      <c r="M830" s="61" t="s">
        <v>2389</v>
      </c>
      <c r="N830" s="61" t="s">
        <v>2511</v>
      </c>
      <c r="O830" s="61" t="s">
        <v>2511</v>
      </c>
      <c r="P830" s="62" t="s">
        <v>2511</v>
      </c>
      <c r="Q830" s="82"/>
      <c r="R830" s="82"/>
      <c r="S830" s="82"/>
      <c r="T830" s="82"/>
      <c r="U830" s="82"/>
      <c r="V830" s="138" t="s">
        <v>4803</v>
      </c>
      <c r="W830" s="57" t="s">
        <v>4532</v>
      </c>
      <c r="X830" s="126" t="s">
        <v>2511</v>
      </c>
      <c r="Y830" s="126" t="s">
        <v>2511</v>
      </c>
      <c r="Z830" s="57"/>
      <c r="AA830" s="57" t="s">
        <v>4533</v>
      </c>
      <c r="AB830" s="138"/>
      <c r="AC830" s="138" t="s">
        <v>2631</v>
      </c>
      <c r="AD830" s="96"/>
      <c r="AE830" s="80"/>
      <c r="AF830" s="80"/>
      <c r="AG830" s="80"/>
      <c r="AH830" s="83"/>
      <c r="AI830" s="83"/>
      <c r="AJ830" s="84"/>
      <c r="AK830" s="84"/>
      <c r="AL830" s="84"/>
      <c r="AM830" s="84"/>
      <c r="AN830" s="84"/>
      <c r="AO830" s="84"/>
      <c r="AP830" s="84"/>
      <c r="AQ830" s="95" t="s">
        <v>1949</v>
      </c>
      <c r="AR830" s="72"/>
      <c r="AS830" s="72"/>
      <c r="AT830" s="72"/>
      <c r="AU830" s="72"/>
      <c r="AV830" s="72"/>
      <c r="AW830" s="72"/>
      <c r="AX830" s="72"/>
      <c r="AY830" s="72"/>
      <c r="AZ830" s="72"/>
      <c r="BA830" s="72"/>
      <c r="BB830" s="16"/>
      <c r="BC830" s="72"/>
      <c r="BD830" s="20"/>
      <c r="BE830" s="352"/>
    </row>
    <row r="831" spans="1:57" s="81" customFormat="1" ht="12.95" hidden="1" customHeight="1">
      <c r="A831" s="348"/>
      <c r="B831" s="350"/>
      <c r="C831" s="248" t="s">
        <v>1680</v>
      </c>
      <c r="D831" s="239" t="s">
        <v>4804</v>
      </c>
      <c r="E831" s="58"/>
      <c r="F831" s="59" t="s">
        <v>4805</v>
      </c>
      <c r="G831" s="191" t="s">
        <v>2511</v>
      </c>
      <c r="H831" s="192" t="s">
        <v>1950</v>
      </c>
      <c r="I831" s="61" t="s">
        <v>2511</v>
      </c>
      <c r="J831" s="61" t="s">
        <v>2511</v>
      </c>
      <c r="K831" s="62" t="s">
        <v>2511</v>
      </c>
      <c r="L831" s="60" t="s">
        <v>2511</v>
      </c>
      <c r="M831" s="61" t="s">
        <v>2389</v>
      </c>
      <c r="N831" s="61" t="s">
        <v>2511</v>
      </c>
      <c r="O831" s="61" t="s">
        <v>2511</v>
      </c>
      <c r="P831" s="62" t="s">
        <v>2511</v>
      </c>
      <c r="Q831" s="82"/>
      <c r="R831" s="82"/>
      <c r="S831" s="82"/>
      <c r="T831" s="82"/>
      <c r="U831" s="82"/>
      <c r="V831" s="138" t="s">
        <v>4806</v>
      </c>
      <c r="W831" s="57" t="s">
        <v>4532</v>
      </c>
      <c r="X831" s="126" t="s">
        <v>2511</v>
      </c>
      <c r="Y831" s="126" t="s">
        <v>2511</v>
      </c>
      <c r="Z831" s="57"/>
      <c r="AA831" s="57" t="s">
        <v>4533</v>
      </c>
      <c r="AB831" s="138"/>
      <c r="AC831" s="138" t="s">
        <v>2631</v>
      </c>
      <c r="AD831" s="96"/>
      <c r="AE831" s="80"/>
      <c r="AF831" s="80"/>
      <c r="AG831" s="80"/>
      <c r="AH831" s="83"/>
      <c r="AI831" s="83"/>
      <c r="AJ831" s="84"/>
      <c r="AK831" s="84"/>
      <c r="AL831" s="84"/>
      <c r="AM831" s="84"/>
      <c r="AN831" s="84"/>
      <c r="AO831" s="84"/>
      <c r="AP831" s="84"/>
      <c r="AQ831" s="95" t="s">
        <v>1950</v>
      </c>
      <c r="AR831" s="72"/>
      <c r="AS831" s="72"/>
      <c r="AT831" s="72"/>
      <c r="AU831" s="72"/>
      <c r="AV831" s="72"/>
      <c r="AW831" s="72"/>
      <c r="AX831" s="72"/>
      <c r="AY831" s="72"/>
      <c r="AZ831" s="72"/>
      <c r="BA831" s="72"/>
      <c r="BB831" s="16"/>
      <c r="BC831" s="72"/>
      <c r="BD831" s="20"/>
      <c r="BE831" s="352"/>
    </row>
    <row r="832" spans="1:57" s="81" customFormat="1" ht="12.95" hidden="1" customHeight="1">
      <c r="A832" s="348"/>
      <c r="B832" s="350"/>
      <c r="C832" s="248" t="s">
        <v>1681</v>
      </c>
      <c r="D832" s="239" t="s">
        <v>4807</v>
      </c>
      <c r="E832" s="58"/>
      <c r="F832" s="59" t="s">
        <v>4808</v>
      </c>
      <c r="G832" s="191" t="s">
        <v>2511</v>
      </c>
      <c r="H832" s="192" t="s">
        <v>1951</v>
      </c>
      <c r="I832" s="61" t="s">
        <v>2511</v>
      </c>
      <c r="J832" s="61" t="s">
        <v>2511</v>
      </c>
      <c r="K832" s="62" t="s">
        <v>2511</v>
      </c>
      <c r="L832" s="60" t="s">
        <v>2511</v>
      </c>
      <c r="M832" s="61" t="s">
        <v>2389</v>
      </c>
      <c r="N832" s="61" t="s">
        <v>2511</v>
      </c>
      <c r="O832" s="61" t="s">
        <v>2511</v>
      </c>
      <c r="P832" s="62" t="s">
        <v>2511</v>
      </c>
      <c r="Q832" s="82"/>
      <c r="R832" s="82"/>
      <c r="S832" s="82"/>
      <c r="T832" s="82"/>
      <c r="U832" s="82"/>
      <c r="V832" s="138" t="s">
        <v>4809</v>
      </c>
      <c r="W832" s="57" t="s">
        <v>4532</v>
      </c>
      <c r="X832" s="126" t="s">
        <v>2511</v>
      </c>
      <c r="Y832" s="126" t="s">
        <v>2511</v>
      </c>
      <c r="Z832" s="57"/>
      <c r="AA832" s="57" t="s">
        <v>4533</v>
      </c>
      <c r="AB832" s="138"/>
      <c r="AC832" s="138" t="s">
        <v>2631</v>
      </c>
      <c r="AD832" s="96"/>
      <c r="AE832" s="80"/>
      <c r="AF832" s="80"/>
      <c r="AG832" s="80"/>
      <c r="AH832" s="83"/>
      <c r="AI832" s="83"/>
      <c r="AJ832" s="84"/>
      <c r="AK832" s="84"/>
      <c r="AL832" s="84"/>
      <c r="AM832" s="84"/>
      <c r="AN832" s="84"/>
      <c r="AO832" s="84"/>
      <c r="AP832" s="84"/>
      <c r="AQ832" s="95" t="s">
        <v>1951</v>
      </c>
      <c r="AR832" s="72"/>
      <c r="AS832" s="72"/>
      <c r="AT832" s="72"/>
      <c r="AU832" s="72"/>
      <c r="AV832" s="72"/>
      <c r="AW832" s="72"/>
      <c r="AX832" s="72"/>
      <c r="AY832" s="72"/>
      <c r="AZ832" s="72"/>
      <c r="BA832" s="72"/>
      <c r="BB832" s="16"/>
      <c r="BC832" s="72"/>
      <c r="BD832" s="20"/>
      <c r="BE832" s="352"/>
    </row>
    <row r="833" spans="1:57" s="81" customFormat="1" ht="12.95" hidden="1" customHeight="1">
      <c r="A833" s="348"/>
      <c r="B833" s="350"/>
      <c r="C833" s="270" t="s">
        <v>1682</v>
      </c>
      <c r="D833" s="239" t="s">
        <v>4810</v>
      </c>
      <c r="E833" s="58"/>
      <c r="F833" s="59" t="s">
        <v>4811</v>
      </c>
      <c r="G833" s="191" t="s">
        <v>2511</v>
      </c>
      <c r="H833" s="192" t="s">
        <v>1952</v>
      </c>
      <c r="I833" s="61" t="s">
        <v>2511</v>
      </c>
      <c r="J833" s="61" t="s">
        <v>2511</v>
      </c>
      <c r="K833" s="62" t="s">
        <v>2511</v>
      </c>
      <c r="L833" s="60" t="s">
        <v>2511</v>
      </c>
      <c r="M833" s="61" t="s">
        <v>2389</v>
      </c>
      <c r="N833" s="61" t="s">
        <v>2511</v>
      </c>
      <c r="O833" s="61" t="s">
        <v>2511</v>
      </c>
      <c r="P833" s="62" t="s">
        <v>2511</v>
      </c>
      <c r="Q833" s="82"/>
      <c r="R833" s="82"/>
      <c r="S833" s="82"/>
      <c r="T833" s="82"/>
      <c r="U833" s="82"/>
      <c r="V833" s="138" t="s">
        <v>4812</v>
      </c>
      <c r="W833" s="57" t="s">
        <v>4532</v>
      </c>
      <c r="X833" s="126" t="s">
        <v>2511</v>
      </c>
      <c r="Y833" s="126" t="s">
        <v>2511</v>
      </c>
      <c r="Z833" s="57"/>
      <c r="AA833" s="57" t="s">
        <v>4533</v>
      </c>
      <c r="AB833" s="138"/>
      <c r="AC833" s="138" t="s">
        <v>2631</v>
      </c>
      <c r="AD833" s="96"/>
      <c r="AE833" s="80"/>
      <c r="AF833" s="80"/>
      <c r="AG833" s="80"/>
      <c r="AH833" s="83"/>
      <c r="AI833" s="83"/>
      <c r="AJ833" s="84"/>
      <c r="AK833" s="84"/>
      <c r="AL833" s="84"/>
      <c r="AM833" s="84"/>
      <c r="AN833" s="84"/>
      <c r="AO833" s="84"/>
      <c r="AP833" s="84"/>
      <c r="AQ833" s="95" t="s">
        <v>1952</v>
      </c>
      <c r="AR833" s="72"/>
      <c r="AS833" s="72"/>
      <c r="AT833" s="72"/>
      <c r="AU833" s="72"/>
      <c r="AV833" s="72"/>
      <c r="AW833" s="72"/>
      <c r="AX833" s="72"/>
      <c r="AY833" s="72"/>
      <c r="AZ833" s="72"/>
      <c r="BA833" s="72"/>
      <c r="BB833" s="16"/>
      <c r="BC833" s="72"/>
      <c r="BD833" s="20"/>
      <c r="BE833" s="352"/>
    </row>
    <row r="834" spans="1:57" s="81" customFormat="1" ht="12.95" hidden="1" customHeight="1">
      <c r="A834" s="348"/>
      <c r="B834" s="350"/>
      <c r="C834" s="270" t="s">
        <v>1683</v>
      </c>
      <c r="D834" s="239" t="s">
        <v>4813</v>
      </c>
      <c r="E834" s="58"/>
      <c r="F834" s="59" t="s">
        <v>4814</v>
      </c>
      <c r="G834" s="191" t="s">
        <v>2511</v>
      </c>
      <c r="H834" s="192" t="s">
        <v>1953</v>
      </c>
      <c r="I834" s="61" t="s">
        <v>2511</v>
      </c>
      <c r="J834" s="61" t="s">
        <v>2511</v>
      </c>
      <c r="K834" s="62" t="s">
        <v>2511</v>
      </c>
      <c r="L834" s="60" t="s">
        <v>2511</v>
      </c>
      <c r="M834" s="61" t="s">
        <v>2389</v>
      </c>
      <c r="N834" s="61" t="s">
        <v>2511</v>
      </c>
      <c r="O834" s="61" t="s">
        <v>2511</v>
      </c>
      <c r="P834" s="62" t="s">
        <v>2511</v>
      </c>
      <c r="Q834" s="82"/>
      <c r="R834" s="82"/>
      <c r="S834" s="82"/>
      <c r="T834" s="82"/>
      <c r="U834" s="82"/>
      <c r="V834" s="138" t="s">
        <v>4815</v>
      </c>
      <c r="W834" s="57" t="s">
        <v>4532</v>
      </c>
      <c r="X834" s="126" t="s">
        <v>2511</v>
      </c>
      <c r="Y834" s="126" t="s">
        <v>2511</v>
      </c>
      <c r="Z834" s="57"/>
      <c r="AA834" s="57" t="s">
        <v>4533</v>
      </c>
      <c r="AB834" s="138"/>
      <c r="AC834" s="138" t="s">
        <v>2631</v>
      </c>
      <c r="AD834" s="96"/>
      <c r="AE834" s="80"/>
      <c r="AF834" s="80"/>
      <c r="AG834" s="80"/>
      <c r="AH834" s="83"/>
      <c r="AI834" s="83"/>
      <c r="AJ834" s="84"/>
      <c r="AK834" s="84"/>
      <c r="AL834" s="84"/>
      <c r="AM834" s="84"/>
      <c r="AN834" s="84"/>
      <c r="AO834" s="84"/>
      <c r="AP834" s="84"/>
      <c r="AQ834" s="95" t="s">
        <v>1953</v>
      </c>
      <c r="AR834" s="72"/>
      <c r="AS834" s="72"/>
      <c r="AT834" s="72"/>
      <c r="AU834" s="72"/>
      <c r="AV834" s="72"/>
      <c r="AW834" s="72"/>
      <c r="AX834" s="72"/>
      <c r="AY834" s="72"/>
      <c r="AZ834" s="72"/>
      <c r="BA834" s="72"/>
      <c r="BB834" s="16"/>
      <c r="BC834" s="72"/>
      <c r="BD834" s="20"/>
      <c r="BE834" s="352"/>
    </row>
    <row r="835" spans="1:57" s="81" customFormat="1" ht="12.95" hidden="1" customHeight="1">
      <c r="A835" s="348"/>
      <c r="B835" s="350"/>
      <c r="C835" s="248" t="s">
        <v>1684</v>
      </c>
      <c r="D835" s="239" t="s">
        <v>4816</v>
      </c>
      <c r="E835" s="58"/>
      <c r="F835" s="59" t="s">
        <v>4817</v>
      </c>
      <c r="G835" s="191" t="s">
        <v>2511</v>
      </c>
      <c r="H835" s="192" t="s">
        <v>1954</v>
      </c>
      <c r="I835" s="61" t="s">
        <v>2511</v>
      </c>
      <c r="J835" s="61" t="s">
        <v>2511</v>
      </c>
      <c r="K835" s="62" t="s">
        <v>2511</v>
      </c>
      <c r="L835" s="60" t="s">
        <v>2511</v>
      </c>
      <c r="M835" s="61" t="s">
        <v>2389</v>
      </c>
      <c r="N835" s="61" t="s">
        <v>2511</v>
      </c>
      <c r="O835" s="61" t="s">
        <v>2511</v>
      </c>
      <c r="P835" s="62" t="s">
        <v>2511</v>
      </c>
      <c r="Q835" s="82"/>
      <c r="R835" s="82"/>
      <c r="S835" s="82"/>
      <c r="T835" s="82"/>
      <c r="U835" s="82"/>
      <c r="V835" s="138" t="s">
        <v>4818</v>
      </c>
      <c r="W835" s="57" t="s">
        <v>4532</v>
      </c>
      <c r="X835" s="126" t="s">
        <v>2511</v>
      </c>
      <c r="Y835" s="126" t="s">
        <v>2511</v>
      </c>
      <c r="Z835" s="57"/>
      <c r="AA835" s="57" t="s">
        <v>4533</v>
      </c>
      <c r="AB835" s="138"/>
      <c r="AC835" s="138">
        <v>0</v>
      </c>
      <c r="AD835" s="96"/>
      <c r="AE835" s="80"/>
      <c r="AF835" s="80"/>
      <c r="AG835" s="80"/>
      <c r="AH835" s="83"/>
      <c r="AI835" s="83"/>
      <c r="AJ835" s="84"/>
      <c r="AK835" s="84"/>
      <c r="AL835" s="84"/>
      <c r="AM835" s="84"/>
      <c r="AN835" s="84"/>
      <c r="AO835" s="84"/>
      <c r="AP835" s="84"/>
      <c r="AQ835" s="95" t="s">
        <v>1954</v>
      </c>
      <c r="AR835" s="72"/>
      <c r="AS835" s="72"/>
      <c r="AT835" s="72"/>
      <c r="AU835" s="72"/>
      <c r="AV835" s="72"/>
      <c r="AW835" s="72"/>
      <c r="AX835" s="72"/>
      <c r="AY835" s="72"/>
      <c r="AZ835" s="72"/>
      <c r="BA835" s="72"/>
      <c r="BB835" s="16"/>
      <c r="BC835" s="72"/>
      <c r="BD835" s="20"/>
      <c r="BE835" s="352"/>
    </row>
    <row r="836" spans="1:57" s="81" customFormat="1" ht="12.95" hidden="1" customHeight="1">
      <c r="A836" s="348"/>
      <c r="B836" s="350"/>
      <c r="C836" s="248" t="s">
        <v>1685</v>
      </c>
      <c r="D836" s="239" t="s">
        <v>4819</v>
      </c>
      <c r="E836" s="58"/>
      <c r="F836" s="59" t="s">
        <v>4820</v>
      </c>
      <c r="G836" s="191" t="s">
        <v>2511</v>
      </c>
      <c r="H836" s="192" t="s">
        <v>1955</v>
      </c>
      <c r="I836" s="61" t="s">
        <v>2511</v>
      </c>
      <c r="J836" s="61" t="s">
        <v>2511</v>
      </c>
      <c r="K836" s="62" t="s">
        <v>2511</v>
      </c>
      <c r="L836" s="60" t="s">
        <v>2511</v>
      </c>
      <c r="M836" s="61" t="s">
        <v>2389</v>
      </c>
      <c r="N836" s="61" t="s">
        <v>2511</v>
      </c>
      <c r="O836" s="61" t="s">
        <v>2511</v>
      </c>
      <c r="P836" s="62" t="s">
        <v>2511</v>
      </c>
      <c r="Q836" s="82"/>
      <c r="R836" s="82"/>
      <c r="S836" s="82"/>
      <c r="T836" s="82"/>
      <c r="U836" s="82"/>
      <c r="V836" s="138" t="s">
        <v>4821</v>
      </c>
      <c r="W836" s="57" t="s">
        <v>4532</v>
      </c>
      <c r="X836" s="126" t="s">
        <v>2511</v>
      </c>
      <c r="Y836" s="126" t="s">
        <v>2511</v>
      </c>
      <c r="Z836" s="57"/>
      <c r="AA836" s="57" t="s">
        <v>4533</v>
      </c>
      <c r="AB836" s="138"/>
      <c r="AC836" s="138" t="s">
        <v>2631</v>
      </c>
      <c r="AD836" s="96"/>
      <c r="AE836" s="80"/>
      <c r="AF836" s="80"/>
      <c r="AG836" s="80"/>
      <c r="AH836" s="83"/>
      <c r="AI836" s="83"/>
      <c r="AJ836" s="84"/>
      <c r="AK836" s="84"/>
      <c r="AL836" s="84"/>
      <c r="AM836" s="84"/>
      <c r="AN836" s="84"/>
      <c r="AO836" s="84"/>
      <c r="AP836" s="84"/>
      <c r="AQ836" s="95" t="s">
        <v>1955</v>
      </c>
      <c r="AR836" s="72"/>
      <c r="AS836" s="72"/>
      <c r="AT836" s="72"/>
      <c r="AU836" s="72"/>
      <c r="AV836" s="72"/>
      <c r="AW836" s="72"/>
      <c r="AX836" s="72"/>
      <c r="AY836" s="72"/>
      <c r="AZ836" s="72"/>
      <c r="BA836" s="72"/>
      <c r="BB836" s="16"/>
      <c r="BC836" s="72"/>
      <c r="BD836" s="20"/>
      <c r="BE836" s="352"/>
    </row>
    <row r="837" spans="1:57" s="81" customFormat="1" ht="12.95" hidden="1" customHeight="1">
      <c r="A837" s="348"/>
      <c r="B837" s="350"/>
      <c r="C837" s="248" t="s">
        <v>1686</v>
      </c>
      <c r="D837" s="239" t="s">
        <v>4822</v>
      </c>
      <c r="E837" s="58"/>
      <c r="F837" s="59" t="s">
        <v>4823</v>
      </c>
      <c r="G837" s="191" t="s">
        <v>2511</v>
      </c>
      <c r="H837" s="192" t="s">
        <v>1956</v>
      </c>
      <c r="I837" s="61" t="s">
        <v>2511</v>
      </c>
      <c r="J837" s="61" t="s">
        <v>2511</v>
      </c>
      <c r="K837" s="62" t="s">
        <v>2511</v>
      </c>
      <c r="L837" s="60" t="s">
        <v>2511</v>
      </c>
      <c r="M837" s="61" t="s">
        <v>2389</v>
      </c>
      <c r="N837" s="61" t="s">
        <v>2511</v>
      </c>
      <c r="O837" s="61" t="s">
        <v>2511</v>
      </c>
      <c r="P837" s="62" t="s">
        <v>2511</v>
      </c>
      <c r="Q837" s="82"/>
      <c r="R837" s="82"/>
      <c r="S837" s="82"/>
      <c r="T837" s="82"/>
      <c r="U837" s="82"/>
      <c r="V837" s="138" t="s">
        <v>4824</v>
      </c>
      <c r="W837" s="57" t="s">
        <v>4532</v>
      </c>
      <c r="X837" s="126" t="s">
        <v>2511</v>
      </c>
      <c r="Y837" s="126" t="s">
        <v>2511</v>
      </c>
      <c r="Z837" s="57"/>
      <c r="AA837" s="57" t="s">
        <v>4533</v>
      </c>
      <c r="AB837" s="138"/>
      <c r="AC837" s="138" t="s">
        <v>2631</v>
      </c>
      <c r="AD837" s="96"/>
      <c r="AE837" s="80"/>
      <c r="AF837" s="80"/>
      <c r="AG837" s="80"/>
      <c r="AH837" s="83"/>
      <c r="AI837" s="83"/>
      <c r="AJ837" s="84"/>
      <c r="AK837" s="84"/>
      <c r="AL837" s="84"/>
      <c r="AM837" s="84"/>
      <c r="AN837" s="84"/>
      <c r="AO837" s="84"/>
      <c r="AP837" s="84"/>
      <c r="AQ837" s="95" t="s">
        <v>1956</v>
      </c>
      <c r="AR837" s="72"/>
      <c r="AS837" s="72"/>
      <c r="AT837" s="72"/>
      <c r="AU837" s="72"/>
      <c r="AV837" s="72"/>
      <c r="AW837" s="72"/>
      <c r="AX837" s="72"/>
      <c r="AY837" s="72"/>
      <c r="AZ837" s="72"/>
      <c r="BA837" s="72"/>
      <c r="BB837" s="16"/>
      <c r="BC837" s="72"/>
      <c r="BD837" s="20"/>
      <c r="BE837" s="352"/>
    </row>
    <row r="838" spans="1:57" s="81" customFormat="1" ht="12.95" hidden="1" customHeight="1">
      <c r="A838" s="348"/>
      <c r="B838" s="350"/>
      <c r="C838" s="248" t="s">
        <v>1687</v>
      </c>
      <c r="D838" s="239" t="s">
        <v>4825</v>
      </c>
      <c r="E838" s="58"/>
      <c r="F838" s="59" t="s">
        <v>4826</v>
      </c>
      <c r="G838" s="191" t="s">
        <v>2511</v>
      </c>
      <c r="H838" s="192" t="s">
        <v>1957</v>
      </c>
      <c r="I838" s="61" t="s">
        <v>2511</v>
      </c>
      <c r="J838" s="61" t="s">
        <v>2511</v>
      </c>
      <c r="K838" s="62" t="s">
        <v>2511</v>
      </c>
      <c r="L838" s="60" t="s">
        <v>2511</v>
      </c>
      <c r="M838" s="61" t="s">
        <v>2389</v>
      </c>
      <c r="N838" s="61" t="s">
        <v>2511</v>
      </c>
      <c r="O838" s="61" t="s">
        <v>2511</v>
      </c>
      <c r="P838" s="62" t="s">
        <v>2511</v>
      </c>
      <c r="Q838" s="82"/>
      <c r="R838" s="82"/>
      <c r="S838" s="82"/>
      <c r="T838" s="82"/>
      <c r="U838" s="82"/>
      <c r="V838" s="138" t="s">
        <v>4827</v>
      </c>
      <c r="W838" s="57" t="s">
        <v>4532</v>
      </c>
      <c r="X838" s="126" t="s">
        <v>2511</v>
      </c>
      <c r="Y838" s="126" t="s">
        <v>2511</v>
      </c>
      <c r="Z838" s="57"/>
      <c r="AA838" s="57" t="s">
        <v>4533</v>
      </c>
      <c r="AB838" s="138"/>
      <c r="AC838" s="138" t="s">
        <v>2631</v>
      </c>
      <c r="AD838" s="96"/>
      <c r="AE838" s="80"/>
      <c r="AF838" s="80"/>
      <c r="AG838" s="80"/>
      <c r="AH838" s="83"/>
      <c r="AI838" s="83"/>
      <c r="AJ838" s="84"/>
      <c r="AK838" s="84"/>
      <c r="AL838" s="84"/>
      <c r="AM838" s="84"/>
      <c r="AN838" s="84"/>
      <c r="AO838" s="84"/>
      <c r="AP838" s="84"/>
      <c r="AQ838" s="95" t="s">
        <v>1957</v>
      </c>
      <c r="AR838" s="72"/>
      <c r="AS838" s="72"/>
      <c r="AT838" s="72"/>
      <c r="AU838" s="72"/>
      <c r="AV838" s="72"/>
      <c r="AW838" s="72"/>
      <c r="AX838" s="72"/>
      <c r="AY838" s="72"/>
      <c r="AZ838" s="72"/>
      <c r="BA838" s="72"/>
      <c r="BB838" s="16"/>
      <c r="BC838" s="72"/>
      <c r="BD838" s="20"/>
      <c r="BE838" s="352"/>
    </row>
    <row r="839" spans="1:57" s="81" customFormat="1" ht="12.95" hidden="1" customHeight="1">
      <c r="A839" s="348"/>
      <c r="B839" s="350"/>
      <c r="C839" s="248" t="s">
        <v>1688</v>
      </c>
      <c r="D839" s="239" t="s">
        <v>4828</v>
      </c>
      <c r="E839" s="58"/>
      <c r="F839" s="59" t="s">
        <v>4829</v>
      </c>
      <c r="G839" s="191" t="s">
        <v>2511</v>
      </c>
      <c r="H839" s="192" t="s">
        <v>1958</v>
      </c>
      <c r="I839" s="61" t="s">
        <v>2511</v>
      </c>
      <c r="J839" s="61" t="s">
        <v>2511</v>
      </c>
      <c r="K839" s="62" t="s">
        <v>2511</v>
      </c>
      <c r="L839" s="60" t="s">
        <v>2511</v>
      </c>
      <c r="M839" s="61" t="s">
        <v>2389</v>
      </c>
      <c r="N839" s="61" t="s">
        <v>2511</v>
      </c>
      <c r="O839" s="61" t="s">
        <v>2511</v>
      </c>
      <c r="P839" s="62" t="s">
        <v>2511</v>
      </c>
      <c r="Q839" s="82"/>
      <c r="R839" s="82"/>
      <c r="S839" s="82"/>
      <c r="T839" s="82"/>
      <c r="U839" s="82"/>
      <c r="V839" s="138" t="s">
        <v>4830</v>
      </c>
      <c r="W839" s="57" t="s">
        <v>4532</v>
      </c>
      <c r="X839" s="126" t="s">
        <v>2511</v>
      </c>
      <c r="Y839" s="126" t="s">
        <v>2511</v>
      </c>
      <c r="Z839" s="57"/>
      <c r="AA839" s="57" t="s">
        <v>4533</v>
      </c>
      <c r="AB839" s="138"/>
      <c r="AC839" s="138" t="s">
        <v>2631</v>
      </c>
      <c r="AD839" s="96"/>
      <c r="AE839" s="80"/>
      <c r="AF839" s="80"/>
      <c r="AG839" s="80"/>
      <c r="AH839" s="83"/>
      <c r="AI839" s="83"/>
      <c r="AJ839" s="84"/>
      <c r="AK839" s="84"/>
      <c r="AL839" s="84"/>
      <c r="AM839" s="84"/>
      <c r="AN839" s="84"/>
      <c r="AO839" s="84"/>
      <c r="AP839" s="84"/>
      <c r="AQ839" s="95" t="s">
        <v>1958</v>
      </c>
      <c r="AR839" s="72"/>
      <c r="AS839" s="72"/>
      <c r="AT839" s="72"/>
      <c r="AU839" s="72"/>
      <c r="AV839" s="72"/>
      <c r="AW839" s="72"/>
      <c r="AX839" s="72"/>
      <c r="AY839" s="72"/>
      <c r="AZ839" s="72"/>
      <c r="BA839" s="72"/>
      <c r="BB839" s="16"/>
      <c r="BC839" s="72"/>
      <c r="BD839" s="20"/>
      <c r="BE839" s="352"/>
    </row>
    <row r="840" spans="1:57" s="81" customFormat="1" ht="12.95" hidden="1" customHeight="1">
      <c r="A840" s="348"/>
      <c r="B840" s="350"/>
      <c r="C840" s="248" t="s">
        <v>1689</v>
      </c>
      <c r="D840" s="239" t="s">
        <v>4831</v>
      </c>
      <c r="E840" s="58"/>
      <c r="F840" s="59" t="s">
        <v>4832</v>
      </c>
      <c r="G840" s="191" t="s">
        <v>2511</v>
      </c>
      <c r="H840" s="192" t="s">
        <v>1959</v>
      </c>
      <c r="I840" s="61" t="s">
        <v>2511</v>
      </c>
      <c r="J840" s="61" t="s">
        <v>2511</v>
      </c>
      <c r="K840" s="62" t="s">
        <v>2511</v>
      </c>
      <c r="L840" s="60" t="s">
        <v>2511</v>
      </c>
      <c r="M840" s="61" t="s">
        <v>2389</v>
      </c>
      <c r="N840" s="61" t="s">
        <v>2511</v>
      </c>
      <c r="O840" s="61" t="s">
        <v>2511</v>
      </c>
      <c r="P840" s="62" t="s">
        <v>2511</v>
      </c>
      <c r="Q840" s="82"/>
      <c r="R840" s="82"/>
      <c r="S840" s="82"/>
      <c r="T840" s="82"/>
      <c r="U840" s="82"/>
      <c r="V840" s="138" t="s">
        <v>4833</v>
      </c>
      <c r="W840" s="57" t="s">
        <v>4532</v>
      </c>
      <c r="X840" s="126" t="s">
        <v>2511</v>
      </c>
      <c r="Y840" s="126" t="s">
        <v>2511</v>
      </c>
      <c r="Z840" s="57"/>
      <c r="AA840" s="57" t="s">
        <v>4533</v>
      </c>
      <c r="AB840" s="138"/>
      <c r="AC840" s="138" t="s">
        <v>2631</v>
      </c>
      <c r="AD840" s="96"/>
      <c r="AE840" s="80"/>
      <c r="AF840" s="80"/>
      <c r="AG840" s="80"/>
      <c r="AH840" s="83"/>
      <c r="AI840" s="83"/>
      <c r="AJ840" s="84"/>
      <c r="AK840" s="84"/>
      <c r="AL840" s="84"/>
      <c r="AM840" s="84"/>
      <c r="AN840" s="84"/>
      <c r="AO840" s="84"/>
      <c r="AP840" s="84"/>
      <c r="AQ840" s="95" t="s">
        <v>1959</v>
      </c>
      <c r="AR840" s="72"/>
      <c r="AS840" s="72"/>
      <c r="AT840" s="72"/>
      <c r="AU840" s="72"/>
      <c r="AV840" s="72"/>
      <c r="AW840" s="72"/>
      <c r="AX840" s="72"/>
      <c r="AY840" s="72"/>
      <c r="AZ840" s="72"/>
      <c r="BA840" s="72"/>
      <c r="BB840" s="16"/>
      <c r="BC840" s="72"/>
      <c r="BD840" s="20"/>
      <c r="BE840" s="352"/>
    </row>
    <row r="841" spans="1:57" s="81" customFormat="1" ht="12.95" hidden="1" customHeight="1">
      <c r="A841" s="348"/>
      <c r="B841" s="350"/>
      <c r="C841" s="248" t="s">
        <v>1690</v>
      </c>
      <c r="D841" s="239" t="s">
        <v>4834</v>
      </c>
      <c r="E841" s="58"/>
      <c r="F841" s="59" t="s">
        <v>4835</v>
      </c>
      <c r="G841" s="191" t="s">
        <v>2511</v>
      </c>
      <c r="H841" s="192" t="s">
        <v>1960</v>
      </c>
      <c r="I841" s="61" t="s">
        <v>2511</v>
      </c>
      <c r="J841" s="61" t="s">
        <v>2511</v>
      </c>
      <c r="K841" s="62" t="s">
        <v>2511</v>
      </c>
      <c r="L841" s="60" t="s">
        <v>2511</v>
      </c>
      <c r="M841" s="61" t="s">
        <v>2389</v>
      </c>
      <c r="N841" s="61" t="s">
        <v>2511</v>
      </c>
      <c r="O841" s="61" t="s">
        <v>2511</v>
      </c>
      <c r="P841" s="62" t="s">
        <v>2511</v>
      </c>
      <c r="Q841" s="82"/>
      <c r="R841" s="82"/>
      <c r="S841" s="82"/>
      <c r="T841" s="82"/>
      <c r="U841" s="82"/>
      <c r="V841" s="138" t="s">
        <v>4836</v>
      </c>
      <c r="W841" s="57" t="s">
        <v>4532</v>
      </c>
      <c r="X841" s="126" t="s">
        <v>2511</v>
      </c>
      <c r="Y841" s="126" t="s">
        <v>2511</v>
      </c>
      <c r="Z841" s="57"/>
      <c r="AA841" s="57" t="s">
        <v>4533</v>
      </c>
      <c r="AB841" s="138"/>
      <c r="AC841" s="138" t="s">
        <v>2631</v>
      </c>
      <c r="AD841" s="96"/>
      <c r="AE841" s="80"/>
      <c r="AF841" s="80"/>
      <c r="AG841" s="80"/>
      <c r="AH841" s="83"/>
      <c r="AI841" s="83"/>
      <c r="AJ841" s="84"/>
      <c r="AK841" s="84"/>
      <c r="AL841" s="84"/>
      <c r="AM841" s="84"/>
      <c r="AN841" s="84"/>
      <c r="AO841" s="84"/>
      <c r="AP841" s="84"/>
      <c r="AQ841" s="95" t="s">
        <v>1960</v>
      </c>
      <c r="AR841" s="72"/>
      <c r="AS841" s="72"/>
      <c r="AT841" s="72"/>
      <c r="AU841" s="72"/>
      <c r="AV841" s="72"/>
      <c r="AW841" s="72"/>
      <c r="AX841" s="72"/>
      <c r="AY841" s="72"/>
      <c r="AZ841" s="72"/>
      <c r="BA841" s="72"/>
      <c r="BB841" s="16"/>
      <c r="BC841" s="72"/>
      <c r="BD841" s="20"/>
      <c r="BE841" s="352"/>
    </row>
    <row r="842" spans="1:57" s="81" customFormat="1" ht="12.95" hidden="1" customHeight="1">
      <c r="A842" s="348"/>
      <c r="B842" s="350"/>
      <c r="C842" s="248" t="s">
        <v>1691</v>
      </c>
      <c r="D842" s="239" t="s">
        <v>4837</v>
      </c>
      <c r="E842" s="58"/>
      <c r="F842" s="59" t="s">
        <v>4838</v>
      </c>
      <c r="G842" s="191" t="s">
        <v>2511</v>
      </c>
      <c r="H842" s="192" t="s">
        <v>1961</v>
      </c>
      <c r="I842" s="61" t="s">
        <v>2511</v>
      </c>
      <c r="J842" s="61" t="s">
        <v>2511</v>
      </c>
      <c r="K842" s="62" t="s">
        <v>2511</v>
      </c>
      <c r="L842" s="60" t="s">
        <v>2511</v>
      </c>
      <c r="M842" s="61" t="s">
        <v>2389</v>
      </c>
      <c r="N842" s="61" t="s">
        <v>2511</v>
      </c>
      <c r="O842" s="61" t="s">
        <v>2511</v>
      </c>
      <c r="P842" s="62" t="s">
        <v>2511</v>
      </c>
      <c r="Q842" s="82"/>
      <c r="R842" s="82"/>
      <c r="S842" s="82"/>
      <c r="T842" s="82"/>
      <c r="U842" s="82"/>
      <c r="V842" s="138" t="s">
        <v>4839</v>
      </c>
      <c r="W842" s="57" t="s">
        <v>4532</v>
      </c>
      <c r="X842" s="126" t="s">
        <v>2511</v>
      </c>
      <c r="Y842" s="126" t="s">
        <v>2511</v>
      </c>
      <c r="Z842" s="57"/>
      <c r="AA842" s="57" t="s">
        <v>4533</v>
      </c>
      <c r="AB842" s="138"/>
      <c r="AC842" s="138" t="s">
        <v>2631</v>
      </c>
      <c r="AD842" s="96"/>
      <c r="AE842" s="80"/>
      <c r="AF842" s="80"/>
      <c r="AG842" s="80"/>
      <c r="AH842" s="83"/>
      <c r="AI842" s="83"/>
      <c r="AJ842" s="84"/>
      <c r="AK842" s="84"/>
      <c r="AL842" s="84"/>
      <c r="AM842" s="84"/>
      <c r="AN842" s="84"/>
      <c r="AO842" s="84"/>
      <c r="AP842" s="84"/>
      <c r="AQ842" s="95" t="s">
        <v>1961</v>
      </c>
      <c r="AR842" s="72"/>
      <c r="AS842" s="72"/>
      <c r="AT842" s="72"/>
      <c r="AU842" s="72"/>
      <c r="AV842" s="72"/>
      <c r="AW842" s="72"/>
      <c r="AX842" s="72"/>
      <c r="AY842" s="72"/>
      <c r="AZ842" s="72"/>
      <c r="BA842" s="72"/>
      <c r="BB842" s="16"/>
      <c r="BC842" s="72"/>
      <c r="BD842" s="20"/>
      <c r="BE842" s="352"/>
    </row>
    <row r="843" spans="1:57" s="81" customFormat="1" ht="12.95" hidden="1" customHeight="1">
      <c r="A843" s="348"/>
      <c r="B843" s="350"/>
      <c r="C843" s="248" t="s">
        <v>1692</v>
      </c>
      <c r="D843" s="239" t="s">
        <v>4840</v>
      </c>
      <c r="E843" s="58"/>
      <c r="F843" s="59" t="s">
        <v>4841</v>
      </c>
      <c r="G843" s="191" t="s">
        <v>2511</v>
      </c>
      <c r="H843" s="192" t="s">
        <v>1962</v>
      </c>
      <c r="I843" s="61" t="s">
        <v>2511</v>
      </c>
      <c r="J843" s="61" t="s">
        <v>2511</v>
      </c>
      <c r="K843" s="62" t="s">
        <v>2511</v>
      </c>
      <c r="L843" s="60" t="s">
        <v>2511</v>
      </c>
      <c r="M843" s="61" t="s">
        <v>2389</v>
      </c>
      <c r="N843" s="61" t="s">
        <v>2511</v>
      </c>
      <c r="O843" s="61" t="s">
        <v>2511</v>
      </c>
      <c r="P843" s="62" t="s">
        <v>2511</v>
      </c>
      <c r="Q843" s="82"/>
      <c r="R843" s="82"/>
      <c r="S843" s="82"/>
      <c r="T843" s="82"/>
      <c r="U843" s="82"/>
      <c r="V843" s="138" t="s">
        <v>4842</v>
      </c>
      <c r="W843" s="57" t="s">
        <v>4532</v>
      </c>
      <c r="X843" s="126" t="s">
        <v>2511</v>
      </c>
      <c r="Y843" s="126" t="s">
        <v>2511</v>
      </c>
      <c r="Z843" s="57"/>
      <c r="AA843" s="57" t="s">
        <v>4533</v>
      </c>
      <c r="AB843" s="138"/>
      <c r="AC843" s="138" t="s">
        <v>2631</v>
      </c>
      <c r="AD843" s="96"/>
      <c r="AE843" s="80"/>
      <c r="AF843" s="80"/>
      <c r="AG843" s="80"/>
      <c r="AH843" s="83"/>
      <c r="AI843" s="83"/>
      <c r="AJ843" s="84"/>
      <c r="AK843" s="84"/>
      <c r="AL843" s="84"/>
      <c r="AM843" s="84"/>
      <c r="AN843" s="84"/>
      <c r="AO843" s="84"/>
      <c r="AP843" s="84"/>
      <c r="AQ843" s="95" t="s">
        <v>1962</v>
      </c>
      <c r="AR843" s="72"/>
      <c r="AS843" s="72"/>
      <c r="AT843" s="72"/>
      <c r="AU843" s="72"/>
      <c r="AV843" s="72"/>
      <c r="AW843" s="72"/>
      <c r="AX843" s="72"/>
      <c r="AY843" s="72"/>
      <c r="AZ843" s="72"/>
      <c r="BA843" s="72"/>
      <c r="BB843" s="16"/>
      <c r="BC843" s="72"/>
      <c r="BD843" s="20"/>
      <c r="BE843" s="352"/>
    </row>
    <row r="844" spans="1:57" s="81" customFormat="1" ht="12.95" hidden="1" customHeight="1">
      <c r="A844" s="348"/>
      <c r="B844" s="350"/>
      <c r="C844" s="248" t="s">
        <v>1693</v>
      </c>
      <c r="D844" s="239" t="s">
        <v>4843</v>
      </c>
      <c r="E844" s="58"/>
      <c r="F844" s="59" t="s">
        <v>4844</v>
      </c>
      <c r="G844" s="191" t="s">
        <v>2511</v>
      </c>
      <c r="H844" s="192" t="s">
        <v>1963</v>
      </c>
      <c r="I844" s="61" t="s">
        <v>2511</v>
      </c>
      <c r="J844" s="61" t="s">
        <v>2511</v>
      </c>
      <c r="K844" s="62" t="s">
        <v>2511</v>
      </c>
      <c r="L844" s="60" t="s">
        <v>2511</v>
      </c>
      <c r="M844" s="61" t="s">
        <v>2389</v>
      </c>
      <c r="N844" s="61" t="s">
        <v>2511</v>
      </c>
      <c r="O844" s="61" t="s">
        <v>2511</v>
      </c>
      <c r="P844" s="62" t="s">
        <v>2511</v>
      </c>
      <c r="Q844" s="82"/>
      <c r="R844" s="82"/>
      <c r="S844" s="82"/>
      <c r="T844" s="82"/>
      <c r="U844" s="82"/>
      <c r="V844" s="138" t="s">
        <v>4845</v>
      </c>
      <c r="W844" s="57" t="s">
        <v>4532</v>
      </c>
      <c r="X844" s="126" t="s">
        <v>2511</v>
      </c>
      <c r="Y844" s="126" t="s">
        <v>2511</v>
      </c>
      <c r="Z844" s="57"/>
      <c r="AA844" s="57" t="s">
        <v>4533</v>
      </c>
      <c r="AB844" s="138"/>
      <c r="AC844" s="138" t="s">
        <v>2631</v>
      </c>
      <c r="AD844" s="96"/>
      <c r="AE844" s="80"/>
      <c r="AF844" s="80"/>
      <c r="AG844" s="80"/>
      <c r="AH844" s="83"/>
      <c r="AI844" s="83"/>
      <c r="AJ844" s="84"/>
      <c r="AK844" s="84"/>
      <c r="AL844" s="84"/>
      <c r="AM844" s="84"/>
      <c r="AN844" s="84"/>
      <c r="AO844" s="84"/>
      <c r="AP844" s="84"/>
      <c r="AQ844" s="95" t="s">
        <v>1963</v>
      </c>
      <c r="AR844" s="72"/>
      <c r="AS844" s="72"/>
      <c r="AT844" s="72"/>
      <c r="AU844" s="72"/>
      <c r="AV844" s="72"/>
      <c r="AW844" s="72"/>
      <c r="AX844" s="72"/>
      <c r="AY844" s="72"/>
      <c r="AZ844" s="72"/>
      <c r="BA844" s="72"/>
      <c r="BB844" s="16"/>
      <c r="BC844" s="72"/>
      <c r="BD844" s="20"/>
      <c r="BE844" s="352"/>
    </row>
    <row r="845" spans="1:57" s="81" customFormat="1" ht="12.95" hidden="1" customHeight="1">
      <c r="A845" s="348"/>
      <c r="B845" s="350"/>
      <c r="C845" s="270" t="s">
        <v>1694</v>
      </c>
      <c r="D845" s="239" t="s">
        <v>4846</v>
      </c>
      <c r="E845" s="58"/>
      <c r="F845" s="59" t="s">
        <v>4847</v>
      </c>
      <c r="G845" s="191" t="s">
        <v>2511</v>
      </c>
      <c r="H845" s="192" t="s">
        <v>1964</v>
      </c>
      <c r="I845" s="61" t="s">
        <v>2511</v>
      </c>
      <c r="J845" s="61" t="s">
        <v>2511</v>
      </c>
      <c r="K845" s="62" t="s">
        <v>2511</v>
      </c>
      <c r="L845" s="60" t="s">
        <v>2511</v>
      </c>
      <c r="M845" s="61" t="s">
        <v>2389</v>
      </c>
      <c r="N845" s="61" t="s">
        <v>2511</v>
      </c>
      <c r="O845" s="61" t="s">
        <v>2511</v>
      </c>
      <c r="P845" s="62" t="s">
        <v>2511</v>
      </c>
      <c r="Q845" s="82"/>
      <c r="R845" s="82"/>
      <c r="S845" s="82"/>
      <c r="T845" s="82"/>
      <c r="U845" s="82"/>
      <c r="V845" s="138" t="s">
        <v>4848</v>
      </c>
      <c r="W845" s="57" t="s">
        <v>4532</v>
      </c>
      <c r="X845" s="126" t="s">
        <v>2511</v>
      </c>
      <c r="Y845" s="126" t="s">
        <v>2511</v>
      </c>
      <c r="Z845" s="57"/>
      <c r="AA845" s="57" t="s">
        <v>4533</v>
      </c>
      <c r="AB845" s="138"/>
      <c r="AC845" s="138" t="s">
        <v>2631</v>
      </c>
      <c r="AD845" s="96"/>
      <c r="AE845" s="80"/>
      <c r="AF845" s="80"/>
      <c r="AG845" s="80"/>
      <c r="AH845" s="83"/>
      <c r="AI845" s="83"/>
      <c r="AJ845" s="84"/>
      <c r="AK845" s="84"/>
      <c r="AL845" s="84"/>
      <c r="AM845" s="84"/>
      <c r="AN845" s="84"/>
      <c r="AO845" s="84"/>
      <c r="AP845" s="84"/>
      <c r="AQ845" s="95" t="s">
        <v>1964</v>
      </c>
      <c r="AR845" s="72"/>
      <c r="AS845" s="72"/>
      <c r="AT845" s="72"/>
      <c r="AU845" s="72"/>
      <c r="AV845" s="72"/>
      <c r="AW845" s="72"/>
      <c r="AX845" s="72"/>
      <c r="AY845" s="72"/>
      <c r="AZ845" s="72"/>
      <c r="BA845" s="72"/>
      <c r="BB845" s="16"/>
      <c r="BC845" s="72"/>
      <c r="BD845" s="20"/>
      <c r="BE845" s="352"/>
    </row>
    <row r="846" spans="1:57" s="81" customFormat="1" ht="12.95" hidden="1" customHeight="1">
      <c r="A846" s="348"/>
      <c r="B846" s="350"/>
      <c r="C846" s="270" t="s">
        <v>1695</v>
      </c>
      <c r="D846" s="239" t="s">
        <v>4849</v>
      </c>
      <c r="E846" s="58"/>
      <c r="F846" s="59" t="s">
        <v>4850</v>
      </c>
      <c r="G846" s="191" t="s">
        <v>2511</v>
      </c>
      <c r="H846" s="192" t="s">
        <v>1965</v>
      </c>
      <c r="I846" s="61" t="s">
        <v>2511</v>
      </c>
      <c r="J846" s="61" t="s">
        <v>2511</v>
      </c>
      <c r="K846" s="62" t="s">
        <v>2511</v>
      </c>
      <c r="L846" s="60" t="s">
        <v>2511</v>
      </c>
      <c r="M846" s="61" t="s">
        <v>2389</v>
      </c>
      <c r="N846" s="61" t="s">
        <v>2511</v>
      </c>
      <c r="O846" s="61" t="s">
        <v>2511</v>
      </c>
      <c r="P846" s="62" t="s">
        <v>2511</v>
      </c>
      <c r="Q846" s="82"/>
      <c r="R846" s="82"/>
      <c r="S846" s="82"/>
      <c r="T846" s="82"/>
      <c r="U846" s="82"/>
      <c r="V846" s="138" t="s">
        <v>4851</v>
      </c>
      <c r="W846" s="57" t="s">
        <v>4532</v>
      </c>
      <c r="X846" s="126" t="s">
        <v>2511</v>
      </c>
      <c r="Y846" s="126" t="s">
        <v>2511</v>
      </c>
      <c r="Z846" s="57"/>
      <c r="AA846" s="57" t="s">
        <v>4533</v>
      </c>
      <c r="AB846" s="138"/>
      <c r="AC846" s="138" t="s">
        <v>2631</v>
      </c>
      <c r="AD846" s="96"/>
      <c r="AE846" s="80"/>
      <c r="AF846" s="80"/>
      <c r="AG846" s="80"/>
      <c r="AH846" s="83"/>
      <c r="AI846" s="83"/>
      <c r="AJ846" s="84"/>
      <c r="AK846" s="84"/>
      <c r="AL846" s="84"/>
      <c r="AM846" s="84"/>
      <c r="AN846" s="84"/>
      <c r="AO846" s="84"/>
      <c r="AP846" s="84"/>
      <c r="AQ846" s="95" t="s">
        <v>1965</v>
      </c>
      <c r="AR846" s="72"/>
      <c r="AS846" s="72"/>
      <c r="AT846" s="72"/>
      <c r="AU846" s="72"/>
      <c r="AV846" s="72"/>
      <c r="AW846" s="72"/>
      <c r="AX846" s="72"/>
      <c r="AY846" s="72"/>
      <c r="AZ846" s="72"/>
      <c r="BA846" s="72"/>
      <c r="BB846" s="16"/>
      <c r="BC846" s="72"/>
      <c r="BD846" s="20"/>
      <c r="BE846" s="352"/>
    </row>
    <row r="847" spans="1:57" s="81" customFormat="1" ht="12.95" hidden="1" customHeight="1">
      <c r="A847" s="348"/>
      <c r="B847" s="350"/>
      <c r="C847" s="248" t="s">
        <v>1696</v>
      </c>
      <c r="D847" s="239" t="s">
        <v>4852</v>
      </c>
      <c r="E847" s="58"/>
      <c r="F847" s="59" t="s">
        <v>4853</v>
      </c>
      <c r="G847" s="191" t="s">
        <v>2511</v>
      </c>
      <c r="H847" s="192" t="s">
        <v>1966</v>
      </c>
      <c r="I847" s="61" t="s">
        <v>2511</v>
      </c>
      <c r="J847" s="61" t="s">
        <v>2511</v>
      </c>
      <c r="K847" s="62" t="s">
        <v>2511</v>
      </c>
      <c r="L847" s="60" t="s">
        <v>2511</v>
      </c>
      <c r="M847" s="61" t="s">
        <v>2389</v>
      </c>
      <c r="N847" s="61" t="s">
        <v>2511</v>
      </c>
      <c r="O847" s="61" t="s">
        <v>2511</v>
      </c>
      <c r="P847" s="62" t="s">
        <v>2511</v>
      </c>
      <c r="Q847" s="82"/>
      <c r="R847" s="82"/>
      <c r="S847" s="82"/>
      <c r="T847" s="82"/>
      <c r="U847" s="82"/>
      <c r="V847" s="138" t="s">
        <v>4854</v>
      </c>
      <c r="W847" s="57" t="s">
        <v>4532</v>
      </c>
      <c r="X847" s="126" t="s">
        <v>2511</v>
      </c>
      <c r="Y847" s="126" t="s">
        <v>2511</v>
      </c>
      <c r="Z847" s="57"/>
      <c r="AA847" s="57" t="s">
        <v>4533</v>
      </c>
      <c r="AB847" s="138"/>
      <c r="AC847" s="138">
        <v>0</v>
      </c>
      <c r="AD847" s="96"/>
      <c r="AE847" s="80"/>
      <c r="AF847" s="80"/>
      <c r="AG847" s="80"/>
      <c r="AH847" s="83"/>
      <c r="AI847" s="83"/>
      <c r="AJ847" s="84"/>
      <c r="AK847" s="84"/>
      <c r="AL847" s="84"/>
      <c r="AM847" s="84"/>
      <c r="AN847" s="84"/>
      <c r="AO847" s="84"/>
      <c r="AP847" s="84"/>
      <c r="AQ847" s="95" t="s">
        <v>1966</v>
      </c>
      <c r="AR847" s="72"/>
      <c r="AS847" s="72"/>
      <c r="AT847" s="72"/>
      <c r="AU847" s="72"/>
      <c r="AV847" s="72"/>
      <c r="AW847" s="72"/>
      <c r="AX847" s="72"/>
      <c r="AY847" s="72"/>
      <c r="AZ847" s="72"/>
      <c r="BA847" s="72"/>
      <c r="BB847" s="16"/>
      <c r="BC847" s="72"/>
      <c r="BD847" s="20"/>
      <c r="BE847" s="352"/>
    </row>
    <row r="848" spans="1:57" s="81" customFormat="1" ht="12.95" hidden="1" customHeight="1">
      <c r="A848" s="348"/>
      <c r="B848" s="350"/>
      <c r="C848" s="248" t="s">
        <v>1697</v>
      </c>
      <c r="D848" s="239" t="s">
        <v>4855</v>
      </c>
      <c r="E848" s="58"/>
      <c r="F848" s="59" t="s">
        <v>4856</v>
      </c>
      <c r="G848" s="191" t="s">
        <v>2511</v>
      </c>
      <c r="H848" s="192" t="s">
        <v>1967</v>
      </c>
      <c r="I848" s="61" t="s">
        <v>2511</v>
      </c>
      <c r="J848" s="61" t="s">
        <v>2511</v>
      </c>
      <c r="K848" s="62" t="s">
        <v>2511</v>
      </c>
      <c r="L848" s="60" t="s">
        <v>2511</v>
      </c>
      <c r="M848" s="61" t="s">
        <v>2389</v>
      </c>
      <c r="N848" s="61" t="s">
        <v>2511</v>
      </c>
      <c r="O848" s="61" t="s">
        <v>2511</v>
      </c>
      <c r="P848" s="62" t="s">
        <v>2511</v>
      </c>
      <c r="Q848" s="82"/>
      <c r="R848" s="82"/>
      <c r="S848" s="82"/>
      <c r="T848" s="82"/>
      <c r="U848" s="82"/>
      <c r="V848" s="138" t="s">
        <v>4857</v>
      </c>
      <c r="W848" s="57" t="s">
        <v>4532</v>
      </c>
      <c r="X848" s="126" t="s">
        <v>2511</v>
      </c>
      <c r="Y848" s="126" t="s">
        <v>2511</v>
      </c>
      <c r="Z848" s="57"/>
      <c r="AA848" s="57" t="s">
        <v>4533</v>
      </c>
      <c r="AB848" s="138"/>
      <c r="AC848" s="138" t="s">
        <v>2631</v>
      </c>
      <c r="AD848" s="96"/>
      <c r="AE848" s="80"/>
      <c r="AF848" s="80"/>
      <c r="AG848" s="80"/>
      <c r="AH848" s="83"/>
      <c r="AI848" s="83"/>
      <c r="AJ848" s="84"/>
      <c r="AK848" s="84"/>
      <c r="AL848" s="84"/>
      <c r="AM848" s="84"/>
      <c r="AN848" s="84"/>
      <c r="AO848" s="84"/>
      <c r="AP848" s="84"/>
      <c r="AQ848" s="95" t="s">
        <v>1967</v>
      </c>
      <c r="AR848" s="72"/>
      <c r="AS848" s="72"/>
      <c r="AT848" s="72"/>
      <c r="AU848" s="72"/>
      <c r="AV848" s="72"/>
      <c r="AW848" s="72"/>
      <c r="AX848" s="72"/>
      <c r="AY848" s="72"/>
      <c r="AZ848" s="72"/>
      <c r="BA848" s="72"/>
      <c r="BB848" s="16"/>
      <c r="BC848" s="72"/>
      <c r="BD848" s="20"/>
      <c r="BE848" s="352"/>
    </row>
    <row r="849" spans="1:57" s="81" customFormat="1" ht="12.95" hidden="1" customHeight="1">
      <c r="A849" s="348"/>
      <c r="B849" s="350"/>
      <c r="C849" s="248" t="s">
        <v>1698</v>
      </c>
      <c r="D849" s="239" t="s">
        <v>4858</v>
      </c>
      <c r="E849" s="58"/>
      <c r="F849" s="59" t="s">
        <v>4859</v>
      </c>
      <c r="G849" s="191" t="s">
        <v>2511</v>
      </c>
      <c r="H849" s="192" t="s">
        <v>1968</v>
      </c>
      <c r="I849" s="61" t="s">
        <v>2511</v>
      </c>
      <c r="J849" s="61" t="s">
        <v>2511</v>
      </c>
      <c r="K849" s="62" t="s">
        <v>2511</v>
      </c>
      <c r="L849" s="60" t="s">
        <v>2511</v>
      </c>
      <c r="M849" s="61" t="s">
        <v>2389</v>
      </c>
      <c r="N849" s="61" t="s">
        <v>2511</v>
      </c>
      <c r="O849" s="61" t="s">
        <v>2511</v>
      </c>
      <c r="P849" s="62" t="s">
        <v>2511</v>
      </c>
      <c r="Q849" s="82"/>
      <c r="R849" s="82"/>
      <c r="S849" s="82"/>
      <c r="T849" s="82"/>
      <c r="U849" s="82"/>
      <c r="V849" s="138" t="s">
        <v>4860</v>
      </c>
      <c r="W849" s="57" t="s">
        <v>4532</v>
      </c>
      <c r="X849" s="126" t="s">
        <v>2511</v>
      </c>
      <c r="Y849" s="126" t="s">
        <v>2511</v>
      </c>
      <c r="Z849" s="57"/>
      <c r="AA849" s="57" t="s">
        <v>4533</v>
      </c>
      <c r="AB849" s="138"/>
      <c r="AC849" s="138" t="s">
        <v>2631</v>
      </c>
      <c r="AD849" s="96"/>
      <c r="AE849" s="80"/>
      <c r="AF849" s="80"/>
      <c r="AG849" s="80"/>
      <c r="AH849" s="83"/>
      <c r="AI849" s="83"/>
      <c r="AJ849" s="84"/>
      <c r="AK849" s="84"/>
      <c r="AL849" s="84"/>
      <c r="AM849" s="84"/>
      <c r="AN849" s="84"/>
      <c r="AO849" s="84"/>
      <c r="AP849" s="84"/>
      <c r="AQ849" s="95" t="s">
        <v>1968</v>
      </c>
      <c r="AR849" s="72"/>
      <c r="AS849" s="72"/>
      <c r="AT849" s="72"/>
      <c r="AU849" s="72"/>
      <c r="AV849" s="72"/>
      <c r="AW849" s="72"/>
      <c r="AX849" s="72"/>
      <c r="AY849" s="72"/>
      <c r="AZ849" s="72"/>
      <c r="BA849" s="72"/>
      <c r="BB849" s="16"/>
      <c r="BC849" s="72"/>
      <c r="BD849" s="20"/>
      <c r="BE849" s="352"/>
    </row>
    <row r="850" spans="1:57" s="81" customFormat="1" ht="12.95" hidden="1" customHeight="1">
      <c r="A850" s="348"/>
      <c r="B850" s="350"/>
      <c r="C850" s="248" t="s">
        <v>1699</v>
      </c>
      <c r="D850" s="239" t="s">
        <v>4861</v>
      </c>
      <c r="E850" s="58"/>
      <c r="F850" s="59" t="s">
        <v>4862</v>
      </c>
      <c r="G850" s="191" t="s">
        <v>2511</v>
      </c>
      <c r="H850" s="192" t="s">
        <v>1969</v>
      </c>
      <c r="I850" s="61" t="s">
        <v>2511</v>
      </c>
      <c r="J850" s="61" t="s">
        <v>2511</v>
      </c>
      <c r="K850" s="62" t="s">
        <v>2511</v>
      </c>
      <c r="L850" s="60" t="s">
        <v>2511</v>
      </c>
      <c r="M850" s="61" t="s">
        <v>2389</v>
      </c>
      <c r="N850" s="61" t="s">
        <v>2511</v>
      </c>
      <c r="O850" s="61" t="s">
        <v>2511</v>
      </c>
      <c r="P850" s="62" t="s">
        <v>2511</v>
      </c>
      <c r="Q850" s="82"/>
      <c r="R850" s="82"/>
      <c r="S850" s="82"/>
      <c r="T850" s="82"/>
      <c r="U850" s="82"/>
      <c r="V850" s="138" t="s">
        <v>4863</v>
      </c>
      <c r="W850" s="57" t="s">
        <v>4532</v>
      </c>
      <c r="X850" s="126" t="s">
        <v>2511</v>
      </c>
      <c r="Y850" s="126" t="s">
        <v>2511</v>
      </c>
      <c r="Z850" s="57"/>
      <c r="AA850" s="57" t="s">
        <v>4533</v>
      </c>
      <c r="AB850" s="138"/>
      <c r="AC850" s="138" t="s">
        <v>2631</v>
      </c>
      <c r="AD850" s="96"/>
      <c r="AE850" s="80"/>
      <c r="AF850" s="80"/>
      <c r="AG850" s="80"/>
      <c r="AH850" s="83"/>
      <c r="AI850" s="83"/>
      <c r="AJ850" s="84"/>
      <c r="AK850" s="84"/>
      <c r="AL850" s="84"/>
      <c r="AM850" s="84"/>
      <c r="AN850" s="84"/>
      <c r="AO850" s="84"/>
      <c r="AP850" s="84"/>
      <c r="AQ850" s="95" t="s">
        <v>1969</v>
      </c>
      <c r="AR850" s="72"/>
      <c r="AS850" s="72"/>
      <c r="AT850" s="72"/>
      <c r="AU850" s="72"/>
      <c r="AV850" s="72"/>
      <c r="AW850" s="72"/>
      <c r="AX850" s="72"/>
      <c r="AY850" s="72"/>
      <c r="AZ850" s="72"/>
      <c r="BA850" s="72"/>
      <c r="BB850" s="16"/>
      <c r="BC850" s="72"/>
      <c r="BD850" s="20"/>
      <c r="BE850" s="352"/>
    </row>
    <row r="851" spans="1:57" s="81" customFormat="1" ht="12.95" hidden="1" customHeight="1">
      <c r="A851" s="348"/>
      <c r="B851" s="350"/>
      <c r="C851" s="248" t="s">
        <v>1700</v>
      </c>
      <c r="D851" s="239" t="s">
        <v>4864</v>
      </c>
      <c r="E851" s="58"/>
      <c r="F851" s="59" t="s">
        <v>4865</v>
      </c>
      <c r="G851" s="191" t="s">
        <v>2511</v>
      </c>
      <c r="H851" s="192" t="s">
        <v>1970</v>
      </c>
      <c r="I851" s="61" t="s">
        <v>2511</v>
      </c>
      <c r="J851" s="61" t="s">
        <v>2511</v>
      </c>
      <c r="K851" s="62" t="s">
        <v>2511</v>
      </c>
      <c r="L851" s="60" t="s">
        <v>2511</v>
      </c>
      <c r="M851" s="61" t="s">
        <v>2389</v>
      </c>
      <c r="N851" s="61" t="s">
        <v>2511</v>
      </c>
      <c r="O851" s="61" t="s">
        <v>2511</v>
      </c>
      <c r="P851" s="62" t="s">
        <v>2511</v>
      </c>
      <c r="Q851" s="82"/>
      <c r="R851" s="82"/>
      <c r="S851" s="82"/>
      <c r="T851" s="82"/>
      <c r="U851" s="82"/>
      <c r="V851" s="138" t="s">
        <v>4866</v>
      </c>
      <c r="W851" s="57" t="s">
        <v>4532</v>
      </c>
      <c r="X851" s="126" t="s">
        <v>2511</v>
      </c>
      <c r="Y851" s="126" t="s">
        <v>2511</v>
      </c>
      <c r="Z851" s="57"/>
      <c r="AA851" s="57" t="s">
        <v>4533</v>
      </c>
      <c r="AB851" s="138"/>
      <c r="AC851" s="138" t="s">
        <v>2631</v>
      </c>
      <c r="AD851" s="96"/>
      <c r="AE851" s="80"/>
      <c r="AF851" s="80"/>
      <c r="AG851" s="80"/>
      <c r="AH851" s="83"/>
      <c r="AI851" s="83"/>
      <c r="AJ851" s="84"/>
      <c r="AK851" s="84"/>
      <c r="AL851" s="84"/>
      <c r="AM851" s="84"/>
      <c r="AN851" s="84"/>
      <c r="AO851" s="84"/>
      <c r="AP851" s="84"/>
      <c r="AQ851" s="95" t="s">
        <v>1970</v>
      </c>
      <c r="AR851" s="72"/>
      <c r="AS851" s="72"/>
      <c r="AT851" s="72"/>
      <c r="AU851" s="72"/>
      <c r="AV851" s="72"/>
      <c r="AW851" s="72"/>
      <c r="AX851" s="72"/>
      <c r="AY851" s="72"/>
      <c r="AZ851" s="72"/>
      <c r="BA851" s="72"/>
      <c r="BB851" s="16"/>
      <c r="BC851" s="72"/>
      <c r="BD851" s="20"/>
      <c r="BE851" s="352"/>
    </row>
    <row r="852" spans="1:57" s="81" customFormat="1" ht="12.95" hidden="1" customHeight="1">
      <c r="A852" s="348"/>
      <c r="B852" s="350"/>
      <c r="C852" s="248" t="s">
        <v>1701</v>
      </c>
      <c r="D852" s="239" t="s">
        <v>4867</v>
      </c>
      <c r="E852" s="58"/>
      <c r="F852" s="59" t="s">
        <v>4868</v>
      </c>
      <c r="G852" s="191" t="s">
        <v>2511</v>
      </c>
      <c r="H852" s="192" t="s">
        <v>1971</v>
      </c>
      <c r="I852" s="61" t="s">
        <v>2511</v>
      </c>
      <c r="J852" s="61" t="s">
        <v>2511</v>
      </c>
      <c r="K852" s="62" t="s">
        <v>2511</v>
      </c>
      <c r="L852" s="60" t="s">
        <v>2511</v>
      </c>
      <c r="M852" s="61" t="s">
        <v>2389</v>
      </c>
      <c r="N852" s="61" t="s">
        <v>2511</v>
      </c>
      <c r="O852" s="61" t="s">
        <v>2511</v>
      </c>
      <c r="P852" s="62" t="s">
        <v>2511</v>
      </c>
      <c r="Q852" s="82"/>
      <c r="R852" s="82"/>
      <c r="S852" s="82"/>
      <c r="T852" s="82"/>
      <c r="U852" s="82"/>
      <c r="V852" s="138" t="s">
        <v>4869</v>
      </c>
      <c r="W852" s="57" t="s">
        <v>4532</v>
      </c>
      <c r="X852" s="126" t="s">
        <v>2511</v>
      </c>
      <c r="Y852" s="126" t="s">
        <v>2511</v>
      </c>
      <c r="Z852" s="57"/>
      <c r="AA852" s="57" t="s">
        <v>4533</v>
      </c>
      <c r="AB852" s="138"/>
      <c r="AC852" s="138" t="s">
        <v>2631</v>
      </c>
      <c r="AD852" s="96"/>
      <c r="AE852" s="80"/>
      <c r="AF852" s="80"/>
      <c r="AG852" s="80"/>
      <c r="AH852" s="83"/>
      <c r="AI852" s="83"/>
      <c r="AJ852" s="84"/>
      <c r="AK852" s="84"/>
      <c r="AL852" s="84"/>
      <c r="AM852" s="84"/>
      <c r="AN852" s="84"/>
      <c r="AO852" s="84"/>
      <c r="AP852" s="84"/>
      <c r="AQ852" s="95" t="s">
        <v>1971</v>
      </c>
      <c r="AR852" s="72"/>
      <c r="AS852" s="72"/>
      <c r="AT852" s="72"/>
      <c r="AU852" s="72"/>
      <c r="AV852" s="72"/>
      <c r="AW852" s="72"/>
      <c r="AX852" s="72"/>
      <c r="AY852" s="72"/>
      <c r="AZ852" s="72"/>
      <c r="BA852" s="72"/>
      <c r="BB852" s="16"/>
      <c r="BC852" s="72"/>
      <c r="BD852" s="20"/>
      <c r="BE852" s="352"/>
    </row>
    <row r="853" spans="1:57" s="81" customFormat="1" ht="12.95" hidden="1" customHeight="1">
      <c r="A853" s="348"/>
      <c r="B853" s="350"/>
      <c r="C853" s="248" t="s">
        <v>1702</v>
      </c>
      <c r="D853" s="239" t="s">
        <v>4870</v>
      </c>
      <c r="E853" s="58"/>
      <c r="F853" s="59" t="s">
        <v>4871</v>
      </c>
      <c r="G853" s="191" t="s">
        <v>2511</v>
      </c>
      <c r="H853" s="192" t="s">
        <v>1972</v>
      </c>
      <c r="I853" s="61" t="s">
        <v>2511</v>
      </c>
      <c r="J853" s="61" t="s">
        <v>2511</v>
      </c>
      <c r="K853" s="62" t="s">
        <v>2511</v>
      </c>
      <c r="L853" s="60" t="s">
        <v>2511</v>
      </c>
      <c r="M853" s="61" t="s">
        <v>2389</v>
      </c>
      <c r="N853" s="61" t="s">
        <v>2511</v>
      </c>
      <c r="O853" s="61" t="s">
        <v>2511</v>
      </c>
      <c r="P853" s="62" t="s">
        <v>2511</v>
      </c>
      <c r="Q853" s="82"/>
      <c r="R853" s="82"/>
      <c r="S853" s="82"/>
      <c r="T853" s="82"/>
      <c r="U853" s="82"/>
      <c r="V853" s="138" t="s">
        <v>4872</v>
      </c>
      <c r="W853" s="57" t="s">
        <v>4532</v>
      </c>
      <c r="X853" s="126" t="s">
        <v>2511</v>
      </c>
      <c r="Y853" s="126" t="s">
        <v>2511</v>
      </c>
      <c r="Z853" s="57"/>
      <c r="AA853" s="57" t="s">
        <v>4533</v>
      </c>
      <c r="AB853" s="138"/>
      <c r="AC853" s="138" t="s">
        <v>2631</v>
      </c>
      <c r="AD853" s="96"/>
      <c r="AE853" s="80"/>
      <c r="AF853" s="80"/>
      <c r="AG853" s="80"/>
      <c r="AH853" s="83"/>
      <c r="AI853" s="83"/>
      <c r="AJ853" s="84"/>
      <c r="AK853" s="84"/>
      <c r="AL853" s="84"/>
      <c r="AM853" s="84"/>
      <c r="AN853" s="84"/>
      <c r="AO853" s="84"/>
      <c r="AP853" s="84"/>
      <c r="AQ853" s="95" t="s">
        <v>1972</v>
      </c>
      <c r="AR853" s="72"/>
      <c r="AS853" s="72"/>
      <c r="AT853" s="72"/>
      <c r="AU853" s="72"/>
      <c r="AV853" s="72"/>
      <c r="AW853" s="72"/>
      <c r="AX853" s="72"/>
      <c r="AY853" s="72"/>
      <c r="AZ853" s="72"/>
      <c r="BA853" s="72"/>
      <c r="BB853" s="16"/>
      <c r="BC853" s="72"/>
      <c r="BD853" s="20"/>
      <c r="BE853" s="352"/>
    </row>
    <row r="854" spans="1:57" s="81" customFormat="1" ht="12.95" hidden="1" customHeight="1">
      <c r="A854" s="348"/>
      <c r="B854" s="350"/>
      <c r="C854" s="248" t="s">
        <v>1703</v>
      </c>
      <c r="D854" s="239" t="s">
        <v>4873</v>
      </c>
      <c r="E854" s="58"/>
      <c r="F854" s="59" t="s">
        <v>4874</v>
      </c>
      <c r="G854" s="191" t="s">
        <v>2511</v>
      </c>
      <c r="H854" s="192" t="s">
        <v>1973</v>
      </c>
      <c r="I854" s="61" t="s">
        <v>2511</v>
      </c>
      <c r="J854" s="61" t="s">
        <v>2511</v>
      </c>
      <c r="K854" s="62" t="s">
        <v>2511</v>
      </c>
      <c r="L854" s="60" t="s">
        <v>2511</v>
      </c>
      <c r="M854" s="61" t="s">
        <v>2389</v>
      </c>
      <c r="N854" s="61" t="s">
        <v>2511</v>
      </c>
      <c r="O854" s="61" t="s">
        <v>2511</v>
      </c>
      <c r="P854" s="62" t="s">
        <v>2511</v>
      </c>
      <c r="Q854" s="82"/>
      <c r="R854" s="82"/>
      <c r="S854" s="82"/>
      <c r="T854" s="82"/>
      <c r="U854" s="82"/>
      <c r="V854" s="138" t="s">
        <v>4875</v>
      </c>
      <c r="W854" s="57" t="s">
        <v>4532</v>
      </c>
      <c r="X854" s="126" t="s">
        <v>2511</v>
      </c>
      <c r="Y854" s="126" t="s">
        <v>2511</v>
      </c>
      <c r="Z854" s="57"/>
      <c r="AA854" s="57" t="s">
        <v>4533</v>
      </c>
      <c r="AB854" s="138"/>
      <c r="AC854" s="138" t="s">
        <v>2631</v>
      </c>
      <c r="AD854" s="96"/>
      <c r="AE854" s="80"/>
      <c r="AF854" s="80"/>
      <c r="AG854" s="80"/>
      <c r="AH854" s="83"/>
      <c r="AI854" s="83"/>
      <c r="AJ854" s="84"/>
      <c r="AK854" s="84"/>
      <c r="AL854" s="84"/>
      <c r="AM854" s="84"/>
      <c r="AN854" s="84"/>
      <c r="AO854" s="84"/>
      <c r="AP854" s="84"/>
      <c r="AQ854" s="95" t="s">
        <v>1973</v>
      </c>
      <c r="AR854" s="72"/>
      <c r="AS854" s="72"/>
      <c r="AT854" s="72"/>
      <c r="AU854" s="72"/>
      <c r="AV854" s="72"/>
      <c r="AW854" s="72"/>
      <c r="AX854" s="72"/>
      <c r="AY854" s="72"/>
      <c r="AZ854" s="72"/>
      <c r="BA854" s="72"/>
      <c r="BB854" s="16"/>
      <c r="BC854" s="72"/>
      <c r="BD854" s="20"/>
      <c r="BE854" s="352"/>
    </row>
    <row r="855" spans="1:57" s="81" customFormat="1" ht="12.95" hidden="1" customHeight="1">
      <c r="A855" s="348"/>
      <c r="B855" s="350"/>
      <c r="C855" s="248" t="s">
        <v>1704</v>
      </c>
      <c r="D855" s="239" t="s">
        <v>4876</v>
      </c>
      <c r="E855" s="58"/>
      <c r="F855" s="59" t="s">
        <v>4877</v>
      </c>
      <c r="G855" s="191" t="s">
        <v>2511</v>
      </c>
      <c r="H855" s="192" t="s">
        <v>1974</v>
      </c>
      <c r="I855" s="61" t="s">
        <v>2511</v>
      </c>
      <c r="J855" s="61" t="s">
        <v>2511</v>
      </c>
      <c r="K855" s="62" t="s">
        <v>2511</v>
      </c>
      <c r="L855" s="60" t="s">
        <v>2511</v>
      </c>
      <c r="M855" s="61" t="s">
        <v>2389</v>
      </c>
      <c r="N855" s="61" t="s">
        <v>2511</v>
      </c>
      <c r="O855" s="61" t="s">
        <v>2511</v>
      </c>
      <c r="P855" s="62" t="s">
        <v>2511</v>
      </c>
      <c r="Q855" s="82"/>
      <c r="R855" s="82"/>
      <c r="S855" s="82"/>
      <c r="T855" s="82"/>
      <c r="U855" s="82"/>
      <c r="V855" s="138" t="s">
        <v>4878</v>
      </c>
      <c r="W855" s="57" t="s">
        <v>4532</v>
      </c>
      <c r="X855" s="126" t="s">
        <v>2511</v>
      </c>
      <c r="Y855" s="126" t="s">
        <v>2511</v>
      </c>
      <c r="Z855" s="57"/>
      <c r="AA855" s="57" t="s">
        <v>4533</v>
      </c>
      <c r="AB855" s="138"/>
      <c r="AC855" s="138" t="s">
        <v>2631</v>
      </c>
      <c r="AD855" s="96"/>
      <c r="AE855" s="80"/>
      <c r="AF855" s="80"/>
      <c r="AG855" s="80"/>
      <c r="AH855" s="83"/>
      <c r="AI855" s="83"/>
      <c r="AJ855" s="84"/>
      <c r="AK855" s="84"/>
      <c r="AL855" s="84"/>
      <c r="AM855" s="84"/>
      <c r="AN855" s="84"/>
      <c r="AO855" s="84"/>
      <c r="AP855" s="84"/>
      <c r="AQ855" s="95" t="s">
        <v>1974</v>
      </c>
      <c r="AR855" s="72"/>
      <c r="AS855" s="72"/>
      <c r="AT855" s="72"/>
      <c r="AU855" s="72"/>
      <c r="AV855" s="72"/>
      <c r="AW855" s="72"/>
      <c r="AX855" s="72"/>
      <c r="AY855" s="72"/>
      <c r="AZ855" s="72"/>
      <c r="BA855" s="72"/>
      <c r="BB855" s="16"/>
      <c r="BC855" s="72"/>
      <c r="BD855" s="20"/>
      <c r="BE855" s="352"/>
    </row>
    <row r="856" spans="1:57" s="81" customFormat="1" ht="12.95" hidden="1" customHeight="1">
      <c r="A856" s="348"/>
      <c r="B856" s="350"/>
      <c r="C856" s="248" t="s">
        <v>1705</v>
      </c>
      <c r="D856" s="239" t="s">
        <v>4879</v>
      </c>
      <c r="E856" s="58"/>
      <c r="F856" s="59" t="s">
        <v>4880</v>
      </c>
      <c r="G856" s="191" t="s">
        <v>2511</v>
      </c>
      <c r="H856" s="192" t="s">
        <v>1975</v>
      </c>
      <c r="I856" s="61" t="s">
        <v>2511</v>
      </c>
      <c r="J856" s="61" t="s">
        <v>2511</v>
      </c>
      <c r="K856" s="62" t="s">
        <v>2511</v>
      </c>
      <c r="L856" s="60" t="s">
        <v>2511</v>
      </c>
      <c r="M856" s="61" t="s">
        <v>2389</v>
      </c>
      <c r="N856" s="61" t="s">
        <v>2511</v>
      </c>
      <c r="O856" s="61" t="s">
        <v>2511</v>
      </c>
      <c r="P856" s="62" t="s">
        <v>2511</v>
      </c>
      <c r="Q856" s="82"/>
      <c r="R856" s="82"/>
      <c r="S856" s="82"/>
      <c r="T856" s="82"/>
      <c r="U856" s="82"/>
      <c r="V856" s="138" t="s">
        <v>4881</v>
      </c>
      <c r="W856" s="57" t="s">
        <v>4532</v>
      </c>
      <c r="X856" s="126" t="s">
        <v>2511</v>
      </c>
      <c r="Y856" s="126" t="s">
        <v>2511</v>
      </c>
      <c r="Z856" s="57"/>
      <c r="AA856" s="57" t="s">
        <v>4533</v>
      </c>
      <c r="AB856" s="138"/>
      <c r="AC856" s="138" t="s">
        <v>2631</v>
      </c>
      <c r="AD856" s="96"/>
      <c r="AE856" s="80"/>
      <c r="AF856" s="80"/>
      <c r="AG856" s="80"/>
      <c r="AH856" s="83"/>
      <c r="AI856" s="83"/>
      <c r="AJ856" s="84"/>
      <c r="AK856" s="84"/>
      <c r="AL856" s="84"/>
      <c r="AM856" s="84"/>
      <c r="AN856" s="84"/>
      <c r="AO856" s="84"/>
      <c r="AP856" s="84"/>
      <c r="AQ856" s="95" t="s">
        <v>1975</v>
      </c>
      <c r="AR856" s="72"/>
      <c r="AS856" s="72"/>
      <c r="AT856" s="72"/>
      <c r="AU856" s="72"/>
      <c r="AV856" s="72"/>
      <c r="AW856" s="72"/>
      <c r="AX856" s="72"/>
      <c r="AY856" s="72"/>
      <c r="AZ856" s="72"/>
      <c r="BA856" s="72"/>
      <c r="BB856" s="16"/>
      <c r="BC856" s="72"/>
      <c r="BD856" s="20"/>
      <c r="BE856" s="352"/>
    </row>
    <row r="857" spans="1:57" s="81" customFormat="1" ht="12.95" hidden="1" customHeight="1">
      <c r="A857" s="348"/>
      <c r="B857" s="350"/>
      <c r="C857" s="270" t="s">
        <v>1706</v>
      </c>
      <c r="D857" s="239" t="s">
        <v>4882</v>
      </c>
      <c r="E857" s="58"/>
      <c r="F857" s="59" t="s">
        <v>4883</v>
      </c>
      <c r="G857" s="191" t="s">
        <v>2511</v>
      </c>
      <c r="H857" s="192" t="s">
        <v>1976</v>
      </c>
      <c r="I857" s="61" t="s">
        <v>2511</v>
      </c>
      <c r="J857" s="61" t="s">
        <v>2511</v>
      </c>
      <c r="K857" s="62" t="s">
        <v>2511</v>
      </c>
      <c r="L857" s="60" t="s">
        <v>2511</v>
      </c>
      <c r="M857" s="61" t="s">
        <v>2389</v>
      </c>
      <c r="N857" s="61" t="s">
        <v>2511</v>
      </c>
      <c r="O857" s="61" t="s">
        <v>2511</v>
      </c>
      <c r="P857" s="62" t="s">
        <v>2511</v>
      </c>
      <c r="Q857" s="82"/>
      <c r="R857" s="82"/>
      <c r="S857" s="82"/>
      <c r="T857" s="82"/>
      <c r="U857" s="82"/>
      <c r="V857" s="138" t="s">
        <v>4884</v>
      </c>
      <c r="W857" s="57" t="s">
        <v>4532</v>
      </c>
      <c r="X857" s="126" t="s">
        <v>2511</v>
      </c>
      <c r="Y857" s="126" t="s">
        <v>2511</v>
      </c>
      <c r="Z857" s="57"/>
      <c r="AA857" s="57" t="s">
        <v>4533</v>
      </c>
      <c r="AB857" s="138"/>
      <c r="AC857" s="138" t="s">
        <v>2631</v>
      </c>
      <c r="AD857" s="96"/>
      <c r="AE857" s="80"/>
      <c r="AF857" s="80"/>
      <c r="AG857" s="80"/>
      <c r="AH857" s="83"/>
      <c r="AI857" s="83"/>
      <c r="AJ857" s="84"/>
      <c r="AK857" s="84"/>
      <c r="AL857" s="84"/>
      <c r="AM857" s="84"/>
      <c r="AN857" s="84"/>
      <c r="AO857" s="84"/>
      <c r="AP857" s="84"/>
      <c r="AQ857" s="95" t="s">
        <v>1976</v>
      </c>
      <c r="AR857" s="72"/>
      <c r="AS857" s="72"/>
      <c r="AT857" s="72"/>
      <c r="AU857" s="72"/>
      <c r="AV857" s="72"/>
      <c r="AW857" s="72"/>
      <c r="AX857" s="72"/>
      <c r="AY857" s="72"/>
      <c r="AZ857" s="72"/>
      <c r="BA857" s="72"/>
      <c r="BB857" s="16"/>
      <c r="BC857" s="72"/>
      <c r="BD857" s="20"/>
      <c r="BE857" s="352"/>
    </row>
    <row r="858" spans="1:57" s="81" customFormat="1" ht="12.95" hidden="1" customHeight="1">
      <c r="A858" s="348"/>
      <c r="B858" s="350"/>
      <c r="C858" s="270" t="s">
        <v>1707</v>
      </c>
      <c r="D858" s="239" t="s">
        <v>4885</v>
      </c>
      <c r="E858" s="58"/>
      <c r="F858" s="59" t="s">
        <v>4886</v>
      </c>
      <c r="G858" s="191" t="s">
        <v>2511</v>
      </c>
      <c r="H858" s="192" t="s">
        <v>1977</v>
      </c>
      <c r="I858" s="61" t="s">
        <v>2511</v>
      </c>
      <c r="J858" s="61" t="s">
        <v>2511</v>
      </c>
      <c r="K858" s="62" t="s">
        <v>2511</v>
      </c>
      <c r="L858" s="60" t="s">
        <v>2511</v>
      </c>
      <c r="M858" s="61" t="s">
        <v>2389</v>
      </c>
      <c r="N858" s="61" t="s">
        <v>2511</v>
      </c>
      <c r="O858" s="61" t="s">
        <v>2511</v>
      </c>
      <c r="P858" s="62" t="s">
        <v>2511</v>
      </c>
      <c r="Q858" s="82"/>
      <c r="R858" s="82"/>
      <c r="S858" s="82"/>
      <c r="T858" s="82"/>
      <c r="U858" s="82"/>
      <c r="V858" s="138" t="s">
        <v>4887</v>
      </c>
      <c r="W858" s="57" t="s">
        <v>4532</v>
      </c>
      <c r="X858" s="126" t="s">
        <v>2511</v>
      </c>
      <c r="Y858" s="126" t="s">
        <v>2511</v>
      </c>
      <c r="Z858" s="57"/>
      <c r="AA858" s="57" t="s">
        <v>4533</v>
      </c>
      <c r="AB858" s="138"/>
      <c r="AC858" s="138" t="s">
        <v>2631</v>
      </c>
      <c r="AD858" s="96"/>
      <c r="AE858" s="80"/>
      <c r="AF858" s="80"/>
      <c r="AG858" s="80"/>
      <c r="AH858" s="83"/>
      <c r="AI858" s="83"/>
      <c r="AJ858" s="84"/>
      <c r="AK858" s="84"/>
      <c r="AL858" s="84"/>
      <c r="AM858" s="84"/>
      <c r="AN858" s="84"/>
      <c r="AO858" s="84"/>
      <c r="AP858" s="84"/>
      <c r="AQ858" s="95" t="s">
        <v>1977</v>
      </c>
      <c r="AR858" s="72"/>
      <c r="AS858" s="72"/>
      <c r="AT858" s="72"/>
      <c r="AU858" s="72"/>
      <c r="AV858" s="72"/>
      <c r="AW858" s="72"/>
      <c r="AX858" s="72"/>
      <c r="AY858" s="72"/>
      <c r="AZ858" s="72"/>
      <c r="BA858" s="72"/>
      <c r="BB858" s="16"/>
      <c r="BC858" s="72"/>
      <c r="BD858" s="20"/>
      <c r="BE858" s="352"/>
    </row>
    <row r="859" spans="1:57" s="81" customFormat="1" ht="12.95" hidden="1" customHeight="1">
      <c r="A859" s="348"/>
      <c r="B859" s="350"/>
      <c r="C859" s="248" t="s">
        <v>1708</v>
      </c>
      <c r="D859" s="239" t="s">
        <v>4888</v>
      </c>
      <c r="E859" s="58"/>
      <c r="F859" s="59" t="s">
        <v>4889</v>
      </c>
      <c r="G859" s="191" t="s">
        <v>2511</v>
      </c>
      <c r="H859" s="192" t="s">
        <v>1978</v>
      </c>
      <c r="I859" s="61" t="s">
        <v>2511</v>
      </c>
      <c r="J859" s="61" t="s">
        <v>2511</v>
      </c>
      <c r="K859" s="62" t="s">
        <v>2511</v>
      </c>
      <c r="L859" s="60" t="s">
        <v>2511</v>
      </c>
      <c r="M859" s="61" t="s">
        <v>2389</v>
      </c>
      <c r="N859" s="61" t="s">
        <v>2511</v>
      </c>
      <c r="O859" s="61" t="s">
        <v>2511</v>
      </c>
      <c r="P859" s="62" t="s">
        <v>2511</v>
      </c>
      <c r="Q859" s="82"/>
      <c r="R859" s="82"/>
      <c r="S859" s="82"/>
      <c r="T859" s="82"/>
      <c r="U859" s="82"/>
      <c r="V859" s="138" t="s">
        <v>4890</v>
      </c>
      <c r="W859" s="57" t="s">
        <v>4532</v>
      </c>
      <c r="X859" s="126" t="s">
        <v>2511</v>
      </c>
      <c r="Y859" s="126" t="s">
        <v>2511</v>
      </c>
      <c r="Z859" s="57"/>
      <c r="AA859" s="57" t="s">
        <v>4533</v>
      </c>
      <c r="AB859" s="138"/>
      <c r="AC859" s="138">
        <v>0</v>
      </c>
      <c r="AD859" s="96"/>
      <c r="AE859" s="80"/>
      <c r="AF859" s="80"/>
      <c r="AG859" s="80"/>
      <c r="AH859" s="83"/>
      <c r="AI859" s="83"/>
      <c r="AJ859" s="84"/>
      <c r="AK859" s="84"/>
      <c r="AL859" s="84"/>
      <c r="AM859" s="84"/>
      <c r="AN859" s="84"/>
      <c r="AO859" s="84"/>
      <c r="AP859" s="84"/>
      <c r="AQ859" s="95" t="s">
        <v>1978</v>
      </c>
      <c r="AR859" s="72"/>
      <c r="AS859" s="72"/>
      <c r="AT859" s="72"/>
      <c r="AU859" s="72"/>
      <c r="AV859" s="72"/>
      <c r="AW859" s="72"/>
      <c r="AX859" s="72"/>
      <c r="AY859" s="72"/>
      <c r="AZ859" s="72"/>
      <c r="BA859" s="72"/>
      <c r="BB859" s="16"/>
      <c r="BC859" s="72"/>
      <c r="BD859" s="20"/>
      <c r="BE859" s="352"/>
    </row>
    <row r="860" spans="1:57" s="81" customFormat="1" ht="12.95" hidden="1" customHeight="1">
      <c r="A860" s="348"/>
      <c r="B860" s="350"/>
      <c r="C860" s="248" t="s">
        <v>1709</v>
      </c>
      <c r="D860" s="239" t="s">
        <v>4891</v>
      </c>
      <c r="E860" s="58"/>
      <c r="F860" s="59" t="s">
        <v>4892</v>
      </c>
      <c r="G860" s="191" t="s">
        <v>2511</v>
      </c>
      <c r="H860" s="192" t="s">
        <v>1979</v>
      </c>
      <c r="I860" s="61" t="s">
        <v>2511</v>
      </c>
      <c r="J860" s="61" t="s">
        <v>2511</v>
      </c>
      <c r="K860" s="62" t="s">
        <v>2511</v>
      </c>
      <c r="L860" s="60" t="s">
        <v>2511</v>
      </c>
      <c r="M860" s="61" t="s">
        <v>2389</v>
      </c>
      <c r="N860" s="61" t="s">
        <v>2511</v>
      </c>
      <c r="O860" s="61" t="s">
        <v>2511</v>
      </c>
      <c r="P860" s="62" t="s">
        <v>2511</v>
      </c>
      <c r="Q860" s="82"/>
      <c r="R860" s="82"/>
      <c r="S860" s="82"/>
      <c r="T860" s="82"/>
      <c r="U860" s="82"/>
      <c r="V860" s="138" t="s">
        <v>4893</v>
      </c>
      <c r="W860" s="57" t="s">
        <v>4532</v>
      </c>
      <c r="X860" s="126" t="s">
        <v>2511</v>
      </c>
      <c r="Y860" s="126" t="s">
        <v>2511</v>
      </c>
      <c r="Z860" s="57"/>
      <c r="AA860" s="57" t="s">
        <v>4533</v>
      </c>
      <c r="AB860" s="138"/>
      <c r="AC860" s="138" t="s">
        <v>2631</v>
      </c>
      <c r="AD860" s="96"/>
      <c r="AE860" s="80"/>
      <c r="AF860" s="80"/>
      <c r="AG860" s="80"/>
      <c r="AH860" s="83"/>
      <c r="AI860" s="83"/>
      <c r="AJ860" s="84"/>
      <c r="AK860" s="84"/>
      <c r="AL860" s="84"/>
      <c r="AM860" s="84"/>
      <c r="AN860" s="84"/>
      <c r="AO860" s="84"/>
      <c r="AP860" s="84"/>
      <c r="AQ860" s="95" t="s">
        <v>1979</v>
      </c>
      <c r="AR860" s="72"/>
      <c r="AS860" s="72"/>
      <c r="AT860" s="72"/>
      <c r="AU860" s="72"/>
      <c r="AV860" s="72"/>
      <c r="AW860" s="72"/>
      <c r="AX860" s="72"/>
      <c r="AY860" s="72"/>
      <c r="AZ860" s="72"/>
      <c r="BA860" s="72"/>
      <c r="BB860" s="16"/>
      <c r="BC860" s="72"/>
      <c r="BD860" s="20"/>
      <c r="BE860" s="352"/>
    </row>
    <row r="861" spans="1:57" s="81" customFormat="1" ht="12.95" hidden="1" customHeight="1">
      <c r="A861" s="348"/>
      <c r="B861" s="350"/>
      <c r="C861" s="248" t="s">
        <v>1710</v>
      </c>
      <c r="D861" s="239" t="s">
        <v>4894</v>
      </c>
      <c r="E861" s="58"/>
      <c r="F861" s="59" t="s">
        <v>4895</v>
      </c>
      <c r="G861" s="191" t="s">
        <v>2511</v>
      </c>
      <c r="H861" s="192" t="s">
        <v>1980</v>
      </c>
      <c r="I861" s="61" t="s">
        <v>2511</v>
      </c>
      <c r="J861" s="61" t="s">
        <v>2511</v>
      </c>
      <c r="K861" s="62" t="s">
        <v>2511</v>
      </c>
      <c r="L861" s="60" t="s">
        <v>2511</v>
      </c>
      <c r="M861" s="61" t="s">
        <v>2389</v>
      </c>
      <c r="N861" s="61" t="s">
        <v>2511</v>
      </c>
      <c r="O861" s="61" t="s">
        <v>2511</v>
      </c>
      <c r="P861" s="62" t="s">
        <v>2511</v>
      </c>
      <c r="Q861" s="82"/>
      <c r="R861" s="82"/>
      <c r="S861" s="82"/>
      <c r="T861" s="82"/>
      <c r="U861" s="82"/>
      <c r="V861" s="138" t="s">
        <v>4896</v>
      </c>
      <c r="W861" s="57" t="s">
        <v>4532</v>
      </c>
      <c r="X861" s="126" t="s">
        <v>2511</v>
      </c>
      <c r="Y861" s="126" t="s">
        <v>2511</v>
      </c>
      <c r="Z861" s="57"/>
      <c r="AA861" s="57" t="s">
        <v>4533</v>
      </c>
      <c r="AB861" s="138"/>
      <c r="AC861" s="138" t="s">
        <v>2631</v>
      </c>
      <c r="AD861" s="96"/>
      <c r="AE861" s="80"/>
      <c r="AF861" s="80"/>
      <c r="AG861" s="80"/>
      <c r="AH861" s="83"/>
      <c r="AI861" s="83"/>
      <c r="AJ861" s="84"/>
      <c r="AK861" s="84"/>
      <c r="AL861" s="84"/>
      <c r="AM861" s="84"/>
      <c r="AN861" s="84"/>
      <c r="AO861" s="84"/>
      <c r="AP861" s="84"/>
      <c r="AQ861" s="95" t="s">
        <v>1980</v>
      </c>
      <c r="AR861" s="72"/>
      <c r="AS861" s="72"/>
      <c r="AT861" s="72"/>
      <c r="AU861" s="72"/>
      <c r="AV861" s="72"/>
      <c r="AW861" s="72"/>
      <c r="AX861" s="72"/>
      <c r="AY861" s="72"/>
      <c r="AZ861" s="72"/>
      <c r="BA861" s="72"/>
      <c r="BB861" s="16"/>
      <c r="BC861" s="72"/>
      <c r="BD861" s="20"/>
      <c r="BE861" s="352"/>
    </row>
    <row r="862" spans="1:57" s="81" customFormat="1" ht="12.95" hidden="1" customHeight="1">
      <c r="A862" s="348"/>
      <c r="B862" s="350"/>
      <c r="C862" s="248" t="s">
        <v>1711</v>
      </c>
      <c r="D862" s="239" t="s">
        <v>4897</v>
      </c>
      <c r="E862" s="58"/>
      <c r="F862" s="59" t="s">
        <v>4898</v>
      </c>
      <c r="G862" s="191" t="s">
        <v>2511</v>
      </c>
      <c r="H862" s="192" t="s">
        <v>1981</v>
      </c>
      <c r="I862" s="61" t="s">
        <v>2511</v>
      </c>
      <c r="J862" s="61" t="s">
        <v>2511</v>
      </c>
      <c r="K862" s="62" t="s">
        <v>2511</v>
      </c>
      <c r="L862" s="60" t="s">
        <v>2511</v>
      </c>
      <c r="M862" s="61" t="s">
        <v>2389</v>
      </c>
      <c r="N862" s="61" t="s">
        <v>2511</v>
      </c>
      <c r="O862" s="61" t="s">
        <v>2511</v>
      </c>
      <c r="P862" s="62" t="s">
        <v>2511</v>
      </c>
      <c r="Q862" s="82"/>
      <c r="R862" s="82"/>
      <c r="S862" s="82"/>
      <c r="T862" s="82"/>
      <c r="U862" s="82"/>
      <c r="V862" s="138" t="s">
        <v>4899</v>
      </c>
      <c r="W862" s="57" t="s">
        <v>4532</v>
      </c>
      <c r="X862" s="126" t="s">
        <v>2511</v>
      </c>
      <c r="Y862" s="126" t="s">
        <v>2511</v>
      </c>
      <c r="Z862" s="57"/>
      <c r="AA862" s="57" t="s">
        <v>4533</v>
      </c>
      <c r="AB862" s="138"/>
      <c r="AC862" s="138" t="s">
        <v>2631</v>
      </c>
      <c r="AD862" s="96"/>
      <c r="AE862" s="80"/>
      <c r="AF862" s="80"/>
      <c r="AG862" s="80"/>
      <c r="AH862" s="83"/>
      <c r="AI862" s="83"/>
      <c r="AJ862" s="84"/>
      <c r="AK862" s="84"/>
      <c r="AL862" s="84"/>
      <c r="AM862" s="84"/>
      <c r="AN862" s="84"/>
      <c r="AO862" s="84"/>
      <c r="AP862" s="84"/>
      <c r="AQ862" s="95" t="s">
        <v>1981</v>
      </c>
      <c r="AR862" s="72"/>
      <c r="AS862" s="72"/>
      <c r="AT862" s="72"/>
      <c r="AU862" s="72"/>
      <c r="AV862" s="72"/>
      <c r="AW862" s="72"/>
      <c r="AX862" s="72"/>
      <c r="AY862" s="72"/>
      <c r="AZ862" s="72"/>
      <c r="BA862" s="72"/>
      <c r="BB862" s="16"/>
      <c r="BC862" s="72"/>
      <c r="BD862" s="20"/>
      <c r="BE862" s="352"/>
    </row>
    <row r="863" spans="1:57" s="81" customFormat="1" ht="12.95" hidden="1" customHeight="1">
      <c r="A863" s="348"/>
      <c r="B863" s="350"/>
      <c r="C863" s="248" t="s">
        <v>1712</v>
      </c>
      <c r="D863" s="239" t="s">
        <v>4900</v>
      </c>
      <c r="E863" s="58"/>
      <c r="F863" s="59" t="s">
        <v>4901</v>
      </c>
      <c r="G863" s="191" t="s">
        <v>2511</v>
      </c>
      <c r="H863" s="192" t="s">
        <v>1982</v>
      </c>
      <c r="I863" s="61" t="s">
        <v>2511</v>
      </c>
      <c r="J863" s="61" t="s">
        <v>2511</v>
      </c>
      <c r="K863" s="62" t="s">
        <v>2511</v>
      </c>
      <c r="L863" s="60" t="s">
        <v>2511</v>
      </c>
      <c r="M863" s="61" t="s">
        <v>2389</v>
      </c>
      <c r="N863" s="61" t="s">
        <v>2511</v>
      </c>
      <c r="O863" s="61" t="s">
        <v>2511</v>
      </c>
      <c r="P863" s="62" t="s">
        <v>2511</v>
      </c>
      <c r="Q863" s="82"/>
      <c r="R863" s="82"/>
      <c r="S863" s="82"/>
      <c r="T863" s="82"/>
      <c r="U863" s="82"/>
      <c r="V863" s="138" t="s">
        <v>4902</v>
      </c>
      <c r="W863" s="57" t="s">
        <v>4532</v>
      </c>
      <c r="X863" s="126" t="s">
        <v>2511</v>
      </c>
      <c r="Y863" s="126" t="s">
        <v>2511</v>
      </c>
      <c r="Z863" s="57"/>
      <c r="AA863" s="57" t="s">
        <v>4533</v>
      </c>
      <c r="AB863" s="138"/>
      <c r="AC863" s="138" t="s">
        <v>2631</v>
      </c>
      <c r="AD863" s="96"/>
      <c r="AE863" s="80"/>
      <c r="AF863" s="80"/>
      <c r="AG863" s="80"/>
      <c r="AH863" s="83"/>
      <c r="AI863" s="83"/>
      <c r="AJ863" s="84"/>
      <c r="AK863" s="84"/>
      <c r="AL863" s="84"/>
      <c r="AM863" s="84"/>
      <c r="AN863" s="84"/>
      <c r="AO863" s="84"/>
      <c r="AP863" s="84"/>
      <c r="AQ863" s="95" t="s">
        <v>1982</v>
      </c>
      <c r="AR863" s="72"/>
      <c r="AS863" s="72"/>
      <c r="AT863" s="72"/>
      <c r="AU863" s="72"/>
      <c r="AV863" s="72"/>
      <c r="AW863" s="72"/>
      <c r="AX863" s="72"/>
      <c r="AY863" s="72"/>
      <c r="AZ863" s="72"/>
      <c r="BA863" s="72"/>
      <c r="BB863" s="16"/>
      <c r="BC863" s="72"/>
      <c r="BD863" s="20"/>
      <c r="BE863" s="352"/>
    </row>
    <row r="864" spans="1:57" s="81" customFormat="1" ht="12.95" hidden="1" customHeight="1">
      <c r="A864" s="348"/>
      <c r="B864" s="350"/>
      <c r="C864" s="248" t="s">
        <v>1713</v>
      </c>
      <c r="D864" s="239" t="s">
        <v>4903</v>
      </c>
      <c r="E864" s="58"/>
      <c r="F864" s="59" t="s">
        <v>4904</v>
      </c>
      <c r="G864" s="191" t="s">
        <v>2511</v>
      </c>
      <c r="H864" s="192" t="s">
        <v>1983</v>
      </c>
      <c r="I864" s="61" t="s">
        <v>2511</v>
      </c>
      <c r="J864" s="61" t="s">
        <v>2511</v>
      </c>
      <c r="K864" s="62" t="s">
        <v>2511</v>
      </c>
      <c r="L864" s="60" t="s">
        <v>2511</v>
      </c>
      <c r="M864" s="61" t="s">
        <v>2389</v>
      </c>
      <c r="N864" s="61" t="s">
        <v>2511</v>
      </c>
      <c r="O864" s="61" t="s">
        <v>2511</v>
      </c>
      <c r="P864" s="62" t="s">
        <v>2511</v>
      </c>
      <c r="Q864" s="82"/>
      <c r="R864" s="82"/>
      <c r="S864" s="82"/>
      <c r="T864" s="82"/>
      <c r="U864" s="82"/>
      <c r="V864" s="138" t="s">
        <v>4905</v>
      </c>
      <c r="W864" s="57" t="s">
        <v>4532</v>
      </c>
      <c r="X864" s="126" t="s">
        <v>2511</v>
      </c>
      <c r="Y864" s="126" t="s">
        <v>2511</v>
      </c>
      <c r="Z864" s="57"/>
      <c r="AA864" s="57" t="s">
        <v>4533</v>
      </c>
      <c r="AB864" s="138"/>
      <c r="AC864" s="138" t="s">
        <v>2631</v>
      </c>
      <c r="AD864" s="96"/>
      <c r="AE864" s="80"/>
      <c r="AF864" s="80"/>
      <c r="AG864" s="80"/>
      <c r="AH864" s="83"/>
      <c r="AI864" s="83"/>
      <c r="AJ864" s="84"/>
      <c r="AK864" s="84"/>
      <c r="AL864" s="84"/>
      <c r="AM864" s="84"/>
      <c r="AN864" s="84"/>
      <c r="AO864" s="84"/>
      <c r="AP864" s="84"/>
      <c r="AQ864" s="95" t="s">
        <v>1983</v>
      </c>
      <c r="AR864" s="72"/>
      <c r="AS864" s="72"/>
      <c r="AT864" s="72"/>
      <c r="AU864" s="72"/>
      <c r="AV864" s="72"/>
      <c r="AW864" s="72"/>
      <c r="AX864" s="72"/>
      <c r="AY864" s="72"/>
      <c r="AZ864" s="72"/>
      <c r="BA864" s="72"/>
      <c r="BB864" s="16"/>
      <c r="BC864" s="72"/>
      <c r="BD864" s="20"/>
      <c r="BE864" s="352"/>
    </row>
    <row r="865" spans="1:57" s="81" customFormat="1" ht="12.95" hidden="1" customHeight="1">
      <c r="A865" s="348"/>
      <c r="B865" s="350"/>
      <c r="C865" s="248" t="s">
        <v>1714</v>
      </c>
      <c r="D865" s="239" t="s">
        <v>4906</v>
      </c>
      <c r="E865" s="58"/>
      <c r="F865" s="59" t="s">
        <v>4907</v>
      </c>
      <c r="G865" s="191" t="s">
        <v>2511</v>
      </c>
      <c r="H865" s="192" t="s">
        <v>1984</v>
      </c>
      <c r="I865" s="61" t="s">
        <v>2511</v>
      </c>
      <c r="J865" s="61" t="s">
        <v>2511</v>
      </c>
      <c r="K865" s="62" t="s">
        <v>2511</v>
      </c>
      <c r="L865" s="60" t="s">
        <v>2511</v>
      </c>
      <c r="M865" s="61" t="s">
        <v>2389</v>
      </c>
      <c r="N865" s="61" t="s">
        <v>2511</v>
      </c>
      <c r="O865" s="61" t="s">
        <v>2511</v>
      </c>
      <c r="P865" s="62" t="s">
        <v>2511</v>
      </c>
      <c r="Q865" s="82"/>
      <c r="R865" s="82"/>
      <c r="S865" s="82"/>
      <c r="T865" s="82"/>
      <c r="U865" s="82"/>
      <c r="V865" s="138" t="s">
        <v>4908</v>
      </c>
      <c r="W865" s="57" t="s">
        <v>4532</v>
      </c>
      <c r="X865" s="126" t="s">
        <v>2511</v>
      </c>
      <c r="Y865" s="126" t="s">
        <v>2511</v>
      </c>
      <c r="Z865" s="57"/>
      <c r="AA865" s="57" t="s">
        <v>4533</v>
      </c>
      <c r="AB865" s="138"/>
      <c r="AC865" s="138" t="s">
        <v>2631</v>
      </c>
      <c r="AD865" s="96"/>
      <c r="AE865" s="80"/>
      <c r="AF865" s="80"/>
      <c r="AG865" s="80"/>
      <c r="AH865" s="83"/>
      <c r="AI865" s="83"/>
      <c r="AJ865" s="84"/>
      <c r="AK865" s="84"/>
      <c r="AL865" s="84"/>
      <c r="AM865" s="84"/>
      <c r="AN865" s="84"/>
      <c r="AO865" s="84"/>
      <c r="AP865" s="84"/>
      <c r="AQ865" s="95" t="s">
        <v>1984</v>
      </c>
      <c r="AR865" s="72"/>
      <c r="AS865" s="72"/>
      <c r="AT865" s="72"/>
      <c r="AU865" s="72"/>
      <c r="AV865" s="72"/>
      <c r="AW865" s="72"/>
      <c r="AX865" s="72"/>
      <c r="AY865" s="72"/>
      <c r="AZ865" s="72"/>
      <c r="BA865" s="72"/>
      <c r="BB865" s="16"/>
      <c r="BC865" s="72"/>
      <c r="BD865" s="20"/>
      <c r="BE865" s="352"/>
    </row>
    <row r="866" spans="1:57" s="81" customFormat="1" ht="12.95" hidden="1" customHeight="1">
      <c r="A866" s="348"/>
      <c r="B866" s="350"/>
      <c r="C866" s="248" t="s">
        <v>1715</v>
      </c>
      <c r="D866" s="239" t="s">
        <v>4909</v>
      </c>
      <c r="E866" s="58"/>
      <c r="F866" s="59" t="s">
        <v>4910</v>
      </c>
      <c r="G866" s="191" t="s">
        <v>2511</v>
      </c>
      <c r="H866" s="192" t="s">
        <v>1985</v>
      </c>
      <c r="I866" s="61" t="s">
        <v>2511</v>
      </c>
      <c r="J866" s="61" t="s">
        <v>2511</v>
      </c>
      <c r="K866" s="62" t="s">
        <v>2511</v>
      </c>
      <c r="L866" s="60" t="s">
        <v>2511</v>
      </c>
      <c r="M866" s="61" t="s">
        <v>2389</v>
      </c>
      <c r="N866" s="61" t="s">
        <v>2511</v>
      </c>
      <c r="O866" s="61" t="s">
        <v>2511</v>
      </c>
      <c r="P866" s="62" t="s">
        <v>2511</v>
      </c>
      <c r="Q866" s="82"/>
      <c r="R866" s="82"/>
      <c r="S866" s="82"/>
      <c r="T866" s="82"/>
      <c r="U866" s="82"/>
      <c r="V866" s="138" t="s">
        <v>4911</v>
      </c>
      <c r="W866" s="57" t="s">
        <v>4532</v>
      </c>
      <c r="X866" s="126" t="s">
        <v>2511</v>
      </c>
      <c r="Y866" s="126" t="s">
        <v>2511</v>
      </c>
      <c r="Z866" s="57"/>
      <c r="AA866" s="57" t="s">
        <v>4533</v>
      </c>
      <c r="AB866" s="138"/>
      <c r="AC866" s="138" t="s">
        <v>2631</v>
      </c>
      <c r="AD866" s="96"/>
      <c r="AE866" s="80"/>
      <c r="AF866" s="80"/>
      <c r="AG866" s="80"/>
      <c r="AH866" s="83"/>
      <c r="AI866" s="83"/>
      <c r="AJ866" s="84"/>
      <c r="AK866" s="84"/>
      <c r="AL866" s="84"/>
      <c r="AM866" s="84"/>
      <c r="AN866" s="84"/>
      <c r="AO866" s="84"/>
      <c r="AP866" s="84"/>
      <c r="AQ866" s="95" t="s">
        <v>1985</v>
      </c>
      <c r="AR866" s="72"/>
      <c r="AS866" s="72"/>
      <c r="AT866" s="72"/>
      <c r="AU866" s="72"/>
      <c r="AV866" s="72"/>
      <c r="AW866" s="72"/>
      <c r="AX866" s="72"/>
      <c r="AY866" s="72"/>
      <c r="AZ866" s="72"/>
      <c r="BA866" s="72"/>
      <c r="BB866" s="16"/>
      <c r="BC866" s="72"/>
      <c r="BD866" s="20"/>
      <c r="BE866" s="352"/>
    </row>
    <row r="867" spans="1:57" s="81" customFormat="1" ht="12.95" hidden="1" customHeight="1">
      <c r="A867" s="348"/>
      <c r="B867" s="350"/>
      <c r="C867" s="248" t="s">
        <v>1716</v>
      </c>
      <c r="D867" s="239" t="s">
        <v>4912</v>
      </c>
      <c r="E867" s="58"/>
      <c r="F867" s="59" t="s">
        <v>4913</v>
      </c>
      <c r="G867" s="191" t="s">
        <v>2511</v>
      </c>
      <c r="H867" s="192" t="s">
        <v>1986</v>
      </c>
      <c r="I867" s="61" t="s">
        <v>2511</v>
      </c>
      <c r="J867" s="61" t="s">
        <v>2511</v>
      </c>
      <c r="K867" s="62" t="s">
        <v>2511</v>
      </c>
      <c r="L867" s="60" t="s">
        <v>2511</v>
      </c>
      <c r="M867" s="61" t="s">
        <v>2389</v>
      </c>
      <c r="N867" s="61" t="s">
        <v>2511</v>
      </c>
      <c r="O867" s="61" t="s">
        <v>2511</v>
      </c>
      <c r="P867" s="62" t="s">
        <v>2511</v>
      </c>
      <c r="Q867" s="82"/>
      <c r="R867" s="82"/>
      <c r="S867" s="82"/>
      <c r="T867" s="82"/>
      <c r="U867" s="82"/>
      <c r="V867" s="138" t="s">
        <v>4914</v>
      </c>
      <c r="W867" s="57" t="s">
        <v>4532</v>
      </c>
      <c r="X867" s="126" t="s">
        <v>2511</v>
      </c>
      <c r="Y867" s="126" t="s">
        <v>2511</v>
      </c>
      <c r="Z867" s="57"/>
      <c r="AA867" s="57" t="s">
        <v>4533</v>
      </c>
      <c r="AB867" s="138"/>
      <c r="AC867" s="138" t="s">
        <v>2631</v>
      </c>
      <c r="AD867" s="96"/>
      <c r="AE867" s="80"/>
      <c r="AF867" s="80"/>
      <c r="AG867" s="80"/>
      <c r="AH867" s="83"/>
      <c r="AI867" s="83"/>
      <c r="AJ867" s="84"/>
      <c r="AK867" s="84"/>
      <c r="AL867" s="84"/>
      <c r="AM867" s="84"/>
      <c r="AN867" s="84"/>
      <c r="AO867" s="84"/>
      <c r="AP867" s="84"/>
      <c r="AQ867" s="95" t="s">
        <v>1986</v>
      </c>
      <c r="AR867" s="72"/>
      <c r="AS867" s="72"/>
      <c r="AT867" s="72"/>
      <c r="AU867" s="72"/>
      <c r="AV867" s="72"/>
      <c r="AW867" s="72"/>
      <c r="AX867" s="72"/>
      <c r="AY867" s="72"/>
      <c r="AZ867" s="72"/>
      <c r="BA867" s="72"/>
      <c r="BB867" s="16"/>
      <c r="BC867" s="72"/>
      <c r="BD867" s="20"/>
      <c r="BE867" s="352"/>
    </row>
    <row r="868" spans="1:57" s="81" customFormat="1" ht="12.95" hidden="1" customHeight="1">
      <c r="A868" s="348"/>
      <c r="B868" s="350"/>
      <c r="C868" s="248" t="s">
        <v>1717</v>
      </c>
      <c r="D868" s="239" t="s">
        <v>4915</v>
      </c>
      <c r="E868" s="58"/>
      <c r="F868" s="59" t="s">
        <v>4916</v>
      </c>
      <c r="G868" s="191" t="s">
        <v>2511</v>
      </c>
      <c r="H868" s="192" t="s">
        <v>1987</v>
      </c>
      <c r="I868" s="61" t="s">
        <v>2511</v>
      </c>
      <c r="J868" s="61" t="s">
        <v>2511</v>
      </c>
      <c r="K868" s="62" t="s">
        <v>2511</v>
      </c>
      <c r="L868" s="60" t="s">
        <v>2511</v>
      </c>
      <c r="M868" s="61" t="s">
        <v>2389</v>
      </c>
      <c r="N868" s="61" t="s">
        <v>2511</v>
      </c>
      <c r="O868" s="61" t="s">
        <v>2511</v>
      </c>
      <c r="P868" s="62" t="s">
        <v>2511</v>
      </c>
      <c r="Q868" s="82"/>
      <c r="R868" s="82"/>
      <c r="S868" s="82"/>
      <c r="T868" s="82"/>
      <c r="U868" s="82"/>
      <c r="V868" s="138" t="s">
        <v>4917</v>
      </c>
      <c r="W868" s="57" t="s">
        <v>4532</v>
      </c>
      <c r="X868" s="126" t="s">
        <v>2511</v>
      </c>
      <c r="Y868" s="126" t="s">
        <v>2511</v>
      </c>
      <c r="Z868" s="57"/>
      <c r="AA868" s="57" t="s">
        <v>4533</v>
      </c>
      <c r="AB868" s="138"/>
      <c r="AC868" s="138" t="s">
        <v>2631</v>
      </c>
      <c r="AD868" s="96"/>
      <c r="AE868" s="80"/>
      <c r="AF868" s="80"/>
      <c r="AG868" s="80"/>
      <c r="AH868" s="83"/>
      <c r="AI868" s="83"/>
      <c r="AJ868" s="84"/>
      <c r="AK868" s="84"/>
      <c r="AL868" s="84"/>
      <c r="AM868" s="84"/>
      <c r="AN868" s="84"/>
      <c r="AO868" s="84"/>
      <c r="AP868" s="84"/>
      <c r="AQ868" s="95" t="s">
        <v>1987</v>
      </c>
      <c r="AR868" s="72"/>
      <c r="AS868" s="72"/>
      <c r="AT868" s="72"/>
      <c r="AU868" s="72"/>
      <c r="AV868" s="72"/>
      <c r="AW868" s="72"/>
      <c r="AX868" s="72"/>
      <c r="AY868" s="72"/>
      <c r="AZ868" s="72"/>
      <c r="BA868" s="72"/>
      <c r="BB868" s="16"/>
      <c r="BC868" s="72"/>
      <c r="BD868" s="20"/>
      <c r="BE868" s="352"/>
    </row>
    <row r="869" spans="1:57" s="81" customFormat="1" ht="12.95" hidden="1" customHeight="1">
      <c r="A869" s="348"/>
      <c r="B869" s="350"/>
      <c r="C869" s="270" t="s">
        <v>1718</v>
      </c>
      <c r="D869" s="239" t="s">
        <v>4918</v>
      </c>
      <c r="E869" s="58"/>
      <c r="F869" s="59" t="s">
        <v>4919</v>
      </c>
      <c r="G869" s="191" t="s">
        <v>2511</v>
      </c>
      <c r="H869" s="192" t="s">
        <v>1988</v>
      </c>
      <c r="I869" s="61" t="s">
        <v>2511</v>
      </c>
      <c r="J869" s="61" t="s">
        <v>2511</v>
      </c>
      <c r="K869" s="62" t="s">
        <v>2511</v>
      </c>
      <c r="L869" s="60" t="s">
        <v>2511</v>
      </c>
      <c r="M869" s="61" t="s">
        <v>2389</v>
      </c>
      <c r="N869" s="61" t="s">
        <v>2511</v>
      </c>
      <c r="O869" s="61" t="s">
        <v>2511</v>
      </c>
      <c r="P869" s="62" t="s">
        <v>2511</v>
      </c>
      <c r="Q869" s="82"/>
      <c r="R869" s="82"/>
      <c r="S869" s="82"/>
      <c r="T869" s="82"/>
      <c r="U869" s="82"/>
      <c r="V869" s="138" t="s">
        <v>4920</v>
      </c>
      <c r="W869" s="57" t="s">
        <v>4532</v>
      </c>
      <c r="X869" s="126" t="s">
        <v>2511</v>
      </c>
      <c r="Y869" s="126" t="s">
        <v>2511</v>
      </c>
      <c r="Z869" s="57"/>
      <c r="AA869" s="57" t="s">
        <v>4533</v>
      </c>
      <c r="AB869" s="138"/>
      <c r="AC869" s="138" t="s">
        <v>2631</v>
      </c>
      <c r="AD869" s="96"/>
      <c r="AE869" s="80"/>
      <c r="AF869" s="80"/>
      <c r="AG869" s="80"/>
      <c r="AH869" s="83"/>
      <c r="AI869" s="83"/>
      <c r="AJ869" s="84"/>
      <c r="AK869" s="84"/>
      <c r="AL869" s="84"/>
      <c r="AM869" s="84"/>
      <c r="AN869" s="84"/>
      <c r="AO869" s="84"/>
      <c r="AP869" s="84"/>
      <c r="AQ869" s="95" t="s">
        <v>1988</v>
      </c>
      <c r="AR869" s="72"/>
      <c r="AS869" s="72"/>
      <c r="AT869" s="72"/>
      <c r="AU869" s="72"/>
      <c r="AV869" s="72"/>
      <c r="AW869" s="72"/>
      <c r="AX869" s="72"/>
      <c r="AY869" s="72"/>
      <c r="AZ869" s="72"/>
      <c r="BA869" s="72"/>
      <c r="BB869" s="16"/>
      <c r="BC869" s="72"/>
      <c r="BD869" s="20"/>
      <c r="BE869" s="352"/>
    </row>
    <row r="870" spans="1:57" s="81" customFormat="1" ht="12.95" hidden="1" customHeight="1">
      <c r="A870" s="348"/>
      <c r="B870" s="350"/>
      <c r="C870" s="270" t="s">
        <v>1719</v>
      </c>
      <c r="D870" s="239" t="s">
        <v>4921</v>
      </c>
      <c r="E870" s="58"/>
      <c r="F870" s="59" t="s">
        <v>4922</v>
      </c>
      <c r="G870" s="191" t="s">
        <v>2511</v>
      </c>
      <c r="H870" s="192" t="s">
        <v>1989</v>
      </c>
      <c r="I870" s="61" t="s">
        <v>2511</v>
      </c>
      <c r="J870" s="61" t="s">
        <v>2511</v>
      </c>
      <c r="K870" s="62" t="s">
        <v>2511</v>
      </c>
      <c r="L870" s="60" t="s">
        <v>2511</v>
      </c>
      <c r="M870" s="61" t="s">
        <v>2389</v>
      </c>
      <c r="N870" s="61" t="s">
        <v>2511</v>
      </c>
      <c r="O870" s="61" t="s">
        <v>2511</v>
      </c>
      <c r="P870" s="62" t="s">
        <v>2511</v>
      </c>
      <c r="Q870" s="82"/>
      <c r="R870" s="82"/>
      <c r="S870" s="82"/>
      <c r="T870" s="82"/>
      <c r="U870" s="82"/>
      <c r="V870" s="138" t="s">
        <v>4923</v>
      </c>
      <c r="W870" s="57" t="s">
        <v>4532</v>
      </c>
      <c r="X870" s="126" t="s">
        <v>2511</v>
      </c>
      <c r="Y870" s="126" t="s">
        <v>2511</v>
      </c>
      <c r="Z870" s="57"/>
      <c r="AA870" s="57" t="s">
        <v>4533</v>
      </c>
      <c r="AB870" s="138"/>
      <c r="AC870" s="138" t="s">
        <v>2631</v>
      </c>
      <c r="AD870" s="96"/>
      <c r="AE870" s="80"/>
      <c r="AF870" s="80"/>
      <c r="AG870" s="80"/>
      <c r="AH870" s="83"/>
      <c r="AI870" s="83"/>
      <c r="AJ870" s="84"/>
      <c r="AK870" s="84"/>
      <c r="AL870" s="84"/>
      <c r="AM870" s="84"/>
      <c r="AN870" s="84"/>
      <c r="AO870" s="84"/>
      <c r="AP870" s="84"/>
      <c r="AQ870" s="95" t="s">
        <v>1989</v>
      </c>
      <c r="AR870" s="72"/>
      <c r="AS870" s="72"/>
      <c r="AT870" s="72"/>
      <c r="AU870" s="72"/>
      <c r="AV870" s="72"/>
      <c r="AW870" s="72"/>
      <c r="AX870" s="72"/>
      <c r="AY870" s="72"/>
      <c r="AZ870" s="72"/>
      <c r="BA870" s="72"/>
      <c r="BB870" s="16"/>
      <c r="BC870" s="72"/>
      <c r="BD870" s="20"/>
      <c r="BE870" s="352"/>
    </row>
    <row r="871" spans="1:57" s="81" customFormat="1" ht="12.95" hidden="1" customHeight="1">
      <c r="A871" s="348"/>
      <c r="B871" s="350"/>
      <c r="C871" s="248" t="s">
        <v>1720</v>
      </c>
      <c r="D871" s="239" t="s">
        <v>4924</v>
      </c>
      <c r="E871" s="58"/>
      <c r="F871" s="59" t="s">
        <v>4925</v>
      </c>
      <c r="G871" s="191" t="s">
        <v>2511</v>
      </c>
      <c r="H871" s="192" t="s">
        <v>1990</v>
      </c>
      <c r="I871" s="61" t="s">
        <v>2511</v>
      </c>
      <c r="J871" s="61" t="s">
        <v>2511</v>
      </c>
      <c r="K871" s="62" t="s">
        <v>2511</v>
      </c>
      <c r="L871" s="60" t="s">
        <v>2511</v>
      </c>
      <c r="M871" s="61" t="s">
        <v>2389</v>
      </c>
      <c r="N871" s="61" t="s">
        <v>2511</v>
      </c>
      <c r="O871" s="61" t="s">
        <v>2511</v>
      </c>
      <c r="P871" s="62" t="s">
        <v>2511</v>
      </c>
      <c r="Q871" s="82"/>
      <c r="R871" s="82"/>
      <c r="S871" s="82"/>
      <c r="T871" s="82"/>
      <c r="U871" s="82"/>
      <c r="V871" s="138" t="s">
        <v>4926</v>
      </c>
      <c r="W871" s="57" t="s">
        <v>4532</v>
      </c>
      <c r="X871" s="126" t="s">
        <v>2511</v>
      </c>
      <c r="Y871" s="126" t="s">
        <v>2511</v>
      </c>
      <c r="Z871" s="57"/>
      <c r="AA871" s="57" t="s">
        <v>4533</v>
      </c>
      <c r="AB871" s="138"/>
      <c r="AC871" s="138">
        <v>0</v>
      </c>
      <c r="AD871" s="96"/>
      <c r="AE871" s="80"/>
      <c r="AF871" s="80"/>
      <c r="AG871" s="80"/>
      <c r="AH871" s="83"/>
      <c r="AI871" s="83"/>
      <c r="AJ871" s="84"/>
      <c r="AK871" s="84"/>
      <c r="AL871" s="84"/>
      <c r="AM871" s="84"/>
      <c r="AN871" s="84"/>
      <c r="AO871" s="84"/>
      <c r="AP871" s="84"/>
      <c r="AQ871" s="95" t="s">
        <v>1990</v>
      </c>
      <c r="AR871" s="72"/>
      <c r="AS871" s="72"/>
      <c r="AT871" s="72"/>
      <c r="AU871" s="72"/>
      <c r="AV871" s="72"/>
      <c r="AW871" s="72"/>
      <c r="AX871" s="72"/>
      <c r="AY871" s="72"/>
      <c r="AZ871" s="72"/>
      <c r="BA871" s="72"/>
      <c r="BB871" s="16"/>
      <c r="BC871" s="72"/>
      <c r="BD871" s="20"/>
      <c r="BE871" s="352"/>
    </row>
    <row r="872" spans="1:57" s="81" customFormat="1" ht="12.95" hidden="1" customHeight="1">
      <c r="A872" s="348"/>
      <c r="B872" s="350"/>
      <c r="C872" s="248" t="s">
        <v>1721</v>
      </c>
      <c r="D872" s="239" t="s">
        <v>4927</v>
      </c>
      <c r="E872" s="58"/>
      <c r="F872" s="59" t="s">
        <v>4928</v>
      </c>
      <c r="G872" s="191" t="s">
        <v>2511</v>
      </c>
      <c r="H872" s="192" t="s">
        <v>1991</v>
      </c>
      <c r="I872" s="61" t="s">
        <v>2511</v>
      </c>
      <c r="J872" s="61" t="s">
        <v>2511</v>
      </c>
      <c r="K872" s="62" t="s">
        <v>2511</v>
      </c>
      <c r="L872" s="60" t="s">
        <v>2511</v>
      </c>
      <c r="M872" s="61" t="s">
        <v>2389</v>
      </c>
      <c r="N872" s="61" t="s">
        <v>2511</v>
      </c>
      <c r="O872" s="61" t="s">
        <v>2511</v>
      </c>
      <c r="P872" s="62" t="s">
        <v>2511</v>
      </c>
      <c r="Q872" s="82"/>
      <c r="R872" s="82"/>
      <c r="S872" s="82"/>
      <c r="T872" s="82"/>
      <c r="U872" s="82"/>
      <c r="V872" s="138" t="s">
        <v>4929</v>
      </c>
      <c r="W872" s="57" t="s">
        <v>4532</v>
      </c>
      <c r="X872" s="126" t="s">
        <v>2511</v>
      </c>
      <c r="Y872" s="126" t="s">
        <v>2511</v>
      </c>
      <c r="Z872" s="57"/>
      <c r="AA872" s="57" t="s">
        <v>4533</v>
      </c>
      <c r="AB872" s="138"/>
      <c r="AC872" s="138" t="s">
        <v>2631</v>
      </c>
      <c r="AD872" s="96"/>
      <c r="AE872" s="80"/>
      <c r="AF872" s="80"/>
      <c r="AG872" s="80"/>
      <c r="AH872" s="83"/>
      <c r="AI872" s="83"/>
      <c r="AJ872" s="84"/>
      <c r="AK872" s="84"/>
      <c r="AL872" s="84"/>
      <c r="AM872" s="84"/>
      <c r="AN872" s="84"/>
      <c r="AO872" s="84"/>
      <c r="AP872" s="84"/>
      <c r="AQ872" s="95" t="s">
        <v>1991</v>
      </c>
      <c r="AR872" s="72"/>
      <c r="AS872" s="72"/>
      <c r="AT872" s="72"/>
      <c r="AU872" s="72"/>
      <c r="AV872" s="72"/>
      <c r="AW872" s="72"/>
      <c r="AX872" s="72"/>
      <c r="AY872" s="72"/>
      <c r="AZ872" s="72"/>
      <c r="BA872" s="72"/>
      <c r="BB872" s="16"/>
      <c r="BC872" s="72"/>
      <c r="BD872" s="20"/>
      <c r="BE872" s="352"/>
    </row>
    <row r="873" spans="1:57" s="81" customFormat="1" ht="12.95" hidden="1" customHeight="1">
      <c r="A873" s="348"/>
      <c r="B873" s="350"/>
      <c r="C873" s="248" t="s">
        <v>1722</v>
      </c>
      <c r="D873" s="239" t="s">
        <v>4930</v>
      </c>
      <c r="E873" s="58"/>
      <c r="F873" s="59" t="s">
        <v>4931</v>
      </c>
      <c r="G873" s="191" t="s">
        <v>2511</v>
      </c>
      <c r="H873" s="192" t="s">
        <v>1992</v>
      </c>
      <c r="I873" s="61" t="s">
        <v>2511</v>
      </c>
      <c r="J873" s="61" t="s">
        <v>2511</v>
      </c>
      <c r="K873" s="62" t="s">
        <v>2511</v>
      </c>
      <c r="L873" s="60" t="s">
        <v>2511</v>
      </c>
      <c r="M873" s="61" t="s">
        <v>2389</v>
      </c>
      <c r="N873" s="61" t="s">
        <v>2511</v>
      </c>
      <c r="O873" s="61" t="s">
        <v>2511</v>
      </c>
      <c r="P873" s="62" t="s">
        <v>2511</v>
      </c>
      <c r="Q873" s="82"/>
      <c r="R873" s="82"/>
      <c r="S873" s="82"/>
      <c r="T873" s="82"/>
      <c r="U873" s="82"/>
      <c r="V873" s="138" t="s">
        <v>4932</v>
      </c>
      <c r="W873" s="57" t="s">
        <v>4532</v>
      </c>
      <c r="X873" s="126" t="s">
        <v>2511</v>
      </c>
      <c r="Y873" s="126" t="s">
        <v>2511</v>
      </c>
      <c r="Z873" s="57"/>
      <c r="AA873" s="57" t="s">
        <v>4533</v>
      </c>
      <c r="AB873" s="138"/>
      <c r="AC873" s="138" t="s">
        <v>2631</v>
      </c>
      <c r="AD873" s="96"/>
      <c r="AE873" s="80"/>
      <c r="AF873" s="80"/>
      <c r="AG873" s="80"/>
      <c r="AH873" s="83"/>
      <c r="AI873" s="83"/>
      <c r="AJ873" s="84"/>
      <c r="AK873" s="84"/>
      <c r="AL873" s="84"/>
      <c r="AM873" s="84"/>
      <c r="AN873" s="84"/>
      <c r="AO873" s="84"/>
      <c r="AP873" s="84"/>
      <c r="AQ873" s="95" t="s">
        <v>1992</v>
      </c>
      <c r="AR873" s="72"/>
      <c r="AS873" s="72"/>
      <c r="AT873" s="72"/>
      <c r="AU873" s="72"/>
      <c r="AV873" s="72"/>
      <c r="AW873" s="72"/>
      <c r="AX873" s="72"/>
      <c r="AY873" s="72"/>
      <c r="AZ873" s="72"/>
      <c r="BA873" s="72"/>
      <c r="BB873" s="16"/>
      <c r="BC873" s="72"/>
      <c r="BD873" s="20"/>
      <c r="BE873" s="352"/>
    </row>
    <row r="874" spans="1:57" s="81" customFormat="1" ht="12.95" hidden="1" customHeight="1">
      <c r="A874" s="348"/>
      <c r="B874" s="350"/>
      <c r="C874" s="248" t="s">
        <v>1723</v>
      </c>
      <c r="D874" s="239" t="s">
        <v>4933</v>
      </c>
      <c r="E874" s="58"/>
      <c r="F874" s="59" t="s">
        <v>4934</v>
      </c>
      <c r="G874" s="191" t="s">
        <v>2511</v>
      </c>
      <c r="H874" s="192" t="s">
        <v>1993</v>
      </c>
      <c r="I874" s="61" t="s">
        <v>2511</v>
      </c>
      <c r="J874" s="61" t="s">
        <v>2511</v>
      </c>
      <c r="K874" s="62" t="s">
        <v>2511</v>
      </c>
      <c r="L874" s="60" t="s">
        <v>2511</v>
      </c>
      <c r="M874" s="61" t="s">
        <v>2389</v>
      </c>
      <c r="N874" s="61" t="s">
        <v>2511</v>
      </c>
      <c r="O874" s="61" t="s">
        <v>2511</v>
      </c>
      <c r="P874" s="62" t="s">
        <v>2511</v>
      </c>
      <c r="Q874" s="82"/>
      <c r="R874" s="82"/>
      <c r="S874" s="82"/>
      <c r="T874" s="82"/>
      <c r="U874" s="82"/>
      <c r="V874" s="138" t="s">
        <v>4935</v>
      </c>
      <c r="W874" s="57" t="s">
        <v>4532</v>
      </c>
      <c r="X874" s="126" t="s">
        <v>2511</v>
      </c>
      <c r="Y874" s="126" t="s">
        <v>2511</v>
      </c>
      <c r="Z874" s="57"/>
      <c r="AA874" s="57" t="s">
        <v>4533</v>
      </c>
      <c r="AB874" s="138"/>
      <c r="AC874" s="138" t="s">
        <v>2631</v>
      </c>
      <c r="AD874" s="96"/>
      <c r="AE874" s="80"/>
      <c r="AF874" s="80"/>
      <c r="AG874" s="80"/>
      <c r="AH874" s="83"/>
      <c r="AI874" s="83"/>
      <c r="AJ874" s="84"/>
      <c r="AK874" s="84"/>
      <c r="AL874" s="84"/>
      <c r="AM874" s="84"/>
      <c r="AN874" s="84"/>
      <c r="AO874" s="84"/>
      <c r="AP874" s="84"/>
      <c r="AQ874" s="95" t="s">
        <v>1993</v>
      </c>
      <c r="AR874" s="72"/>
      <c r="AS874" s="72"/>
      <c r="AT874" s="72"/>
      <c r="AU874" s="72"/>
      <c r="AV874" s="72"/>
      <c r="AW874" s="72"/>
      <c r="AX874" s="72"/>
      <c r="AY874" s="72"/>
      <c r="AZ874" s="72"/>
      <c r="BA874" s="72"/>
      <c r="BB874" s="16"/>
      <c r="BC874" s="72"/>
      <c r="BD874" s="20"/>
      <c r="BE874" s="352"/>
    </row>
    <row r="875" spans="1:57" s="81" customFormat="1" ht="12.95" hidden="1" customHeight="1">
      <c r="A875" s="348"/>
      <c r="B875" s="350"/>
      <c r="C875" s="248" t="s">
        <v>1724</v>
      </c>
      <c r="D875" s="239" t="s">
        <v>4936</v>
      </c>
      <c r="E875" s="58"/>
      <c r="F875" s="59" t="s">
        <v>4937</v>
      </c>
      <c r="G875" s="191" t="s">
        <v>2511</v>
      </c>
      <c r="H875" s="192" t="s">
        <v>1994</v>
      </c>
      <c r="I875" s="61" t="s">
        <v>2511</v>
      </c>
      <c r="J875" s="61" t="s">
        <v>2511</v>
      </c>
      <c r="K875" s="62" t="s">
        <v>2511</v>
      </c>
      <c r="L875" s="60" t="s">
        <v>2511</v>
      </c>
      <c r="M875" s="61" t="s">
        <v>2389</v>
      </c>
      <c r="N875" s="61" t="s">
        <v>2511</v>
      </c>
      <c r="O875" s="61" t="s">
        <v>2511</v>
      </c>
      <c r="P875" s="62" t="s">
        <v>2511</v>
      </c>
      <c r="Q875" s="82"/>
      <c r="R875" s="82"/>
      <c r="S875" s="82"/>
      <c r="T875" s="82"/>
      <c r="U875" s="82"/>
      <c r="V875" s="138" t="s">
        <v>4938</v>
      </c>
      <c r="W875" s="57" t="s">
        <v>4532</v>
      </c>
      <c r="X875" s="126" t="s">
        <v>2511</v>
      </c>
      <c r="Y875" s="126" t="s">
        <v>2511</v>
      </c>
      <c r="Z875" s="57"/>
      <c r="AA875" s="57" t="s">
        <v>4533</v>
      </c>
      <c r="AB875" s="138"/>
      <c r="AC875" s="138" t="s">
        <v>2631</v>
      </c>
      <c r="AD875" s="96"/>
      <c r="AE875" s="80"/>
      <c r="AF875" s="80"/>
      <c r="AG875" s="80"/>
      <c r="AH875" s="83"/>
      <c r="AI875" s="83"/>
      <c r="AJ875" s="84"/>
      <c r="AK875" s="84"/>
      <c r="AL875" s="84"/>
      <c r="AM875" s="84"/>
      <c r="AN875" s="84"/>
      <c r="AO875" s="84"/>
      <c r="AP875" s="84"/>
      <c r="AQ875" s="95" t="s">
        <v>1994</v>
      </c>
      <c r="AR875" s="72"/>
      <c r="AS875" s="72"/>
      <c r="AT875" s="72"/>
      <c r="AU875" s="72"/>
      <c r="AV875" s="72"/>
      <c r="AW875" s="72"/>
      <c r="AX875" s="72"/>
      <c r="AY875" s="72"/>
      <c r="AZ875" s="72"/>
      <c r="BA875" s="72"/>
      <c r="BB875" s="16"/>
      <c r="BC875" s="72"/>
      <c r="BD875" s="20"/>
      <c r="BE875" s="352"/>
    </row>
    <row r="876" spans="1:57" s="81" customFormat="1" ht="12.95" hidden="1" customHeight="1">
      <c r="A876" s="348"/>
      <c r="B876" s="350"/>
      <c r="C876" s="248" t="s">
        <v>1725</v>
      </c>
      <c r="D876" s="239" t="s">
        <v>4939</v>
      </c>
      <c r="E876" s="58"/>
      <c r="F876" s="59" t="s">
        <v>4940</v>
      </c>
      <c r="G876" s="191" t="s">
        <v>2511</v>
      </c>
      <c r="H876" s="192" t="s">
        <v>1995</v>
      </c>
      <c r="I876" s="61" t="s">
        <v>2511</v>
      </c>
      <c r="J876" s="61" t="s">
        <v>2511</v>
      </c>
      <c r="K876" s="62" t="s">
        <v>2511</v>
      </c>
      <c r="L876" s="60" t="s">
        <v>2511</v>
      </c>
      <c r="M876" s="61" t="s">
        <v>2389</v>
      </c>
      <c r="N876" s="61" t="s">
        <v>2511</v>
      </c>
      <c r="O876" s="61" t="s">
        <v>2511</v>
      </c>
      <c r="P876" s="62" t="s">
        <v>2511</v>
      </c>
      <c r="Q876" s="82"/>
      <c r="R876" s="82"/>
      <c r="S876" s="82"/>
      <c r="T876" s="82"/>
      <c r="U876" s="82"/>
      <c r="V876" s="138" t="s">
        <v>4941</v>
      </c>
      <c r="W876" s="57" t="s">
        <v>4532</v>
      </c>
      <c r="X876" s="126" t="s">
        <v>2511</v>
      </c>
      <c r="Y876" s="126" t="s">
        <v>2511</v>
      </c>
      <c r="Z876" s="57"/>
      <c r="AA876" s="57" t="s">
        <v>4533</v>
      </c>
      <c r="AB876" s="138"/>
      <c r="AC876" s="138" t="s">
        <v>2631</v>
      </c>
      <c r="AD876" s="96"/>
      <c r="AE876" s="80"/>
      <c r="AF876" s="80"/>
      <c r="AG876" s="80"/>
      <c r="AH876" s="83"/>
      <c r="AI876" s="83"/>
      <c r="AJ876" s="84"/>
      <c r="AK876" s="84"/>
      <c r="AL876" s="84"/>
      <c r="AM876" s="84"/>
      <c r="AN876" s="84"/>
      <c r="AO876" s="84"/>
      <c r="AP876" s="84"/>
      <c r="AQ876" s="95" t="s">
        <v>1995</v>
      </c>
      <c r="AR876" s="72"/>
      <c r="AS876" s="72"/>
      <c r="AT876" s="72"/>
      <c r="AU876" s="72"/>
      <c r="AV876" s="72"/>
      <c r="AW876" s="72"/>
      <c r="AX876" s="72"/>
      <c r="AY876" s="72"/>
      <c r="AZ876" s="72"/>
      <c r="BA876" s="72"/>
      <c r="BB876" s="16"/>
      <c r="BC876" s="72"/>
      <c r="BD876" s="20"/>
      <c r="BE876" s="352"/>
    </row>
    <row r="877" spans="1:57" s="81" customFormat="1" ht="12.95" hidden="1" customHeight="1">
      <c r="A877" s="348"/>
      <c r="B877" s="350"/>
      <c r="C877" s="248" t="s">
        <v>1726</v>
      </c>
      <c r="D877" s="239" t="s">
        <v>4942</v>
      </c>
      <c r="E877" s="58"/>
      <c r="F877" s="59" t="s">
        <v>4943</v>
      </c>
      <c r="G877" s="191" t="s">
        <v>2511</v>
      </c>
      <c r="H877" s="192" t="s">
        <v>1996</v>
      </c>
      <c r="I877" s="61" t="s">
        <v>2511</v>
      </c>
      <c r="J877" s="61" t="s">
        <v>2511</v>
      </c>
      <c r="K877" s="62" t="s">
        <v>2511</v>
      </c>
      <c r="L877" s="60" t="s">
        <v>2511</v>
      </c>
      <c r="M877" s="61" t="s">
        <v>2389</v>
      </c>
      <c r="N877" s="61" t="s">
        <v>2511</v>
      </c>
      <c r="O877" s="61" t="s">
        <v>2511</v>
      </c>
      <c r="P877" s="62" t="s">
        <v>2511</v>
      </c>
      <c r="Q877" s="82"/>
      <c r="R877" s="82"/>
      <c r="S877" s="82"/>
      <c r="T877" s="82"/>
      <c r="U877" s="82"/>
      <c r="V877" s="138" t="s">
        <v>4944</v>
      </c>
      <c r="W877" s="57" t="s">
        <v>4532</v>
      </c>
      <c r="X877" s="126" t="s">
        <v>2511</v>
      </c>
      <c r="Y877" s="126" t="s">
        <v>2511</v>
      </c>
      <c r="Z877" s="57"/>
      <c r="AA877" s="57" t="s">
        <v>4533</v>
      </c>
      <c r="AB877" s="138"/>
      <c r="AC877" s="138" t="s">
        <v>2631</v>
      </c>
      <c r="AD877" s="96"/>
      <c r="AE877" s="80"/>
      <c r="AF877" s="80"/>
      <c r="AG877" s="80"/>
      <c r="AH877" s="83"/>
      <c r="AI877" s="83"/>
      <c r="AJ877" s="84"/>
      <c r="AK877" s="84"/>
      <c r="AL877" s="84"/>
      <c r="AM877" s="84"/>
      <c r="AN877" s="84"/>
      <c r="AO877" s="84"/>
      <c r="AP877" s="84"/>
      <c r="AQ877" s="95" t="s">
        <v>1996</v>
      </c>
      <c r="AR877" s="72"/>
      <c r="AS877" s="72"/>
      <c r="AT877" s="72"/>
      <c r="AU877" s="72"/>
      <c r="AV877" s="72"/>
      <c r="AW877" s="72"/>
      <c r="AX877" s="72"/>
      <c r="AY877" s="72"/>
      <c r="AZ877" s="72"/>
      <c r="BA877" s="72"/>
      <c r="BB877" s="16"/>
      <c r="BC877" s="72"/>
      <c r="BD877" s="20"/>
      <c r="BE877" s="352"/>
    </row>
    <row r="878" spans="1:57" s="81" customFormat="1" ht="12.95" hidden="1" customHeight="1">
      <c r="A878" s="348"/>
      <c r="B878" s="350"/>
      <c r="C878" s="248" t="s">
        <v>1727</v>
      </c>
      <c r="D878" s="239" t="s">
        <v>4945</v>
      </c>
      <c r="E878" s="58"/>
      <c r="F878" s="59" t="s">
        <v>4946</v>
      </c>
      <c r="G878" s="191" t="s">
        <v>2511</v>
      </c>
      <c r="H878" s="192" t="s">
        <v>1997</v>
      </c>
      <c r="I878" s="61" t="s">
        <v>2511</v>
      </c>
      <c r="J878" s="61" t="s">
        <v>2511</v>
      </c>
      <c r="K878" s="62" t="s">
        <v>2511</v>
      </c>
      <c r="L878" s="60" t="s">
        <v>2511</v>
      </c>
      <c r="M878" s="61" t="s">
        <v>2389</v>
      </c>
      <c r="N878" s="61" t="s">
        <v>2511</v>
      </c>
      <c r="O878" s="61" t="s">
        <v>2511</v>
      </c>
      <c r="P878" s="62" t="s">
        <v>2511</v>
      </c>
      <c r="Q878" s="82"/>
      <c r="R878" s="82"/>
      <c r="S878" s="82"/>
      <c r="T878" s="82"/>
      <c r="U878" s="82"/>
      <c r="V878" s="138" t="s">
        <v>4947</v>
      </c>
      <c r="W878" s="57" t="s">
        <v>4532</v>
      </c>
      <c r="X878" s="126" t="s">
        <v>2511</v>
      </c>
      <c r="Y878" s="126" t="s">
        <v>2511</v>
      </c>
      <c r="Z878" s="57"/>
      <c r="AA878" s="57" t="s">
        <v>4533</v>
      </c>
      <c r="AB878" s="138"/>
      <c r="AC878" s="138" t="s">
        <v>2631</v>
      </c>
      <c r="AD878" s="96"/>
      <c r="AE878" s="80"/>
      <c r="AF878" s="80"/>
      <c r="AG878" s="80"/>
      <c r="AH878" s="83"/>
      <c r="AI878" s="83"/>
      <c r="AJ878" s="84"/>
      <c r="AK878" s="84"/>
      <c r="AL878" s="84"/>
      <c r="AM878" s="84"/>
      <c r="AN878" s="84"/>
      <c r="AO878" s="84"/>
      <c r="AP878" s="84"/>
      <c r="AQ878" s="95" t="s">
        <v>1997</v>
      </c>
      <c r="AR878" s="72"/>
      <c r="AS878" s="72"/>
      <c r="AT878" s="72"/>
      <c r="AU878" s="72"/>
      <c r="AV878" s="72"/>
      <c r="AW878" s="72"/>
      <c r="AX878" s="72"/>
      <c r="AY878" s="72"/>
      <c r="AZ878" s="72"/>
      <c r="BA878" s="72"/>
      <c r="BB878" s="16"/>
      <c r="BC878" s="72"/>
      <c r="BD878" s="20"/>
      <c r="BE878" s="352"/>
    </row>
    <row r="879" spans="1:57" s="81" customFormat="1" ht="12.95" hidden="1" customHeight="1">
      <c r="A879" s="348"/>
      <c r="B879" s="350"/>
      <c r="C879" s="248" t="s">
        <v>1728</v>
      </c>
      <c r="D879" s="239" t="s">
        <v>4948</v>
      </c>
      <c r="E879" s="58"/>
      <c r="F879" s="59" t="s">
        <v>4949</v>
      </c>
      <c r="G879" s="191" t="s">
        <v>2511</v>
      </c>
      <c r="H879" s="192" t="s">
        <v>1998</v>
      </c>
      <c r="I879" s="61" t="s">
        <v>2511</v>
      </c>
      <c r="J879" s="61" t="s">
        <v>2511</v>
      </c>
      <c r="K879" s="62" t="s">
        <v>2511</v>
      </c>
      <c r="L879" s="60" t="s">
        <v>2511</v>
      </c>
      <c r="M879" s="61" t="s">
        <v>2389</v>
      </c>
      <c r="N879" s="61" t="s">
        <v>2511</v>
      </c>
      <c r="O879" s="61" t="s">
        <v>2511</v>
      </c>
      <c r="P879" s="62" t="s">
        <v>2511</v>
      </c>
      <c r="Q879" s="82"/>
      <c r="R879" s="82"/>
      <c r="S879" s="82"/>
      <c r="T879" s="82"/>
      <c r="U879" s="82"/>
      <c r="V879" s="138" t="s">
        <v>4950</v>
      </c>
      <c r="W879" s="57" t="s">
        <v>4532</v>
      </c>
      <c r="X879" s="126" t="s">
        <v>2511</v>
      </c>
      <c r="Y879" s="126" t="s">
        <v>2511</v>
      </c>
      <c r="Z879" s="57"/>
      <c r="AA879" s="57" t="s">
        <v>4533</v>
      </c>
      <c r="AB879" s="138"/>
      <c r="AC879" s="138" t="s">
        <v>2631</v>
      </c>
      <c r="AD879" s="96"/>
      <c r="AE879" s="80"/>
      <c r="AF879" s="80"/>
      <c r="AG879" s="80"/>
      <c r="AH879" s="83"/>
      <c r="AI879" s="83"/>
      <c r="AJ879" s="84"/>
      <c r="AK879" s="84"/>
      <c r="AL879" s="84"/>
      <c r="AM879" s="84"/>
      <c r="AN879" s="84"/>
      <c r="AO879" s="84"/>
      <c r="AP879" s="84"/>
      <c r="AQ879" s="95" t="s">
        <v>1998</v>
      </c>
      <c r="AR879" s="72"/>
      <c r="AS879" s="72"/>
      <c r="AT879" s="72"/>
      <c r="AU879" s="72"/>
      <c r="AV879" s="72"/>
      <c r="AW879" s="72"/>
      <c r="AX879" s="72"/>
      <c r="AY879" s="72"/>
      <c r="AZ879" s="72"/>
      <c r="BA879" s="72"/>
      <c r="BB879" s="16"/>
      <c r="BC879" s="72"/>
      <c r="BD879" s="20"/>
      <c r="BE879" s="352"/>
    </row>
    <row r="880" spans="1:57" s="81" customFormat="1" ht="12.95" hidden="1" customHeight="1">
      <c r="A880" s="348"/>
      <c r="B880" s="350"/>
      <c r="C880" s="248" t="s">
        <v>1729</v>
      </c>
      <c r="D880" s="239" t="s">
        <v>4951</v>
      </c>
      <c r="E880" s="58"/>
      <c r="F880" s="59" t="s">
        <v>4952</v>
      </c>
      <c r="G880" s="191" t="s">
        <v>2511</v>
      </c>
      <c r="H880" s="192" t="s">
        <v>1999</v>
      </c>
      <c r="I880" s="61" t="s">
        <v>2511</v>
      </c>
      <c r="J880" s="61" t="s">
        <v>2511</v>
      </c>
      <c r="K880" s="62" t="s">
        <v>2511</v>
      </c>
      <c r="L880" s="60" t="s">
        <v>2511</v>
      </c>
      <c r="M880" s="61" t="s">
        <v>2389</v>
      </c>
      <c r="N880" s="61" t="s">
        <v>2511</v>
      </c>
      <c r="O880" s="61" t="s">
        <v>2511</v>
      </c>
      <c r="P880" s="62" t="s">
        <v>2511</v>
      </c>
      <c r="Q880" s="82"/>
      <c r="R880" s="82"/>
      <c r="S880" s="82"/>
      <c r="T880" s="82"/>
      <c r="U880" s="82"/>
      <c r="V880" s="138" t="s">
        <v>4953</v>
      </c>
      <c r="W880" s="57" t="s">
        <v>4532</v>
      </c>
      <c r="X880" s="126" t="s">
        <v>2511</v>
      </c>
      <c r="Y880" s="126" t="s">
        <v>2511</v>
      </c>
      <c r="Z880" s="57"/>
      <c r="AA880" s="57" t="s">
        <v>4533</v>
      </c>
      <c r="AB880" s="138"/>
      <c r="AC880" s="138" t="s">
        <v>2631</v>
      </c>
      <c r="AD880" s="96"/>
      <c r="AE880" s="80"/>
      <c r="AF880" s="80"/>
      <c r="AG880" s="80"/>
      <c r="AH880" s="83"/>
      <c r="AI880" s="83"/>
      <c r="AJ880" s="84"/>
      <c r="AK880" s="84"/>
      <c r="AL880" s="84"/>
      <c r="AM880" s="84"/>
      <c r="AN880" s="84"/>
      <c r="AO880" s="84"/>
      <c r="AP880" s="84"/>
      <c r="AQ880" s="95" t="s">
        <v>1999</v>
      </c>
      <c r="AR880" s="72"/>
      <c r="AS880" s="72"/>
      <c r="AT880" s="72"/>
      <c r="AU880" s="72"/>
      <c r="AV880" s="72"/>
      <c r="AW880" s="72"/>
      <c r="AX880" s="72"/>
      <c r="AY880" s="72"/>
      <c r="AZ880" s="72"/>
      <c r="BA880" s="72"/>
      <c r="BB880" s="16"/>
      <c r="BC880" s="72"/>
      <c r="BD880" s="20"/>
      <c r="BE880" s="352"/>
    </row>
    <row r="881" spans="1:57" s="81" customFormat="1" ht="12.95" hidden="1" customHeight="1">
      <c r="A881" s="348"/>
      <c r="B881" s="350"/>
      <c r="C881" s="270" t="s">
        <v>1730</v>
      </c>
      <c r="D881" s="239" t="s">
        <v>4954</v>
      </c>
      <c r="E881" s="58"/>
      <c r="F881" s="59" t="s">
        <v>4955</v>
      </c>
      <c r="G881" s="191" t="s">
        <v>2511</v>
      </c>
      <c r="H881" s="192" t="s">
        <v>2000</v>
      </c>
      <c r="I881" s="61" t="s">
        <v>2511</v>
      </c>
      <c r="J881" s="61" t="s">
        <v>2511</v>
      </c>
      <c r="K881" s="62" t="s">
        <v>2511</v>
      </c>
      <c r="L881" s="60" t="s">
        <v>2511</v>
      </c>
      <c r="M881" s="61" t="s">
        <v>2389</v>
      </c>
      <c r="N881" s="61" t="s">
        <v>2511</v>
      </c>
      <c r="O881" s="61" t="s">
        <v>2511</v>
      </c>
      <c r="P881" s="62" t="s">
        <v>2511</v>
      </c>
      <c r="Q881" s="82"/>
      <c r="R881" s="82"/>
      <c r="S881" s="82"/>
      <c r="T881" s="82"/>
      <c r="U881" s="82"/>
      <c r="V881" s="138" t="s">
        <v>4956</v>
      </c>
      <c r="W881" s="57" t="s">
        <v>4532</v>
      </c>
      <c r="X881" s="126" t="s">
        <v>2511</v>
      </c>
      <c r="Y881" s="126" t="s">
        <v>2511</v>
      </c>
      <c r="Z881" s="57"/>
      <c r="AA881" s="57" t="s">
        <v>4533</v>
      </c>
      <c r="AB881" s="138"/>
      <c r="AC881" s="138" t="s">
        <v>2631</v>
      </c>
      <c r="AD881" s="96"/>
      <c r="AE881" s="80"/>
      <c r="AF881" s="80"/>
      <c r="AG881" s="80"/>
      <c r="AH881" s="83"/>
      <c r="AI881" s="83"/>
      <c r="AJ881" s="84"/>
      <c r="AK881" s="84"/>
      <c r="AL881" s="84"/>
      <c r="AM881" s="84"/>
      <c r="AN881" s="84"/>
      <c r="AO881" s="84"/>
      <c r="AP881" s="84"/>
      <c r="AQ881" s="95" t="s">
        <v>2000</v>
      </c>
      <c r="AR881" s="72"/>
      <c r="AS881" s="72"/>
      <c r="AT881" s="72"/>
      <c r="AU881" s="72"/>
      <c r="AV881" s="72"/>
      <c r="AW881" s="72"/>
      <c r="AX881" s="72"/>
      <c r="AY881" s="72"/>
      <c r="AZ881" s="72"/>
      <c r="BA881" s="72"/>
      <c r="BB881" s="16"/>
      <c r="BC881" s="72"/>
      <c r="BD881" s="20"/>
      <c r="BE881" s="352"/>
    </row>
    <row r="882" spans="1:57" s="81" customFormat="1" ht="12.95" hidden="1" customHeight="1">
      <c r="A882" s="348"/>
      <c r="B882" s="350"/>
      <c r="C882" s="270" t="s">
        <v>1731</v>
      </c>
      <c r="D882" s="239" t="s">
        <v>4957</v>
      </c>
      <c r="E882" s="58"/>
      <c r="F882" s="59" t="s">
        <v>4958</v>
      </c>
      <c r="G882" s="191" t="s">
        <v>2511</v>
      </c>
      <c r="H882" s="192" t="s">
        <v>2001</v>
      </c>
      <c r="I882" s="61" t="s">
        <v>2511</v>
      </c>
      <c r="J882" s="61" t="s">
        <v>2511</v>
      </c>
      <c r="K882" s="62" t="s">
        <v>2511</v>
      </c>
      <c r="L882" s="60" t="s">
        <v>2511</v>
      </c>
      <c r="M882" s="61" t="s">
        <v>2389</v>
      </c>
      <c r="N882" s="61" t="s">
        <v>2511</v>
      </c>
      <c r="O882" s="61" t="s">
        <v>2511</v>
      </c>
      <c r="P882" s="62" t="s">
        <v>2511</v>
      </c>
      <c r="Q882" s="82"/>
      <c r="R882" s="82"/>
      <c r="S882" s="82"/>
      <c r="T882" s="82"/>
      <c r="U882" s="82"/>
      <c r="V882" s="138" t="s">
        <v>4959</v>
      </c>
      <c r="W882" s="57" t="s">
        <v>4532</v>
      </c>
      <c r="X882" s="126" t="s">
        <v>2511</v>
      </c>
      <c r="Y882" s="126" t="s">
        <v>2511</v>
      </c>
      <c r="Z882" s="57"/>
      <c r="AA882" s="57" t="s">
        <v>4533</v>
      </c>
      <c r="AB882" s="138"/>
      <c r="AC882" s="138" t="s">
        <v>2631</v>
      </c>
      <c r="AD882" s="96"/>
      <c r="AE882" s="80"/>
      <c r="AF882" s="80"/>
      <c r="AG882" s="80"/>
      <c r="AH882" s="83"/>
      <c r="AI882" s="83"/>
      <c r="AJ882" s="84"/>
      <c r="AK882" s="84"/>
      <c r="AL882" s="84"/>
      <c r="AM882" s="84"/>
      <c r="AN882" s="84"/>
      <c r="AO882" s="84"/>
      <c r="AP882" s="84"/>
      <c r="AQ882" s="95" t="s">
        <v>2001</v>
      </c>
      <c r="AR882" s="72"/>
      <c r="AS882" s="72"/>
      <c r="AT882" s="72"/>
      <c r="AU882" s="72"/>
      <c r="AV882" s="72"/>
      <c r="AW882" s="72"/>
      <c r="AX882" s="72"/>
      <c r="AY882" s="72"/>
      <c r="AZ882" s="72"/>
      <c r="BA882" s="72"/>
      <c r="BB882" s="16"/>
      <c r="BC882" s="72"/>
      <c r="BD882" s="20"/>
      <c r="BE882" s="352"/>
    </row>
    <row r="883" spans="1:57" s="81" customFormat="1" ht="12.95" hidden="1" customHeight="1">
      <c r="A883" s="348"/>
      <c r="B883" s="350"/>
      <c r="C883" s="270" t="s">
        <v>1732</v>
      </c>
      <c r="D883" s="239" t="s">
        <v>4960</v>
      </c>
      <c r="E883" s="58"/>
      <c r="F883" s="59" t="s">
        <v>4961</v>
      </c>
      <c r="G883" s="191" t="s">
        <v>2511</v>
      </c>
      <c r="H883" s="192" t="s">
        <v>2002</v>
      </c>
      <c r="I883" s="61" t="s">
        <v>2511</v>
      </c>
      <c r="J883" s="61" t="s">
        <v>2511</v>
      </c>
      <c r="K883" s="62" t="s">
        <v>2511</v>
      </c>
      <c r="L883" s="60" t="s">
        <v>2511</v>
      </c>
      <c r="M883" s="61" t="s">
        <v>2389</v>
      </c>
      <c r="N883" s="61" t="s">
        <v>2511</v>
      </c>
      <c r="O883" s="61" t="s">
        <v>2511</v>
      </c>
      <c r="P883" s="62" t="s">
        <v>2511</v>
      </c>
      <c r="Q883" s="82"/>
      <c r="R883" s="82"/>
      <c r="S883" s="82"/>
      <c r="T883" s="82"/>
      <c r="U883" s="82"/>
      <c r="V883" s="138" t="s">
        <v>4962</v>
      </c>
      <c r="W883" s="57" t="s">
        <v>4532</v>
      </c>
      <c r="X883" s="126" t="s">
        <v>2511</v>
      </c>
      <c r="Y883" s="126" t="s">
        <v>2511</v>
      </c>
      <c r="Z883" s="57"/>
      <c r="AA883" s="57" t="s">
        <v>4533</v>
      </c>
      <c r="AB883" s="138"/>
      <c r="AC883" s="138">
        <v>0</v>
      </c>
      <c r="AD883" s="96"/>
      <c r="AE883" s="80"/>
      <c r="AF883" s="80"/>
      <c r="AG883" s="80"/>
      <c r="AH883" s="83"/>
      <c r="AI883" s="83"/>
      <c r="AJ883" s="84"/>
      <c r="AK883" s="84"/>
      <c r="AL883" s="84"/>
      <c r="AM883" s="84"/>
      <c r="AN883" s="84"/>
      <c r="AO883" s="84"/>
      <c r="AP883" s="84"/>
      <c r="AQ883" s="95" t="s">
        <v>2002</v>
      </c>
      <c r="AR883" s="72"/>
      <c r="AS883" s="72"/>
      <c r="AT883" s="72"/>
      <c r="AU883" s="72"/>
      <c r="AV883" s="72"/>
      <c r="AW883" s="72"/>
      <c r="AX883" s="72"/>
      <c r="AY883" s="72"/>
      <c r="AZ883" s="72"/>
      <c r="BA883" s="72"/>
      <c r="BB883" s="16"/>
      <c r="BC883" s="72"/>
      <c r="BD883" s="20"/>
      <c r="BE883" s="352"/>
    </row>
    <row r="884" spans="1:57" s="91" customFormat="1" ht="18" hidden="1" customHeight="1">
      <c r="A884" s="233"/>
      <c r="B884" s="89"/>
      <c r="C884" s="268" t="s">
        <v>1736</v>
      </c>
      <c r="D884" s="268"/>
      <c r="E884" s="86"/>
      <c r="F884" s="86"/>
      <c r="G884" s="87"/>
      <c r="H884" s="87"/>
      <c r="I884" s="87"/>
      <c r="J884" s="87"/>
      <c r="K884" s="87"/>
      <c r="L884" s="86"/>
      <c r="M884" s="86"/>
      <c r="N884" s="86"/>
      <c r="O884" s="86"/>
      <c r="P884" s="86"/>
      <c r="Q884" s="86"/>
      <c r="R884" s="86"/>
      <c r="S884" s="86"/>
      <c r="T884" s="86"/>
      <c r="U884" s="86"/>
      <c r="V884" s="86"/>
      <c r="W884" s="86"/>
      <c r="X884" s="129"/>
      <c r="Y884" s="129"/>
      <c r="Z884" s="88"/>
      <c r="AA884" s="88"/>
      <c r="AB884" s="88"/>
      <c r="AC884" s="88"/>
      <c r="AD884" s="88"/>
      <c r="AE884" s="88"/>
      <c r="AF884" s="88"/>
      <c r="AG884" s="88"/>
      <c r="AH884" s="88"/>
      <c r="AI884" s="88"/>
      <c r="AJ884" s="88"/>
      <c r="AK884" s="88"/>
      <c r="AL884" s="88"/>
      <c r="AM884" s="88"/>
      <c r="AN884" s="88"/>
      <c r="AO884" s="88"/>
      <c r="AP884" s="88"/>
      <c r="AQ884" s="89"/>
      <c r="AR884" s="89"/>
      <c r="AS884" s="90"/>
      <c r="AT884" s="90"/>
      <c r="AU884" s="90"/>
      <c r="AV884" s="90"/>
      <c r="AW884" s="90"/>
      <c r="AX884" s="90"/>
      <c r="AY884" s="90"/>
      <c r="AZ884" s="90"/>
      <c r="BA884" s="90"/>
      <c r="BB884" s="90"/>
      <c r="BC884" s="175" t="s">
        <v>2153</v>
      </c>
      <c r="BD884" s="90"/>
      <c r="BE884" s="233" t="s">
        <v>1736</v>
      </c>
    </row>
    <row r="885" spans="1:57" s="81" customFormat="1" ht="12.95" hidden="1" customHeight="1">
      <c r="A885" s="347"/>
      <c r="B885" s="349"/>
      <c r="C885" s="248" t="s">
        <v>1445</v>
      </c>
      <c r="D885" s="239" t="s">
        <v>4963</v>
      </c>
      <c r="E885" s="58"/>
      <c r="F885" s="59" t="s">
        <v>4964</v>
      </c>
      <c r="G885" s="191" t="s">
        <v>2511</v>
      </c>
      <c r="H885" s="192" t="s">
        <v>2003</v>
      </c>
      <c r="I885" s="61" t="s">
        <v>2511</v>
      </c>
      <c r="J885" s="61" t="s">
        <v>2511</v>
      </c>
      <c r="K885" s="62" t="s">
        <v>2511</v>
      </c>
      <c r="L885" s="60" t="s">
        <v>2511</v>
      </c>
      <c r="M885" s="61" t="s">
        <v>2389</v>
      </c>
      <c r="N885" s="61" t="s">
        <v>2511</v>
      </c>
      <c r="O885" s="61" t="s">
        <v>2511</v>
      </c>
      <c r="P885" s="62" t="s">
        <v>2511</v>
      </c>
      <c r="Q885" s="82"/>
      <c r="R885" s="82"/>
      <c r="S885" s="82"/>
      <c r="T885" s="82"/>
      <c r="U885" s="82"/>
      <c r="V885" s="138" t="s">
        <v>4965</v>
      </c>
      <c r="W885" s="57" t="s">
        <v>4966</v>
      </c>
      <c r="X885" s="126" t="s">
        <v>2511</v>
      </c>
      <c r="Y885" s="126" t="s">
        <v>2511</v>
      </c>
      <c r="Z885" s="57"/>
      <c r="AA885" s="57" t="s">
        <v>4533</v>
      </c>
      <c r="AB885" s="138"/>
      <c r="AC885" s="138" t="s">
        <v>2631</v>
      </c>
      <c r="AD885" s="92"/>
      <c r="AE885" s="93"/>
      <c r="AF885" s="93"/>
      <c r="AG885" s="93"/>
      <c r="AH885" s="94"/>
      <c r="AI885" s="83"/>
      <c r="AJ885" s="84"/>
      <c r="AK885" s="84"/>
      <c r="AL885" s="84"/>
      <c r="AM885" s="84"/>
      <c r="AN885" s="84"/>
      <c r="AO885" s="84"/>
      <c r="AP885" s="84"/>
      <c r="AQ885" s="95" t="s">
        <v>2003</v>
      </c>
      <c r="AR885" s="72"/>
      <c r="AS885" s="72"/>
      <c r="AT885" s="72"/>
      <c r="AU885" s="72"/>
      <c r="AV885" s="72"/>
      <c r="AW885" s="72"/>
      <c r="AX885" s="72"/>
      <c r="AY885" s="72"/>
      <c r="AZ885" s="72"/>
      <c r="BA885" s="72"/>
      <c r="BB885" s="16"/>
      <c r="BC885" s="22"/>
      <c r="BD885" s="19"/>
      <c r="BE885" s="351" t="s">
        <v>2216</v>
      </c>
    </row>
    <row r="886" spans="1:57" s="81" customFormat="1" ht="12.95" hidden="1" customHeight="1">
      <c r="A886" s="348"/>
      <c r="B886" s="350"/>
      <c r="C886" s="248" t="s">
        <v>1446</v>
      </c>
      <c r="D886" s="239" t="s">
        <v>4967</v>
      </c>
      <c r="E886" s="58"/>
      <c r="F886" s="59" t="s">
        <v>4968</v>
      </c>
      <c r="G886" s="191" t="s">
        <v>2511</v>
      </c>
      <c r="H886" s="192" t="s">
        <v>2004</v>
      </c>
      <c r="I886" s="61" t="s">
        <v>2511</v>
      </c>
      <c r="J886" s="61" t="s">
        <v>2511</v>
      </c>
      <c r="K886" s="62" t="s">
        <v>2511</v>
      </c>
      <c r="L886" s="60" t="s">
        <v>2511</v>
      </c>
      <c r="M886" s="61" t="s">
        <v>2389</v>
      </c>
      <c r="N886" s="61" t="s">
        <v>2511</v>
      </c>
      <c r="O886" s="61" t="s">
        <v>2511</v>
      </c>
      <c r="P886" s="62" t="s">
        <v>2511</v>
      </c>
      <c r="Q886" s="82"/>
      <c r="R886" s="82"/>
      <c r="S886" s="82"/>
      <c r="T886" s="82"/>
      <c r="U886" s="82"/>
      <c r="V886" s="138" t="s">
        <v>4969</v>
      </c>
      <c r="W886" s="57" t="s">
        <v>4966</v>
      </c>
      <c r="X886" s="126" t="s">
        <v>2511</v>
      </c>
      <c r="Y886" s="126" t="s">
        <v>2511</v>
      </c>
      <c r="Z886" s="57"/>
      <c r="AA886" s="57" t="s">
        <v>4533</v>
      </c>
      <c r="AB886" s="138"/>
      <c r="AC886" s="138" t="s">
        <v>2631</v>
      </c>
      <c r="AD886" s="96"/>
      <c r="AE886" s="80"/>
      <c r="AF886" s="80"/>
      <c r="AG886" s="80"/>
      <c r="AH886" s="83"/>
      <c r="AI886" s="83"/>
      <c r="AJ886" s="84"/>
      <c r="AK886" s="84"/>
      <c r="AL886" s="84"/>
      <c r="AM886" s="84"/>
      <c r="AN886" s="84"/>
      <c r="AO886" s="84"/>
      <c r="AP886" s="84"/>
      <c r="AQ886" s="95" t="s">
        <v>2004</v>
      </c>
      <c r="AR886" s="72"/>
      <c r="AS886" s="72"/>
      <c r="AT886" s="72"/>
      <c r="AU886" s="72"/>
      <c r="AV886" s="72"/>
      <c r="AW886" s="72"/>
      <c r="AX886" s="72"/>
      <c r="AY886" s="72"/>
      <c r="AZ886" s="72"/>
      <c r="BA886" s="72"/>
      <c r="BB886" s="16"/>
      <c r="BC886" s="72"/>
      <c r="BD886" s="20"/>
      <c r="BE886" s="352"/>
    </row>
    <row r="887" spans="1:57" s="81" customFormat="1" ht="12.95" hidden="1" customHeight="1">
      <c r="A887" s="348"/>
      <c r="B887" s="350"/>
      <c r="C887" s="248" t="s">
        <v>1447</v>
      </c>
      <c r="D887" s="239" t="s">
        <v>4970</v>
      </c>
      <c r="E887" s="58"/>
      <c r="F887" s="59" t="s">
        <v>4971</v>
      </c>
      <c r="G887" s="191" t="s">
        <v>2511</v>
      </c>
      <c r="H887" s="192" t="s">
        <v>2005</v>
      </c>
      <c r="I887" s="61" t="s">
        <v>2511</v>
      </c>
      <c r="J887" s="61" t="s">
        <v>2511</v>
      </c>
      <c r="K887" s="62" t="s">
        <v>2511</v>
      </c>
      <c r="L887" s="60" t="s">
        <v>2511</v>
      </c>
      <c r="M887" s="61" t="s">
        <v>2389</v>
      </c>
      <c r="N887" s="61" t="s">
        <v>2511</v>
      </c>
      <c r="O887" s="61" t="s">
        <v>2511</v>
      </c>
      <c r="P887" s="62" t="s">
        <v>2511</v>
      </c>
      <c r="Q887" s="82"/>
      <c r="R887" s="82"/>
      <c r="S887" s="82"/>
      <c r="T887" s="82"/>
      <c r="U887" s="82"/>
      <c r="V887" s="138" t="s">
        <v>4972</v>
      </c>
      <c r="W887" s="57" t="s">
        <v>4966</v>
      </c>
      <c r="X887" s="126" t="s">
        <v>2511</v>
      </c>
      <c r="Y887" s="126" t="s">
        <v>2511</v>
      </c>
      <c r="Z887" s="57"/>
      <c r="AA887" s="57" t="s">
        <v>4533</v>
      </c>
      <c r="AB887" s="138"/>
      <c r="AC887" s="138" t="s">
        <v>2631</v>
      </c>
      <c r="AD887" s="96"/>
      <c r="AE887" s="80"/>
      <c r="AF887" s="80"/>
      <c r="AG887" s="80"/>
      <c r="AH887" s="83"/>
      <c r="AI887" s="83"/>
      <c r="AJ887" s="84"/>
      <c r="AK887" s="84"/>
      <c r="AL887" s="84"/>
      <c r="AM887" s="84"/>
      <c r="AN887" s="84"/>
      <c r="AO887" s="84"/>
      <c r="AP887" s="84"/>
      <c r="AQ887" s="95" t="s">
        <v>2005</v>
      </c>
      <c r="AR887" s="72"/>
      <c r="AS887" s="72"/>
      <c r="AT887" s="72"/>
      <c r="AU887" s="72"/>
      <c r="AV887" s="72"/>
      <c r="AW887" s="72"/>
      <c r="AX887" s="72"/>
      <c r="AY887" s="72"/>
      <c r="AZ887" s="72"/>
      <c r="BA887" s="72"/>
      <c r="BB887" s="16"/>
      <c r="BC887" s="72"/>
      <c r="BD887" s="20"/>
      <c r="BE887" s="352"/>
    </row>
    <row r="888" spans="1:57" s="81" customFormat="1" ht="12.95" hidden="1" customHeight="1">
      <c r="A888" s="348"/>
      <c r="B888" s="350"/>
      <c r="C888" s="248" t="s">
        <v>1448</v>
      </c>
      <c r="D888" s="239" t="s">
        <v>4973</v>
      </c>
      <c r="E888" s="58"/>
      <c r="F888" s="59" t="s">
        <v>4974</v>
      </c>
      <c r="G888" s="191" t="s">
        <v>2511</v>
      </c>
      <c r="H888" s="192" t="s">
        <v>2006</v>
      </c>
      <c r="I888" s="61" t="s">
        <v>2511</v>
      </c>
      <c r="J888" s="61" t="s">
        <v>2511</v>
      </c>
      <c r="K888" s="62" t="s">
        <v>2511</v>
      </c>
      <c r="L888" s="60" t="s">
        <v>2511</v>
      </c>
      <c r="M888" s="61" t="s">
        <v>2389</v>
      </c>
      <c r="N888" s="61" t="s">
        <v>2511</v>
      </c>
      <c r="O888" s="61" t="s">
        <v>2511</v>
      </c>
      <c r="P888" s="62" t="s">
        <v>2511</v>
      </c>
      <c r="Q888" s="82"/>
      <c r="R888" s="82"/>
      <c r="S888" s="82"/>
      <c r="T888" s="82"/>
      <c r="U888" s="82"/>
      <c r="V888" s="138" t="s">
        <v>4975</v>
      </c>
      <c r="W888" s="57" t="s">
        <v>4966</v>
      </c>
      <c r="X888" s="126" t="s">
        <v>2511</v>
      </c>
      <c r="Y888" s="126" t="s">
        <v>2511</v>
      </c>
      <c r="Z888" s="57"/>
      <c r="AA888" s="57" t="s">
        <v>4533</v>
      </c>
      <c r="AB888" s="138"/>
      <c r="AC888" s="138" t="s">
        <v>2631</v>
      </c>
      <c r="AD888" s="96"/>
      <c r="AE888" s="80"/>
      <c r="AF888" s="80"/>
      <c r="AG888" s="80"/>
      <c r="AH888" s="83"/>
      <c r="AI888" s="83"/>
      <c r="AJ888" s="84"/>
      <c r="AK888" s="84"/>
      <c r="AL888" s="84"/>
      <c r="AM888" s="84"/>
      <c r="AN888" s="84"/>
      <c r="AO888" s="84"/>
      <c r="AP888" s="84"/>
      <c r="AQ888" s="95" t="s">
        <v>2006</v>
      </c>
      <c r="AR888" s="72"/>
      <c r="AS888" s="72"/>
      <c r="AT888" s="72"/>
      <c r="AU888" s="72"/>
      <c r="AV888" s="72"/>
      <c r="AW888" s="72"/>
      <c r="AX888" s="72"/>
      <c r="AY888" s="72"/>
      <c r="AZ888" s="72"/>
      <c r="BA888" s="72"/>
      <c r="BB888" s="16"/>
      <c r="BC888" s="72"/>
      <c r="BD888" s="20"/>
      <c r="BE888" s="352"/>
    </row>
    <row r="889" spans="1:57" s="81" customFormat="1" ht="12.95" hidden="1" customHeight="1">
      <c r="A889" s="348"/>
      <c r="B889" s="350"/>
      <c r="C889" s="248" t="s">
        <v>1449</v>
      </c>
      <c r="D889" s="239" t="s">
        <v>4976</v>
      </c>
      <c r="E889" s="58"/>
      <c r="F889" s="59" t="s">
        <v>4977</v>
      </c>
      <c r="G889" s="191" t="s">
        <v>2511</v>
      </c>
      <c r="H889" s="192" t="s">
        <v>2007</v>
      </c>
      <c r="I889" s="61" t="s">
        <v>2511</v>
      </c>
      <c r="J889" s="61" t="s">
        <v>2511</v>
      </c>
      <c r="K889" s="62" t="s">
        <v>2511</v>
      </c>
      <c r="L889" s="60" t="s">
        <v>2511</v>
      </c>
      <c r="M889" s="61" t="s">
        <v>2389</v>
      </c>
      <c r="N889" s="61" t="s">
        <v>2511</v>
      </c>
      <c r="O889" s="61" t="s">
        <v>2511</v>
      </c>
      <c r="P889" s="62" t="s">
        <v>2511</v>
      </c>
      <c r="Q889" s="82"/>
      <c r="R889" s="82"/>
      <c r="S889" s="82"/>
      <c r="T889" s="82"/>
      <c r="U889" s="82"/>
      <c r="V889" s="138" t="s">
        <v>4978</v>
      </c>
      <c r="W889" s="57" t="s">
        <v>4966</v>
      </c>
      <c r="X889" s="126" t="s">
        <v>2511</v>
      </c>
      <c r="Y889" s="126" t="s">
        <v>2511</v>
      </c>
      <c r="Z889" s="57"/>
      <c r="AA889" s="57" t="s">
        <v>4533</v>
      </c>
      <c r="AB889" s="138"/>
      <c r="AC889" s="138" t="s">
        <v>2631</v>
      </c>
      <c r="AD889" s="96"/>
      <c r="AE889" s="80"/>
      <c r="AF889" s="80"/>
      <c r="AG889" s="80"/>
      <c r="AH889" s="83"/>
      <c r="AI889" s="83"/>
      <c r="AJ889" s="84"/>
      <c r="AK889" s="84"/>
      <c r="AL889" s="84"/>
      <c r="AM889" s="84"/>
      <c r="AN889" s="84"/>
      <c r="AO889" s="84"/>
      <c r="AP889" s="84"/>
      <c r="AQ889" s="95" t="s">
        <v>2007</v>
      </c>
      <c r="AR889" s="72"/>
      <c r="AS889" s="72"/>
      <c r="AT889" s="72"/>
      <c r="AU889" s="72"/>
      <c r="AV889" s="72"/>
      <c r="AW889" s="72"/>
      <c r="AX889" s="72"/>
      <c r="AY889" s="72"/>
      <c r="AZ889" s="72"/>
      <c r="BA889" s="72"/>
      <c r="BB889" s="16"/>
      <c r="BC889" s="72"/>
      <c r="BD889" s="20"/>
      <c r="BE889" s="352"/>
    </row>
    <row r="890" spans="1:57" s="81" customFormat="1" ht="12.95" hidden="1" customHeight="1">
      <c r="A890" s="348"/>
      <c r="B890" s="350"/>
      <c r="C890" s="248" t="s">
        <v>1450</v>
      </c>
      <c r="D890" s="239" t="s">
        <v>4979</v>
      </c>
      <c r="E890" s="58"/>
      <c r="F890" s="59" t="s">
        <v>4980</v>
      </c>
      <c r="G890" s="191" t="s">
        <v>2511</v>
      </c>
      <c r="H890" s="192" t="s">
        <v>2008</v>
      </c>
      <c r="I890" s="61" t="s">
        <v>2511</v>
      </c>
      <c r="J890" s="61" t="s">
        <v>2511</v>
      </c>
      <c r="K890" s="62" t="s">
        <v>2511</v>
      </c>
      <c r="L890" s="60" t="s">
        <v>2511</v>
      </c>
      <c r="M890" s="61" t="s">
        <v>2389</v>
      </c>
      <c r="N890" s="61" t="s">
        <v>2511</v>
      </c>
      <c r="O890" s="61" t="s">
        <v>2511</v>
      </c>
      <c r="P890" s="62" t="s">
        <v>2511</v>
      </c>
      <c r="Q890" s="82"/>
      <c r="R890" s="82"/>
      <c r="S890" s="82"/>
      <c r="T890" s="82"/>
      <c r="U890" s="82"/>
      <c r="V890" s="138" t="s">
        <v>4981</v>
      </c>
      <c r="W890" s="57" t="s">
        <v>4966</v>
      </c>
      <c r="X890" s="126" t="s">
        <v>2511</v>
      </c>
      <c r="Y890" s="126" t="s">
        <v>2511</v>
      </c>
      <c r="Z890" s="57"/>
      <c r="AA890" s="57" t="s">
        <v>4533</v>
      </c>
      <c r="AB890" s="138"/>
      <c r="AC890" s="138" t="s">
        <v>2631</v>
      </c>
      <c r="AD890" s="96"/>
      <c r="AE890" s="80"/>
      <c r="AF890" s="80"/>
      <c r="AG890" s="80"/>
      <c r="AH890" s="83"/>
      <c r="AI890" s="83"/>
      <c r="AJ890" s="84"/>
      <c r="AK890" s="84"/>
      <c r="AL890" s="84"/>
      <c r="AM890" s="84"/>
      <c r="AN890" s="84"/>
      <c r="AO890" s="84"/>
      <c r="AP890" s="84"/>
      <c r="AQ890" s="95" t="s">
        <v>2008</v>
      </c>
      <c r="AR890" s="72"/>
      <c r="AS890" s="72"/>
      <c r="AT890" s="72"/>
      <c r="AU890" s="72"/>
      <c r="AV890" s="72"/>
      <c r="AW890" s="72"/>
      <c r="AX890" s="72"/>
      <c r="AY890" s="72"/>
      <c r="AZ890" s="72"/>
      <c r="BA890" s="72"/>
      <c r="BB890" s="16"/>
      <c r="BC890" s="72"/>
      <c r="BD890" s="20"/>
      <c r="BE890" s="352"/>
    </row>
    <row r="891" spans="1:57" s="81" customFormat="1" ht="12.95" hidden="1" customHeight="1">
      <c r="A891" s="348"/>
      <c r="B891" s="350"/>
      <c r="C891" s="248" t="s">
        <v>1451</v>
      </c>
      <c r="D891" s="239" t="s">
        <v>4982</v>
      </c>
      <c r="E891" s="58"/>
      <c r="F891" s="59" t="s">
        <v>4983</v>
      </c>
      <c r="G891" s="191" t="s">
        <v>2511</v>
      </c>
      <c r="H891" s="192" t="s">
        <v>2009</v>
      </c>
      <c r="I891" s="61" t="s">
        <v>2511</v>
      </c>
      <c r="J891" s="61" t="s">
        <v>2511</v>
      </c>
      <c r="K891" s="62" t="s">
        <v>2511</v>
      </c>
      <c r="L891" s="60" t="s">
        <v>2511</v>
      </c>
      <c r="M891" s="61" t="s">
        <v>2389</v>
      </c>
      <c r="N891" s="61" t="s">
        <v>2511</v>
      </c>
      <c r="O891" s="61" t="s">
        <v>2511</v>
      </c>
      <c r="P891" s="62" t="s">
        <v>2511</v>
      </c>
      <c r="Q891" s="82"/>
      <c r="R891" s="82"/>
      <c r="S891" s="82"/>
      <c r="T891" s="82"/>
      <c r="U891" s="82"/>
      <c r="V891" s="138" t="s">
        <v>4984</v>
      </c>
      <c r="W891" s="57" t="s">
        <v>4966</v>
      </c>
      <c r="X891" s="126" t="s">
        <v>2511</v>
      </c>
      <c r="Y891" s="126" t="s">
        <v>2511</v>
      </c>
      <c r="Z891" s="57"/>
      <c r="AA891" s="57" t="s">
        <v>4533</v>
      </c>
      <c r="AB891" s="138"/>
      <c r="AC891" s="138" t="s">
        <v>2631</v>
      </c>
      <c r="AD891" s="96"/>
      <c r="AE891" s="80"/>
      <c r="AF891" s="80"/>
      <c r="AG891" s="80"/>
      <c r="AH891" s="83"/>
      <c r="AI891" s="83"/>
      <c r="AJ891" s="84"/>
      <c r="AK891" s="84"/>
      <c r="AL891" s="84"/>
      <c r="AM891" s="84"/>
      <c r="AN891" s="84"/>
      <c r="AO891" s="84"/>
      <c r="AP891" s="84"/>
      <c r="AQ891" s="95" t="s">
        <v>2009</v>
      </c>
      <c r="AR891" s="72"/>
      <c r="AS891" s="72"/>
      <c r="AT891" s="72"/>
      <c r="AU891" s="72"/>
      <c r="AV891" s="72"/>
      <c r="AW891" s="72"/>
      <c r="AX891" s="72"/>
      <c r="AY891" s="72"/>
      <c r="AZ891" s="72"/>
      <c r="BA891" s="72"/>
      <c r="BB891" s="16"/>
      <c r="BC891" s="72"/>
      <c r="BD891" s="20"/>
      <c r="BE891" s="352"/>
    </row>
    <row r="892" spans="1:57" s="81" customFormat="1" ht="12.95" hidden="1" customHeight="1">
      <c r="A892" s="348"/>
      <c r="B892" s="350"/>
      <c r="C892" s="248" t="s">
        <v>1452</v>
      </c>
      <c r="D892" s="239" t="s">
        <v>4985</v>
      </c>
      <c r="E892" s="58"/>
      <c r="F892" s="59" t="s">
        <v>4986</v>
      </c>
      <c r="G892" s="191" t="s">
        <v>2511</v>
      </c>
      <c r="H892" s="192" t="s">
        <v>2010</v>
      </c>
      <c r="I892" s="61" t="s">
        <v>2511</v>
      </c>
      <c r="J892" s="61" t="s">
        <v>2511</v>
      </c>
      <c r="K892" s="62" t="s">
        <v>2511</v>
      </c>
      <c r="L892" s="60" t="s">
        <v>2511</v>
      </c>
      <c r="M892" s="61" t="s">
        <v>2389</v>
      </c>
      <c r="N892" s="61" t="s">
        <v>2511</v>
      </c>
      <c r="O892" s="61" t="s">
        <v>2511</v>
      </c>
      <c r="P892" s="62" t="s">
        <v>2511</v>
      </c>
      <c r="Q892" s="82"/>
      <c r="R892" s="82"/>
      <c r="S892" s="82"/>
      <c r="T892" s="82"/>
      <c r="U892" s="82"/>
      <c r="V892" s="138" t="s">
        <v>4987</v>
      </c>
      <c r="W892" s="57" t="s">
        <v>4966</v>
      </c>
      <c r="X892" s="126" t="s">
        <v>2511</v>
      </c>
      <c r="Y892" s="126" t="s">
        <v>2511</v>
      </c>
      <c r="Z892" s="57"/>
      <c r="AA892" s="57" t="s">
        <v>4533</v>
      </c>
      <c r="AB892" s="138"/>
      <c r="AC892" s="138" t="s">
        <v>2631</v>
      </c>
      <c r="AD892" s="96"/>
      <c r="AE892" s="80"/>
      <c r="AF892" s="80"/>
      <c r="AG892" s="80"/>
      <c r="AH892" s="83"/>
      <c r="AI892" s="83"/>
      <c r="AJ892" s="84"/>
      <c r="AK892" s="84"/>
      <c r="AL892" s="84"/>
      <c r="AM892" s="84"/>
      <c r="AN892" s="84"/>
      <c r="AO892" s="84"/>
      <c r="AP892" s="84"/>
      <c r="AQ892" s="95" t="s">
        <v>2010</v>
      </c>
      <c r="AR892" s="72"/>
      <c r="AS892" s="72"/>
      <c r="AT892" s="72"/>
      <c r="AU892" s="72"/>
      <c r="AV892" s="72"/>
      <c r="AW892" s="72"/>
      <c r="AX892" s="72"/>
      <c r="AY892" s="72"/>
      <c r="AZ892" s="72"/>
      <c r="BA892" s="72"/>
      <c r="BB892" s="16"/>
      <c r="BC892" s="72"/>
      <c r="BD892" s="20"/>
      <c r="BE892" s="352"/>
    </row>
    <row r="893" spans="1:57" s="81" customFormat="1" ht="12.95" hidden="1" customHeight="1">
      <c r="A893" s="348"/>
      <c r="B893" s="350"/>
      <c r="C893" s="248" t="s">
        <v>1453</v>
      </c>
      <c r="D893" s="239" t="s">
        <v>4988</v>
      </c>
      <c r="E893" s="58"/>
      <c r="F893" s="59" t="s">
        <v>4989</v>
      </c>
      <c r="G893" s="191" t="s">
        <v>2511</v>
      </c>
      <c r="H893" s="192" t="s">
        <v>2011</v>
      </c>
      <c r="I893" s="61" t="s">
        <v>2511</v>
      </c>
      <c r="J893" s="61" t="s">
        <v>2511</v>
      </c>
      <c r="K893" s="62" t="s">
        <v>2511</v>
      </c>
      <c r="L893" s="60" t="s">
        <v>2511</v>
      </c>
      <c r="M893" s="61" t="s">
        <v>2389</v>
      </c>
      <c r="N893" s="61" t="s">
        <v>2511</v>
      </c>
      <c r="O893" s="61" t="s">
        <v>2511</v>
      </c>
      <c r="P893" s="62" t="s">
        <v>2511</v>
      </c>
      <c r="Q893" s="82"/>
      <c r="R893" s="82"/>
      <c r="S893" s="82"/>
      <c r="T893" s="82"/>
      <c r="U893" s="82"/>
      <c r="V893" s="138" t="s">
        <v>4990</v>
      </c>
      <c r="W893" s="57" t="s">
        <v>4966</v>
      </c>
      <c r="X893" s="126" t="s">
        <v>2511</v>
      </c>
      <c r="Y893" s="126" t="s">
        <v>2511</v>
      </c>
      <c r="Z893" s="57"/>
      <c r="AA893" s="57" t="s">
        <v>4533</v>
      </c>
      <c r="AB893" s="138"/>
      <c r="AC893" s="138" t="s">
        <v>2631</v>
      </c>
      <c r="AD893" s="96"/>
      <c r="AE893" s="80"/>
      <c r="AF893" s="80"/>
      <c r="AG893" s="80"/>
      <c r="AH893" s="83"/>
      <c r="AI893" s="83"/>
      <c r="AJ893" s="84"/>
      <c r="AK893" s="84"/>
      <c r="AL893" s="84"/>
      <c r="AM893" s="84"/>
      <c r="AN893" s="84"/>
      <c r="AO893" s="84"/>
      <c r="AP893" s="84"/>
      <c r="AQ893" s="95" t="s">
        <v>2011</v>
      </c>
      <c r="AR893" s="72"/>
      <c r="AS893" s="72"/>
      <c r="AT893" s="72"/>
      <c r="AU893" s="72"/>
      <c r="AV893" s="72"/>
      <c r="AW893" s="72"/>
      <c r="AX893" s="72"/>
      <c r="AY893" s="72"/>
      <c r="AZ893" s="72"/>
      <c r="BA893" s="72"/>
      <c r="BB893" s="16"/>
      <c r="BC893" s="72"/>
      <c r="BD893" s="20"/>
      <c r="BE893" s="352"/>
    </row>
    <row r="894" spans="1:57" s="81" customFormat="1" ht="12.95" hidden="1" customHeight="1">
      <c r="A894" s="348"/>
      <c r="B894" s="350"/>
      <c r="C894" s="270" t="s">
        <v>1454</v>
      </c>
      <c r="D894" s="239" t="s">
        <v>4991</v>
      </c>
      <c r="E894" s="58"/>
      <c r="F894" s="59" t="s">
        <v>4992</v>
      </c>
      <c r="G894" s="191" t="s">
        <v>2511</v>
      </c>
      <c r="H894" s="192" t="s">
        <v>2012</v>
      </c>
      <c r="I894" s="61" t="s">
        <v>2511</v>
      </c>
      <c r="J894" s="61" t="s">
        <v>2511</v>
      </c>
      <c r="K894" s="62" t="s">
        <v>2511</v>
      </c>
      <c r="L894" s="60" t="s">
        <v>2511</v>
      </c>
      <c r="M894" s="61" t="s">
        <v>2389</v>
      </c>
      <c r="N894" s="61" t="s">
        <v>2511</v>
      </c>
      <c r="O894" s="61" t="s">
        <v>2511</v>
      </c>
      <c r="P894" s="62" t="s">
        <v>2511</v>
      </c>
      <c r="Q894" s="82"/>
      <c r="R894" s="82"/>
      <c r="S894" s="82"/>
      <c r="T894" s="82"/>
      <c r="U894" s="82"/>
      <c r="V894" s="138" t="s">
        <v>4993</v>
      </c>
      <c r="W894" s="57" t="s">
        <v>4966</v>
      </c>
      <c r="X894" s="126" t="s">
        <v>2511</v>
      </c>
      <c r="Y894" s="126" t="s">
        <v>2511</v>
      </c>
      <c r="Z894" s="57"/>
      <c r="AA894" s="57" t="s">
        <v>4533</v>
      </c>
      <c r="AB894" s="138"/>
      <c r="AC894" s="138" t="s">
        <v>2631</v>
      </c>
      <c r="AD894" s="96"/>
      <c r="AE894" s="80"/>
      <c r="AF894" s="80"/>
      <c r="AG894" s="80"/>
      <c r="AH894" s="83"/>
      <c r="AI894" s="83"/>
      <c r="AJ894" s="84"/>
      <c r="AK894" s="84"/>
      <c r="AL894" s="84"/>
      <c r="AM894" s="84"/>
      <c r="AN894" s="84"/>
      <c r="AO894" s="84"/>
      <c r="AP894" s="84"/>
      <c r="AQ894" s="95" t="s">
        <v>2012</v>
      </c>
      <c r="AR894" s="72"/>
      <c r="AS894" s="72"/>
      <c r="AT894" s="72"/>
      <c r="AU894" s="72"/>
      <c r="AV894" s="72"/>
      <c r="AW894" s="72"/>
      <c r="AX894" s="72"/>
      <c r="AY894" s="72"/>
      <c r="AZ894" s="72"/>
      <c r="BA894" s="72"/>
      <c r="BB894" s="16"/>
      <c r="BC894" s="72"/>
      <c r="BD894" s="20"/>
      <c r="BE894" s="352"/>
    </row>
    <row r="895" spans="1:57" s="81" customFormat="1" ht="12.95" hidden="1" customHeight="1">
      <c r="A895" s="348"/>
      <c r="B895" s="350"/>
      <c r="C895" s="270" t="s">
        <v>1455</v>
      </c>
      <c r="D895" s="239" t="s">
        <v>4994</v>
      </c>
      <c r="E895" s="58"/>
      <c r="F895" s="59" t="s">
        <v>4995</v>
      </c>
      <c r="G895" s="191" t="s">
        <v>2511</v>
      </c>
      <c r="H895" s="192" t="s">
        <v>2013</v>
      </c>
      <c r="I895" s="61" t="s">
        <v>2511</v>
      </c>
      <c r="J895" s="61" t="s">
        <v>2511</v>
      </c>
      <c r="K895" s="62" t="s">
        <v>2511</v>
      </c>
      <c r="L895" s="60" t="s">
        <v>2511</v>
      </c>
      <c r="M895" s="61" t="s">
        <v>2389</v>
      </c>
      <c r="N895" s="61" t="s">
        <v>2511</v>
      </c>
      <c r="O895" s="61" t="s">
        <v>2511</v>
      </c>
      <c r="P895" s="62" t="s">
        <v>2511</v>
      </c>
      <c r="Q895" s="82"/>
      <c r="R895" s="82"/>
      <c r="S895" s="82"/>
      <c r="T895" s="82"/>
      <c r="U895" s="82"/>
      <c r="V895" s="138" t="s">
        <v>4996</v>
      </c>
      <c r="W895" s="57" t="s">
        <v>4966</v>
      </c>
      <c r="X895" s="126" t="s">
        <v>2511</v>
      </c>
      <c r="Y895" s="126" t="s">
        <v>2511</v>
      </c>
      <c r="Z895" s="57"/>
      <c r="AA895" s="57" t="s">
        <v>4533</v>
      </c>
      <c r="AB895" s="138"/>
      <c r="AC895" s="138" t="s">
        <v>2631</v>
      </c>
      <c r="AD895" s="96"/>
      <c r="AE895" s="80"/>
      <c r="AF895" s="80"/>
      <c r="AG895" s="80"/>
      <c r="AH895" s="83"/>
      <c r="AI895" s="83"/>
      <c r="AJ895" s="84"/>
      <c r="AK895" s="84"/>
      <c r="AL895" s="84"/>
      <c r="AM895" s="84"/>
      <c r="AN895" s="84"/>
      <c r="AO895" s="84"/>
      <c r="AP895" s="84"/>
      <c r="AQ895" s="95" t="s">
        <v>2013</v>
      </c>
      <c r="AR895" s="72"/>
      <c r="AS895" s="72"/>
      <c r="AT895" s="72"/>
      <c r="AU895" s="72"/>
      <c r="AV895" s="72"/>
      <c r="AW895" s="72"/>
      <c r="AX895" s="72"/>
      <c r="AY895" s="72"/>
      <c r="AZ895" s="72"/>
      <c r="BA895" s="72"/>
      <c r="BB895" s="16"/>
      <c r="BC895" s="72"/>
      <c r="BD895" s="20"/>
      <c r="BE895" s="352"/>
    </row>
    <row r="896" spans="1:57" s="81" customFormat="1" ht="12.95" hidden="1" customHeight="1">
      <c r="A896" s="348"/>
      <c r="B896" s="350"/>
      <c r="C896" s="248" t="s">
        <v>1456</v>
      </c>
      <c r="D896" s="239" t="s">
        <v>4997</v>
      </c>
      <c r="E896" s="58"/>
      <c r="F896" s="59" t="s">
        <v>4998</v>
      </c>
      <c r="G896" s="191" t="s">
        <v>2511</v>
      </c>
      <c r="H896" s="192" t="s">
        <v>2014</v>
      </c>
      <c r="I896" s="61" t="s">
        <v>2511</v>
      </c>
      <c r="J896" s="61" t="s">
        <v>2511</v>
      </c>
      <c r="K896" s="62" t="s">
        <v>2511</v>
      </c>
      <c r="L896" s="60" t="s">
        <v>2511</v>
      </c>
      <c r="M896" s="61" t="s">
        <v>2389</v>
      </c>
      <c r="N896" s="61" t="s">
        <v>2511</v>
      </c>
      <c r="O896" s="61" t="s">
        <v>2511</v>
      </c>
      <c r="P896" s="62" t="s">
        <v>2511</v>
      </c>
      <c r="Q896" s="82"/>
      <c r="R896" s="82"/>
      <c r="S896" s="82"/>
      <c r="T896" s="82"/>
      <c r="U896" s="82"/>
      <c r="V896" s="138" t="s">
        <v>4999</v>
      </c>
      <c r="W896" s="57" t="s">
        <v>4966</v>
      </c>
      <c r="X896" s="126" t="s">
        <v>2511</v>
      </c>
      <c r="Y896" s="126" t="s">
        <v>2511</v>
      </c>
      <c r="Z896" s="57"/>
      <c r="AA896" s="57" t="s">
        <v>4533</v>
      </c>
      <c r="AB896" s="138"/>
      <c r="AC896" s="138">
        <v>0</v>
      </c>
      <c r="AD896" s="96"/>
      <c r="AE896" s="80"/>
      <c r="AF896" s="80"/>
      <c r="AG896" s="80"/>
      <c r="AH896" s="83"/>
      <c r="AI896" s="83"/>
      <c r="AJ896" s="84"/>
      <c r="AK896" s="84"/>
      <c r="AL896" s="84"/>
      <c r="AM896" s="84"/>
      <c r="AN896" s="84"/>
      <c r="AO896" s="84"/>
      <c r="AP896" s="84"/>
      <c r="AQ896" s="95" t="s">
        <v>2014</v>
      </c>
      <c r="AR896" s="72"/>
      <c r="AS896" s="72"/>
      <c r="AT896" s="72"/>
      <c r="AU896" s="72"/>
      <c r="AV896" s="72"/>
      <c r="AW896" s="72"/>
      <c r="AX896" s="72"/>
      <c r="AY896" s="72"/>
      <c r="AZ896" s="72"/>
      <c r="BA896" s="72"/>
      <c r="BB896" s="16"/>
      <c r="BC896" s="72"/>
      <c r="BD896" s="20"/>
      <c r="BE896" s="352"/>
    </row>
    <row r="897" spans="1:57" s="81" customFormat="1" ht="12.95" hidden="1" customHeight="1">
      <c r="A897" s="348"/>
      <c r="B897" s="350"/>
      <c r="C897" s="248" t="s">
        <v>1457</v>
      </c>
      <c r="D897" s="239" t="s">
        <v>5000</v>
      </c>
      <c r="E897" s="58"/>
      <c r="F897" s="59" t="s">
        <v>5001</v>
      </c>
      <c r="G897" s="191" t="s">
        <v>2511</v>
      </c>
      <c r="H897" s="192" t="s">
        <v>2015</v>
      </c>
      <c r="I897" s="61" t="s">
        <v>2511</v>
      </c>
      <c r="J897" s="61" t="s">
        <v>2511</v>
      </c>
      <c r="K897" s="62" t="s">
        <v>2511</v>
      </c>
      <c r="L897" s="60" t="s">
        <v>2511</v>
      </c>
      <c r="M897" s="61" t="s">
        <v>2389</v>
      </c>
      <c r="N897" s="61" t="s">
        <v>2511</v>
      </c>
      <c r="O897" s="61" t="s">
        <v>2511</v>
      </c>
      <c r="P897" s="62" t="s">
        <v>2511</v>
      </c>
      <c r="Q897" s="82"/>
      <c r="R897" s="82"/>
      <c r="S897" s="82"/>
      <c r="T897" s="82"/>
      <c r="U897" s="82"/>
      <c r="V897" s="138" t="s">
        <v>5002</v>
      </c>
      <c r="W897" s="57" t="s">
        <v>4966</v>
      </c>
      <c r="X897" s="126" t="s">
        <v>2511</v>
      </c>
      <c r="Y897" s="126" t="s">
        <v>2511</v>
      </c>
      <c r="Z897" s="57"/>
      <c r="AA897" s="57" t="s">
        <v>4533</v>
      </c>
      <c r="AB897" s="138"/>
      <c r="AC897" s="138" t="s">
        <v>2631</v>
      </c>
      <c r="AD897" s="96"/>
      <c r="AE897" s="80"/>
      <c r="AF897" s="80"/>
      <c r="AG897" s="80"/>
      <c r="AH897" s="83"/>
      <c r="AI897" s="83"/>
      <c r="AJ897" s="84"/>
      <c r="AK897" s="84"/>
      <c r="AL897" s="84"/>
      <c r="AM897" s="84"/>
      <c r="AN897" s="84"/>
      <c r="AO897" s="84"/>
      <c r="AP897" s="84"/>
      <c r="AQ897" s="95" t="s">
        <v>2015</v>
      </c>
      <c r="AR897" s="72"/>
      <c r="AS897" s="72"/>
      <c r="AT897" s="72"/>
      <c r="AU897" s="72"/>
      <c r="AV897" s="72"/>
      <c r="AW897" s="72"/>
      <c r="AX897" s="72"/>
      <c r="AY897" s="72"/>
      <c r="AZ897" s="72"/>
      <c r="BA897" s="72"/>
      <c r="BB897" s="16"/>
      <c r="BC897" s="72"/>
      <c r="BD897" s="20"/>
      <c r="BE897" s="352"/>
    </row>
    <row r="898" spans="1:57" s="81" customFormat="1" ht="12.95" hidden="1" customHeight="1">
      <c r="A898" s="348"/>
      <c r="B898" s="350"/>
      <c r="C898" s="248" t="s">
        <v>1458</v>
      </c>
      <c r="D898" s="239" t="s">
        <v>5003</v>
      </c>
      <c r="E898" s="58"/>
      <c r="F898" s="59" t="s">
        <v>5004</v>
      </c>
      <c r="G898" s="191" t="s">
        <v>2511</v>
      </c>
      <c r="H898" s="192" t="s">
        <v>2016</v>
      </c>
      <c r="I898" s="61" t="s">
        <v>2511</v>
      </c>
      <c r="J898" s="61" t="s">
        <v>2511</v>
      </c>
      <c r="K898" s="62" t="s">
        <v>2511</v>
      </c>
      <c r="L898" s="60" t="s">
        <v>2511</v>
      </c>
      <c r="M898" s="61" t="s">
        <v>2389</v>
      </c>
      <c r="N898" s="61" t="s">
        <v>2511</v>
      </c>
      <c r="O898" s="61" t="s">
        <v>2511</v>
      </c>
      <c r="P898" s="62" t="s">
        <v>2511</v>
      </c>
      <c r="Q898" s="82"/>
      <c r="R898" s="82"/>
      <c r="S898" s="82"/>
      <c r="T898" s="82"/>
      <c r="U898" s="82"/>
      <c r="V898" s="138" t="s">
        <v>5005</v>
      </c>
      <c r="W898" s="57" t="s">
        <v>4966</v>
      </c>
      <c r="X898" s="126" t="s">
        <v>2511</v>
      </c>
      <c r="Y898" s="126" t="s">
        <v>2511</v>
      </c>
      <c r="Z898" s="57"/>
      <c r="AA898" s="57" t="s">
        <v>4533</v>
      </c>
      <c r="AB898" s="138"/>
      <c r="AC898" s="138" t="s">
        <v>2631</v>
      </c>
      <c r="AD898" s="96"/>
      <c r="AE898" s="80"/>
      <c r="AF898" s="80"/>
      <c r="AG898" s="80"/>
      <c r="AH898" s="83"/>
      <c r="AI898" s="83"/>
      <c r="AJ898" s="84"/>
      <c r="AK898" s="84"/>
      <c r="AL898" s="84"/>
      <c r="AM898" s="84"/>
      <c r="AN898" s="84"/>
      <c r="AO898" s="84"/>
      <c r="AP898" s="84"/>
      <c r="AQ898" s="95" t="s">
        <v>2016</v>
      </c>
      <c r="AR898" s="72"/>
      <c r="AS898" s="72"/>
      <c r="AT898" s="72"/>
      <c r="AU898" s="72"/>
      <c r="AV898" s="72"/>
      <c r="AW898" s="72"/>
      <c r="AX898" s="72"/>
      <c r="AY898" s="72"/>
      <c r="AZ898" s="72"/>
      <c r="BA898" s="72"/>
      <c r="BB898" s="16"/>
      <c r="BC898" s="72"/>
      <c r="BD898" s="20"/>
      <c r="BE898" s="352"/>
    </row>
    <row r="899" spans="1:57" s="81" customFormat="1" ht="12.95" hidden="1" customHeight="1">
      <c r="A899" s="348"/>
      <c r="B899" s="350"/>
      <c r="C899" s="248" t="s">
        <v>1459</v>
      </c>
      <c r="D899" s="239" t="s">
        <v>5006</v>
      </c>
      <c r="E899" s="58"/>
      <c r="F899" s="59" t="s">
        <v>5007</v>
      </c>
      <c r="G899" s="191" t="s">
        <v>2511</v>
      </c>
      <c r="H899" s="192" t="s">
        <v>2017</v>
      </c>
      <c r="I899" s="61" t="s">
        <v>2511</v>
      </c>
      <c r="J899" s="61" t="s">
        <v>2511</v>
      </c>
      <c r="K899" s="62" t="s">
        <v>2511</v>
      </c>
      <c r="L899" s="60" t="s">
        <v>2511</v>
      </c>
      <c r="M899" s="61" t="s">
        <v>2389</v>
      </c>
      <c r="N899" s="61" t="s">
        <v>2511</v>
      </c>
      <c r="O899" s="61" t="s">
        <v>2511</v>
      </c>
      <c r="P899" s="62" t="s">
        <v>2511</v>
      </c>
      <c r="Q899" s="82"/>
      <c r="R899" s="82"/>
      <c r="S899" s="82"/>
      <c r="T899" s="82"/>
      <c r="U899" s="82"/>
      <c r="V899" s="138" t="s">
        <v>5008</v>
      </c>
      <c r="W899" s="57" t="s">
        <v>4966</v>
      </c>
      <c r="X899" s="126" t="s">
        <v>2511</v>
      </c>
      <c r="Y899" s="126" t="s">
        <v>2511</v>
      </c>
      <c r="Z899" s="57"/>
      <c r="AA899" s="57" t="s">
        <v>4533</v>
      </c>
      <c r="AB899" s="138"/>
      <c r="AC899" s="138" t="s">
        <v>2631</v>
      </c>
      <c r="AD899" s="96"/>
      <c r="AE899" s="80"/>
      <c r="AF899" s="80"/>
      <c r="AG899" s="80"/>
      <c r="AH899" s="83"/>
      <c r="AI899" s="83"/>
      <c r="AJ899" s="84"/>
      <c r="AK899" s="84"/>
      <c r="AL899" s="84"/>
      <c r="AM899" s="84"/>
      <c r="AN899" s="84"/>
      <c r="AO899" s="84"/>
      <c r="AP899" s="84"/>
      <c r="AQ899" s="95" t="s">
        <v>2017</v>
      </c>
      <c r="AR899" s="72"/>
      <c r="AS899" s="72"/>
      <c r="AT899" s="72"/>
      <c r="AU899" s="72"/>
      <c r="AV899" s="72"/>
      <c r="AW899" s="72"/>
      <c r="AX899" s="72"/>
      <c r="AY899" s="72"/>
      <c r="AZ899" s="72"/>
      <c r="BA899" s="72"/>
      <c r="BB899" s="16"/>
      <c r="BC899" s="72"/>
      <c r="BD899" s="20"/>
      <c r="BE899" s="352"/>
    </row>
    <row r="900" spans="1:57" s="81" customFormat="1" ht="12.95" hidden="1" customHeight="1">
      <c r="A900" s="348"/>
      <c r="B900" s="350"/>
      <c r="C900" s="248" t="s">
        <v>1460</v>
      </c>
      <c r="D900" s="239" t="s">
        <v>5009</v>
      </c>
      <c r="E900" s="58"/>
      <c r="F900" s="59" t="s">
        <v>5010</v>
      </c>
      <c r="G900" s="191" t="s">
        <v>2511</v>
      </c>
      <c r="H900" s="192" t="s">
        <v>2018</v>
      </c>
      <c r="I900" s="61" t="s">
        <v>2511</v>
      </c>
      <c r="J900" s="61" t="s">
        <v>2511</v>
      </c>
      <c r="K900" s="62" t="s">
        <v>2511</v>
      </c>
      <c r="L900" s="60" t="s">
        <v>2511</v>
      </c>
      <c r="M900" s="61" t="s">
        <v>2389</v>
      </c>
      <c r="N900" s="61" t="s">
        <v>2511</v>
      </c>
      <c r="O900" s="61" t="s">
        <v>2511</v>
      </c>
      <c r="P900" s="62" t="s">
        <v>2511</v>
      </c>
      <c r="Q900" s="82"/>
      <c r="R900" s="82"/>
      <c r="S900" s="82"/>
      <c r="T900" s="82"/>
      <c r="U900" s="82"/>
      <c r="V900" s="138" t="s">
        <v>5011</v>
      </c>
      <c r="W900" s="57" t="s">
        <v>4966</v>
      </c>
      <c r="X900" s="126" t="s">
        <v>2511</v>
      </c>
      <c r="Y900" s="126" t="s">
        <v>2511</v>
      </c>
      <c r="Z900" s="57"/>
      <c r="AA900" s="57" t="s">
        <v>4533</v>
      </c>
      <c r="AB900" s="138"/>
      <c r="AC900" s="138" t="s">
        <v>2631</v>
      </c>
      <c r="AD900" s="96"/>
      <c r="AE900" s="80"/>
      <c r="AF900" s="80"/>
      <c r="AG900" s="80"/>
      <c r="AH900" s="83"/>
      <c r="AI900" s="83"/>
      <c r="AJ900" s="84"/>
      <c r="AK900" s="84"/>
      <c r="AL900" s="84"/>
      <c r="AM900" s="84"/>
      <c r="AN900" s="84"/>
      <c r="AO900" s="84"/>
      <c r="AP900" s="84"/>
      <c r="AQ900" s="95" t="s">
        <v>2018</v>
      </c>
      <c r="AR900" s="72"/>
      <c r="AS900" s="72"/>
      <c r="AT900" s="72"/>
      <c r="AU900" s="72"/>
      <c r="AV900" s="72"/>
      <c r="AW900" s="72"/>
      <c r="AX900" s="72"/>
      <c r="AY900" s="72"/>
      <c r="AZ900" s="72"/>
      <c r="BA900" s="72"/>
      <c r="BB900" s="16"/>
      <c r="BC900" s="72"/>
      <c r="BD900" s="20"/>
      <c r="BE900" s="352"/>
    </row>
    <row r="901" spans="1:57" s="81" customFormat="1" ht="12.95" hidden="1" customHeight="1">
      <c r="A901" s="348"/>
      <c r="B901" s="350"/>
      <c r="C901" s="248" t="s">
        <v>1461</v>
      </c>
      <c r="D901" s="239" t="s">
        <v>5012</v>
      </c>
      <c r="E901" s="58"/>
      <c r="F901" s="59" t="s">
        <v>5013</v>
      </c>
      <c r="G901" s="191" t="s">
        <v>2511</v>
      </c>
      <c r="H901" s="192" t="s">
        <v>2019</v>
      </c>
      <c r="I901" s="61" t="s">
        <v>2511</v>
      </c>
      <c r="J901" s="61" t="s">
        <v>2511</v>
      </c>
      <c r="K901" s="62" t="s">
        <v>2511</v>
      </c>
      <c r="L901" s="60" t="s">
        <v>2511</v>
      </c>
      <c r="M901" s="61" t="s">
        <v>2389</v>
      </c>
      <c r="N901" s="61" t="s">
        <v>2511</v>
      </c>
      <c r="O901" s="61" t="s">
        <v>2511</v>
      </c>
      <c r="P901" s="62" t="s">
        <v>2511</v>
      </c>
      <c r="Q901" s="82"/>
      <c r="R901" s="82"/>
      <c r="S901" s="82"/>
      <c r="T901" s="82"/>
      <c r="U901" s="82"/>
      <c r="V901" s="138" t="s">
        <v>5014</v>
      </c>
      <c r="W901" s="57" t="s">
        <v>4966</v>
      </c>
      <c r="X901" s="126" t="s">
        <v>2511</v>
      </c>
      <c r="Y901" s="126" t="s">
        <v>2511</v>
      </c>
      <c r="Z901" s="57"/>
      <c r="AA901" s="57" t="s">
        <v>4533</v>
      </c>
      <c r="AB901" s="138"/>
      <c r="AC901" s="138" t="s">
        <v>2631</v>
      </c>
      <c r="AD901" s="96"/>
      <c r="AE901" s="80"/>
      <c r="AF901" s="80"/>
      <c r="AG901" s="80"/>
      <c r="AH901" s="83"/>
      <c r="AI901" s="83"/>
      <c r="AJ901" s="84"/>
      <c r="AK901" s="84"/>
      <c r="AL901" s="84"/>
      <c r="AM901" s="84"/>
      <c r="AN901" s="84"/>
      <c r="AO901" s="84"/>
      <c r="AP901" s="84"/>
      <c r="AQ901" s="95" t="s">
        <v>2019</v>
      </c>
      <c r="AR901" s="72"/>
      <c r="AS901" s="72"/>
      <c r="AT901" s="72"/>
      <c r="AU901" s="72"/>
      <c r="AV901" s="72"/>
      <c r="AW901" s="72"/>
      <c r="AX901" s="72"/>
      <c r="AY901" s="72"/>
      <c r="AZ901" s="72"/>
      <c r="BA901" s="72"/>
      <c r="BB901" s="16"/>
      <c r="BC901" s="72"/>
      <c r="BD901" s="20"/>
      <c r="BE901" s="352"/>
    </row>
    <row r="902" spans="1:57" s="81" customFormat="1" ht="12.95" hidden="1" customHeight="1">
      <c r="A902" s="348"/>
      <c r="B902" s="350"/>
      <c r="C902" s="248" t="s">
        <v>1462</v>
      </c>
      <c r="D902" s="239" t="s">
        <v>5015</v>
      </c>
      <c r="E902" s="58"/>
      <c r="F902" s="59" t="s">
        <v>5016</v>
      </c>
      <c r="G902" s="191" t="s">
        <v>2511</v>
      </c>
      <c r="H902" s="192" t="s">
        <v>2020</v>
      </c>
      <c r="I902" s="61" t="s">
        <v>2511</v>
      </c>
      <c r="J902" s="61" t="s">
        <v>2511</v>
      </c>
      <c r="K902" s="62" t="s">
        <v>2511</v>
      </c>
      <c r="L902" s="60" t="s">
        <v>2511</v>
      </c>
      <c r="M902" s="61" t="s">
        <v>2389</v>
      </c>
      <c r="N902" s="61" t="s">
        <v>2511</v>
      </c>
      <c r="O902" s="61" t="s">
        <v>2511</v>
      </c>
      <c r="P902" s="62" t="s">
        <v>2511</v>
      </c>
      <c r="Q902" s="82"/>
      <c r="R902" s="82"/>
      <c r="S902" s="82"/>
      <c r="T902" s="82"/>
      <c r="U902" s="82"/>
      <c r="V902" s="138" t="s">
        <v>5017</v>
      </c>
      <c r="W902" s="57" t="s">
        <v>4966</v>
      </c>
      <c r="X902" s="126" t="s">
        <v>2511</v>
      </c>
      <c r="Y902" s="126" t="s">
        <v>2511</v>
      </c>
      <c r="Z902" s="57"/>
      <c r="AA902" s="57" t="s">
        <v>4533</v>
      </c>
      <c r="AB902" s="138"/>
      <c r="AC902" s="138" t="s">
        <v>2631</v>
      </c>
      <c r="AD902" s="96"/>
      <c r="AE902" s="80"/>
      <c r="AF902" s="80"/>
      <c r="AG902" s="80"/>
      <c r="AH902" s="83"/>
      <c r="AI902" s="83"/>
      <c r="AJ902" s="84"/>
      <c r="AK902" s="84"/>
      <c r="AL902" s="84"/>
      <c r="AM902" s="84"/>
      <c r="AN902" s="84"/>
      <c r="AO902" s="84"/>
      <c r="AP902" s="84"/>
      <c r="AQ902" s="95" t="s">
        <v>2020</v>
      </c>
      <c r="AR902" s="72"/>
      <c r="AS902" s="72"/>
      <c r="AT902" s="72"/>
      <c r="AU902" s="72"/>
      <c r="AV902" s="72"/>
      <c r="AW902" s="72"/>
      <c r="AX902" s="72"/>
      <c r="AY902" s="72"/>
      <c r="AZ902" s="72"/>
      <c r="BA902" s="72"/>
      <c r="BB902" s="16"/>
      <c r="BC902" s="72"/>
      <c r="BD902" s="20"/>
      <c r="BE902" s="352"/>
    </row>
    <row r="903" spans="1:57" s="81" customFormat="1" ht="12.95" hidden="1" customHeight="1">
      <c r="A903" s="348"/>
      <c r="B903" s="350"/>
      <c r="C903" s="248" t="s">
        <v>1463</v>
      </c>
      <c r="D903" s="239" t="s">
        <v>5018</v>
      </c>
      <c r="E903" s="58"/>
      <c r="F903" s="59" t="s">
        <v>5019</v>
      </c>
      <c r="G903" s="191" t="s">
        <v>2511</v>
      </c>
      <c r="H903" s="192" t="s">
        <v>2021</v>
      </c>
      <c r="I903" s="61" t="s">
        <v>2511</v>
      </c>
      <c r="J903" s="61" t="s">
        <v>2511</v>
      </c>
      <c r="K903" s="62" t="s">
        <v>2511</v>
      </c>
      <c r="L903" s="60" t="s">
        <v>2511</v>
      </c>
      <c r="M903" s="61" t="s">
        <v>2389</v>
      </c>
      <c r="N903" s="61" t="s">
        <v>2511</v>
      </c>
      <c r="O903" s="61" t="s">
        <v>2511</v>
      </c>
      <c r="P903" s="62" t="s">
        <v>2511</v>
      </c>
      <c r="Q903" s="82"/>
      <c r="R903" s="82"/>
      <c r="S903" s="82"/>
      <c r="T903" s="82"/>
      <c r="U903" s="82"/>
      <c r="V903" s="138" t="s">
        <v>5020</v>
      </c>
      <c r="W903" s="57" t="s">
        <v>4966</v>
      </c>
      <c r="X903" s="126" t="s">
        <v>2511</v>
      </c>
      <c r="Y903" s="126" t="s">
        <v>2511</v>
      </c>
      <c r="Z903" s="57"/>
      <c r="AA903" s="57" t="s">
        <v>4533</v>
      </c>
      <c r="AB903" s="138"/>
      <c r="AC903" s="138" t="s">
        <v>2631</v>
      </c>
      <c r="AD903" s="96"/>
      <c r="AE903" s="80"/>
      <c r="AF903" s="80"/>
      <c r="AG903" s="80"/>
      <c r="AH903" s="83"/>
      <c r="AI903" s="83"/>
      <c r="AJ903" s="84"/>
      <c r="AK903" s="84"/>
      <c r="AL903" s="84"/>
      <c r="AM903" s="84"/>
      <c r="AN903" s="84"/>
      <c r="AO903" s="84"/>
      <c r="AP903" s="84"/>
      <c r="AQ903" s="95" t="s">
        <v>2021</v>
      </c>
      <c r="AR903" s="72"/>
      <c r="AS903" s="72"/>
      <c r="AT903" s="72"/>
      <c r="AU903" s="72"/>
      <c r="AV903" s="72"/>
      <c r="AW903" s="72"/>
      <c r="AX903" s="72"/>
      <c r="AY903" s="72"/>
      <c r="AZ903" s="72"/>
      <c r="BA903" s="72"/>
      <c r="BB903" s="16"/>
      <c r="BC903" s="72"/>
      <c r="BD903" s="20"/>
      <c r="BE903" s="352"/>
    </row>
    <row r="904" spans="1:57" s="81" customFormat="1" ht="12.95" hidden="1" customHeight="1">
      <c r="A904" s="348"/>
      <c r="B904" s="350"/>
      <c r="C904" s="248" t="s">
        <v>1464</v>
      </c>
      <c r="D904" s="239" t="s">
        <v>5021</v>
      </c>
      <c r="E904" s="58"/>
      <c r="F904" s="59" t="s">
        <v>5022</v>
      </c>
      <c r="G904" s="191" t="s">
        <v>2511</v>
      </c>
      <c r="H904" s="192" t="s">
        <v>2022</v>
      </c>
      <c r="I904" s="61" t="s">
        <v>2511</v>
      </c>
      <c r="J904" s="61" t="s">
        <v>2511</v>
      </c>
      <c r="K904" s="62" t="s">
        <v>2511</v>
      </c>
      <c r="L904" s="60" t="s">
        <v>2511</v>
      </c>
      <c r="M904" s="61" t="s">
        <v>2389</v>
      </c>
      <c r="N904" s="61" t="s">
        <v>2511</v>
      </c>
      <c r="O904" s="61" t="s">
        <v>2511</v>
      </c>
      <c r="P904" s="62" t="s">
        <v>2511</v>
      </c>
      <c r="Q904" s="82"/>
      <c r="R904" s="82"/>
      <c r="S904" s="82"/>
      <c r="T904" s="82"/>
      <c r="U904" s="82"/>
      <c r="V904" s="138" t="s">
        <v>5023</v>
      </c>
      <c r="W904" s="57" t="s">
        <v>4966</v>
      </c>
      <c r="X904" s="126" t="s">
        <v>2511</v>
      </c>
      <c r="Y904" s="126" t="s">
        <v>2511</v>
      </c>
      <c r="Z904" s="57"/>
      <c r="AA904" s="57" t="s">
        <v>4533</v>
      </c>
      <c r="AB904" s="138"/>
      <c r="AC904" s="138" t="s">
        <v>2631</v>
      </c>
      <c r="AD904" s="96"/>
      <c r="AE904" s="80"/>
      <c r="AF904" s="80"/>
      <c r="AG904" s="80"/>
      <c r="AH904" s="83"/>
      <c r="AI904" s="83"/>
      <c r="AJ904" s="84"/>
      <c r="AK904" s="84"/>
      <c r="AL904" s="84"/>
      <c r="AM904" s="84"/>
      <c r="AN904" s="84"/>
      <c r="AO904" s="84"/>
      <c r="AP904" s="84"/>
      <c r="AQ904" s="95" t="s">
        <v>2022</v>
      </c>
      <c r="AR904" s="72"/>
      <c r="AS904" s="72"/>
      <c r="AT904" s="72"/>
      <c r="AU904" s="72"/>
      <c r="AV904" s="72"/>
      <c r="AW904" s="72"/>
      <c r="AX904" s="72"/>
      <c r="AY904" s="72"/>
      <c r="AZ904" s="72"/>
      <c r="BA904" s="72"/>
      <c r="BB904" s="16"/>
      <c r="BC904" s="72"/>
      <c r="BD904" s="20"/>
      <c r="BE904" s="352"/>
    </row>
    <row r="905" spans="1:57" s="81" customFormat="1" ht="12.95" hidden="1" customHeight="1">
      <c r="A905" s="348"/>
      <c r="B905" s="350"/>
      <c r="C905" s="248" t="s">
        <v>1465</v>
      </c>
      <c r="D905" s="239" t="s">
        <v>5024</v>
      </c>
      <c r="E905" s="58"/>
      <c r="F905" s="59" t="s">
        <v>5025</v>
      </c>
      <c r="G905" s="191" t="s">
        <v>2511</v>
      </c>
      <c r="H905" s="192" t="s">
        <v>2023</v>
      </c>
      <c r="I905" s="61" t="s">
        <v>2511</v>
      </c>
      <c r="J905" s="61" t="s">
        <v>2511</v>
      </c>
      <c r="K905" s="62" t="s">
        <v>2511</v>
      </c>
      <c r="L905" s="60" t="s">
        <v>2511</v>
      </c>
      <c r="M905" s="61" t="s">
        <v>2389</v>
      </c>
      <c r="N905" s="61" t="s">
        <v>2511</v>
      </c>
      <c r="O905" s="61" t="s">
        <v>2511</v>
      </c>
      <c r="P905" s="62" t="s">
        <v>2511</v>
      </c>
      <c r="Q905" s="82"/>
      <c r="R905" s="82"/>
      <c r="S905" s="82"/>
      <c r="T905" s="82"/>
      <c r="U905" s="82"/>
      <c r="V905" s="138" t="s">
        <v>5026</v>
      </c>
      <c r="W905" s="57" t="s">
        <v>4966</v>
      </c>
      <c r="X905" s="126" t="s">
        <v>2511</v>
      </c>
      <c r="Y905" s="126" t="s">
        <v>2511</v>
      </c>
      <c r="Z905" s="57"/>
      <c r="AA905" s="57" t="s">
        <v>4533</v>
      </c>
      <c r="AB905" s="138"/>
      <c r="AC905" s="138" t="s">
        <v>2631</v>
      </c>
      <c r="AD905" s="96"/>
      <c r="AE905" s="80"/>
      <c r="AF905" s="80"/>
      <c r="AG905" s="80"/>
      <c r="AH905" s="83"/>
      <c r="AI905" s="83"/>
      <c r="AJ905" s="84"/>
      <c r="AK905" s="84"/>
      <c r="AL905" s="84"/>
      <c r="AM905" s="84"/>
      <c r="AN905" s="84"/>
      <c r="AO905" s="84"/>
      <c r="AP905" s="84"/>
      <c r="AQ905" s="95" t="s">
        <v>2023</v>
      </c>
      <c r="AR905" s="72"/>
      <c r="AS905" s="72"/>
      <c r="AT905" s="72"/>
      <c r="AU905" s="72"/>
      <c r="AV905" s="72"/>
      <c r="AW905" s="72"/>
      <c r="AX905" s="72"/>
      <c r="AY905" s="72"/>
      <c r="AZ905" s="72"/>
      <c r="BA905" s="72"/>
      <c r="BB905" s="16"/>
      <c r="BC905" s="72"/>
      <c r="BD905" s="20"/>
      <c r="BE905" s="352"/>
    </row>
    <row r="906" spans="1:57" s="81" customFormat="1" ht="12.95" hidden="1" customHeight="1">
      <c r="A906" s="348"/>
      <c r="B906" s="350"/>
      <c r="C906" s="270" t="s">
        <v>1466</v>
      </c>
      <c r="D906" s="239" t="s">
        <v>5027</v>
      </c>
      <c r="E906" s="58"/>
      <c r="F906" s="59" t="s">
        <v>5028</v>
      </c>
      <c r="G906" s="191" t="s">
        <v>2511</v>
      </c>
      <c r="H906" s="192" t="s">
        <v>2024</v>
      </c>
      <c r="I906" s="61" t="s">
        <v>2511</v>
      </c>
      <c r="J906" s="61" t="s">
        <v>2511</v>
      </c>
      <c r="K906" s="62" t="s">
        <v>2511</v>
      </c>
      <c r="L906" s="60" t="s">
        <v>2511</v>
      </c>
      <c r="M906" s="61" t="s">
        <v>2389</v>
      </c>
      <c r="N906" s="61" t="s">
        <v>2511</v>
      </c>
      <c r="O906" s="61" t="s">
        <v>2511</v>
      </c>
      <c r="P906" s="62" t="s">
        <v>2511</v>
      </c>
      <c r="Q906" s="82"/>
      <c r="R906" s="82"/>
      <c r="S906" s="82"/>
      <c r="T906" s="82"/>
      <c r="U906" s="82"/>
      <c r="V906" s="138" t="s">
        <v>5029</v>
      </c>
      <c r="W906" s="57" t="s">
        <v>4966</v>
      </c>
      <c r="X906" s="126" t="s">
        <v>2511</v>
      </c>
      <c r="Y906" s="126" t="s">
        <v>2511</v>
      </c>
      <c r="Z906" s="57"/>
      <c r="AA906" s="57" t="s">
        <v>4533</v>
      </c>
      <c r="AB906" s="138"/>
      <c r="AC906" s="138" t="s">
        <v>2631</v>
      </c>
      <c r="AD906" s="96"/>
      <c r="AE906" s="80"/>
      <c r="AF906" s="80"/>
      <c r="AG906" s="80"/>
      <c r="AH906" s="83"/>
      <c r="AI906" s="83"/>
      <c r="AJ906" s="84"/>
      <c r="AK906" s="84"/>
      <c r="AL906" s="84"/>
      <c r="AM906" s="84"/>
      <c r="AN906" s="84"/>
      <c r="AO906" s="84"/>
      <c r="AP906" s="84"/>
      <c r="AQ906" s="95" t="s">
        <v>2024</v>
      </c>
      <c r="AR906" s="72"/>
      <c r="AS906" s="72"/>
      <c r="AT906" s="72"/>
      <c r="AU906" s="72"/>
      <c r="AV906" s="72"/>
      <c r="AW906" s="72"/>
      <c r="AX906" s="72"/>
      <c r="AY906" s="72"/>
      <c r="AZ906" s="72"/>
      <c r="BA906" s="72"/>
      <c r="BB906" s="16"/>
      <c r="BC906" s="72"/>
      <c r="BD906" s="20"/>
      <c r="BE906" s="352"/>
    </row>
    <row r="907" spans="1:57" s="81" customFormat="1" ht="12.95" hidden="1" customHeight="1">
      <c r="A907" s="348"/>
      <c r="B907" s="350"/>
      <c r="C907" s="270" t="s">
        <v>1467</v>
      </c>
      <c r="D907" s="239" t="s">
        <v>5030</v>
      </c>
      <c r="E907" s="58"/>
      <c r="F907" s="59" t="s">
        <v>5031</v>
      </c>
      <c r="G907" s="191" t="s">
        <v>2511</v>
      </c>
      <c r="H907" s="192" t="s">
        <v>2025</v>
      </c>
      <c r="I907" s="61" t="s">
        <v>2511</v>
      </c>
      <c r="J907" s="61" t="s">
        <v>2511</v>
      </c>
      <c r="K907" s="62" t="s">
        <v>2511</v>
      </c>
      <c r="L907" s="60" t="s">
        <v>2511</v>
      </c>
      <c r="M907" s="61" t="s">
        <v>2389</v>
      </c>
      <c r="N907" s="61" t="s">
        <v>2511</v>
      </c>
      <c r="O907" s="61" t="s">
        <v>2511</v>
      </c>
      <c r="P907" s="62" t="s">
        <v>2511</v>
      </c>
      <c r="Q907" s="82"/>
      <c r="R907" s="82"/>
      <c r="S907" s="82"/>
      <c r="T907" s="82"/>
      <c r="U907" s="82"/>
      <c r="V907" s="138" t="s">
        <v>5032</v>
      </c>
      <c r="W907" s="57" t="s">
        <v>4966</v>
      </c>
      <c r="X907" s="126" t="s">
        <v>2511</v>
      </c>
      <c r="Y907" s="126" t="s">
        <v>2511</v>
      </c>
      <c r="Z907" s="57"/>
      <c r="AA907" s="57" t="s">
        <v>4533</v>
      </c>
      <c r="AB907" s="138"/>
      <c r="AC907" s="138" t="s">
        <v>2631</v>
      </c>
      <c r="AD907" s="96"/>
      <c r="AE907" s="80"/>
      <c r="AF907" s="80"/>
      <c r="AG907" s="80"/>
      <c r="AH907" s="83"/>
      <c r="AI907" s="83"/>
      <c r="AJ907" s="84"/>
      <c r="AK907" s="84"/>
      <c r="AL907" s="84"/>
      <c r="AM907" s="84"/>
      <c r="AN907" s="84"/>
      <c r="AO907" s="84"/>
      <c r="AP907" s="84"/>
      <c r="AQ907" s="95" t="s">
        <v>2025</v>
      </c>
      <c r="AR907" s="72"/>
      <c r="AS907" s="72"/>
      <c r="AT907" s="72"/>
      <c r="AU907" s="72"/>
      <c r="AV907" s="72"/>
      <c r="AW907" s="72"/>
      <c r="AX907" s="72"/>
      <c r="AY907" s="72"/>
      <c r="AZ907" s="72"/>
      <c r="BA907" s="72"/>
      <c r="BB907" s="16"/>
      <c r="BC907" s="72"/>
      <c r="BD907" s="20"/>
      <c r="BE907" s="352"/>
    </row>
    <row r="908" spans="1:57" s="81" customFormat="1" ht="12.95" hidden="1" customHeight="1">
      <c r="A908" s="348"/>
      <c r="B908" s="350"/>
      <c r="C908" s="248" t="s">
        <v>1468</v>
      </c>
      <c r="D908" s="239" t="s">
        <v>5033</v>
      </c>
      <c r="E908" s="58"/>
      <c r="F908" s="59" t="s">
        <v>5034</v>
      </c>
      <c r="G908" s="191" t="s">
        <v>2511</v>
      </c>
      <c r="H908" s="192" t="s">
        <v>2026</v>
      </c>
      <c r="I908" s="61" t="s">
        <v>2511</v>
      </c>
      <c r="J908" s="61" t="s">
        <v>2511</v>
      </c>
      <c r="K908" s="62" t="s">
        <v>2511</v>
      </c>
      <c r="L908" s="60" t="s">
        <v>2511</v>
      </c>
      <c r="M908" s="61" t="s">
        <v>2389</v>
      </c>
      <c r="N908" s="61" t="s">
        <v>2511</v>
      </c>
      <c r="O908" s="61" t="s">
        <v>2511</v>
      </c>
      <c r="P908" s="62" t="s">
        <v>2511</v>
      </c>
      <c r="Q908" s="82"/>
      <c r="R908" s="82"/>
      <c r="S908" s="82"/>
      <c r="T908" s="82"/>
      <c r="U908" s="82"/>
      <c r="V908" s="138" t="s">
        <v>5035</v>
      </c>
      <c r="W908" s="57" t="s">
        <v>4966</v>
      </c>
      <c r="X908" s="126" t="s">
        <v>2511</v>
      </c>
      <c r="Y908" s="126" t="s">
        <v>2511</v>
      </c>
      <c r="Z908" s="57"/>
      <c r="AA908" s="57" t="s">
        <v>4533</v>
      </c>
      <c r="AB908" s="138"/>
      <c r="AC908" s="138">
        <v>0</v>
      </c>
      <c r="AD908" s="96"/>
      <c r="AE908" s="80"/>
      <c r="AF908" s="80"/>
      <c r="AG908" s="80"/>
      <c r="AH908" s="83"/>
      <c r="AI908" s="83"/>
      <c r="AJ908" s="84"/>
      <c r="AK908" s="84"/>
      <c r="AL908" s="84"/>
      <c r="AM908" s="84"/>
      <c r="AN908" s="84"/>
      <c r="AO908" s="84"/>
      <c r="AP908" s="84"/>
      <c r="AQ908" s="95" t="s">
        <v>2026</v>
      </c>
      <c r="AR908" s="72"/>
      <c r="AS908" s="72"/>
      <c r="AT908" s="72"/>
      <c r="AU908" s="72"/>
      <c r="AV908" s="72"/>
      <c r="AW908" s="72"/>
      <c r="AX908" s="72"/>
      <c r="AY908" s="72"/>
      <c r="AZ908" s="72"/>
      <c r="BA908" s="72"/>
      <c r="BB908" s="16"/>
      <c r="BC908" s="72"/>
      <c r="BD908" s="20"/>
      <c r="BE908" s="352"/>
    </row>
    <row r="909" spans="1:57" s="81" customFormat="1" ht="12.95" hidden="1" customHeight="1">
      <c r="A909" s="348"/>
      <c r="B909" s="350"/>
      <c r="C909" s="248" t="s">
        <v>1469</v>
      </c>
      <c r="D909" s="239" t="s">
        <v>5036</v>
      </c>
      <c r="E909" s="58"/>
      <c r="F909" s="59" t="s">
        <v>5037</v>
      </c>
      <c r="G909" s="191" t="s">
        <v>2511</v>
      </c>
      <c r="H909" s="192" t="s">
        <v>2027</v>
      </c>
      <c r="I909" s="61" t="s">
        <v>2511</v>
      </c>
      <c r="J909" s="61" t="s">
        <v>2511</v>
      </c>
      <c r="K909" s="62" t="s">
        <v>2511</v>
      </c>
      <c r="L909" s="60" t="s">
        <v>2511</v>
      </c>
      <c r="M909" s="61" t="s">
        <v>2389</v>
      </c>
      <c r="N909" s="61" t="s">
        <v>2511</v>
      </c>
      <c r="O909" s="61" t="s">
        <v>2511</v>
      </c>
      <c r="P909" s="62" t="s">
        <v>2511</v>
      </c>
      <c r="Q909" s="82"/>
      <c r="R909" s="82"/>
      <c r="S909" s="82"/>
      <c r="T909" s="82"/>
      <c r="U909" s="82"/>
      <c r="V909" s="138" t="s">
        <v>5038</v>
      </c>
      <c r="W909" s="57" t="s">
        <v>4966</v>
      </c>
      <c r="X909" s="126" t="s">
        <v>2511</v>
      </c>
      <c r="Y909" s="126" t="s">
        <v>2511</v>
      </c>
      <c r="Z909" s="57"/>
      <c r="AA909" s="57" t="s">
        <v>4533</v>
      </c>
      <c r="AB909" s="138"/>
      <c r="AC909" s="138" t="s">
        <v>2631</v>
      </c>
      <c r="AD909" s="96"/>
      <c r="AE909" s="80"/>
      <c r="AF909" s="80"/>
      <c r="AG909" s="80"/>
      <c r="AH909" s="83"/>
      <c r="AI909" s="83"/>
      <c r="AJ909" s="84"/>
      <c r="AK909" s="84"/>
      <c r="AL909" s="84"/>
      <c r="AM909" s="84"/>
      <c r="AN909" s="84"/>
      <c r="AO909" s="84"/>
      <c r="AP909" s="84"/>
      <c r="AQ909" s="95" t="s">
        <v>2027</v>
      </c>
      <c r="AR909" s="72"/>
      <c r="AS909" s="72"/>
      <c r="AT909" s="72"/>
      <c r="AU909" s="72"/>
      <c r="AV909" s="72"/>
      <c r="AW909" s="72"/>
      <c r="AX909" s="72"/>
      <c r="AY909" s="72"/>
      <c r="AZ909" s="72"/>
      <c r="BA909" s="72"/>
      <c r="BB909" s="16"/>
      <c r="BC909" s="72"/>
      <c r="BD909" s="20"/>
      <c r="BE909" s="352"/>
    </row>
    <row r="910" spans="1:57" s="81" customFormat="1" ht="12.95" hidden="1" customHeight="1">
      <c r="A910" s="348"/>
      <c r="B910" s="350"/>
      <c r="C910" s="248" t="s">
        <v>1470</v>
      </c>
      <c r="D910" s="239" t="s">
        <v>5039</v>
      </c>
      <c r="E910" s="58"/>
      <c r="F910" s="59" t="s">
        <v>5040</v>
      </c>
      <c r="G910" s="191" t="s">
        <v>2511</v>
      </c>
      <c r="H910" s="192" t="s">
        <v>2028</v>
      </c>
      <c r="I910" s="61" t="s">
        <v>2511</v>
      </c>
      <c r="J910" s="61" t="s">
        <v>2511</v>
      </c>
      <c r="K910" s="62" t="s">
        <v>2511</v>
      </c>
      <c r="L910" s="60" t="s">
        <v>2511</v>
      </c>
      <c r="M910" s="61" t="s">
        <v>2389</v>
      </c>
      <c r="N910" s="61" t="s">
        <v>2511</v>
      </c>
      <c r="O910" s="61" t="s">
        <v>2511</v>
      </c>
      <c r="P910" s="62" t="s">
        <v>2511</v>
      </c>
      <c r="Q910" s="82"/>
      <c r="R910" s="82"/>
      <c r="S910" s="82"/>
      <c r="T910" s="82"/>
      <c r="U910" s="82"/>
      <c r="V910" s="138" t="s">
        <v>5041</v>
      </c>
      <c r="W910" s="57" t="s">
        <v>4966</v>
      </c>
      <c r="X910" s="126" t="s">
        <v>2511</v>
      </c>
      <c r="Y910" s="126" t="s">
        <v>2511</v>
      </c>
      <c r="Z910" s="57"/>
      <c r="AA910" s="57" t="s">
        <v>4533</v>
      </c>
      <c r="AB910" s="138"/>
      <c r="AC910" s="138" t="s">
        <v>2631</v>
      </c>
      <c r="AD910" s="96"/>
      <c r="AE910" s="80"/>
      <c r="AF910" s="80"/>
      <c r="AG910" s="80"/>
      <c r="AH910" s="83"/>
      <c r="AI910" s="83"/>
      <c r="AJ910" s="84"/>
      <c r="AK910" s="84"/>
      <c r="AL910" s="84"/>
      <c r="AM910" s="84"/>
      <c r="AN910" s="84"/>
      <c r="AO910" s="84"/>
      <c r="AP910" s="84"/>
      <c r="AQ910" s="95" t="s">
        <v>2028</v>
      </c>
      <c r="AR910" s="72"/>
      <c r="AS910" s="72"/>
      <c r="AT910" s="72"/>
      <c r="AU910" s="72"/>
      <c r="AV910" s="72"/>
      <c r="AW910" s="72"/>
      <c r="AX910" s="72"/>
      <c r="AY910" s="72"/>
      <c r="AZ910" s="72"/>
      <c r="BA910" s="72"/>
      <c r="BB910" s="16"/>
      <c r="BC910" s="72"/>
      <c r="BD910" s="20"/>
      <c r="BE910" s="352"/>
    </row>
    <row r="911" spans="1:57" s="81" customFormat="1" ht="12.95" hidden="1" customHeight="1">
      <c r="A911" s="348"/>
      <c r="B911" s="350"/>
      <c r="C911" s="248" t="s">
        <v>1471</v>
      </c>
      <c r="D911" s="239" t="s">
        <v>5042</v>
      </c>
      <c r="E911" s="58"/>
      <c r="F911" s="59" t="s">
        <v>5043</v>
      </c>
      <c r="G911" s="191" t="s">
        <v>2511</v>
      </c>
      <c r="H911" s="192" t="s">
        <v>2029</v>
      </c>
      <c r="I911" s="61" t="s">
        <v>2511</v>
      </c>
      <c r="J911" s="61" t="s">
        <v>2511</v>
      </c>
      <c r="K911" s="62" t="s">
        <v>2511</v>
      </c>
      <c r="L911" s="60" t="s">
        <v>2511</v>
      </c>
      <c r="M911" s="61" t="s">
        <v>2389</v>
      </c>
      <c r="N911" s="61" t="s">
        <v>2511</v>
      </c>
      <c r="O911" s="61" t="s">
        <v>2511</v>
      </c>
      <c r="P911" s="62" t="s">
        <v>2511</v>
      </c>
      <c r="Q911" s="82"/>
      <c r="R911" s="82"/>
      <c r="S911" s="82"/>
      <c r="T911" s="82"/>
      <c r="U911" s="82"/>
      <c r="V911" s="138" t="s">
        <v>5044</v>
      </c>
      <c r="W911" s="57" t="s">
        <v>4966</v>
      </c>
      <c r="X911" s="126" t="s">
        <v>2511</v>
      </c>
      <c r="Y911" s="126" t="s">
        <v>2511</v>
      </c>
      <c r="Z911" s="57"/>
      <c r="AA911" s="57" t="s">
        <v>4533</v>
      </c>
      <c r="AB911" s="138"/>
      <c r="AC911" s="138" t="s">
        <v>2631</v>
      </c>
      <c r="AD911" s="96"/>
      <c r="AE911" s="80"/>
      <c r="AF911" s="80"/>
      <c r="AG911" s="80"/>
      <c r="AH911" s="83"/>
      <c r="AI911" s="83"/>
      <c r="AJ911" s="84"/>
      <c r="AK911" s="84"/>
      <c r="AL911" s="84"/>
      <c r="AM911" s="84"/>
      <c r="AN911" s="84"/>
      <c r="AO911" s="84"/>
      <c r="AP911" s="84"/>
      <c r="AQ911" s="95" t="s">
        <v>2029</v>
      </c>
      <c r="AR911" s="72"/>
      <c r="AS911" s="72"/>
      <c r="AT911" s="72"/>
      <c r="AU911" s="72"/>
      <c r="AV911" s="72"/>
      <c r="AW911" s="72"/>
      <c r="AX911" s="72"/>
      <c r="AY911" s="72"/>
      <c r="AZ911" s="72"/>
      <c r="BA911" s="72"/>
      <c r="BB911" s="16"/>
      <c r="BC911" s="72"/>
      <c r="BD911" s="20"/>
      <c r="BE911" s="352"/>
    </row>
    <row r="912" spans="1:57" s="81" customFormat="1" ht="12.95" hidden="1" customHeight="1">
      <c r="A912" s="348"/>
      <c r="B912" s="350"/>
      <c r="C912" s="248" t="s">
        <v>1472</v>
      </c>
      <c r="D912" s="239" t="s">
        <v>5045</v>
      </c>
      <c r="E912" s="58"/>
      <c r="F912" s="59" t="s">
        <v>5046</v>
      </c>
      <c r="G912" s="191" t="s">
        <v>2511</v>
      </c>
      <c r="H912" s="192" t="s">
        <v>2030</v>
      </c>
      <c r="I912" s="61" t="s">
        <v>2511</v>
      </c>
      <c r="J912" s="61" t="s">
        <v>2511</v>
      </c>
      <c r="K912" s="62" t="s">
        <v>2511</v>
      </c>
      <c r="L912" s="60" t="s">
        <v>2511</v>
      </c>
      <c r="M912" s="61" t="s">
        <v>2389</v>
      </c>
      <c r="N912" s="61" t="s">
        <v>2511</v>
      </c>
      <c r="O912" s="61" t="s">
        <v>2511</v>
      </c>
      <c r="P912" s="62" t="s">
        <v>2511</v>
      </c>
      <c r="Q912" s="82"/>
      <c r="R912" s="82"/>
      <c r="S912" s="82"/>
      <c r="T912" s="82"/>
      <c r="U912" s="82"/>
      <c r="V912" s="138" t="s">
        <v>5047</v>
      </c>
      <c r="W912" s="57" t="s">
        <v>4966</v>
      </c>
      <c r="X912" s="126" t="s">
        <v>2511</v>
      </c>
      <c r="Y912" s="126" t="s">
        <v>2511</v>
      </c>
      <c r="Z912" s="57"/>
      <c r="AA912" s="57" t="s">
        <v>4533</v>
      </c>
      <c r="AB912" s="138"/>
      <c r="AC912" s="138" t="s">
        <v>2631</v>
      </c>
      <c r="AD912" s="96"/>
      <c r="AE912" s="80"/>
      <c r="AF912" s="80"/>
      <c r="AG912" s="80"/>
      <c r="AH912" s="83"/>
      <c r="AI912" s="83"/>
      <c r="AJ912" s="84"/>
      <c r="AK912" s="84"/>
      <c r="AL912" s="84"/>
      <c r="AM912" s="84"/>
      <c r="AN912" s="84"/>
      <c r="AO912" s="84"/>
      <c r="AP912" s="84"/>
      <c r="AQ912" s="95" t="s">
        <v>2030</v>
      </c>
      <c r="AR912" s="72"/>
      <c r="AS912" s="72"/>
      <c r="AT912" s="72"/>
      <c r="AU912" s="72"/>
      <c r="AV912" s="72"/>
      <c r="AW912" s="72"/>
      <c r="AX912" s="72"/>
      <c r="AY912" s="72"/>
      <c r="AZ912" s="72"/>
      <c r="BA912" s="72"/>
      <c r="BB912" s="16"/>
      <c r="BC912" s="72"/>
      <c r="BD912" s="20"/>
      <c r="BE912" s="352"/>
    </row>
    <row r="913" spans="1:57" s="81" customFormat="1" ht="12.95" hidden="1" customHeight="1">
      <c r="A913" s="348"/>
      <c r="B913" s="350"/>
      <c r="C913" s="248" t="s">
        <v>1473</v>
      </c>
      <c r="D913" s="239" t="s">
        <v>5048</v>
      </c>
      <c r="E913" s="58"/>
      <c r="F913" s="59" t="s">
        <v>5049</v>
      </c>
      <c r="G913" s="191" t="s">
        <v>2511</v>
      </c>
      <c r="H913" s="192" t="s">
        <v>2031</v>
      </c>
      <c r="I913" s="61" t="s">
        <v>2511</v>
      </c>
      <c r="J913" s="61" t="s">
        <v>2511</v>
      </c>
      <c r="K913" s="62" t="s">
        <v>2511</v>
      </c>
      <c r="L913" s="60" t="s">
        <v>2511</v>
      </c>
      <c r="M913" s="61" t="s">
        <v>2389</v>
      </c>
      <c r="N913" s="61" t="s">
        <v>2511</v>
      </c>
      <c r="O913" s="61" t="s">
        <v>2511</v>
      </c>
      <c r="P913" s="62" t="s">
        <v>2511</v>
      </c>
      <c r="Q913" s="82"/>
      <c r="R913" s="82"/>
      <c r="S913" s="82"/>
      <c r="T913" s="82"/>
      <c r="U913" s="82"/>
      <c r="V913" s="138" t="s">
        <v>5050</v>
      </c>
      <c r="W913" s="57" t="s">
        <v>4966</v>
      </c>
      <c r="X913" s="126" t="s">
        <v>2511</v>
      </c>
      <c r="Y913" s="126" t="s">
        <v>2511</v>
      </c>
      <c r="Z913" s="57"/>
      <c r="AA913" s="57" t="s">
        <v>4533</v>
      </c>
      <c r="AB913" s="138"/>
      <c r="AC913" s="138" t="s">
        <v>2631</v>
      </c>
      <c r="AD913" s="96"/>
      <c r="AE913" s="80"/>
      <c r="AF913" s="80"/>
      <c r="AG913" s="80"/>
      <c r="AH913" s="83"/>
      <c r="AI913" s="83"/>
      <c r="AJ913" s="84"/>
      <c r="AK913" s="84"/>
      <c r="AL913" s="84"/>
      <c r="AM913" s="84"/>
      <c r="AN913" s="84"/>
      <c r="AO913" s="84"/>
      <c r="AP913" s="84"/>
      <c r="AQ913" s="95" t="s">
        <v>2031</v>
      </c>
      <c r="AR913" s="72"/>
      <c r="AS913" s="72"/>
      <c r="AT913" s="72"/>
      <c r="AU913" s="72"/>
      <c r="AV913" s="72"/>
      <c r="AW913" s="72"/>
      <c r="AX913" s="72"/>
      <c r="AY913" s="72"/>
      <c r="AZ913" s="72"/>
      <c r="BA913" s="72"/>
      <c r="BB913" s="16"/>
      <c r="BC913" s="72"/>
      <c r="BD913" s="20"/>
      <c r="BE913" s="352"/>
    </row>
    <row r="914" spans="1:57" s="81" customFormat="1" ht="12.95" hidden="1" customHeight="1">
      <c r="A914" s="348"/>
      <c r="B914" s="350"/>
      <c r="C914" s="248" t="s">
        <v>1474</v>
      </c>
      <c r="D914" s="239" t="s">
        <v>5051</v>
      </c>
      <c r="E914" s="58"/>
      <c r="F914" s="59" t="s">
        <v>5052</v>
      </c>
      <c r="G914" s="191" t="s">
        <v>2511</v>
      </c>
      <c r="H914" s="192" t="s">
        <v>2032</v>
      </c>
      <c r="I914" s="61" t="s">
        <v>2511</v>
      </c>
      <c r="J914" s="61" t="s">
        <v>2511</v>
      </c>
      <c r="K914" s="62" t="s">
        <v>2511</v>
      </c>
      <c r="L914" s="60" t="s">
        <v>2511</v>
      </c>
      <c r="M914" s="61" t="s">
        <v>2389</v>
      </c>
      <c r="N914" s="61" t="s">
        <v>2511</v>
      </c>
      <c r="O914" s="61" t="s">
        <v>2511</v>
      </c>
      <c r="P914" s="62" t="s">
        <v>2511</v>
      </c>
      <c r="Q914" s="82"/>
      <c r="R914" s="82"/>
      <c r="S914" s="82"/>
      <c r="T914" s="82"/>
      <c r="U914" s="82"/>
      <c r="V914" s="138" t="s">
        <v>5053</v>
      </c>
      <c r="W914" s="57" t="s">
        <v>4966</v>
      </c>
      <c r="X914" s="126" t="s">
        <v>2511</v>
      </c>
      <c r="Y914" s="126" t="s">
        <v>2511</v>
      </c>
      <c r="Z914" s="57"/>
      <c r="AA914" s="57" t="s">
        <v>4533</v>
      </c>
      <c r="AB914" s="138"/>
      <c r="AC914" s="138" t="s">
        <v>2631</v>
      </c>
      <c r="AD914" s="96"/>
      <c r="AE914" s="80"/>
      <c r="AF914" s="80"/>
      <c r="AG914" s="80"/>
      <c r="AH914" s="83"/>
      <c r="AI914" s="83"/>
      <c r="AJ914" s="84"/>
      <c r="AK914" s="84"/>
      <c r="AL914" s="84"/>
      <c r="AM914" s="84"/>
      <c r="AN914" s="84"/>
      <c r="AO914" s="84"/>
      <c r="AP914" s="84"/>
      <c r="AQ914" s="95" t="s">
        <v>2032</v>
      </c>
      <c r="AR914" s="72"/>
      <c r="AS914" s="72"/>
      <c r="AT914" s="72"/>
      <c r="AU914" s="72"/>
      <c r="AV914" s="72"/>
      <c r="AW914" s="72"/>
      <c r="AX914" s="72"/>
      <c r="AY914" s="72"/>
      <c r="AZ914" s="72"/>
      <c r="BA914" s="72"/>
      <c r="BB914" s="16"/>
      <c r="BC914" s="72"/>
      <c r="BD914" s="20"/>
      <c r="BE914" s="352"/>
    </row>
    <row r="915" spans="1:57" s="81" customFormat="1" ht="12.95" hidden="1" customHeight="1">
      <c r="A915" s="348"/>
      <c r="B915" s="350"/>
      <c r="C915" s="248" t="s">
        <v>1475</v>
      </c>
      <c r="D915" s="239" t="s">
        <v>5054</v>
      </c>
      <c r="E915" s="58"/>
      <c r="F915" s="59" t="s">
        <v>5055</v>
      </c>
      <c r="G915" s="191" t="s">
        <v>2511</v>
      </c>
      <c r="H915" s="192" t="s">
        <v>2033</v>
      </c>
      <c r="I915" s="61" t="s">
        <v>2511</v>
      </c>
      <c r="J915" s="61" t="s">
        <v>2511</v>
      </c>
      <c r="K915" s="62" t="s">
        <v>2511</v>
      </c>
      <c r="L915" s="60" t="s">
        <v>2511</v>
      </c>
      <c r="M915" s="61" t="s">
        <v>2389</v>
      </c>
      <c r="N915" s="61" t="s">
        <v>2511</v>
      </c>
      <c r="O915" s="61" t="s">
        <v>2511</v>
      </c>
      <c r="P915" s="62" t="s">
        <v>2511</v>
      </c>
      <c r="Q915" s="82"/>
      <c r="R915" s="82"/>
      <c r="S915" s="82"/>
      <c r="T915" s="82"/>
      <c r="U915" s="82"/>
      <c r="V915" s="138" t="s">
        <v>5056</v>
      </c>
      <c r="W915" s="57" t="s">
        <v>4966</v>
      </c>
      <c r="X915" s="126" t="s">
        <v>2511</v>
      </c>
      <c r="Y915" s="126" t="s">
        <v>2511</v>
      </c>
      <c r="Z915" s="57"/>
      <c r="AA915" s="57" t="s">
        <v>4533</v>
      </c>
      <c r="AB915" s="138"/>
      <c r="AC915" s="138" t="s">
        <v>2631</v>
      </c>
      <c r="AD915" s="96"/>
      <c r="AE915" s="80"/>
      <c r="AF915" s="80"/>
      <c r="AG915" s="80"/>
      <c r="AH915" s="83"/>
      <c r="AI915" s="83"/>
      <c r="AJ915" s="84"/>
      <c r="AK915" s="84"/>
      <c r="AL915" s="84"/>
      <c r="AM915" s="84"/>
      <c r="AN915" s="84"/>
      <c r="AO915" s="84"/>
      <c r="AP915" s="84"/>
      <c r="AQ915" s="95" t="s">
        <v>2033</v>
      </c>
      <c r="AR915" s="72"/>
      <c r="AS915" s="72"/>
      <c r="AT915" s="72"/>
      <c r="AU915" s="72"/>
      <c r="AV915" s="72"/>
      <c r="AW915" s="72"/>
      <c r="AX915" s="72"/>
      <c r="AY915" s="72"/>
      <c r="AZ915" s="72"/>
      <c r="BA915" s="72"/>
      <c r="BB915" s="16"/>
      <c r="BC915" s="72"/>
      <c r="BD915" s="20"/>
      <c r="BE915" s="352"/>
    </row>
    <row r="916" spans="1:57" s="81" customFormat="1" ht="12.95" hidden="1" customHeight="1">
      <c r="A916" s="348"/>
      <c r="B916" s="350"/>
      <c r="C916" s="248" t="s">
        <v>1476</v>
      </c>
      <c r="D916" s="239" t="s">
        <v>5057</v>
      </c>
      <c r="E916" s="58"/>
      <c r="F916" s="59" t="s">
        <v>5058</v>
      </c>
      <c r="G916" s="191" t="s">
        <v>2511</v>
      </c>
      <c r="H916" s="192" t="s">
        <v>2034</v>
      </c>
      <c r="I916" s="61" t="s">
        <v>2511</v>
      </c>
      <c r="J916" s="61" t="s">
        <v>2511</v>
      </c>
      <c r="K916" s="62" t="s">
        <v>2511</v>
      </c>
      <c r="L916" s="60" t="s">
        <v>2511</v>
      </c>
      <c r="M916" s="61" t="s">
        <v>2389</v>
      </c>
      <c r="N916" s="61" t="s">
        <v>2511</v>
      </c>
      <c r="O916" s="61" t="s">
        <v>2511</v>
      </c>
      <c r="P916" s="62" t="s">
        <v>2511</v>
      </c>
      <c r="Q916" s="82"/>
      <c r="R916" s="82"/>
      <c r="S916" s="82"/>
      <c r="T916" s="82"/>
      <c r="U916" s="82"/>
      <c r="V916" s="138" t="s">
        <v>5059</v>
      </c>
      <c r="W916" s="57" t="s">
        <v>4966</v>
      </c>
      <c r="X916" s="126" t="s">
        <v>2511</v>
      </c>
      <c r="Y916" s="126" t="s">
        <v>2511</v>
      </c>
      <c r="Z916" s="57"/>
      <c r="AA916" s="57" t="s">
        <v>4533</v>
      </c>
      <c r="AB916" s="138"/>
      <c r="AC916" s="138" t="s">
        <v>2631</v>
      </c>
      <c r="AD916" s="96"/>
      <c r="AE916" s="80"/>
      <c r="AF916" s="80"/>
      <c r="AG916" s="80"/>
      <c r="AH916" s="83"/>
      <c r="AI916" s="83"/>
      <c r="AJ916" s="84"/>
      <c r="AK916" s="84"/>
      <c r="AL916" s="84"/>
      <c r="AM916" s="84"/>
      <c r="AN916" s="84"/>
      <c r="AO916" s="84"/>
      <c r="AP916" s="84"/>
      <c r="AQ916" s="95" t="s">
        <v>2034</v>
      </c>
      <c r="AR916" s="72"/>
      <c r="AS916" s="72"/>
      <c r="AT916" s="72"/>
      <c r="AU916" s="72"/>
      <c r="AV916" s="72"/>
      <c r="AW916" s="72"/>
      <c r="AX916" s="72"/>
      <c r="AY916" s="72"/>
      <c r="AZ916" s="72"/>
      <c r="BA916" s="72"/>
      <c r="BB916" s="16"/>
      <c r="BC916" s="72"/>
      <c r="BD916" s="20"/>
      <c r="BE916" s="352"/>
    </row>
    <row r="917" spans="1:57" s="81" customFormat="1" ht="12.95" hidden="1" customHeight="1">
      <c r="A917" s="348"/>
      <c r="B917" s="350"/>
      <c r="C917" s="248" t="s">
        <v>1477</v>
      </c>
      <c r="D917" s="239" t="s">
        <v>5060</v>
      </c>
      <c r="E917" s="58"/>
      <c r="F917" s="59" t="s">
        <v>5061</v>
      </c>
      <c r="G917" s="191" t="s">
        <v>2511</v>
      </c>
      <c r="H917" s="192" t="s">
        <v>2035</v>
      </c>
      <c r="I917" s="61" t="s">
        <v>2511</v>
      </c>
      <c r="J917" s="61" t="s">
        <v>2511</v>
      </c>
      <c r="K917" s="62" t="s">
        <v>2511</v>
      </c>
      <c r="L917" s="60" t="s">
        <v>2511</v>
      </c>
      <c r="M917" s="61" t="s">
        <v>2389</v>
      </c>
      <c r="N917" s="61" t="s">
        <v>2511</v>
      </c>
      <c r="O917" s="61" t="s">
        <v>2511</v>
      </c>
      <c r="P917" s="62" t="s">
        <v>2511</v>
      </c>
      <c r="Q917" s="82"/>
      <c r="R917" s="82"/>
      <c r="S917" s="82"/>
      <c r="T917" s="82"/>
      <c r="U917" s="82"/>
      <c r="V917" s="138" t="s">
        <v>5062</v>
      </c>
      <c r="W917" s="57" t="s">
        <v>4966</v>
      </c>
      <c r="X917" s="126" t="s">
        <v>2511</v>
      </c>
      <c r="Y917" s="126" t="s">
        <v>2511</v>
      </c>
      <c r="Z917" s="57"/>
      <c r="AA917" s="57" t="s">
        <v>4533</v>
      </c>
      <c r="AB917" s="138"/>
      <c r="AC917" s="138" t="s">
        <v>2631</v>
      </c>
      <c r="AD917" s="96"/>
      <c r="AE917" s="80"/>
      <c r="AF917" s="80"/>
      <c r="AG917" s="80"/>
      <c r="AH917" s="83"/>
      <c r="AI917" s="83"/>
      <c r="AJ917" s="84"/>
      <c r="AK917" s="84"/>
      <c r="AL917" s="84"/>
      <c r="AM917" s="84"/>
      <c r="AN917" s="84"/>
      <c r="AO917" s="84"/>
      <c r="AP917" s="84"/>
      <c r="AQ917" s="95" t="s">
        <v>2035</v>
      </c>
      <c r="AR917" s="72"/>
      <c r="AS917" s="72"/>
      <c r="AT917" s="72"/>
      <c r="AU917" s="72"/>
      <c r="AV917" s="72"/>
      <c r="AW917" s="72"/>
      <c r="AX917" s="72"/>
      <c r="AY917" s="72"/>
      <c r="AZ917" s="72"/>
      <c r="BA917" s="72"/>
      <c r="BB917" s="16"/>
      <c r="BC917" s="72"/>
      <c r="BD917" s="20"/>
      <c r="BE917" s="352"/>
    </row>
    <row r="918" spans="1:57" s="81" customFormat="1" ht="12.95" hidden="1" customHeight="1">
      <c r="A918" s="348"/>
      <c r="B918" s="350"/>
      <c r="C918" s="270" t="s">
        <v>1478</v>
      </c>
      <c r="D918" s="239" t="s">
        <v>5063</v>
      </c>
      <c r="E918" s="58"/>
      <c r="F918" s="59" t="s">
        <v>5064</v>
      </c>
      <c r="G918" s="191" t="s">
        <v>2511</v>
      </c>
      <c r="H918" s="192" t="s">
        <v>2036</v>
      </c>
      <c r="I918" s="61" t="s">
        <v>2511</v>
      </c>
      <c r="J918" s="61" t="s">
        <v>2511</v>
      </c>
      <c r="K918" s="62" t="s">
        <v>2511</v>
      </c>
      <c r="L918" s="60" t="s">
        <v>2511</v>
      </c>
      <c r="M918" s="61" t="s">
        <v>2389</v>
      </c>
      <c r="N918" s="61" t="s">
        <v>2511</v>
      </c>
      <c r="O918" s="61" t="s">
        <v>2511</v>
      </c>
      <c r="P918" s="62" t="s">
        <v>2511</v>
      </c>
      <c r="Q918" s="82"/>
      <c r="R918" s="82"/>
      <c r="S918" s="82"/>
      <c r="T918" s="82"/>
      <c r="U918" s="82"/>
      <c r="V918" s="138" t="s">
        <v>5065</v>
      </c>
      <c r="W918" s="57" t="s">
        <v>4966</v>
      </c>
      <c r="X918" s="126" t="s">
        <v>2511</v>
      </c>
      <c r="Y918" s="126" t="s">
        <v>2511</v>
      </c>
      <c r="Z918" s="57"/>
      <c r="AA918" s="57" t="s">
        <v>4533</v>
      </c>
      <c r="AB918" s="138"/>
      <c r="AC918" s="138" t="s">
        <v>2631</v>
      </c>
      <c r="AD918" s="96"/>
      <c r="AE918" s="80"/>
      <c r="AF918" s="80"/>
      <c r="AG918" s="80"/>
      <c r="AH918" s="83"/>
      <c r="AI918" s="83"/>
      <c r="AJ918" s="84"/>
      <c r="AK918" s="84"/>
      <c r="AL918" s="84"/>
      <c r="AM918" s="84"/>
      <c r="AN918" s="84"/>
      <c r="AO918" s="84"/>
      <c r="AP918" s="84"/>
      <c r="AQ918" s="95" t="s">
        <v>2036</v>
      </c>
      <c r="AR918" s="72"/>
      <c r="AS918" s="72"/>
      <c r="AT918" s="72"/>
      <c r="AU918" s="72"/>
      <c r="AV918" s="72"/>
      <c r="AW918" s="72"/>
      <c r="AX918" s="72"/>
      <c r="AY918" s="72"/>
      <c r="AZ918" s="72"/>
      <c r="BA918" s="72"/>
      <c r="BB918" s="16"/>
      <c r="BC918" s="72"/>
      <c r="BD918" s="20"/>
      <c r="BE918" s="352"/>
    </row>
    <row r="919" spans="1:57" s="81" customFormat="1" ht="12.95" hidden="1" customHeight="1">
      <c r="A919" s="348"/>
      <c r="B919" s="350"/>
      <c r="C919" s="270" t="s">
        <v>1479</v>
      </c>
      <c r="D919" s="239" t="s">
        <v>5066</v>
      </c>
      <c r="E919" s="58"/>
      <c r="F919" s="59" t="s">
        <v>5067</v>
      </c>
      <c r="G919" s="191" t="s">
        <v>2511</v>
      </c>
      <c r="H919" s="192" t="s">
        <v>2037</v>
      </c>
      <c r="I919" s="61" t="s">
        <v>2511</v>
      </c>
      <c r="J919" s="61" t="s">
        <v>2511</v>
      </c>
      <c r="K919" s="62" t="s">
        <v>2511</v>
      </c>
      <c r="L919" s="60" t="s">
        <v>2511</v>
      </c>
      <c r="M919" s="61" t="s">
        <v>2389</v>
      </c>
      <c r="N919" s="61" t="s">
        <v>2511</v>
      </c>
      <c r="O919" s="61" t="s">
        <v>2511</v>
      </c>
      <c r="P919" s="62" t="s">
        <v>2511</v>
      </c>
      <c r="Q919" s="82"/>
      <c r="R919" s="82"/>
      <c r="S919" s="82"/>
      <c r="T919" s="82"/>
      <c r="U919" s="82"/>
      <c r="V919" s="138" t="s">
        <v>5068</v>
      </c>
      <c r="W919" s="57" t="s">
        <v>4966</v>
      </c>
      <c r="X919" s="126" t="s">
        <v>2511</v>
      </c>
      <c r="Y919" s="126" t="s">
        <v>2511</v>
      </c>
      <c r="Z919" s="57"/>
      <c r="AA919" s="57" t="s">
        <v>4533</v>
      </c>
      <c r="AB919" s="138"/>
      <c r="AC919" s="138" t="s">
        <v>2631</v>
      </c>
      <c r="AD919" s="96"/>
      <c r="AE919" s="80"/>
      <c r="AF919" s="80"/>
      <c r="AG919" s="80"/>
      <c r="AH919" s="83"/>
      <c r="AI919" s="83"/>
      <c r="AJ919" s="84"/>
      <c r="AK919" s="84"/>
      <c r="AL919" s="84"/>
      <c r="AM919" s="84"/>
      <c r="AN919" s="84"/>
      <c r="AO919" s="84"/>
      <c r="AP919" s="84"/>
      <c r="AQ919" s="95" t="s">
        <v>2037</v>
      </c>
      <c r="AR919" s="72"/>
      <c r="AS919" s="72"/>
      <c r="AT919" s="72"/>
      <c r="AU919" s="72"/>
      <c r="AV919" s="72"/>
      <c r="AW919" s="72"/>
      <c r="AX919" s="72"/>
      <c r="AY919" s="72"/>
      <c r="AZ919" s="72"/>
      <c r="BA919" s="72"/>
      <c r="BB919" s="16"/>
      <c r="BC919" s="72"/>
      <c r="BD919" s="20"/>
      <c r="BE919" s="352"/>
    </row>
    <row r="920" spans="1:57" s="81" customFormat="1" ht="12.95" hidden="1" customHeight="1">
      <c r="A920" s="348"/>
      <c r="B920" s="350"/>
      <c r="C920" s="248" t="s">
        <v>1480</v>
      </c>
      <c r="D920" s="239" t="s">
        <v>5069</v>
      </c>
      <c r="E920" s="58"/>
      <c r="F920" s="59" t="s">
        <v>5070</v>
      </c>
      <c r="G920" s="191" t="s">
        <v>2511</v>
      </c>
      <c r="H920" s="192" t="s">
        <v>2038</v>
      </c>
      <c r="I920" s="61" t="s">
        <v>2511</v>
      </c>
      <c r="J920" s="61" t="s">
        <v>2511</v>
      </c>
      <c r="K920" s="62" t="s">
        <v>2511</v>
      </c>
      <c r="L920" s="60" t="s">
        <v>2511</v>
      </c>
      <c r="M920" s="61" t="s">
        <v>2389</v>
      </c>
      <c r="N920" s="61" t="s">
        <v>2511</v>
      </c>
      <c r="O920" s="61" t="s">
        <v>2511</v>
      </c>
      <c r="P920" s="62" t="s">
        <v>2511</v>
      </c>
      <c r="Q920" s="82"/>
      <c r="R920" s="82"/>
      <c r="S920" s="82"/>
      <c r="T920" s="82"/>
      <c r="U920" s="82"/>
      <c r="V920" s="138" t="s">
        <v>5071</v>
      </c>
      <c r="W920" s="57" t="s">
        <v>4966</v>
      </c>
      <c r="X920" s="126" t="s">
        <v>2511</v>
      </c>
      <c r="Y920" s="126" t="s">
        <v>2511</v>
      </c>
      <c r="Z920" s="57"/>
      <c r="AA920" s="57" t="s">
        <v>4533</v>
      </c>
      <c r="AB920" s="138"/>
      <c r="AC920" s="138">
        <v>0</v>
      </c>
      <c r="AD920" s="96"/>
      <c r="AE920" s="80"/>
      <c r="AF920" s="80"/>
      <c r="AG920" s="80"/>
      <c r="AH920" s="83"/>
      <c r="AI920" s="83"/>
      <c r="AJ920" s="84"/>
      <c r="AK920" s="84"/>
      <c r="AL920" s="84"/>
      <c r="AM920" s="84"/>
      <c r="AN920" s="84"/>
      <c r="AO920" s="84"/>
      <c r="AP920" s="84"/>
      <c r="AQ920" s="95" t="s">
        <v>2038</v>
      </c>
      <c r="AR920" s="72"/>
      <c r="AS920" s="72"/>
      <c r="AT920" s="72"/>
      <c r="AU920" s="72"/>
      <c r="AV920" s="72"/>
      <c r="AW920" s="72"/>
      <c r="AX920" s="72"/>
      <c r="AY920" s="72"/>
      <c r="AZ920" s="72"/>
      <c r="BA920" s="72"/>
      <c r="BB920" s="16"/>
      <c r="BC920" s="72"/>
      <c r="BD920" s="20"/>
      <c r="BE920" s="352"/>
    </row>
    <row r="921" spans="1:57" s="81" customFormat="1" ht="12.95" hidden="1" customHeight="1">
      <c r="A921" s="348"/>
      <c r="B921" s="350"/>
      <c r="C921" s="248" t="s">
        <v>1481</v>
      </c>
      <c r="D921" s="239" t="s">
        <v>5072</v>
      </c>
      <c r="E921" s="58"/>
      <c r="F921" s="59" t="s">
        <v>5073</v>
      </c>
      <c r="G921" s="191" t="s">
        <v>2511</v>
      </c>
      <c r="H921" s="192" t="s">
        <v>2039</v>
      </c>
      <c r="I921" s="61" t="s">
        <v>2511</v>
      </c>
      <c r="J921" s="61" t="s">
        <v>2511</v>
      </c>
      <c r="K921" s="62" t="s">
        <v>2511</v>
      </c>
      <c r="L921" s="60" t="s">
        <v>2511</v>
      </c>
      <c r="M921" s="61" t="s">
        <v>2389</v>
      </c>
      <c r="N921" s="61" t="s">
        <v>2511</v>
      </c>
      <c r="O921" s="61" t="s">
        <v>2511</v>
      </c>
      <c r="P921" s="62" t="s">
        <v>2511</v>
      </c>
      <c r="Q921" s="82"/>
      <c r="R921" s="82"/>
      <c r="S921" s="82"/>
      <c r="T921" s="82"/>
      <c r="U921" s="82"/>
      <c r="V921" s="138" t="s">
        <v>5074</v>
      </c>
      <c r="W921" s="57" t="s">
        <v>4966</v>
      </c>
      <c r="X921" s="126" t="s">
        <v>2511</v>
      </c>
      <c r="Y921" s="126" t="s">
        <v>2511</v>
      </c>
      <c r="Z921" s="57"/>
      <c r="AA921" s="57" t="s">
        <v>4533</v>
      </c>
      <c r="AB921" s="138"/>
      <c r="AC921" s="138" t="s">
        <v>2631</v>
      </c>
      <c r="AD921" s="96"/>
      <c r="AE921" s="80"/>
      <c r="AF921" s="80"/>
      <c r="AG921" s="80"/>
      <c r="AH921" s="83"/>
      <c r="AI921" s="83"/>
      <c r="AJ921" s="84"/>
      <c r="AK921" s="84"/>
      <c r="AL921" s="84"/>
      <c r="AM921" s="84"/>
      <c r="AN921" s="84"/>
      <c r="AO921" s="84"/>
      <c r="AP921" s="84"/>
      <c r="AQ921" s="95" t="s">
        <v>2039</v>
      </c>
      <c r="AR921" s="72"/>
      <c r="AS921" s="72"/>
      <c r="AT921" s="72"/>
      <c r="AU921" s="72"/>
      <c r="AV921" s="72"/>
      <c r="AW921" s="72"/>
      <c r="AX921" s="72"/>
      <c r="AY921" s="72"/>
      <c r="AZ921" s="72"/>
      <c r="BA921" s="72"/>
      <c r="BB921" s="16"/>
      <c r="BC921" s="72"/>
      <c r="BD921" s="20"/>
      <c r="BE921" s="352"/>
    </row>
    <row r="922" spans="1:57" s="81" customFormat="1" ht="12.95" hidden="1" customHeight="1">
      <c r="A922" s="348"/>
      <c r="B922" s="350"/>
      <c r="C922" s="248" t="s">
        <v>1482</v>
      </c>
      <c r="D922" s="239" t="s">
        <v>5075</v>
      </c>
      <c r="E922" s="58"/>
      <c r="F922" s="59" t="s">
        <v>5076</v>
      </c>
      <c r="G922" s="191" t="s">
        <v>2511</v>
      </c>
      <c r="H922" s="192" t="s">
        <v>2040</v>
      </c>
      <c r="I922" s="61" t="s">
        <v>2511</v>
      </c>
      <c r="J922" s="61" t="s">
        <v>2511</v>
      </c>
      <c r="K922" s="62" t="s">
        <v>2511</v>
      </c>
      <c r="L922" s="60" t="s">
        <v>2511</v>
      </c>
      <c r="M922" s="61" t="s">
        <v>2389</v>
      </c>
      <c r="N922" s="61" t="s">
        <v>2511</v>
      </c>
      <c r="O922" s="61" t="s">
        <v>2511</v>
      </c>
      <c r="P922" s="62" t="s">
        <v>2511</v>
      </c>
      <c r="Q922" s="82"/>
      <c r="R922" s="82"/>
      <c r="S922" s="82"/>
      <c r="T922" s="82"/>
      <c r="U922" s="82"/>
      <c r="V922" s="138" t="s">
        <v>5077</v>
      </c>
      <c r="W922" s="57" t="s">
        <v>4966</v>
      </c>
      <c r="X922" s="126" t="s">
        <v>2511</v>
      </c>
      <c r="Y922" s="126" t="s">
        <v>2511</v>
      </c>
      <c r="Z922" s="57"/>
      <c r="AA922" s="57" t="s">
        <v>4533</v>
      </c>
      <c r="AB922" s="138"/>
      <c r="AC922" s="138" t="s">
        <v>2631</v>
      </c>
      <c r="AD922" s="96"/>
      <c r="AE922" s="80"/>
      <c r="AF922" s="80"/>
      <c r="AG922" s="80"/>
      <c r="AH922" s="83"/>
      <c r="AI922" s="83"/>
      <c r="AJ922" s="84"/>
      <c r="AK922" s="84"/>
      <c r="AL922" s="84"/>
      <c r="AM922" s="84"/>
      <c r="AN922" s="84"/>
      <c r="AO922" s="84"/>
      <c r="AP922" s="84"/>
      <c r="AQ922" s="95" t="s">
        <v>2040</v>
      </c>
      <c r="AR922" s="72"/>
      <c r="AS922" s="72"/>
      <c r="AT922" s="72"/>
      <c r="AU922" s="72"/>
      <c r="AV922" s="72"/>
      <c r="AW922" s="72"/>
      <c r="AX922" s="72"/>
      <c r="AY922" s="72"/>
      <c r="AZ922" s="72"/>
      <c r="BA922" s="72"/>
      <c r="BB922" s="16"/>
      <c r="BC922" s="72"/>
      <c r="BD922" s="20"/>
      <c r="BE922" s="352"/>
    </row>
    <row r="923" spans="1:57" s="81" customFormat="1" ht="12.95" hidden="1" customHeight="1">
      <c r="A923" s="348"/>
      <c r="B923" s="350"/>
      <c r="C923" s="248" t="s">
        <v>1483</v>
      </c>
      <c r="D923" s="239" t="s">
        <v>5078</v>
      </c>
      <c r="E923" s="58"/>
      <c r="F923" s="59" t="s">
        <v>5079</v>
      </c>
      <c r="G923" s="191" t="s">
        <v>2511</v>
      </c>
      <c r="H923" s="192" t="s">
        <v>2041</v>
      </c>
      <c r="I923" s="61" t="s">
        <v>2511</v>
      </c>
      <c r="J923" s="61" t="s">
        <v>2511</v>
      </c>
      <c r="K923" s="62" t="s">
        <v>2511</v>
      </c>
      <c r="L923" s="60" t="s">
        <v>2511</v>
      </c>
      <c r="M923" s="61" t="s">
        <v>2389</v>
      </c>
      <c r="N923" s="61" t="s">
        <v>2511</v>
      </c>
      <c r="O923" s="61" t="s">
        <v>2511</v>
      </c>
      <c r="P923" s="62" t="s">
        <v>2511</v>
      </c>
      <c r="Q923" s="82"/>
      <c r="R923" s="82"/>
      <c r="S923" s="82"/>
      <c r="T923" s="82"/>
      <c r="U923" s="82"/>
      <c r="V923" s="138" t="s">
        <v>5080</v>
      </c>
      <c r="W923" s="57" t="s">
        <v>4966</v>
      </c>
      <c r="X923" s="126" t="s">
        <v>2511</v>
      </c>
      <c r="Y923" s="126" t="s">
        <v>2511</v>
      </c>
      <c r="Z923" s="57"/>
      <c r="AA923" s="57" t="s">
        <v>4533</v>
      </c>
      <c r="AB923" s="138"/>
      <c r="AC923" s="138" t="s">
        <v>2631</v>
      </c>
      <c r="AD923" s="96"/>
      <c r="AE923" s="80"/>
      <c r="AF923" s="80"/>
      <c r="AG923" s="80"/>
      <c r="AH923" s="83"/>
      <c r="AI923" s="83"/>
      <c r="AJ923" s="84"/>
      <c r="AK923" s="84"/>
      <c r="AL923" s="84"/>
      <c r="AM923" s="84"/>
      <c r="AN923" s="84"/>
      <c r="AO923" s="84"/>
      <c r="AP923" s="84"/>
      <c r="AQ923" s="95" t="s">
        <v>2041</v>
      </c>
      <c r="AR923" s="72"/>
      <c r="AS923" s="72"/>
      <c r="AT923" s="72"/>
      <c r="AU923" s="72"/>
      <c r="AV923" s="72"/>
      <c r="AW923" s="72"/>
      <c r="AX923" s="72"/>
      <c r="AY923" s="72"/>
      <c r="AZ923" s="72"/>
      <c r="BA923" s="72"/>
      <c r="BB923" s="16"/>
      <c r="BC923" s="72"/>
      <c r="BD923" s="20"/>
      <c r="BE923" s="352"/>
    </row>
    <row r="924" spans="1:57" s="81" customFormat="1" ht="12.95" hidden="1" customHeight="1">
      <c r="A924" s="348"/>
      <c r="B924" s="350"/>
      <c r="C924" s="248" t="s">
        <v>1484</v>
      </c>
      <c r="D924" s="239" t="s">
        <v>5081</v>
      </c>
      <c r="E924" s="58"/>
      <c r="F924" s="59" t="s">
        <v>5082</v>
      </c>
      <c r="G924" s="191" t="s">
        <v>2511</v>
      </c>
      <c r="H924" s="192" t="s">
        <v>2042</v>
      </c>
      <c r="I924" s="61" t="s">
        <v>2511</v>
      </c>
      <c r="J924" s="61" t="s">
        <v>2511</v>
      </c>
      <c r="K924" s="62" t="s">
        <v>2511</v>
      </c>
      <c r="L924" s="60" t="s">
        <v>2511</v>
      </c>
      <c r="M924" s="61" t="s">
        <v>2389</v>
      </c>
      <c r="N924" s="61" t="s">
        <v>2511</v>
      </c>
      <c r="O924" s="61" t="s">
        <v>2511</v>
      </c>
      <c r="P924" s="62" t="s">
        <v>2511</v>
      </c>
      <c r="Q924" s="82"/>
      <c r="R924" s="82"/>
      <c r="S924" s="82"/>
      <c r="T924" s="82"/>
      <c r="U924" s="82"/>
      <c r="V924" s="138" t="s">
        <v>5083</v>
      </c>
      <c r="W924" s="57" t="s">
        <v>4966</v>
      </c>
      <c r="X924" s="126" t="s">
        <v>2511</v>
      </c>
      <c r="Y924" s="126" t="s">
        <v>2511</v>
      </c>
      <c r="Z924" s="57"/>
      <c r="AA924" s="57" t="s">
        <v>4533</v>
      </c>
      <c r="AB924" s="138"/>
      <c r="AC924" s="138" t="s">
        <v>2631</v>
      </c>
      <c r="AD924" s="96"/>
      <c r="AE924" s="80"/>
      <c r="AF924" s="80"/>
      <c r="AG924" s="80"/>
      <c r="AH924" s="83"/>
      <c r="AI924" s="83"/>
      <c r="AJ924" s="84"/>
      <c r="AK924" s="84"/>
      <c r="AL924" s="84"/>
      <c r="AM924" s="84"/>
      <c r="AN924" s="84"/>
      <c r="AO924" s="84"/>
      <c r="AP924" s="84"/>
      <c r="AQ924" s="95" t="s">
        <v>2042</v>
      </c>
      <c r="AR924" s="72"/>
      <c r="AS924" s="72"/>
      <c r="AT924" s="72"/>
      <c r="AU924" s="72"/>
      <c r="AV924" s="72"/>
      <c r="AW924" s="72"/>
      <c r="AX924" s="72"/>
      <c r="AY924" s="72"/>
      <c r="AZ924" s="72"/>
      <c r="BA924" s="72"/>
      <c r="BB924" s="16"/>
      <c r="BC924" s="72"/>
      <c r="BD924" s="20"/>
      <c r="BE924" s="352"/>
    </row>
    <row r="925" spans="1:57" s="81" customFormat="1" ht="12.95" hidden="1" customHeight="1">
      <c r="A925" s="348"/>
      <c r="B925" s="350"/>
      <c r="C925" s="248" t="s">
        <v>1485</v>
      </c>
      <c r="D925" s="239" t="s">
        <v>5084</v>
      </c>
      <c r="E925" s="58"/>
      <c r="F925" s="59" t="s">
        <v>5085</v>
      </c>
      <c r="G925" s="191" t="s">
        <v>2511</v>
      </c>
      <c r="H925" s="192" t="s">
        <v>2043</v>
      </c>
      <c r="I925" s="61" t="s">
        <v>2511</v>
      </c>
      <c r="J925" s="61" t="s">
        <v>2511</v>
      </c>
      <c r="K925" s="62" t="s">
        <v>2511</v>
      </c>
      <c r="L925" s="60" t="s">
        <v>2511</v>
      </c>
      <c r="M925" s="61" t="s">
        <v>2389</v>
      </c>
      <c r="N925" s="61" t="s">
        <v>2511</v>
      </c>
      <c r="O925" s="61" t="s">
        <v>2511</v>
      </c>
      <c r="P925" s="62" t="s">
        <v>2511</v>
      </c>
      <c r="Q925" s="82"/>
      <c r="R925" s="82"/>
      <c r="S925" s="82"/>
      <c r="T925" s="82"/>
      <c r="U925" s="82"/>
      <c r="V925" s="138" t="s">
        <v>5086</v>
      </c>
      <c r="W925" s="57" t="s">
        <v>4966</v>
      </c>
      <c r="X925" s="126" t="s">
        <v>2511</v>
      </c>
      <c r="Y925" s="126" t="s">
        <v>2511</v>
      </c>
      <c r="Z925" s="57"/>
      <c r="AA925" s="57" t="s">
        <v>4533</v>
      </c>
      <c r="AB925" s="138"/>
      <c r="AC925" s="138" t="s">
        <v>2631</v>
      </c>
      <c r="AD925" s="96"/>
      <c r="AE925" s="80"/>
      <c r="AF925" s="80"/>
      <c r="AG925" s="80"/>
      <c r="AH925" s="83"/>
      <c r="AI925" s="83"/>
      <c r="AJ925" s="84"/>
      <c r="AK925" s="84"/>
      <c r="AL925" s="84"/>
      <c r="AM925" s="84"/>
      <c r="AN925" s="84"/>
      <c r="AO925" s="84"/>
      <c r="AP925" s="84"/>
      <c r="AQ925" s="95" t="s">
        <v>2043</v>
      </c>
      <c r="AR925" s="72"/>
      <c r="AS925" s="72"/>
      <c r="AT925" s="72"/>
      <c r="AU925" s="72"/>
      <c r="AV925" s="72"/>
      <c r="AW925" s="72"/>
      <c r="AX925" s="72"/>
      <c r="AY925" s="72"/>
      <c r="AZ925" s="72"/>
      <c r="BA925" s="72"/>
      <c r="BB925" s="16"/>
      <c r="BC925" s="72"/>
      <c r="BD925" s="20"/>
      <c r="BE925" s="352"/>
    </row>
    <row r="926" spans="1:57" s="81" customFormat="1" ht="12.95" hidden="1" customHeight="1">
      <c r="A926" s="348"/>
      <c r="B926" s="350"/>
      <c r="C926" s="248" t="s">
        <v>1486</v>
      </c>
      <c r="D926" s="239" t="s">
        <v>5087</v>
      </c>
      <c r="E926" s="58"/>
      <c r="F926" s="59" t="s">
        <v>5088</v>
      </c>
      <c r="G926" s="191" t="s">
        <v>2511</v>
      </c>
      <c r="H926" s="192" t="s">
        <v>2044</v>
      </c>
      <c r="I926" s="61" t="s">
        <v>2511</v>
      </c>
      <c r="J926" s="61" t="s">
        <v>2511</v>
      </c>
      <c r="K926" s="62" t="s">
        <v>2511</v>
      </c>
      <c r="L926" s="60" t="s">
        <v>2511</v>
      </c>
      <c r="M926" s="61" t="s">
        <v>2389</v>
      </c>
      <c r="N926" s="61" t="s">
        <v>2511</v>
      </c>
      <c r="O926" s="61" t="s">
        <v>2511</v>
      </c>
      <c r="P926" s="62" t="s">
        <v>2511</v>
      </c>
      <c r="Q926" s="82"/>
      <c r="R926" s="82"/>
      <c r="S926" s="82"/>
      <c r="T926" s="82"/>
      <c r="U926" s="82"/>
      <c r="V926" s="138" t="s">
        <v>5089</v>
      </c>
      <c r="W926" s="57" t="s">
        <v>4966</v>
      </c>
      <c r="X926" s="126" t="s">
        <v>2511</v>
      </c>
      <c r="Y926" s="126" t="s">
        <v>2511</v>
      </c>
      <c r="Z926" s="57"/>
      <c r="AA926" s="57" t="s">
        <v>4533</v>
      </c>
      <c r="AB926" s="138"/>
      <c r="AC926" s="138" t="s">
        <v>2631</v>
      </c>
      <c r="AD926" s="96"/>
      <c r="AE926" s="80"/>
      <c r="AF926" s="80"/>
      <c r="AG926" s="80"/>
      <c r="AH926" s="83"/>
      <c r="AI926" s="83"/>
      <c r="AJ926" s="84"/>
      <c r="AK926" s="84"/>
      <c r="AL926" s="84"/>
      <c r="AM926" s="84"/>
      <c r="AN926" s="84"/>
      <c r="AO926" s="84"/>
      <c r="AP926" s="84"/>
      <c r="AQ926" s="95" t="s">
        <v>2044</v>
      </c>
      <c r="AR926" s="72"/>
      <c r="AS926" s="72"/>
      <c r="AT926" s="72"/>
      <c r="AU926" s="72"/>
      <c r="AV926" s="72"/>
      <c r="AW926" s="72"/>
      <c r="AX926" s="72"/>
      <c r="AY926" s="72"/>
      <c r="AZ926" s="72"/>
      <c r="BA926" s="72"/>
      <c r="BB926" s="16"/>
      <c r="BC926" s="72"/>
      <c r="BD926" s="20"/>
      <c r="BE926" s="352"/>
    </row>
    <row r="927" spans="1:57" s="81" customFormat="1" ht="12.95" hidden="1" customHeight="1">
      <c r="A927" s="348"/>
      <c r="B927" s="350"/>
      <c r="C927" s="248" t="s">
        <v>1487</v>
      </c>
      <c r="D927" s="239" t="s">
        <v>5090</v>
      </c>
      <c r="E927" s="58"/>
      <c r="F927" s="59" t="s">
        <v>5091</v>
      </c>
      <c r="G927" s="191" t="s">
        <v>2511</v>
      </c>
      <c r="H927" s="192" t="s">
        <v>2045</v>
      </c>
      <c r="I927" s="61" t="s">
        <v>2511</v>
      </c>
      <c r="J927" s="61" t="s">
        <v>2511</v>
      </c>
      <c r="K927" s="62" t="s">
        <v>2511</v>
      </c>
      <c r="L927" s="60" t="s">
        <v>2511</v>
      </c>
      <c r="M927" s="61" t="s">
        <v>2389</v>
      </c>
      <c r="N927" s="61" t="s">
        <v>2511</v>
      </c>
      <c r="O927" s="61" t="s">
        <v>2511</v>
      </c>
      <c r="P927" s="62" t="s">
        <v>2511</v>
      </c>
      <c r="Q927" s="82"/>
      <c r="R927" s="82"/>
      <c r="S927" s="82"/>
      <c r="T927" s="82"/>
      <c r="U927" s="82"/>
      <c r="V927" s="138" t="s">
        <v>5092</v>
      </c>
      <c r="W927" s="57" t="s">
        <v>4966</v>
      </c>
      <c r="X927" s="126" t="s">
        <v>2511</v>
      </c>
      <c r="Y927" s="126" t="s">
        <v>2511</v>
      </c>
      <c r="Z927" s="57"/>
      <c r="AA927" s="57" t="s">
        <v>4533</v>
      </c>
      <c r="AB927" s="138"/>
      <c r="AC927" s="138" t="s">
        <v>2631</v>
      </c>
      <c r="AD927" s="96"/>
      <c r="AE927" s="80"/>
      <c r="AF927" s="80"/>
      <c r="AG927" s="80"/>
      <c r="AH927" s="83"/>
      <c r="AI927" s="83"/>
      <c r="AJ927" s="84"/>
      <c r="AK927" s="84"/>
      <c r="AL927" s="84"/>
      <c r="AM927" s="84"/>
      <c r="AN927" s="84"/>
      <c r="AO927" s="84"/>
      <c r="AP927" s="84"/>
      <c r="AQ927" s="95" t="s">
        <v>2045</v>
      </c>
      <c r="AR927" s="72"/>
      <c r="AS927" s="72"/>
      <c r="AT927" s="72"/>
      <c r="AU927" s="72"/>
      <c r="AV927" s="72"/>
      <c r="AW927" s="72"/>
      <c r="AX927" s="72"/>
      <c r="AY927" s="72"/>
      <c r="AZ927" s="72"/>
      <c r="BA927" s="72"/>
      <c r="BB927" s="16"/>
      <c r="BC927" s="72"/>
      <c r="BD927" s="20"/>
      <c r="BE927" s="352"/>
    </row>
    <row r="928" spans="1:57" s="81" customFormat="1" ht="12.95" hidden="1" customHeight="1">
      <c r="A928" s="348"/>
      <c r="B928" s="350"/>
      <c r="C928" s="248" t="s">
        <v>1488</v>
      </c>
      <c r="D928" s="239" t="s">
        <v>5093</v>
      </c>
      <c r="E928" s="58"/>
      <c r="F928" s="59" t="s">
        <v>5094</v>
      </c>
      <c r="G928" s="191" t="s">
        <v>2511</v>
      </c>
      <c r="H928" s="192" t="s">
        <v>2046</v>
      </c>
      <c r="I928" s="61" t="s">
        <v>2511</v>
      </c>
      <c r="J928" s="61" t="s">
        <v>2511</v>
      </c>
      <c r="K928" s="62" t="s">
        <v>2511</v>
      </c>
      <c r="L928" s="60" t="s">
        <v>2511</v>
      </c>
      <c r="M928" s="61" t="s">
        <v>2389</v>
      </c>
      <c r="N928" s="61" t="s">
        <v>2511</v>
      </c>
      <c r="O928" s="61" t="s">
        <v>2511</v>
      </c>
      <c r="P928" s="62" t="s">
        <v>2511</v>
      </c>
      <c r="Q928" s="82"/>
      <c r="R928" s="82"/>
      <c r="S928" s="82"/>
      <c r="T928" s="82"/>
      <c r="U928" s="82"/>
      <c r="V928" s="138" t="s">
        <v>5095</v>
      </c>
      <c r="W928" s="57" t="s">
        <v>4966</v>
      </c>
      <c r="X928" s="126" t="s">
        <v>2511</v>
      </c>
      <c r="Y928" s="126" t="s">
        <v>2511</v>
      </c>
      <c r="Z928" s="57"/>
      <c r="AA928" s="57" t="s">
        <v>4533</v>
      </c>
      <c r="AB928" s="138"/>
      <c r="AC928" s="138" t="s">
        <v>2631</v>
      </c>
      <c r="AD928" s="96"/>
      <c r="AE928" s="80"/>
      <c r="AF928" s="80"/>
      <c r="AG928" s="80"/>
      <c r="AH928" s="83"/>
      <c r="AI928" s="83"/>
      <c r="AJ928" s="84"/>
      <c r="AK928" s="84"/>
      <c r="AL928" s="84"/>
      <c r="AM928" s="84"/>
      <c r="AN928" s="84"/>
      <c r="AO928" s="84"/>
      <c r="AP928" s="84"/>
      <c r="AQ928" s="95" t="s">
        <v>2046</v>
      </c>
      <c r="AR928" s="72"/>
      <c r="AS928" s="72"/>
      <c r="AT928" s="72"/>
      <c r="AU928" s="72"/>
      <c r="AV928" s="72"/>
      <c r="AW928" s="72"/>
      <c r="AX928" s="72"/>
      <c r="AY928" s="72"/>
      <c r="AZ928" s="72"/>
      <c r="BA928" s="72"/>
      <c r="BB928" s="16"/>
      <c r="BC928" s="72"/>
      <c r="BD928" s="20"/>
      <c r="BE928" s="352"/>
    </row>
    <row r="929" spans="1:57" s="81" customFormat="1" ht="12.95" hidden="1" customHeight="1">
      <c r="A929" s="348"/>
      <c r="B929" s="350"/>
      <c r="C929" s="248" t="s">
        <v>1489</v>
      </c>
      <c r="D929" s="239" t="s">
        <v>5096</v>
      </c>
      <c r="E929" s="58"/>
      <c r="F929" s="59" t="s">
        <v>5097</v>
      </c>
      <c r="G929" s="191" t="s">
        <v>2511</v>
      </c>
      <c r="H929" s="192" t="s">
        <v>2047</v>
      </c>
      <c r="I929" s="61" t="s">
        <v>2511</v>
      </c>
      <c r="J929" s="61" t="s">
        <v>2511</v>
      </c>
      <c r="K929" s="62" t="s">
        <v>2511</v>
      </c>
      <c r="L929" s="60" t="s">
        <v>2511</v>
      </c>
      <c r="M929" s="61" t="s">
        <v>2389</v>
      </c>
      <c r="N929" s="61" t="s">
        <v>2511</v>
      </c>
      <c r="O929" s="61" t="s">
        <v>2511</v>
      </c>
      <c r="P929" s="62" t="s">
        <v>2511</v>
      </c>
      <c r="Q929" s="82"/>
      <c r="R929" s="82"/>
      <c r="S929" s="82"/>
      <c r="T929" s="82"/>
      <c r="U929" s="82"/>
      <c r="V929" s="138" t="s">
        <v>5098</v>
      </c>
      <c r="W929" s="57" t="s">
        <v>4966</v>
      </c>
      <c r="X929" s="126" t="s">
        <v>2511</v>
      </c>
      <c r="Y929" s="126" t="s">
        <v>2511</v>
      </c>
      <c r="Z929" s="57"/>
      <c r="AA929" s="57" t="s">
        <v>4533</v>
      </c>
      <c r="AB929" s="138"/>
      <c r="AC929" s="138" t="s">
        <v>2631</v>
      </c>
      <c r="AD929" s="96"/>
      <c r="AE929" s="80"/>
      <c r="AF929" s="80"/>
      <c r="AG929" s="80"/>
      <c r="AH929" s="83"/>
      <c r="AI929" s="83"/>
      <c r="AJ929" s="84"/>
      <c r="AK929" s="84"/>
      <c r="AL929" s="84"/>
      <c r="AM929" s="84"/>
      <c r="AN929" s="84"/>
      <c r="AO929" s="84"/>
      <c r="AP929" s="84"/>
      <c r="AQ929" s="95" t="s">
        <v>2047</v>
      </c>
      <c r="AR929" s="72"/>
      <c r="AS929" s="72"/>
      <c r="AT929" s="72"/>
      <c r="AU929" s="72"/>
      <c r="AV929" s="72"/>
      <c r="AW929" s="72"/>
      <c r="AX929" s="72"/>
      <c r="AY929" s="72"/>
      <c r="AZ929" s="72"/>
      <c r="BA929" s="72"/>
      <c r="BB929" s="16"/>
      <c r="BC929" s="72"/>
      <c r="BD929" s="20"/>
      <c r="BE929" s="352"/>
    </row>
    <row r="930" spans="1:57" s="81" customFormat="1" ht="12.95" hidden="1" customHeight="1">
      <c r="A930" s="348"/>
      <c r="B930" s="350"/>
      <c r="C930" s="270" t="s">
        <v>1490</v>
      </c>
      <c r="D930" s="239" t="s">
        <v>5099</v>
      </c>
      <c r="E930" s="58"/>
      <c r="F930" s="59" t="s">
        <v>5100</v>
      </c>
      <c r="G930" s="191" t="s">
        <v>2511</v>
      </c>
      <c r="H930" s="192" t="s">
        <v>2048</v>
      </c>
      <c r="I930" s="61" t="s">
        <v>2511</v>
      </c>
      <c r="J930" s="61" t="s">
        <v>2511</v>
      </c>
      <c r="K930" s="62" t="s">
        <v>2511</v>
      </c>
      <c r="L930" s="60" t="s">
        <v>2511</v>
      </c>
      <c r="M930" s="61" t="s">
        <v>2389</v>
      </c>
      <c r="N930" s="61" t="s">
        <v>2511</v>
      </c>
      <c r="O930" s="61" t="s">
        <v>2511</v>
      </c>
      <c r="P930" s="62" t="s">
        <v>2511</v>
      </c>
      <c r="Q930" s="82"/>
      <c r="R930" s="82"/>
      <c r="S930" s="82"/>
      <c r="T930" s="82"/>
      <c r="U930" s="82"/>
      <c r="V930" s="138" t="s">
        <v>5101</v>
      </c>
      <c r="W930" s="57" t="s">
        <v>4966</v>
      </c>
      <c r="X930" s="126" t="s">
        <v>2511</v>
      </c>
      <c r="Y930" s="126" t="s">
        <v>2511</v>
      </c>
      <c r="Z930" s="57"/>
      <c r="AA930" s="57" t="s">
        <v>4533</v>
      </c>
      <c r="AB930" s="138"/>
      <c r="AC930" s="138" t="s">
        <v>2631</v>
      </c>
      <c r="AD930" s="96"/>
      <c r="AE930" s="80"/>
      <c r="AF930" s="80"/>
      <c r="AG930" s="80"/>
      <c r="AH930" s="83"/>
      <c r="AI930" s="83"/>
      <c r="AJ930" s="84"/>
      <c r="AK930" s="84"/>
      <c r="AL930" s="84"/>
      <c r="AM930" s="84"/>
      <c r="AN930" s="84"/>
      <c r="AO930" s="84"/>
      <c r="AP930" s="84"/>
      <c r="AQ930" s="95" t="s">
        <v>2048</v>
      </c>
      <c r="AR930" s="72"/>
      <c r="AS930" s="72"/>
      <c r="AT930" s="72"/>
      <c r="AU930" s="72"/>
      <c r="AV930" s="72"/>
      <c r="AW930" s="72"/>
      <c r="AX930" s="72"/>
      <c r="AY930" s="72"/>
      <c r="AZ930" s="72"/>
      <c r="BA930" s="72"/>
      <c r="BB930" s="16"/>
      <c r="BC930" s="72"/>
      <c r="BD930" s="20"/>
      <c r="BE930" s="352"/>
    </row>
    <row r="931" spans="1:57" s="81" customFormat="1" ht="12.95" hidden="1" customHeight="1">
      <c r="A931" s="348"/>
      <c r="B931" s="350"/>
      <c r="C931" s="270" t="s">
        <v>1491</v>
      </c>
      <c r="D931" s="239" t="s">
        <v>5102</v>
      </c>
      <c r="E931" s="58"/>
      <c r="F931" s="59" t="s">
        <v>5103</v>
      </c>
      <c r="G931" s="191" t="s">
        <v>2511</v>
      </c>
      <c r="H931" s="192" t="s">
        <v>2049</v>
      </c>
      <c r="I931" s="61" t="s">
        <v>2511</v>
      </c>
      <c r="J931" s="61" t="s">
        <v>2511</v>
      </c>
      <c r="K931" s="62" t="s">
        <v>2511</v>
      </c>
      <c r="L931" s="60" t="s">
        <v>2511</v>
      </c>
      <c r="M931" s="61" t="s">
        <v>2389</v>
      </c>
      <c r="N931" s="61" t="s">
        <v>2511</v>
      </c>
      <c r="O931" s="61" t="s">
        <v>2511</v>
      </c>
      <c r="P931" s="62" t="s">
        <v>2511</v>
      </c>
      <c r="Q931" s="82"/>
      <c r="R931" s="82"/>
      <c r="S931" s="82"/>
      <c r="T931" s="82"/>
      <c r="U931" s="82"/>
      <c r="V931" s="138" t="s">
        <v>5104</v>
      </c>
      <c r="W931" s="57" t="s">
        <v>4966</v>
      </c>
      <c r="X931" s="126" t="s">
        <v>2511</v>
      </c>
      <c r="Y931" s="126" t="s">
        <v>2511</v>
      </c>
      <c r="Z931" s="57"/>
      <c r="AA931" s="57" t="s">
        <v>4533</v>
      </c>
      <c r="AB931" s="138"/>
      <c r="AC931" s="138" t="s">
        <v>2631</v>
      </c>
      <c r="AD931" s="96"/>
      <c r="AE931" s="80"/>
      <c r="AF931" s="80"/>
      <c r="AG931" s="80"/>
      <c r="AH931" s="83"/>
      <c r="AI931" s="83"/>
      <c r="AJ931" s="84"/>
      <c r="AK931" s="84"/>
      <c r="AL931" s="84"/>
      <c r="AM931" s="84"/>
      <c r="AN931" s="84"/>
      <c r="AO931" s="84"/>
      <c r="AP931" s="84"/>
      <c r="AQ931" s="95" t="s">
        <v>2049</v>
      </c>
      <c r="AR931" s="72"/>
      <c r="AS931" s="72"/>
      <c r="AT931" s="72"/>
      <c r="AU931" s="72"/>
      <c r="AV931" s="72"/>
      <c r="AW931" s="72"/>
      <c r="AX931" s="72"/>
      <c r="AY931" s="72"/>
      <c r="AZ931" s="72"/>
      <c r="BA931" s="72"/>
      <c r="BB931" s="16"/>
      <c r="BC931" s="72"/>
      <c r="BD931" s="20"/>
      <c r="BE931" s="352"/>
    </row>
    <row r="932" spans="1:57" s="81" customFormat="1" ht="12.95" hidden="1" customHeight="1">
      <c r="A932" s="348"/>
      <c r="B932" s="350"/>
      <c r="C932" s="248" t="s">
        <v>1492</v>
      </c>
      <c r="D932" s="239" t="s">
        <v>5105</v>
      </c>
      <c r="E932" s="58"/>
      <c r="F932" s="59" t="s">
        <v>5106</v>
      </c>
      <c r="G932" s="191" t="s">
        <v>2511</v>
      </c>
      <c r="H932" s="192" t="s">
        <v>2050</v>
      </c>
      <c r="I932" s="61" t="s">
        <v>2511</v>
      </c>
      <c r="J932" s="61" t="s">
        <v>2511</v>
      </c>
      <c r="K932" s="62" t="s">
        <v>2511</v>
      </c>
      <c r="L932" s="60" t="s">
        <v>2511</v>
      </c>
      <c r="M932" s="61" t="s">
        <v>2389</v>
      </c>
      <c r="N932" s="61" t="s">
        <v>2511</v>
      </c>
      <c r="O932" s="61" t="s">
        <v>2511</v>
      </c>
      <c r="P932" s="62" t="s">
        <v>2511</v>
      </c>
      <c r="Q932" s="82"/>
      <c r="R932" s="82"/>
      <c r="S932" s="82"/>
      <c r="T932" s="82"/>
      <c r="U932" s="82"/>
      <c r="V932" s="138" t="s">
        <v>5107</v>
      </c>
      <c r="W932" s="57" t="s">
        <v>4966</v>
      </c>
      <c r="X932" s="126" t="s">
        <v>2511</v>
      </c>
      <c r="Y932" s="126" t="s">
        <v>2511</v>
      </c>
      <c r="Z932" s="57"/>
      <c r="AA932" s="57" t="s">
        <v>4533</v>
      </c>
      <c r="AB932" s="138"/>
      <c r="AC932" s="138">
        <v>0</v>
      </c>
      <c r="AD932" s="96"/>
      <c r="AE932" s="80"/>
      <c r="AF932" s="80"/>
      <c r="AG932" s="80"/>
      <c r="AH932" s="83"/>
      <c r="AI932" s="83"/>
      <c r="AJ932" s="84"/>
      <c r="AK932" s="84"/>
      <c r="AL932" s="84"/>
      <c r="AM932" s="84"/>
      <c r="AN932" s="84"/>
      <c r="AO932" s="84"/>
      <c r="AP932" s="84"/>
      <c r="AQ932" s="95" t="s">
        <v>2050</v>
      </c>
      <c r="AR932" s="72"/>
      <c r="AS932" s="72"/>
      <c r="AT932" s="72"/>
      <c r="AU932" s="72"/>
      <c r="AV932" s="72"/>
      <c r="AW932" s="72"/>
      <c r="AX932" s="72"/>
      <c r="AY932" s="72"/>
      <c r="AZ932" s="72"/>
      <c r="BA932" s="72"/>
      <c r="BB932" s="16"/>
      <c r="BC932" s="72"/>
      <c r="BD932" s="20"/>
      <c r="BE932" s="352"/>
    </row>
    <row r="933" spans="1:57" s="81" customFormat="1" ht="12.95" hidden="1" customHeight="1">
      <c r="A933" s="348"/>
      <c r="B933" s="350"/>
      <c r="C933" s="248" t="s">
        <v>1493</v>
      </c>
      <c r="D933" s="239" t="s">
        <v>5108</v>
      </c>
      <c r="E933" s="58"/>
      <c r="F933" s="59" t="s">
        <v>5109</v>
      </c>
      <c r="G933" s="191" t="s">
        <v>2511</v>
      </c>
      <c r="H933" s="192" t="s">
        <v>2051</v>
      </c>
      <c r="I933" s="61" t="s">
        <v>2511</v>
      </c>
      <c r="J933" s="61" t="s">
        <v>2511</v>
      </c>
      <c r="K933" s="62" t="s">
        <v>2511</v>
      </c>
      <c r="L933" s="60" t="s">
        <v>2511</v>
      </c>
      <c r="M933" s="61" t="s">
        <v>2389</v>
      </c>
      <c r="N933" s="61" t="s">
        <v>2511</v>
      </c>
      <c r="O933" s="61" t="s">
        <v>2511</v>
      </c>
      <c r="P933" s="62" t="s">
        <v>2511</v>
      </c>
      <c r="Q933" s="82"/>
      <c r="R933" s="82"/>
      <c r="S933" s="82"/>
      <c r="T933" s="82"/>
      <c r="U933" s="82"/>
      <c r="V933" s="138" t="s">
        <v>5110</v>
      </c>
      <c r="W933" s="57" t="s">
        <v>4966</v>
      </c>
      <c r="X933" s="126" t="s">
        <v>2511</v>
      </c>
      <c r="Y933" s="126" t="s">
        <v>2511</v>
      </c>
      <c r="Z933" s="57"/>
      <c r="AA933" s="57" t="s">
        <v>4533</v>
      </c>
      <c r="AB933" s="138"/>
      <c r="AC933" s="138" t="s">
        <v>2631</v>
      </c>
      <c r="AD933" s="96"/>
      <c r="AE933" s="80"/>
      <c r="AF933" s="80"/>
      <c r="AG933" s="80"/>
      <c r="AH933" s="83"/>
      <c r="AI933" s="83"/>
      <c r="AJ933" s="84"/>
      <c r="AK933" s="84"/>
      <c r="AL933" s="84"/>
      <c r="AM933" s="84"/>
      <c r="AN933" s="84"/>
      <c r="AO933" s="84"/>
      <c r="AP933" s="84"/>
      <c r="AQ933" s="95" t="s">
        <v>2051</v>
      </c>
      <c r="AR933" s="72"/>
      <c r="AS933" s="72"/>
      <c r="AT933" s="72"/>
      <c r="AU933" s="72"/>
      <c r="AV933" s="72"/>
      <c r="AW933" s="72"/>
      <c r="AX933" s="72"/>
      <c r="AY933" s="72"/>
      <c r="AZ933" s="72"/>
      <c r="BA933" s="72"/>
      <c r="BB933" s="16"/>
      <c r="BC933" s="72"/>
      <c r="BD933" s="20"/>
      <c r="BE933" s="352"/>
    </row>
    <row r="934" spans="1:57" s="81" customFormat="1" ht="12.95" hidden="1" customHeight="1">
      <c r="A934" s="348"/>
      <c r="B934" s="350"/>
      <c r="C934" s="248" t="s">
        <v>1494</v>
      </c>
      <c r="D934" s="239" t="s">
        <v>5111</v>
      </c>
      <c r="E934" s="58"/>
      <c r="F934" s="59" t="s">
        <v>5112</v>
      </c>
      <c r="G934" s="191" t="s">
        <v>2511</v>
      </c>
      <c r="H934" s="192" t="s">
        <v>2052</v>
      </c>
      <c r="I934" s="61" t="s">
        <v>2511</v>
      </c>
      <c r="J934" s="61" t="s">
        <v>2511</v>
      </c>
      <c r="K934" s="62" t="s">
        <v>2511</v>
      </c>
      <c r="L934" s="60" t="s">
        <v>2511</v>
      </c>
      <c r="M934" s="61" t="s">
        <v>2389</v>
      </c>
      <c r="N934" s="61" t="s">
        <v>2511</v>
      </c>
      <c r="O934" s="61" t="s">
        <v>2511</v>
      </c>
      <c r="P934" s="62" t="s">
        <v>2511</v>
      </c>
      <c r="Q934" s="82"/>
      <c r="R934" s="82"/>
      <c r="S934" s="82"/>
      <c r="T934" s="82"/>
      <c r="U934" s="82"/>
      <c r="V934" s="138" t="s">
        <v>5113</v>
      </c>
      <c r="W934" s="57" t="s">
        <v>4966</v>
      </c>
      <c r="X934" s="126" t="s">
        <v>2511</v>
      </c>
      <c r="Y934" s="126" t="s">
        <v>2511</v>
      </c>
      <c r="Z934" s="57"/>
      <c r="AA934" s="57" t="s">
        <v>4533</v>
      </c>
      <c r="AB934" s="138"/>
      <c r="AC934" s="138" t="s">
        <v>2631</v>
      </c>
      <c r="AD934" s="96"/>
      <c r="AE934" s="80"/>
      <c r="AF934" s="80"/>
      <c r="AG934" s="80"/>
      <c r="AH934" s="83"/>
      <c r="AI934" s="83"/>
      <c r="AJ934" s="84"/>
      <c r="AK934" s="84"/>
      <c r="AL934" s="84"/>
      <c r="AM934" s="84"/>
      <c r="AN934" s="84"/>
      <c r="AO934" s="84"/>
      <c r="AP934" s="84"/>
      <c r="AQ934" s="95" t="s">
        <v>2052</v>
      </c>
      <c r="AR934" s="72"/>
      <c r="AS934" s="72"/>
      <c r="AT934" s="72"/>
      <c r="AU934" s="72"/>
      <c r="AV934" s="72"/>
      <c r="AW934" s="72"/>
      <c r="AX934" s="72"/>
      <c r="AY934" s="72"/>
      <c r="AZ934" s="72"/>
      <c r="BA934" s="72"/>
      <c r="BB934" s="16"/>
      <c r="BC934" s="72"/>
      <c r="BD934" s="20"/>
      <c r="BE934" s="352"/>
    </row>
    <row r="935" spans="1:57" s="81" customFormat="1" ht="12.95" hidden="1" customHeight="1">
      <c r="A935" s="348"/>
      <c r="B935" s="350"/>
      <c r="C935" s="248" t="s">
        <v>1495</v>
      </c>
      <c r="D935" s="239" t="s">
        <v>5114</v>
      </c>
      <c r="E935" s="58"/>
      <c r="F935" s="59" t="s">
        <v>5115</v>
      </c>
      <c r="G935" s="191" t="s">
        <v>2511</v>
      </c>
      <c r="H935" s="192" t="s">
        <v>2053</v>
      </c>
      <c r="I935" s="61" t="s">
        <v>2511</v>
      </c>
      <c r="J935" s="61" t="s">
        <v>2511</v>
      </c>
      <c r="K935" s="62" t="s">
        <v>2511</v>
      </c>
      <c r="L935" s="60" t="s">
        <v>2511</v>
      </c>
      <c r="M935" s="61" t="s">
        <v>2389</v>
      </c>
      <c r="N935" s="61" t="s">
        <v>2511</v>
      </c>
      <c r="O935" s="61" t="s">
        <v>2511</v>
      </c>
      <c r="P935" s="62" t="s">
        <v>2511</v>
      </c>
      <c r="Q935" s="82"/>
      <c r="R935" s="82"/>
      <c r="S935" s="82"/>
      <c r="T935" s="82"/>
      <c r="U935" s="82"/>
      <c r="V935" s="138" t="s">
        <v>5116</v>
      </c>
      <c r="W935" s="57" t="s">
        <v>4966</v>
      </c>
      <c r="X935" s="126" t="s">
        <v>2511</v>
      </c>
      <c r="Y935" s="126" t="s">
        <v>2511</v>
      </c>
      <c r="Z935" s="57"/>
      <c r="AA935" s="57" t="s">
        <v>4533</v>
      </c>
      <c r="AB935" s="138"/>
      <c r="AC935" s="138" t="s">
        <v>2631</v>
      </c>
      <c r="AD935" s="96"/>
      <c r="AE935" s="80"/>
      <c r="AF935" s="80"/>
      <c r="AG935" s="80"/>
      <c r="AH935" s="83"/>
      <c r="AI935" s="83"/>
      <c r="AJ935" s="84"/>
      <c r="AK935" s="84"/>
      <c r="AL935" s="84"/>
      <c r="AM935" s="84"/>
      <c r="AN935" s="84"/>
      <c r="AO935" s="84"/>
      <c r="AP935" s="84"/>
      <c r="AQ935" s="95" t="s">
        <v>2053</v>
      </c>
      <c r="AR935" s="72"/>
      <c r="AS935" s="72"/>
      <c r="AT935" s="72"/>
      <c r="AU935" s="72"/>
      <c r="AV935" s="72"/>
      <c r="AW935" s="72"/>
      <c r="AX935" s="72"/>
      <c r="AY935" s="72"/>
      <c r="AZ935" s="72"/>
      <c r="BA935" s="72"/>
      <c r="BB935" s="16"/>
      <c r="BC935" s="72"/>
      <c r="BD935" s="20"/>
      <c r="BE935" s="352"/>
    </row>
    <row r="936" spans="1:57" s="81" customFormat="1" ht="12.95" hidden="1" customHeight="1">
      <c r="A936" s="348"/>
      <c r="B936" s="350"/>
      <c r="C936" s="248" t="s">
        <v>1496</v>
      </c>
      <c r="D936" s="239" t="s">
        <v>5117</v>
      </c>
      <c r="E936" s="58"/>
      <c r="F936" s="59" t="s">
        <v>5118</v>
      </c>
      <c r="G936" s="191" t="s">
        <v>2511</v>
      </c>
      <c r="H936" s="192" t="s">
        <v>2054</v>
      </c>
      <c r="I936" s="61" t="s">
        <v>2511</v>
      </c>
      <c r="J936" s="61" t="s">
        <v>2511</v>
      </c>
      <c r="K936" s="62" t="s">
        <v>2511</v>
      </c>
      <c r="L936" s="60" t="s">
        <v>2511</v>
      </c>
      <c r="M936" s="61" t="s">
        <v>2389</v>
      </c>
      <c r="N936" s="61" t="s">
        <v>2511</v>
      </c>
      <c r="O936" s="61" t="s">
        <v>2511</v>
      </c>
      <c r="P936" s="62" t="s">
        <v>2511</v>
      </c>
      <c r="Q936" s="82"/>
      <c r="R936" s="82"/>
      <c r="S936" s="82"/>
      <c r="T936" s="82"/>
      <c r="U936" s="82"/>
      <c r="V936" s="138" t="s">
        <v>5119</v>
      </c>
      <c r="W936" s="57" t="s">
        <v>4966</v>
      </c>
      <c r="X936" s="126" t="s">
        <v>2511</v>
      </c>
      <c r="Y936" s="126" t="s">
        <v>2511</v>
      </c>
      <c r="Z936" s="57"/>
      <c r="AA936" s="57" t="s">
        <v>4533</v>
      </c>
      <c r="AB936" s="138"/>
      <c r="AC936" s="138" t="s">
        <v>2631</v>
      </c>
      <c r="AD936" s="96"/>
      <c r="AE936" s="80"/>
      <c r="AF936" s="80"/>
      <c r="AG936" s="80"/>
      <c r="AH936" s="83"/>
      <c r="AI936" s="83"/>
      <c r="AJ936" s="84"/>
      <c r="AK936" s="84"/>
      <c r="AL936" s="84"/>
      <c r="AM936" s="84"/>
      <c r="AN936" s="84"/>
      <c r="AO936" s="84"/>
      <c r="AP936" s="84"/>
      <c r="AQ936" s="95" t="s">
        <v>2054</v>
      </c>
      <c r="AR936" s="72"/>
      <c r="AS936" s="72"/>
      <c r="AT936" s="72"/>
      <c r="AU936" s="72"/>
      <c r="AV936" s="72"/>
      <c r="AW936" s="72"/>
      <c r="AX936" s="72"/>
      <c r="AY936" s="72"/>
      <c r="AZ936" s="72"/>
      <c r="BA936" s="72"/>
      <c r="BB936" s="16"/>
      <c r="BC936" s="72"/>
      <c r="BD936" s="20"/>
      <c r="BE936" s="352"/>
    </row>
    <row r="937" spans="1:57" s="81" customFormat="1" ht="12.95" hidden="1" customHeight="1">
      <c r="A937" s="348"/>
      <c r="B937" s="350"/>
      <c r="C937" s="248" t="s">
        <v>1497</v>
      </c>
      <c r="D937" s="239" t="s">
        <v>5120</v>
      </c>
      <c r="E937" s="58"/>
      <c r="F937" s="59" t="s">
        <v>5121</v>
      </c>
      <c r="G937" s="191" t="s">
        <v>2511</v>
      </c>
      <c r="H937" s="192" t="s">
        <v>2055</v>
      </c>
      <c r="I937" s="61" t="s">
        <v>2511</v>
      </c>
      <c r="J937" s="61" t="s">
        <v>2511</v>
      </c>
      <c r="K937" s="62" t="s">
        <v>2511</v>
      </c>
      <c r="L937" s="60" t="s">
        <v>2511</v>
      </c>
      <c r="M937" s="61" t="s">
        <v>2389</v>
      </c>
      <c r="N937" s="61" t="s">
        <v>2511</v>
      </c>
      <c r="O937" s="61" t="s">
        <v>2511</v>
      </c>
      <c r="P937" s="62" t="s">
        <v>2511</v>
      </c>
      <c r="Q937" s="82"/>
      <c r="R937" s="82"/>
      <c r="S937" s="82"/>
      <c r="T937" s="82"/>
      <c r="U937" s="82"/>
      <c r="V937" s="138" t="s">
        <v>5122</v>
      </c>
      <c r="W937" s="57" t="s">
        <v>4966</v>
      </c>
      <c r="X937" s="126" t="s">
        <v>2511</v>
      </c>
      <c r="Y937" s="126" t="s">
        <v>2511</v>
      </c>
      <c r="Z937" s="57"/>
      <c r="AA937" s="57" t="s">
        <v>4533</v>
      </c>
      <c r="AB937" s="138"/>
      <c r="AC937" s="138" t="s">
        <v>2631</v>
      </c>
      <c r="AD937" s="96"/>
      <c r="AE937" s="80"/>
      <c r="AF937" s="80"/>
      <c r="AG937" s="80"/>
      <c r="AH937" s="83"/>
      <c r="AI937" s="83"/>
      <c r="AJ937" s="84"/>
      <c r="AK937" s="84"/>
      <c r="AL937" s="84"/>
      <c r="AM937" s="84"/>
      <c r="AN937" s="84"/>
      <c r="AO937" s="84"/>
      <c r="AP937" s="84"/>
      <c r="AQ937" s="95" t="s">
        <v>2055</v>
      </c>
      <c r="AR937" s="72"/>
      <c r="AS937" s="72"/>
      <c r="AT937" s="72"/>
      <c r="AU937" s="72"/>
      <c r="AV937" s="72"/>
      <c r="AW937" s="72"/>
      <c r="AX937" s="72"/>
      <c r="AY937" s="72"/>
      <c r="AZ937" s="72"/>
      <c r="BA937" s="72"/>
      <c r="BB937" s="16"/>
      <c r="BC937" s="72"/>
      <c r="BD937" s="20"/>
      <c r="BE937" s="352"/>
    </row>
    <row r="938" spans="1:57" s="81" customFormat="1" ht="12.95" hidden="1" customHeight="1">
      <c r="A938" s="348"/>
      <c r="B938" s="350"/>
      <c r="C938" s="248" t="s">
        <v>1498</v>
      </c>
      <c r="D938" s="239" t="s">
        <v>5123</v>
      </c>
      <c r="E938" s="58"/>
      <c r="F938" s="59" t="s">
        <v>5124</v>
      </c>
      <c r="G938" s="191" t="s">
        <v>2511</v>
      </c>
      <c r="H938" s="192" t="s">
        <v>2056</v>
      </c>
      <c r="I938" s="61" t="s">
        <v>2511</v>
      </c>
      <c r="J938" s="61" t="s">
        <v>2511</v>
      </c>
      <c r="K938" s="62" t="s">
        <v>2511</v>
      </c>
      <c r="L938" s="60" t="s">
        <v>2511</v>
      </c>
      <c r="M938" s="61" t="s">
        <v>2389</v>
      </c>
      <c r="N938" s="61" t="s">
        <v>2511</v>
      </c>
      <c r="O938" s="61" t="s">
        <v>2511</v>
      </c>
      <c r="P938" s="62" t="s">
        <v>2511</v>
      </c>
      <c r="Q938" s="82"/>
      <c r="R938" s="82"/>
      <c r="S938" s="82"/>
      <c r="T938" s="82"/>
      <c r="U938" s="82"/>
      <c r="V938" s="138" t="s">
        <v>5125</v>
      </c>
      <c r="W938" s="57" t="s">
        <v>4966</v>
      </c>
      <c r="X938" s="126" t="s">
        <v>2511</v>
      </c>
      <c r="Y938" s="126" t="s">
        <v>2511</v>
      </c>
      <c r="Z938" s="57"/>
      <c r="AA938" s="57" t="s">
        <v>4533</v>
      </c>
      <c r="AB938" s="138"/>
      <c r="AC938" s="138" t="s">
        <v>2631</v>
      </c>
      <c r="AD938" s="96"/>
      <c r="AE938" s="80"/>
      <c r="AF938" s="80"/>
      <c r="AG938" s="80"/>
      <c r="AH938" s="83"/>
      <c r="AI938" s="83"/>
      <c r="AJ938" s="84"/>
      <c r="AK938" s="84"/>
      <c r="AL938" s="84"/>
      <c r="AM938" s="84"/>
      <c r="AN938" s="84"/>
      <c r="AO938" s="84"/>
      <c r="AP938" s="84"/>
      <c r="AQ938" s="95" t="s">
        <v>2056</v>
      </c>
      <c r="AR938" s="72"/>
      <c r="AS938" s="72"/>
      <c r="AT938" s="72"/>
      <c r="AU938" s="72"/>
      <c r="AV938" s="72"/>
      <c r="AW938" s="72"/>
      <c r="AX938" s="72"/>
      <c r="AY938" s="72"/>
      <c r="AZ938" s="72"/>
      <c r="BA938" s="72"/>
      <c r="BB938" s="16"/>
      <c r="BC938" s="72"/>
      <c r="BD938" s="20"/>
      <c r="BE938" s="352"/>
    </row>
    <row r="939" spans="1:57" s="81" customFormat="1" ht="12.95" hidden="1" customHeight="1">
      <c r="A939" s="348"/>
      <c r="B939" s="350"/>
      <c r="C939" s="248" t="s">
        <v>1499</v>
      </c>
      <c r="D939" s="239" t="s">
        <v>5126</v>
      </c>
      <c r="E939" s="58"/>
      <c r="F939" s="59" t="s">
        <v>5127</v>
      </c>
      <c r="G939" s="191" t="s">
        <v>2511</v>
      </c>
      <c r="H939" s="192" t="s">
        <v>2057</v>
      </c>
      <c r="I939" s="61" t="s">
        <v>2511</v>
      </c>
      <c r="J939" s="61" t="s">
        <v>2511</v>
      </c>
      <c r="K939" s="62" t="s">
        <v>2511</v>
      </c>
      <c r="L939" s="60" t="s">
        <v>2511</v>
      </c>
      <c r="M939" s="61" t="s">
        <v>2389</v>
      </c>
      <c r="N939" s="61" t="s">
        <v>2511</v>
      </c>
      <c r="O939" s="61" t="s">
        <v>2511</v>
      </c>
      <c r="P939" s="62" t="s">
        <v>2511</v>
      </c>
      <c r="Q939" s="82"/>
      <c r="R939" s="82"/>
      <c r="S939" s="82"/>
      <c r="T939" s="82"/>
      <c r="U939" s="82"/>
      <c r="V939" s="138" t="s">
        <v>5128</v>
      </c>
      <c r="W939" s="57" t="s">
        <v>4966</v>
      </c>
      <c r="X939" s="126" t="s">
        <v>2511</v>
      </c>
      <c r="Y939" s="126" t="s">
        <v>2511</v>
      </c>
      <c r="Z939" s="57"/>
      <c r="AA939" s="57" t="s">
        <v>4533</v>
      </c>
      <c r="AB939" s="138"/>
      <c r="AC939" s="138" t="s">
        <v>2631</v>
      </c>
      <c r="AD939" s="96"/>
      <c r="AE939" s="80"/>
      <c r="AF939" s="80"/>
      <c r="AG939" s="80"/>
      <c r="AH939" s="83"/>
      <c r="AI939" s="83"/>
      <c r="AJ939" s="84"/>
      <c r="AK939" s="84"/>
      <c r="AL939" s="84"/>
      <c r="AM939" s="84"/>
      <c r="AN939" s="84"/>
      <c r="AO939" s="84"/>
      <c r="AP939" s="84"/>
      <c r="AQ939" s="95" t="s">
        <v>2057</v>
      </c>
      <c r="AR939" s="72"/>
      <c r="AS939" s="72"/>
      <c r="AT939" s="72"/>
      <c r="AU939" s="72"/>
      <c r="AV939" s="72"/>
      <c r="AW939" s="72"/>
      <c r="AX939" s="72"/>
      <c r="AY939" s="72"/>
      <c r="AZ939" s="72"/>
      <c r="BA939" s="72"/>
      <c r="BB939" s="16"/>
      <c r="BC939" s="72"/>
      <c r="BD939" s="20"/>
      <c r="BE939" s="352"/>
    </row>
    <row r="940" spans="1:57" s="81" customFormat="1" ht="12.95" hidden="1" customHeight="1">
      <c r="A940" s="348"/>
      <c r="B940" s="350"/>
      <c r="C940" s="248" t="s">
        <v>1500</v>
      </c>
      <c r="D940" s="239" t="s">
        <v>5129</v>
      </c>
      <c r="E940" s="58"/>
      <c r="F940" s="59" t="s">
        <v>5130</v>
      </c>
      <c r="G940" s="191" t="s">
        <v>2511</v>
      </c>
      <c r="H940" s="192" t="s">
        <v>2058</v>
      </c>
      <c r="I940" s="61" t="s">
        <v>2511</v>
      </c>
      <c r="J940" s="61" t="s">
        <v>2511</v>
      </c>
      <c r="K940" s="62" t="s">
        <v>2511</v>
      </c>
      <c r="L940" s="60" t="s">
        <v>2511</v>
      </c>
      <c r="M940" s="61" t="s">
        <v>2389</v>
      </c>
      <c r="N940" s="61" t="s">
        <v>2511</v>
      </c>
      <c r="O940" s="61" t="s">
        <v>2511</v>
      </c>
      <c r="P940" s="62" t="s">
        <v>2511</v>
      </c>
      <c r="Q940" s="82"/>
      <c r="R940" s="82"/>
      <c r="S940" s="82"/>
      <c r="T940" s="82"/>
      <c r="U940" s="82"/>
      <c r="V940" s="138" t="s">
        <v>5131</v>
      </c>
      <c r="W940" s="57" t="s">
        <v>4966</v>
      </c>
      <c r="X940" s="126" t="s">
        <v>2511</v>
      </c>
      <c r="Y940" s="126" t="s">
        <v>2511</v>
      </c>
      <c r="Z940" s="57"/>
      <c r="AA940" s="57" t="s">
        <v>4533</v>
      </c>
      <c r="AB940" s="138"/>
      <c r="AC940" s="138" t="s">
        <v>2631</v>
      </c>
      <c r="AD940" s="96"/>
      <c r="AE940" s="80"/>
      <c r="AF940" s="80"/>
      <c r="AG940" s="80"/>
      <c r="AH940" s="83"/>
      <c r="AI940" s="83"/>
      <c r="AJ940" s="84"/>
      <c r="AK940" s="84"/>
      <c r="AL940" s="84"/>
      <c r="AM940" s="84"/>
      <c r="AN940" s="84"/>
      <c r="AO940" s="84"/>
      <c r="AP940" s="84"/>
      <c r="AQ940" s="95" t="s">
        <v>2058</v>
      </c>
      <c r="AR940" s="72"/>
      <c r="AS940" s="72"/>
      <c r="AT940" s="72"/>
      <c r="AU940" s="72"/>
      <c r="AV940" s="72"/>
      <c r="AW940" s="72"/>
      <c r="AX940" s="72"/>
      <c r="AY940" s="72"/>
      <c r="AZ940" s="72"/>
      <c r="BA940" s="72"/>
      <c r="BB940" s="16"/>
      <c r="BC940" s="72"/>
      <c r="BD940" s="20"/>
      <c r="BE940" s="352"/>
    </row>
    <row r="941" spans="1:57" s="81" customFormat="1" ht="12.95" hidden="1" customHeight="1">
      <c r="A941" s="348"/>
      <c r="B941" s="350"/>
      <c r="C941" s="248" t="s">
        <v>1501</v>
      </c>
      <c r="D941" s="239" t="s">
        <v>5132</v>
      </c>
      <c r="E941" s="58"/>
      <c r="F941" s="59" t="s">
        <v>5133</v>
      </c>
      <c r="G941" s="191" t="s">
        <v>2511</v>
      </c>
      <c r="H941" s="192" t="s">
        <v>2059</v>
      </c>
      <c r="I941" s="61" t="s">
        <v>2511</v>
      </c>
      <c r="J941" s="61" t="s">
        <v>2511</v>
      </c>
      <c r="K941" s="62" t="s">
        <v>2511</v>
      </c>
      <c r="L941" s="60" t="s">
        <v>2511</v>
      </c>
      <c r="M941" s="61" t="s">
        <v>2389</v>
      </c>
      <c r="N941" s="61" t="s">
        <v>2511</v>
      </c>
      <c r="O941" s="61" t="s">
        <v>2511</v>
      </c>
      <c r="P941" s="62" t="s">
        <v>2511</v>
      </c>
      <c r="Q941" s="82"/>
      <c r="R941" s="82"/>
      <c r="S941" s="82"/>
      <c r="T941" s="82"/>
      <c r="U941" s="82"/>
      <c r="V941" s="138" t="s">
        <v>5134</v>
      </c>
      <c r="W941" s="57" t="s">
        <v>4966</v>
      </c>
      <c r="X941" s="126" t="s">
        <v>2511</v>
      </c>
      <c r="Y941" s="126" t="s">
        <v>2511</v>
      </c>
      <c r="Z941" s="57"/>
      <c r="AA941" s="57" t="s">
        <v>4533</v>
      </c>
      <c r="AB941" s="138"/>
      <c r="AC941" s="138" t="s">
        <v>2631</v>
      </c>
      <c r="AD941" s="96"/>
      <c r="AE941" s="80"/>
      <c r="AF941" s="80"/>
      <c r="AG941" s="80"/>
      <c r="AH941" s="83"/>
      <c r="AI941" s="83"/>
      <c r="AJ941" s="84"/>
      <c r="AK941" s="84"/>
      <c r="AL941" s="84"/>
      <c r="AM941" s="84"/>
      <c r="AN941" s="84"/>
      <c r="AO941" s="84"/>
      <c r="AP941" s="84"/>
      <c r="AQ941" s="95" t="s">
        <v>2059</v>
      </c>
      <c r="AR941" s="72"/>
      <c r="AS941" s="72"/>
      <c r="AT941" s="72"/>
      <c r="AU941" s="72"/>
      <c r="AV941" s="72"/>
      <c r="AW941" s="72"/>
      <c r="AX941" s="72"/>
      <c r="AY941" s="72"/>
      <c r="AZ941" s="72"/>
      <c r="BA941" s="72"/>
      <c r="BB941" s="16"/>
      <c r="BC941" s="72"/>
      <c r="BD941" s="20"/>
      <c r="BE941" s="352"/>
    </row>
    <row r="942" spans="1:57" s="81" customFormat="1" ht="12.95" hidden="1" customHeight="1">
      <c r="A942" s="348"/>
      <c r="B942" s="350"/>
      <c r="C942" s="270" t="s">
        <v>1502</v>
      </c>
      <c r="D942" s="239" t="s">
        <v>5135</v>
      </c>
      <c r="E942" s="58"/>
      <c r="F942" s="59" t="s">
        <v>5136</v>
      </c>
      <c r="G942" s="191" t="s">
        <v>2511</v>
      </c>
      <c r="H942" s="192" t="s">
        <v>2060</v>
      </c>
      <c r="I942" s="61" t="s">
        <v>2511</v>
      </c>
      <c r="J942" s="61" t="s">
        <v>2511</v>
      </c>
      <c r="K942" s="62" t="s">
        <v>2511</v>
      </c>
      <c r="L942" s="60" t="s">
        <v>2511</v>
      </c>
      <c r="M942" s="61" t="s">
        <v>2389</v>
      </c>
      <c r="N942" s="61" t="s">
        <v>2511</v>
      </c>
      <c r="O942" s="61" t="s">
        <v>2511</v>
      </c>
      <c r="P942" s="62" t="s">
        <v>2511</v>
      </c>
      <c r="Q942" s="82"/>
      <c r="R942" s="82"/>
      <c r="S942" s="82"/>
      <c r="T942" s="82"/>
      <c r="U942" s="82"/>
      <c r="V942" s="138" t="s">
        <v>5137</v>
      </c>
      <c r="W942" s="57" t="s">
        <v>4966</v>
      </c>
      <c r="X942" s="126" t="s">
        <v>2511</v>
      </c>
      <c r="Y942" s="126" t="s">
        <v>2511</v>
      </c>
      <c r="Z942" s="57"/>
      <c r="AA942" s="57" t="s">
        <v>4533</v>
      </c>
      <c r="AB942" s="138"/>
      <c r="AC942" s="138" t="s">
        <v>2631</v>
      </c>
      <c r="AD942" s="96"/>
      <c r="AE942" s="80"/>
      <c r="AF942" s="80"/>
      <c r="AG942" s="80"/>
      <c r="AH942" s="83"/>
      <c r="AI942" s="83"/>
      <c r="AJ942" s="84"/>
      <c r="AK942" s="84"/>
      <c r="AL942" s="84"/>
      <c r="AM942" s="84"/>
      <c r="AN942" s="84"/>
      <c r="AO942" s="84"/>
      <c r="AP942" s="84"/>
      <c r="AQ942" s="95" t="s">
        <v>2060</v>
      </c>
      <c r="AR942" s="72"/>
      <c r="AS942" s="72"/>
      <c r="AT942" s="72"/>
      <c r="AU942" s="72"/>
      <c r="AV942" s="72"/>
      <c r="AW942" s="72"/>
      <c r="AX942" s="72"/>
      <c r="AY942" s="72"/>
      <c r="AZ942" s="72"/>
      <c r="BA942" s="72"/>
      <c r="BB942" s="16"/>
      <c r="BC942" s="72"/>
      <c r="BD942" s="20"/>
      <c r="BE942" s="352"/>
    </row>
    <row r="943" spans="1:57" s="81" customFormat="1" ht="12.95" hidden="1" customHeight="1">
      <c r="A943" s="348"/>
      <c r="B943" s="350"/>
      <c r="C943" s="270" t="s">
        <v>1503</v>
      </c>
      <c r="D943" s="239" t="s">
        <v>5138</v>
      </c>
      <c r="E943" s="58"/>
      <c r="F943" s="59" t="s">
        <v>5139</v>
      </c>
      <c r="G943" s="191" t="s">
        <v>2511</v>
      </c>
      <c r="H943" s="192" t="s">
        <v>2061</v>
      </c>
      <c r="I943" s="61" t="s">
        <v>2511</v>
      </c>
      <c r="J943" s="61" t="s">
        <v>2511</v>
      </c>
      <c r="K943" s="62" t="s">
        <v>2511</v>
      </c>
      <c r="L943" s="60" t="s">
        <v>2511</v>
      </c>
      <c r="M943" s="61" t="s">
        <v>2389</v>
      </c>
      <c r="N943" s="61" t="s">
        <v>2511</v>
      </c>
      <c r="O943" s="61" t="s">
        <v>2511</v>
      </c>
      <c r="P943" s="62" t="s">
        <v>2511</v>
      </c>
      <c r="Q943" s="82"/>
      <c r="R943" s="82"/>
      <c r="S943" s="82"/>
      <c r="T943" s="82"/>
      <c r="U943" s="82"/>
      <c r="V943" s="138" t="s">
        <v>5140</v>
      </c>
      <c r="W943" s="57" t="s">
        <v>4966</v>
      </c>
      <c r="X943" s="126" t="s">
        <v>2511</v>
      </c>
      <c r="Y943" s="126" t="s">
        <v>2511</v>
      </c>
      <c r="Z943" s="57"/>
      <c r="AA943" s="57" t="s">
        <v>4533</v>
      </c>
      <c r="AB943" s="138"/>
      <c r="AC943" s="138" t="s">
        <v>2631</v>
      </c>
      <c r="AD943" s="96"/>
      <c r="AE943" s="80"/>
      <c r="AF943" s="80"/>
      <c r="AG943" s="80"/>
      <c r="AH943" s="83"/>
      <c r="AI943" s="83"/>
      <c r="AJ943" s="84"/>
      <c r="AK943" s="84"/>
      <c r="AL943" s="84"/>
      <c r="AM943" s="84"/>
      <c r="AN943" s="84"/>
      <c r="AO943" s="84"/>
      <c r="AP943" s="84"/>
      <c r="AQ943" s="95" t="s">
        <v>2061</v>
      </c>
      <c r="AR943" s="72"/>
      <c r="AS943" s="72"/>
      <c r="AT943" s="72"/>
      <c r="AU943" s="72"/>
      <c r="AV943" s="72"/>
      <c r="AW943" s="72"/>
      <c r="AX943" s="72"/>
      <c r="AY943" s="72"/>
      <c r="AZ943" s="72"/>
      <c r="BA943" s="72"/>
      <c r="BB943" s="16"/>
      <c r="BC943" s="72"/>
      <c r="BD943" s="20"/>
      <c r="BE943" s="352"/>
    </row>
    <row r="944" spans="1:57" s="81" customFormat="1" ht="12.95" hidden="1" customHeight="1">
      <c r="A944" s="348"/>
      <c r="B944" s="350"/>
      <c r="C944" s="248" t="s">
        <v>1504</v>
      </c>
      <c r="D944" s="239" t="s">
        <v>5141</v>
      </c>
      <c r="E944" s="58"/>
      <c r="F944" s="59" t="s">
        <v>5142</v>
      </c>
      <c r="G944" s="191" t="s">
        <v>2511</v>
      </c>
      <c r="H944" s="192" t="s">
        <v>2062</v>
      </c>
      <c r="I944" s="61" t="s">
        <v>2511</v>
      </c>
      <c r="J944" s="61" t="s">
        <v>2511</v>
      </c>
      <c r="K944" s="62" t="s">
        <v>2511</v>
      </c>
      <c r="L944" s="60" t="s">
        <v>2511</v>
      </c>
      <c r="M944" s="61" t="s">
        <v>2389</v>
      </c>
      <c r="N944" s="61" t="s">
        <v>2511</v>
      </c>
      <c r="O944" s="61" t="s">
        <v>2511</v>
      </c>
      <c r="P944" s="62" t="s">
        <v>2511</v>
      </c>
      <c r="Q944" s="82"/>
      <c r="R944" s="82"/>
      <c r="S944" s="82"/>
      <c r="T944" s="82"/>
      <c r="U944" s="82"/>
      <c r="V944" s="138" t="s">
        <v>5143</v>
      </c>
      <c r="W944" s="57" t="s">
        <v>4966</v>
      </c>
      <c r="X944" s="126" t="s">
        <v>2511</v>
      </c>
      <c r="Y944" s="126" t="s">
        <v>2511</v>
      </c>
      <c r="Z944" s="57"/>
      <c r="AA944" s="57" t="s">
        <v>4533</v>
      </c>
      <c r="AB944" s="138"/>
      <c r="AC944" s="138">
        <v>0</v>
      </c>
      <c r="AD944" s="96"/>
      <c r="AE944" s="80"/>
      <c r="AF944" s="80"/>
      <c r="AG944" s="80"/>
      <c r="AH944" s="83"/>
      <c r="AI944" s="83"/>
      <c r="AJ944" s="84"/>
      <c r="AK944" s="84"/>
      <c r="AL944" s="84"/>
      <c r="AM944" s="84"/>
      <c r="AN944" s="84"/>
      <c r="AO944" s="84"/>
      <c r="AP944" s="84"/>
      <c r="AQ944" s="95" t="s">
        <v>2062</v>
      </c>
      <c r="AR944" s="72"/>
      <c r="AS944" s="72"/>
      <c r="AT944" s="72"/>
      <c r="AU944" s="72"/>
      <c r="AV944" s="72"/>
      <c r="AW944" s="72"/>
      <c r="AX944" s="72"/>
      <c r="AY944" s="72"/>
      <c r="AZ944" s="72"/>
      <c r="BA944" s="72"/>
      <c r="BB944" s="16"/>
      <c r="BC944" s="72"/>
      <c r="BD944" s="20"/>
      <c r="BE944" s="352"/>
    </row>
    <row r="945" spans="1:57" s="81" customFormat="1" ht="12.95" hidden="1" customHeight="1">
      <c r="A945" s="348"/>
      <c r="B945" s="350"/>
      <c r="C945" s="248" t="s">
        <v>1505</v>
      </c>
      <c r="D945" s="239" t="s">
        <v>5144</v>
      </c>
      <c r="E945" s="58"/>
      <c r="F945" s="59" t="s">
        <v>5145</v>
      </c>
      <c r="G945" s="191" t="s">
        <v>2511</v>
      </c>
      <c r="H945" s="192" t="s">
        <v>2063</v>
      </c>
      <c r="I945" s="61" t="s">
        <v>2511</v>
      </c>
      <c r="J945" s="61" t="s">
        <v>2511</v>
      </c>
      <c r="K945" s="62" t="s">
        <v>2511</v>
      </c>
      <c r="L945" s="60" t="s">
        <v>2511</v>
      </c>
      <c r="M945" s="61" t="s">
        <v>2389</v>
      </c>
      <c r="N945" s="61" t="s">
        <v>2511</v>
      </c>
      <c r="O945" s="61" t="s">
        <v>2511</v>
      </c>
      <c r="P945" s="62" t="s">
        <v>2511</v>
      </c>
      <c r="Q945" s="82"/>
      <c r="R945" s="82"/>
      <c r="S945" s="82"/>
      <c r="T945" s="82"/>
      <c r="U945" s="82"/>
      <c r="V945" s="138" t="s">
        <v>5146</v>
      </c>
      <c r="W945" s="57" t="s">
        <v>4966</v>
      </c>
      <c r="X945" s="126" t="s">
        <v>2511</v>
      </c>
      <c r="Y945" s="126" t="s">
        <v>2511</v>
      </c>
      <c r="Z945" s="57"/>
      <c r="AA945" s="57" t="s">
        <v>4533</v>
      </c>
      <c r="AB945" s="138"/>
      <c r="AC945" s="138" t="s">
        <v>2631</v>
      </c>
      <c r="AD945" s="96"/>
      <c r="AE945" s="80"/>
      <c r="AF945" s="80"/>
      <c r="AG945" s="80"/>
      <c r="AH945" s="83"/>
      <c r="AI945" s="83"/>
      <c r="AJ945" s="84"/>
      <c r="AK945" s="84"/>
      <c r="AL945" s="84"/>
      <c r="AM945" s="84"/>
      <c r="AN945" s="84"/>
      <c r="AO945" s="84"/>
      <c r="AP945" s="84"/>
      <c r="AQ945" s="95" t="s">
        <v>2063</v>
      </c>
      <c r="AR945" s="72"/>
      <c r="AS945" s="72"/>
      <c r="AT945" s="72"/>
      <c r="AU945" s="72"/>
      <c r="AV945" s="72"/>
      <c r="AW945" s="72"/>
      <c r="AX945" s="72"/>
      <c r="AY945" s="72"/>
      <c r="AZ945" s="72"/>
      <c r="BA945" s="72"/>
      <c r="BB945" s="16"/>
      <c r="BC945" s="72"/>
      <c r="BD945" s="20"/>
      <c r="BE945" s="352"/>
    </row>
    <row r="946" spans="1:57" s="81" customFormat="1" ht="12.95" hidden="1" customHeight="1">
      <c r="A946" s="348"/>
      <c r="B946" s="350"/>
      <c r="C946" s="248" t="s">
        <v>1506</v>
      </c>
      <c r="D946" s="239" t="s">
        <v>5147</v>
      </c>
      <c r="E946" s="58"/>
      <c r="F946" s="59" t="s">
        <v>5148</v>
      </c>
      <c r="G946" s="191" t="s">
        <v>2511</v>
      </c>
      <c r="H946" s="192" t="s">
        <v>2064</v>
      </c>
      <c r="I946" s="61" t="s">
        <v>2511</v>
      </c>
      <c r="J946" s="61" t="s">
        <v>2511</v>
      </c>
      <c r="K946" s="62" t="s">
        <v>2511</v>
      </c>
      <c r="L946" s="60" t="s">
        <v>2511</v>
      </c>
      <c r="M946" s="61" t="s">
        <v>2389</v>
      </c>
      <c r="N946" s="61" t="s">
        <v>2511</v>
      </c>
      <c r="O946" s="61" t="s">
        <v>2511</v>
      </c>
      <c r="P946" s="62" t="s">
        <v>2511</v>
      </c>
      <c r="Q946" s="82"/>
      <c r="R946" s="82"/>
      <c r="S946" s="82"/>
      <c r="T946" s="82"/>
      <c r="U946" s="82"/>
      <c r="V946" s="138" t="s">
        <v>5149</v>
      </c>
      <c r="W946" s="57" t="s">
        <v>4966</v>
      </c>
      <c r="X946" s="126" t="s">
        <v>2511</v>
      </c>
      <c r="Y946" s="126" t="s">
        <v>2511</v>
      </c>
      <c r="Z946" s="57"/>
      <c r="AA946" s="57" t="s">
        <v>4533</v>
      </c>
      <c r="AB946" s="138"/>
      <c r="AC946" s="138" t="s">
        <v>2631</v>
      </c>
      <c r="AD946" s="96"/>
      <c r="AE946" s="80"/>
      <c r="AF946" s="80"/>
      <c r="AG946" s="80"/>
      <c r="AH946" s="83"/>
      <c r="AI946" s="83"/>
      <c r="AJ946" s="84"/>
      <c r="AK946" s="84"/>
      <c r="AL946" s="84"/>
      <c r="AM946" s="84"/>
      <c r="AN946" s="84"/>
      <c r="AO946" s="84"/>
      <c r="AP946" s="84"/>
      <c r="AQ946" s="95" t="s">
        <v>2064</v>
      </c>
      <c r="AR946" s="72"/>
      <c r="AS946" s="72"/>
      <c r="AT946" s="72"/>
      <c r="AU946" s="72"/>
      <c r="AV946" s="72"/>
      <c r="AW946" s="72"/>
      <c r="AX946" s="72"/>
      <c r="AY946" s="72"/>
      <c r="AZ946" s="72"/>
      <c r="BA946" s="72"/>
      <c r="BB946" s="16"/>
      <c r="BC946" s="72"/>
      <c r="BD946" s="20"/>
      <c r="BE946" s="352"/>
    </row>
    <row r="947" spans="1:57" s="81" customFormat="1" ht="12.95" hidden="1" customHeight="1">
      <c r="A947" s="348"/>
      <c r="B947" s="350"/>
      <c r="C947" s="248" t="s">
        <v>1507</v>
      </c>
      <c r="D947" s="239" t="s">
        <v>5150</v>
      </c>
      <c r="E947" s="58"/>
      <c r="F947" s="59" t="s">
        <v>5151</v>
      </c>
      <c r="G947" s="191" t="s">
        <v>2511</v>
      </c>
      <c r="H947" s="192" t="s">
        <v>2065</v>
      </c>
      <c r="I947" s="61" t="s">
        <v>2511</v>
      </c>
      <c r="J947" s="61" t="s">
        <v>2511</v>
      </c>
      <c r="K947" s="62" t="s">
        <v>2511</v>
      </c>
      <c r="L947" s="60" t="s">
        <v>2511</v>
      </c>
      <c r="M947" s="61" t="s">
        <v>2389</v>
      </c>
      <c r="N947" s="61" t="s">
        <v>2511</v>
      </c>
      <c r="O947" s="61" t="s">
        <v>2511</v>
      </c>
      <c r="P947" s="62" t="s">
        <v>2511</v>
      </c>
      <c r="Q947" s="82"/>
      <c r="R947" s="82"/>
      <c r="S947" s="82"/>
      <c r="T947" s="82"/>
      <c r="U947" s="82"/>
      <c r="V947" s="138" t="s">
        <v>5152</v>
      </c>
      <c r="W947" s="57" t="s">
        <v>4966</v>
      </c>
      <c r="X947" s="126" t="s">
        <v>2511</v>
      </c>
      <c r="Y947" s="126" t="s">
        <v>2511</v>
      </c>
      <c r="Z947" s="57"/>
      <c r="AA947" s="57" t="s">
        <v>4533</v>
      </c>
      <c r="AB947" s="138"/>
      <c r="AC947" s="138" t="s">
        <v>2631</v>
      </c>
      <c r="AD947" s="96"/>
      <c r="AE947" s="80"/>
      <c r="AF947" s="80"/>
      <c r="AG947" s="80"/>
      <c r="AH947" s="83"/>
      <c r="AI947" s="83"/>
      <c r="AJ947" s="84"/>
      <c r="AK947" s="84"/>
      <c r="AL947" s="84"/>
      <c r="AM947" s="84"/>
      <c r="AN947" s="84"/>
      <c r="AO947" s="84"/>
      <c r="AP947" s="84"/>
      <c r="AQ947" s="95" t="s">
        <v>2065</v>
      </c>
      <c r="AR947" s="72"/>
      <c r="AS947" s="72"/>
      <c r="AT947" s="72"/>
      <c r="AU947" s="72"/>
      <c r="AV947" s="72"/>
      <c r="AW947" s="72"/>
      <c r="AX947" s="72"/>
      <c r="AY947" s="72"/>
      <c r="AZ947" s="72"/>
      <c r="BA947" s="72"/>
      <c r="BB947" s="16"/>
      <c r="BC947" s="72"/>
      <c r="BD947" s="20"/>
      <c r="BE947" s="352"/>
    </row>
    <row r="948" spans="1:57" s="81" customFormat="1" ht="12.95" hidden="1" customHeight="1">
      <c r="A948" s="348"/>
      <c r="B948" s="350"/>
      <c r="C948" s="248" t="s">
        <v>1508</v>
      </c>
      <c r="D948" s="239" t="s">
        <v>5153</v>
      </c>
      <c r="E948" s="58"/>
      <c r="F948" s="59" t="s">
        <v>5154</v>
      </c>
      <c r="G948" s="191" t="s">
        <v>2511</v>
      </c>
      <c r="H948" s="192" t="s">
        <v>2066</v>
      </c>
      <c r="I948" s="61" t="s">
        <v>2511</v>
      </c>
      <c r="J948" s="61" t="s">
        <v>2511</v>
      </c>
      <c r="K948" s="62" t="s">
        <v>2511</v>
      </c>
      <c r="L948" s="60" t="s">
        <v>2511</v>
      </c>
      <c r="M948" s="61" t="s">
        <v>2389</v>
      </c>
      <c r="N948" s="61" t="s">
        <v>2511</v>
      </c>
      <c r="O948" s="61" t="s">
        <v>2511</v>
      </c>
      <c r="P948" s="62" t="s">
        <v>2511</v>
      </c>
      <c r="Q948" s="82"/>
      <c r="R948" s="82"/>
      <c r="S948" s="82"/>
      <c r="T948" s="82"/>
      <c r="U948" s="82"/>
      <c r="V948" s="138" t="s">
        <v>5155</v>
      </c>
      <c r="W948" s="57" t="s">
        <v>4966</v>
      </c>
      <c r="X948" s="126" t="s">
        <v>2511</v>
      </c>
      <c r="Y948" s="126" t="s">
        <v>2511</v>
      </c>
      <c r="Z948" s="57"/>
      <c r="AA948" s="57" t="s">
        <v>4533</v>
      </c>
      <c r="AB948" s="138"/>
      <c r="AC948" s="138" t="s">
        <v>2631</v>
      </c>
      <c r="AD948" s="96"/>
      <c r="AE948" s="80"/>
      <c r="AF948" s="80"/>
      <c r="AG948" s="80"/>
      <c r="AH948" s="83"/>
      <c r="AI948" s="83"/>
      <c r="AJ948" s="84"/>
      <c r="AK948" s="84"/>
      <c r="AL948" s="84"/>
      <c r="AM948" s="84"/>
      <c r="AN948" s="84"/>
      <c r="AO948" s="84"/>
      <c r="AP948" s="84"/>
      <c r="AQ948" s="95" t="s">
        <v>2066</v>
      </c>
      <c r="AR948" s="72"/>
      <c r="AS948" s="72"/>
      <c r="AT948" s="72"/>
      <c r="AU948" s="72"/>
      <c r="AV948" s="72"/>
      <c r="AW948" s="72"/>
      <c r="AX948" s="72"/>
      <c r="AY948" s="72"/>
      <c r="AZ948" s="72"/>
      <c r="BA948" s="72"/>
      <c r="BB948" s="16"/>
      <c r="BC948" s="72"/>
      <c r="BD948" s="20"/>
      <c r="BE948" s="352"/>
    </row>
    <row r="949" spans="1:57" s="81" customFormat="1" ht="12.95" hidden="1" customHeight="1">
      <c r="A949" s="348"/>
      <c r="B949" s="350"/>
      <c r="C949" s="248" t="s">
        <v>1509</v>
      </c>
      <c r="D949" s="239" t="s">
        <v>5156</v>
      </c>
      <c r="E949" s="58"/>
      <c r="F949" s="59" t="s">
        <v>5157</v>
      </c>
      <c r="G949" s="191" t="s">
        <v>2511</v>
      </c>
      <c r="H949" s="192" t="s">
        <v>2067</v>
      </c>
      <c r="I949" s="61" t="s">
        <v>2511</v>
      </c>
      <c r="J949" s="61" t="s">
        <v>2511</v>
      </c>
      <c r="K949" s="62" t="s">
        <v>2511</v>
      </c>
      <c r="L949" s="60" t="s">
        <v>2511</v>
      </c>
      <c r="M949" s="61" t="s">
        <v>2389</v>
      </c>
      <c r="N949" s="61" t="s">
        <v>2511</v>
      </c>
      <c r="O949" s="61" t="s">
        <v>2511</v>
      </c>
      <c r="P949" s="62" t="s">
        <v>2511</v>
      </c>
      <c r="Q949" s="82"/>
      <c r="R949" s="82"/>
      <c r="S949" s="82"/>
      <c r="T949" s="82"/>
      <c r="U949" s="82"/>
      <c r="V949" s="138" t="s">
        <v>5158</v>
      </c>
      <c r="W949" s="57" t="s">
        <v>4966</v>
      </c>
      <c r="X949" s="126" t="s">
        <v>2511</v>
      </c>
      <c r="Y949" s="126" t="s">
        <v>2511</v>
      </c>
      <c r="Z949" s="57"/>
      <c r="AA949" s="57" t="s">
        <v>4533</v>
      </c>
      <c r="AB949" s="138"/>
      <c r="AC949" s="138" t="s">
        <v>2631</v>
      </c>
      <c r="AD949" s="96"/>
      <c r="AE949" s="80"/>
      <c r="AF949" s="80"/>
      <c r="AG949" s="80"/>
      <c r="AH949" s="83"/>
      <c r="AI949" s="83"/>
      <c r="AJ949" s="84"/>
      <c r="AK949" s="84"/>
      <c r="AL949" s="84"/>
      <c r="AM949" s="84"/>
      <c r="AN949" s="84"/>
      <c r="AO949" s="84"/>
      <c r="AP949" s="84"/>
      <c r="AQ949" s="95" t="s">
        <v>2067</v>
      </c>
      <c r="AR949" s="72"/>
      <c r="AS949" s="72"/>
      <c r="AT949" s="72"/>
      <c r="AU949" s="72"/>
      <c r="AV949" s="72"/>
      <c r="AW949" s="72"/>
      <c r="AX949" s="72"/>
      <c r="AY949" s="72"/>
      <c r="AZ949" s="72"/>
      <c r="BA949" s="72"/>
      <c r="BB949" s="16"/>
      <c r="BC949" s="72"/>
      <c r="BD949" s="20"/>
      <c r="BE949" s="352"/>
    </row>
    <row r="950" spans="1:57" s="81" customFormat="1" ht="12.95" hidden="1" customHeight="1">
      <c r="A950" s="348"/>
      <c r="B950" s="350"/>
      <c r="C950" s="248" t="s">
        <v>1510</v>
      </c>
      <c r="D950" s="239" t="s">
        <v>5159</v>
      </c>
      <c r="E950" s="58"/>
      <c r="F950" s="59" t="s">
        <v>5160</v>
      </c>
      <c r="G950" s="191" t="s">
        <v>2511</v>
      </c>
      <c r="H950" s="192" t="s">
        <v>2068</v>
      </c>
      <c r="I950" s="61" t="s">
        <v>2511</v>
      </c>
      <c r="J950" s="61" t="s">
        <v>2511</v>
      </c>
      <c r="K950" s="62" t="s">
        <v>2511</v>
      </c>
      <c r="L950" s="60" t="s">
        <v>2511</v>
      </c>
      <c r="M950" s="61" t="s">
        <v>2389</v>
      </c>
      <c r="N950" s="61" t="s">
        <v>2511</v>
      </c>
      <c r="O950" s="61" t="s">
        <v>2511</v>
      </c>
      <c r="P950" s="62" t="s">
        <v>2511</v>
      </c>
      <c r="Q950" s="82"/>
      <c r="R950" s="82"/>
      <c r="S950" s="82"/>
      <c r="T950" s="82"/>
      <c r="U950" s="82"/>
      <c r="V950" s="138" t="s">
        <v>5161</v>
      </c>
      <c r="W950" s="57" t="s">
        <v>4966</v>
      </c>
      <c r="X950" s="126" t="s">
        <v>2511</v>
      </c>
      <c r="Y950" s="126" t="s">
        <v>2511</v>
      </c>
      <c r="Z950" s="57"/>
      <c r="AA950" s="57" t="s">
        <v>4533</v>
      </c>
      <c r="AB950" s="138"/>
      <c r="AC950" s="138" t="s">
        <v>2631</v>
      </c>
      <c r="AD950" s="96"/>
      <c r="AE950" s="80"/>
      <c r="AF950" s="80"/>
      <c r="AG950" s="80"/>
      <c r="AH950" s="83"/>
      <c r="AI950" s="83"/>
      <c r="AJ950" s="84"/>
      <c r="AK950" s="84"/>
      <c r="AL950" s="84"/>
      <c r="AM950" s="84"/>
      <c r="AN950" s="84"/>
      <c r="AO950" s="84"/>
      <c r="AP950" s="84"/>
      <c r="AQ950" s="95" t="s">
        <v>2068</v>
      </c>
      <c r="AR950" s="72"/>
      <c r="AS950" s="72"/>
      <c r="AT950" s="72"/>
      <c r="AU950" s="72"/>
      <c r="AV950" s="72"/>
      <c r="AW950" s="72"/>
      <c r="AX950" s="72"/>
      <c r="AY950" s="72"/>
      <c r="AZ950" s="72"/>
      <c r="BA950" s="72"/>
      <c r="BB950" s="16"/>
      <c r="BC950" s="72"/>
      <c r="BD950" s="20"/>
      <c r="BE950" s="352"/>
    </row>
    <row r="951" spans="1:57" s="81" customFormat="1" ht="12.95" hidden="1" customHeight="1">
      <c r="A951" s="348"/>
      <c r="B951" s="350"/>
      <c r="C951" s="248" t="s">
        <v>1511</v>
      </c>
      <c r="D951" s="239" t="s">
        <v>5162</v>
      </c>
      <c r="E951" s="58"/>
      <c r="F951" s="59" t="s">
        <v>5163</v>
      </c>
      <c r="G951" s="191" t="s">
        <v>2511</v>
      </c>
      <c r="H951" s="192" t="s">
        <v>2069</v>
      </c>
      <c r="I951" s="61" t="s">
        <v>2511</v>
      </c>
      <c r="J951" s="61" t="s">
        <v>2511</v>
      </c>
      <c r="K951" s="62" t="s">
        <v>2511</v>
      </c>
      <c r="L951" s="60" t="s">
        <v>2511</v>
      </c>
      <c r="M951" s="61" t="s">
        <v>2389</v>
      </c>
      <c r="N951" s="61" t="s">
        <v>2511</v>
      </c>
      <c r="O951" s="61" t="s">
        <v>2511</v>
      </c>
      <c r="P951" s="62" t="s">
        <v>2511</v>
      </c>
      <c r="Q951" s="82"/>
      <c r="R951" s="82"/>
      <c r="S951" s="82"/>
      <c r="T951" s="82"/>
      <c r="U951" s="82"/>
      <c r="V951" s="138" t="s">
        <v>5164</v>
      </c>
      <c r="W951" s="57" t="s">
        <v>4966</v>
      </c>
      <c r="X951" s="126" t="s">
        <v>2511</v>
      </c>
      <c r="Y951" s="126" t="s">
        <v>2511</v>
      </c>
      <c r="Z951" s="57"/>
      <c r="AA951" s="57" t="s">
        <v>4533</v>
      </c>
      <c r="AB951" s="138"/>
      <c r="AC951" s="138" t="s">
        <v>2631</v>
      </c>
      <c r="AD951" s="96"/>
      <c r="AE951" s="80"/>
      <c r="AF951" s="80"/>
      <c r="AG951" s="80"/>
      <c r="AH951" s="83"/>
      <c r="AI951" s="83"/>
      <c r="AJ951" s="84"/>
      <c r="AK951" s="84"/>
      <c r="AL951" s="84"/>
      <c r="AM951" s="84"/>
      <c r="AN951" s="84"/>
      <c r="AO951" s="84"/>
      <c r="AP951" s="84"/>
      <c r="AQ951" s="95" t="s">
        <v>2069</v>
      </c>
      <c r="AR951" s="72"/>
      <c r="AS951" s="72"/>
      <c r="AT951" s="72"/>
      <c r="AU951" s="72"/>
      <c r="AV951" s="72"/>
      <c r="AW951" s="72"/>
      <c r="AX951" s="72"/>
      <c r="AY951" s="72"/>
      <c r="AZ951" s="72"/>
      <c r="BA951" s="72"/>
      <c r="BB951" s="16"/>
      <c r="BC951" s="72"/>
      <c r="BD951" s="20"/>
      <c r="BE951" s="352"/>
    </row>
    <row r="952" spans="1:57" s="81" customFormat="1" ht="12.95" hidden="1" customHeight="1">
      <c r="A952" s="348"/>
      <c r="B952" s="350"/>
      <c r="C952" s="248" t="s">
        <v>1512</v>
      </c>
      <c r="D952" s="239" t="s">
        <v>5165</v>
      </c>
      <c r="E952" s="58"/>
      <c r="F952" s="59" t="s">
        <v>5166</v>
      </c>
      <c r="G952" s="191" t="s">
        <v>2511</v>
      </c>
      <c r="H952" s="192" t="s">
        <v>2070</v>
      </c>
      <c r="I952" s="61" t="s">
        <v>2511</v>
      </c>
      <c r="J952" s="61" t="s">
        <v>2511</v>
      </c>
      <c r="K952" s="62" t="s">
        <v>2511</v>
      </c>
      <c r="L952" s="60" t="s">
        <v>2511</v>
      </c>
      <c r="M952" s="61" t="s">
        <v>2389</v>
      </c>
      <c r="N952" s="61" t="s">
        <v>2511</v>
      </c>
      <c r="O952" s="61" t="s">
        <v>2511</v>
      </c>
      <c r="P952" s="62" t="s">
        <v>2511</v>
      </c>
      <c r="Q952" s="82"/>
      <c r="R952" s="82"/>
      <c r="S952" s="82"/>
      <c r="T952" s="82"/>
      <c r="U952" s="82"/>
      <c r="V952" s="138" t="s">
        <v>5167</v>
      </c>
      <c r="W952" s="57" t="s">
        <v>4966</v>
      </c>
      <c r="X952" s="126" t="s">
        <v>2511</v>
      </c>
      <c r="Y952" s="126" t="s">
        <v>2511</v>
      </c>
      <c r="Z952" s="57"/>
      <c r="AA952" s="57" t="s">
        <v>4533</v>
      </c>
      <c r="AB952" s="138"/>
      <c r="AC952" s="138" t="s">
        <v>2631</v>
      </c>
      <c r="AD952" s="96"/>
      <c r="AE952" s="80"/>
      <c r="AF952" s="80"/>
      <c r="AG952" s="80"/>
      <c r="AH952" s="83"/>
      <c r="AI952" s="83"/>
      <c r="AJ952" s="84"/>
      <c r="AK952" s="84"/>
      <c r="AL952" s="84"/>
      <c r="AM952" s="84"/>
      <c r="AN952" s="84"/>
      <c r="AO952" s="84"/>
      <c r="AP952" s="84"/>
      <c r="AQ952" s="95" t="s">
        <v>2070</v>
      </c>
      <c r="AR952" s="72"/>
      <c r="AS952" s="72"/>
      <c r="AT952" s="72"/>
      <c r="AU952" s="72"/>
      <c r="AV952" s="72"/>
      <c r="AW952" s="72"/>
      <c r="AX952" s="72"/>
      <c r="AY952" s="72"/>
      <c r="AZ952" s="72"/>
      <c r="BA952" s="72"/>
      <c r="BB952" s="16"/>
      <c r="BC952" s="72"/>
      <c r="BD952" s="20"/>
      <c r="BE952" s="352"/>
    </row>
    <row r="953" spans="1:57" s="81" customFormat="1" ht="12.95" hidden="1" customHeight="1">
      <c r="A953" s="348"/>
      <c r="B953" s="350"/>
      <c r="C953" s="248" t="s">
        <v>1513</v>
      </c>
      <c r="D953" s="239" t="s">
        <v>5168</v>
      </c>
      <c r="E953" s="58"/>
      <c r="F953" s="59" t="s">
        <v>5169</v>
      </c>
      <c r="G953" s="191" t="s">
        <v>2511</v>
      </c>
      <c r="H953" s="192" t="s">
        <v>2071</v>
      </c>
      <c r="I953" s="61" t="s">
        <v>2511</v>
      </c>
      <c r="J953" s="61" t="s">
        <v>2511</v>
      </c>
      <c r="K953" s="62" t="s">
        <v>2511</v>
      </c>
      <c r="L953" s="60" t="s">
        <v>2511</v>
      </c>
      <c r="M953" s="61" t="s">
        <v>2389</v>
      </c>
      <c r="N953" s="61" t="s">
        <v>2511</v>
      </c>
      <c r="O953" s="61" t="s">
        <v>2511</v>
      </c>
      <c r="P953" s="62" t="s">
        <v>2511</v>
      </c>
      <c r="Q953" s="82"/>
      <c r="R953" s="82"/>
      <c r="S953" s="82"/>
      <c r="T953" s="82"/>
      <c r="U953" s="82"/>
      <c r="V953" s="138" t="s">
        <v>5170</v>
      </c>
      <c r="W953" s="57" t="s">
        <v>4966</v>
      </c>
      <c r="X953" s="126" t="s">
        <v>2511</v>
      </c>
      <c r="Y953" s="126" t="s">
        <v>2511</v>
      </c>
      <c r="Z953" s="57"/>
      <c r="AA953" s="57" t="s">
        <v>4533</v>
      </c>
      <c r="AB953" s="138"/>
      <c r="AC953" s="138" t="s">
        <v>2631</v>
      </c>
      <c r="AD953" s="96"/>
      <c r="AE953" s="80"/>
      <c r="AF953" s="80"/>
      <c r="AG953" s="80"/>
      <c r="AH953" s="83"/>
      <c r="AI953" s="83"/>
      <c r="AJ953" s="84"/>
      <c r="AK953" s="84"/>
      <c r="AL953" s="84"/>
      <c r="AM953" s="84"/>
      <c r="AN953" s="84"/>
      <c r="AO953" s="84"/>
      <c r="AP953" s="84"/>
      <c r="AQ953" s="95" t="s">
        <v>2071</v>
      </c>
      <c r="AR953" s="72"/>
      <c r="AS953" s="72"/>
      <c r="AT953" s="72"/>
      <c r="AU953" s="72"/>
      <c r="AV953" s="72"/>
      <c r="AW953" s="72"/>
      <c r="AX953" s="72"/>
      <c r="AY953" s="72"/>
      <c r="AZ953" s="72"/>
      <c r="BA953" s="72"/>
      <c r="BB953" s="16"/>
      <c r="BC953" s="72"/>
      <c r="BD953" s="20"/>
      <c r="BE953" s="352"/>
    </row>
    <row r="954" spans="1:57" s="81" customFormat="1" ht="12.95" hidden="1" customHeight="1">
      <c r="A954" s="348"/>
      <c r="B954" s="350"/>
      <c r="C954" s="270" t="s">
        <v>1514</v>
      </c>
      <c r="D954" s="239" t="s">
        <v>5171</v>
      </c>
      <c r="E954" s="58"/>
      <c r="F954" s="59" t="s">
        <v>5172</v>
      </c>
      <c r="G954" s="191" t="s">
        <v>2511</v>
      </c>
      <c r="H954" s="192" t="s">
        <v>2072</v>
      </c>
      <c r="I954" s="61" t="s">
        <v>2511</v>
      </c>
      <c r="J954" s="61" t="s">
        <v>2511</v>
      </c>
      <c r="K954" s="62" t="s">
        <v>2511</v>
      </c>
      <c r="L954" s="60" t="s">
        <v>2511</v>
      </c>
      <c r="M954" s="61" t="s">
        <v>2389</v>
      </c>
      <c r="N954" s="61" t="s">
        <v>2511</v>
      </c>
      <c r="O954" s="61" t="s">
        <v>2511</v>
      </c>
      <c r="P954" s="62" t="s">
        <v>2511</v>
      </c>
      <c r="Q954" s="82"/>
      <c r="R954" s="82"/>
      <c r="S954" s="82"/>
      <c r="T954" s="82"/>
      <c r="U954" s="82"/>
      <c r="V954" s="138" t="s">
        <v>5173</v>
      </c>
      <c r="W954" s="57" t="s">
        <v>4966</v>
      </c>
      <c r="X954" s="126" t="s">
        <v>2511</v>
      </c>
      <c r="Y954" s="126" t="s">
        <v>2511</v>
      </c>
      <c r="Z954" s="57"/>
      <c r="AA954" s="57" t="s">
        <v>4533</v>
      </c>
      <c r="AB954" s="138"/>
      <c r="AC954" s="138" t="s">
        <v>2631</v>
      </c>
      <c r="AD954" s="96"/>
      <c r="AE954" s="80"/>
      <c r="AF954" s="80"/>
      <c r="AG954" s="80"/>
      <c r="AH954" s="83"/>
      <c r="AI954" s="83"/>
      <c r="AJ954" s="84"/>
      <c r="AK954" s="84"/>
      <c r="AL954" s="84"/>
      <c r="AM954" s="84"/>
      <c r="AN954" s="84"/>
      <c r="AO954" s="84"/>
      <c r="AP954" s="84"/>
      <c r="AQ954" s="95" t="s">
        <v>2072</v>
      </c>
      <c r="AR954" s="72"/>
      <c r="AS954" s="72"/>
      <c r="AT954" s="72"/>
      <c r="AU954" s="72"/>
      <c r="AV954" s="72"/>
      <c r="AW954" s="72"/>
      <c r="AX954" s="72"/>
      <c r="AY954" s="72"/>
      <c r="AZ954" s="72"/>
      <c r="BA954" s="72"/>
      <c r="BB954" s="16"/>
      <c r="BC954" s="72"/>
      <c r="BD954" s="20"/>
      <c r="BE954" s="352"/>
    </row>
    <row r="955" spans="1:57" s="81" customFormat="1" ht="12.95" hidden="1" customHeight="1">
      <c r="A955" s="348"/>
      <c r="B955" s="350"/>
      <c r="C955" s="270" t="s">
        <v>1515</v>
      </c>
      <c r="D955" s="239" t="s">
        <v>5174</v>
      </c>
      <c r="E955" s="58"/>
      <c r="F955" s="59" t="s">
        <v>5175</v>
      </c>
      <c r="G955" s="191" t="s">
        <v>2511</v>
      </c>
      <c r="H955" s="192" t="s">
        <v>2073</v>
      </c>
      <c r="I955" s="61" t="s">
        <v>2511</v>
      </c>
      <c r="J955" s="61" t="s">
        <v>2511</v>
      </c>
      <c r="K955" s="62" t="s">
        <v>2511</v>
      </c>
      <c r="L955" s="60" t="s">
        <v>2511</v>
      </c>
      <c r="M955" s="61" t="s">
        <v>2389</v>
      </c>
      <c r="N955" s="61" t="s">
        <v>2511</v>
      </c>
      <c r="O955" s="61" t="s">
        <v>2511</v>
      </c>
      <c r="P955" s="62" t="s">
        <v>2511</v>
      </c>
      <c r="Q955" s="82"/>
      <c r="R955" s="82"/>
      <c r="S955" s="82"/>
      <c r="T955" s="82"/>
      <c r="U955" s="82"/>
      <c r="V955" s="138" t="s">
        <v>5176</v>
      </c>
      <c r="W955" s="57" t="s">
        <v>4966</v>
      </c>
      <c r="X955" s="126" t="s">
        <v>2511</v>
      </c>
      <c r="Y955" s="126" t="s">
        <v>2511</v>
      </c>
      <c r="Z955" s="57"/>
      <c r="AA955" s="57" t="s">
        <v>4533</v>
      </c>
      <c r="AB955" s="138"/>
      <c r="AC955" s="138" t="s">
        <v>2631</v>
      </c>
      <c r="AD955" s="96"/>
      <c r="AE955" s="80"/>
      <c r="AF955" s="80"/>
      <c r="AG955" s="80"/>
      <c r="AH955" s="83"/>
      <c r="AI955" s="83"/>
      <c r="AJ955" s="84"/>
      <c r="AK955" s="84"/>
      <c r="AL955" s="84"/>
      <c r="AM955" s="84"/>
      <c r="AN955" s="84"/>
      <c r="AO955" s="84"/>
      <c r="AP955" s="84"/>
      <c r="AQ955" s="95" t="s">
        <v>2073</v>
      </c>
      <c r="AR955" s="72"/>
      <c r="AS955" s="72"/>
      <c r="AT955" s="72"/>
      <c r="AU955" s="72"/>
      <c r="AV955" s="72"/>
      <c r="AW955" s="72"/>
      <c r="AX955" s="72"/>
      <c r="AY955" s="72"/>
      <c r="AZ955" s="72"/>
      <c r="BA955" s="72"/>
      <c r="BB955" s="16"/>
      <c r="BC955" s="72"/>
      <c r="BD955" s="20"/>
      <c r="BE955" s="352"/>
    </row>
    <row r="956" spans="1:57" s="81" customFormat="1" ht="12.95" hidden="1" customHeight="1">
      <c r="A956" s="348"/>
      <c r="B956" s="350"/>
      <c r="C956" s="248" t="s">
        <v>1516</v>
      </c>
      <c r="D956" s="239" t="s">
        <v>5177</v>
      </c>
      <c r="E956" s="58"/>
      <c r="F956" s="59" t="s">
        <v>5178</v>
      </c>
      <c r="G956" s="191" t="s">
        <v>2511</v>
      </c>
      <c r="H956" s="192" t="s">
        <v>2074</v>
      </c>
      <c r="I956" s="61" t="s">
        <v>2511</v>
      </c>
      <c r="J956" s="61" t="s">
        <v>2511</v>
      </c>
      <c r="K956" s="62" t="s">
        <v>2511</v>
      </c>
      <c r="L956" s="60" t="s">
        <v>2511</v>
      </c>
      <c r="M956" s="61" t="s">
        <v>2389</v>
      </c>
      <c r="N956" s="61" t="s">
        <v>2511</v>
      </c>
      <c r="O956" s="61" t="s">
        <v>2511</v>
      </c>
      <c r="P956" s="62" t="s">
        <v>2511</v>
      </c>
      <c r="Q956" s="82"/>
      <c r="R956" s="82"/>
      <c r="S956" s="82"/>
      <c r="T956" s="82"/>
      <c r="U956" s="82"/>
      <c r="V956" s="138" t="s">
        <v>5179</v>
      </c>
      <c r="W956" s="57" t="s">
        <v>4966</v>
      </c>
      <c r="X956" s="126" t="s">
        <v>2511</v>
      </c>
      <c r="Y956" s="126" t="s">
        <v>2511</v>
      </c>
      <c r="Z956" s="57"/>
      <c r="AA956" s="57" t="s">
        <v>4533</v>
      </c>
      <c r="AB956" s="138"/>
      <c r="AC956" s="138">
        <v>0</v>
      </c>
      <c r="AD956" s="96"/>
      <c r="AE956" s="80"/>
      <c r="AF956" s="80"/>
      <c r="AG956" s="80"/>
      <c r="AH956" s="83"/>
      <c r="AI956" s="83"/>
      <c r="AJ956" s="84"/>
      <c r="AK956" s="84"/>
      <c r="AL956" s="84"/>
      <c r="AM956" s="84"/>
      <c r="AN956" s="84"/>
      <c r="AO956" s="84"/>
      <c r="AP956" s="84"/>
      <c r="AQ956" s="95" t="s">
        <v>2074</v>
      </c>
      <c r="AR956" s="72"/>
      <c r="AS956" s="72"/>
      <c r="AT956" s="72"/>
      <c r="AU956" s="72"/>
      <c r="AV956" s="72"/>
      <c r="AW956" s="72"/>
      <c r="AX956" s="72"/>
      <c r="AY956" s="72"/>
      <c r="AZ956" s="72"/>
      <c r="BA956" s="72"/>
      <c r="BB956" s="16"/>
      <c r="BC956" s="72"/>
      <c r="BD956" s="20"/>
      <c r="BE956" s="352"/>
    </row>
    <row r="957" spans="1:57" s="81" customFormat="1" ht="12.95" hidden="1" customHeight="1">
      <c r="A957" s="348"/>
      <c r="B957" s="350"/>
      <c r="C957" s="248" t="s">
        <v>1517</v>
      </c>
      <c r="D957" s="239" t="s">
        <v>5180</v>
      </c>
      <c r="E957" s="58"/>
      <c r="F957" s="59" t="s">
        <v>5181</v>
      </c>
      <c r="G957" s="191" t="s">
        <v>2511</v>
      </c>
      <c r="H957" s="192" t="s">
        <v>2075</v>
      </c>
      <c r="I957" s="61" t="s">
        <v>2511</v>
      </c>
      <c r="J957" s="61" t="s">
        <v>2511</v>
      </c>
      <c r="K957" s="62" t="s">
        <v>2511</v>
      </c>
      <c r="L957" s="60" t="s">
        <v>2511</v>
      </c>
      <c r="M957" s="61" t="s">
        <v>2389</v>
      </c>
      <c r="N957" s="61" t="s">
        <v>2511</v>
      </c>
      <c r="O957" s="61" t="s">
        <v>2511</v>
      </c>
      <c r="P957" s="62" t="s">
        <v>2511</v>
      </c>
      <c r="Q957" s="82"/>
      <c r="R957" s="82"/>
      <c r="S957" s="82"/>
      <c r="T957" s="82"/>
      <c r="U957" s="82"/>
      <c r="V957" s="138" t="s">
        <v>5182</v>
      </c>
      <c r="W957" s="57" t="s">
        <v>4966</v>
      </c>
      <c r="X957" s="126" t="s">
        <v>2511</v>
      </c>
      <c r="Y957" s="126" t="s">
        <v>2511</v>
      </c>
      <c r="Z957" s="57"/>
      <c r="AA957" s="57" t="s">
        <v>4533</v>
      </c>
      <c r="AB957" s="138"/>
      <c r="AC957" s="138" t="s">
        <v>2631</v>
      </c>
      <c r="AD957" s="96"/>
      <c r="AE957" s="80"/>
      <c r="AF957" s="80"/>
      <c r="AG957" s="80"/>
      <c r="AH957" s="83"/>
      <c r="AI957" s="83"/>
      <c r="AJ957" s="84"/>
      <c r="AK957" s="84"/>
      <c r="AL957" s="84"/>
      <c r="AM957" s="84"/>
      <c r="AN957" s="84"/>
      <c r="AO957" s="84"/>
      <c r="AP957" s="84"/>
      <c r="AQ957" s="95" t="s">
        <v>2075</v>
      </c>
      <c r="AR957" s="72"/>
      <c r="AS957" s="72"/>
      <c r="AT957" s="72"/>
      <c r="AU957" s="72"/>
      <c r="AV957" s="72"/>
      <c r="AW957" s="72"/>
      <c r="AX957" s="72"/>
      <c r="AY957" s="72"/>
      <c r="AZ957" s="72"/>
      <c r="BA957" s="72"/>
      <c r="BB957" s="16"/>
      <c r="BC957" s="72"/>
      <c r="BD957" s="20"/>
      <c r="BE957" s="352"/>
    </row>
    <row r="958" spans="1:57" s="81" customFormat="1" ht="12.95" hidden="1" customHeight="1">
      <c r="A958" s="348"/>
      <c r="B958" s="350"/>
      <c r="C958" s="248" t="s">
        <v>1518</v>
      </c>
      <c r="D958" s="239" t="s">
        <v>5183</v>
      </c>
      <c r="E958" s="58"/>
      <c r="F958" s="59" t="s">
        <v>5184</v>
      </c>
      <c r="G958" s="191" t="s">
        <v>2511</v>
      </c>
      <c r="H958" s="192" t="s">
        <v>2076</v>
      </c>
      <c r="I958" s="61" t="s">
        <v>2511</v>
      </c>
      <c r="J958" s="61" t="s">
        <v>2511</v>
      </c>
      <c r="K958" s="62" t="s">
        <v>2511</v>
      </c>
      <c r="L958" s="60" t="s">
        <v>2511</v>
      </c>
      <c r="M958" s="61" t="s">
        <v>2389</v>
      </c>
      <c r="N958" s="61" t="s">
        <v>2511</v>
      </c>
      <c r="O958" s="61" t="s">
        <v>2511</v>
      </c>
      <c r="P958" s="62" t="s">
        <v>2511</v>
      </c>
      <c r="Q958" s="82"/>
      <c r="R958" s="82"/>
      <c r="S958" s="82"/>
      <c r="T958" s="82"/>
      <c r="U958" s="82"/>
      <c r="V958" s="138" t="s">
        <v>5185</v>
      </c>
      <c r="W958" s="57" t="s">
        <v>4966</v>
      </c>
      <c r="X958" s="126" t="s">
        <v>2511</v>
      </c>
      <c r="Y958" s="126" t="s">
        <v>2511</v>
      </c>
      <c r="Z958" s="57"/>
      <c r="AA958" s="57" t="s">
        <v>4533</v>
      </c>
      <c r="AB958" s="138"/>
      <c r="AC958" s="138" t="s">
        <v>2631</v>
      </c>
      <c r="AD958" s="96"/>
      <c r="AE958" s="80"/>
      <c r="AF958" s="80"/>
      <c r="AG958" s="80"/>
      <c r="AH958" s="83"/>
      <c r="AI958" s="83"/>
      <c r="AJ958" s="84"/>
      <c r="AK958" s="84"/>
      <c r="AL958" s="84"/>
      <c r="AM958" s="84"/>
      <c r="AN958" s="84"/>
      <c r="AO958" s="84"/>
      <c r="AP958" s="84"/>
      <c r="AQ958" s="95" t="s">
        <v>2076</v>
      </c>
      <c r="AR958" s="72"/>
      <c r="AS958" s="72"/>
      <c r="AT958" s="72"/>
      <c r="AU958" s="72"/>
      <c r="AV958" s="72"/>
      <c r="AW958" s="72"/>
      <c r="AX958" s="72"/>
      <c r="AY958" s="72"/>
      <c r="AZ958" s="72"/>
      <c r="BA958" s="72"/>
      <c r="BB958" s="16"/>
      <c r="BC958" s="72"/>
      <c r="BD958" s="20"/>
      <c r="BE958" s="352"/>
    </row>
    <row r="959" spans="1:57" s="81" customFormat="1" ht="12.95" hidden="1" customHeight="1">
      <c r="A959" s="348"/>
      <c r="B959" s="350"/>
      <c r="C959" s="248" t="s">
        <v>1519</v>
      </c>
      <c r="D959" s="239" t="s">
        <v>5186</v>
      </c>
      <c r="E959" s="58"/>
      <c r="F959" s="59" t="s">
        <v>5187</v>
      </c>
      <c r="G959" s="191" t="s">
        <v>2511</v>
      </c>
      <c r="H959" s="192" t="s">
        <v>2077</v>
      </c>
      <c r="I959" s="61" t="s">
        <v>2511</v>
      </c>
      <c r="J959" s="61" t="s">
        <v>2511</v>
      </c>
      <c r="K959" s="62" t="s">
        <v>2511</v>
      </c>
      <c r="L959" s="60" t="s">
        <v>2511</v>
      </c>
      <c r="M959" s="61" t="s">
        <v>2389</v>
      </c>
      <c r="N959" s="61" t="s">
        <v>2511</v>
      </c>
      <c r="O959" s="61" t="s">
        <v>2511</v>
      </c>
      <c r="P959" s="62" t="s">
        <v>2511</v>
      </c>
      <c r="Q959" s="82"/>
      <c r="R959" s="82"/>
      <c r="S959" s="82"/>
      <c r="T959" s="82"/>
      <c r="U959" s="82"/>
      <c r="V959" s="138" t="s">
        <v>5188</v>
      </c>
      <c r="W959" s="57" t="s">
        <v>4966</v>
      </c>
      <c r="X959" s="126" t="s">
        <v>2511</v>
      </c>
      <c r="Y959" s="126" t="s">
        <v>2511</v>
      </c>
      <c r="Z959" s="57"/>
      <c r="AA959" s="57" t="s">
        <v>4533</v>
      </c>
      <c r="AB959" s="138"/>
      <c r="AC959" s="138" t="s">
        <v>2631</v>
      </c>
      <c r="AD959" s="96"/>
      <c r="AE959" s="80"/>
      <c r="AF959" s="80"/>
      <c r="AG959" s="80"/>
      <c r="AH959" s="83"/>
      <c r="AI959" s="83"/>
      <c r="AJ959" s="84"/>
      <c r="AK959" s="84"/>
      <c r="AL959" s="84"/>
      <c r="AM959" s="84"/>
      <c r="AN959" s="84"/>
      <c r="AO959" s="84"/>
      <c r="AP959" s="84"/>
      <c r="AQ959" s="95" t="s">
        <v>2077</v>
      </c>
      <c r="AR959" s="72"/>
      <c r="AS959" s="72"/>
      <c r="AT959" s="72"/>
      <c r="AU959" s="72"/>
      <c r="AV959" s="72"/>
      <c r="AW959" s="72"/>
      <c r="AX959" s="72"/>
      <c r="AY959" s="72"/>
      <c r="AZ959" s="72"/>
      <c r="BA959" s="72"/>
      <c r="BB959" s="16"/>
      <c r="BC959" s="72"/>
      <c r="BD959" s="20"/>
      <c r="BE959" s="352"/>
    </row>
    <row r="960" spans="1:57" s="81" customFormat="1" ht="12.95" hidden="1" customHeight="1">
      <c r="A960" s="348"/>
      <c r="B960" s="350"/>
      <c r="C960" s="248" t="s">
        <v>1520</v>
      </c>
      <c r="D960" s="239" t="s">
        <v>5189</v>
      </c>
      <c r="E960" s="58"/>
      <c r="F960" s="59" t="s">
        <v>5190</v>
      </c>
      <c r="G960" s="191" t="s">
        <v>2511</v>
      </c>
      <c r="H960" s="192" t="s">
        <v>2078</v>
      </c>
      <c r="I960" s="61" t="s">
        <v>2511</v>
      </c>
      <c r="J960" s="61" t="s">
        <v>2511</v>
      </c>
      <c r="K960" s="62" t="s">
        <v>2511</v>
      </c>
      <c r="L960" s="60" t="s">
        <v>2511</v>
      </c>
      <c r="M960" s="61" t="s">
        <v>2389</v>
      </c>
      <c r="N960" s="61" t="s">
        <v>2511</v>
      </c>
      <c r="O960" s="61" t="s">
        <v>2511</v>
      </c>
      <c r="P960" s="62" t="s">
        <v>2511</v>
      </c>
      <c r="Q960" s="82"/>
      <c r="R960" s="82"/>
      <c r="S960" s="82"/>
      <c r="T960" s="82"/>
      <c r="U960" s="82"/>
      <c r="V960" s="138" t="s">
        <v>5191</v>
      </c>
      <c r="W960" s="57" t="s">
        <v>4966</v>
      </c>
      <c r="X960" s="126" t="s">
        <v>2511</v>
      </c>
      <c r="Y960" s="126" t="s">
        <v>2511</v>
      </c>
      <c r="Z960" s="57"/>
      <c r="AA960" s="57" t="s">
        <v>4533</v>
      </c>
      <c r="AB960" s="138"/>
      <c r="AC960" s="138" t="s">
        <v>2631</v>
      </c>
      <c r="AD960" s="96"/>
      <c r="AE960" s="80"/>
      <c r="AF960" s="80"/>
      <c r="AG960" s="80"/>
      <c r="AH960" s="83"/>
      <c r="AI960" s="83"/>
      <c r="AJ960" s="84"/>
      <c r="AK960" s="84"/>
      <c r="AL960" s="84"/>
      <c r="AM960" s="84"/>
      <c r="AN960" s="84"/>
      <c r="AO960" s="84"/>
      <c r="AP960" s="84"/>
      <c r="AQ960" s="95" t="s">
        <v>2078</v>
      </c>
      <c r="AR960" s="72"/>
      <c r="AS960" s="72"/>
      <c r="AT960" s="72"/>
      <c r="AU960" s="72"/>
      <c r="AV960" s="72"/>
      <c r="AW960" s="72"/>
      <c r="AX960" s="72"/>
      <c r="AY960" s="72"/>
      <c r="AZ960" s="72"/>
      <c r="BA960" s="72"/>
      <c r="BB960" s="16"/>
      <c r="BC960" s="72"/>
      <c r="BD960" s="20"/>
      <c r="BE960" s="352"/>
    </row>
    <row r="961" spans="1:57" s="81" customFormat="1" ht="12.95" hidden="1" customHeight="1">
      <c r="A961" s="348"/>
      <c r="B961" s="350"/>
      <c r="C961" s="248" t="s">
        <v>1521</v>
      </c>
      <c r="D961" s="239" t="s">
        <v>5192</v>
      </c>
      <c r="E961" s="58"/>
      <c r="F961" s="59" t="s">
        <v>5193</v>
      </c>
      <c r="G961" s="191" t="s">
        <v>2511</v>
      </c>
      <c r="H961" s="192" t="s">
        <v>2079</v>
      </c>
      <c r="I961" s="61" t="s">
        <v>2511</v>
      </c>
      <c r="J961" s="61" t="s">
        <v>2511</v>
      </c>
      <c r="K961" s="62" t="s">
        <v>2511</v>
      </c>
      <c r="L961" s="60" t="s">
        <v>2511</v>
      </c>
      <c r="M961" s="61" t="s">
        <v>2389</v>
      </c>
      <c r="N961" s="61" t="s">
        <v>2511</v>
      </c>
      <c r="O961" s="61" t="s">
        <v>2511</v>
      </c>
      <c r="P961" s="62" t="s">
        <v>2511</v>
      </c>
      <c r="Q961" s="82"/>
      <c r="R961" s="82"/>
      <c r="S961" s="82"/>
      <c r="T961" s="82"/>
      <c r="U961" s="82"/>
      <c r="V961" s="138" t="s">
        <v>5194</v>
      </c>
      <c r="W961" s="57" t="s">
        <v>4966</v>
      </c>
      <c r="X961" s="126" t="s">
        <v>2511</v>
      </c>
      <c r="Y961" s="126" t="s">
        <v>2511</v>
      </c>
      <c r="Z961" s="57"/>
      <c r="AA961" s="57" t="s">
        <v>4533</v>
      </c>
      <c r="AB961" s="138"/>
      <c r="AC961" s="138" t="s">
        <v>2631</v>
      </c>
      <c r="AD961" s="96"/>
      <c r="AE961" s="80"/>
      <c r="AF961" s="80"/>
      <c r="AG961" s="80"/>
      <c r="AH961" s="83"/>
      <c r="AI961" s="83"/>
      <c r="AJ961" s="84"/>
      <c r="AK961" s="84"/>
      <c r="AL961" s="84"/>
      <c r="AM961" s="84"/>
      <c r="AN961" s="84"/>
      <c r="AO961" s="84"/>
      <c r="AP961" s="84"/>
      <c r="AQ961" s="95" t="s">
        <v>2079</v>
      </c>
      <c r="AR961" s="72"/>
      <c r="AS961" s="72"/>
      <c r="AT961" s="72"/>
      <c r="AU961" s="72"/>
      <c r="AV961" s="72"/>
      <c r="AW961" s="72"/>
      <c r="AX961" s="72"/>
      <c r="AY961" s="72"/>
      <c r="AZ961" s="72"/>
      <c r="BA961" s="72"/>
      <c r="BB961" s="16"/>
      <c r="BC961" s="72"/>
      <c r="BD961" s="20"/>
      <c r="BE961" s="352"/>
    </row>
    <row r="962" spans="1:57" s="81" customFormat="1" ht="12.95" hidden="1" customHeight="1">
      <c r="A962" s="348"/>
      <c r="B962" s="350"/>
      <c r="C962" s="248" t="s">
        <v>1522</v>
      </c>
      <c r="D962" s="239" t="s">
        <v>5195</v>
      </c>
      <c r="E962" s="58"/>
      <c r="F962" s="59" t="s">
        <v>5196</v>
      </c>
      <c r="G962" s="191" t="s">
        <v>2511</v>
      </c>
      <c r="H962" s="192" t="s">
        <v>2080</v>
      </c>
      <c r="I962" s="61" t="s">
        <v>2511</v>
      </c>
      <c r="J962" s="61" t="s">
        <v>2511</v>
      </c>
      <c r="K962" s="62" t="s">
        <v>2511</v>
      </c>
      <c r="L962" s="60" t="s">
        <v>2511</v>
      </c>
      <c r="M962" s="61" t="s">
        <v>2389</v>
      </c>
      <c r="N962" s="61" t="s">
        <v>2511</v>
      </c>
      <c r="O962" s="61" t="s">
        <v>2511</v>
      </c>
      <c r="P962" s="62" t="s">
        <v>2511</v>
      </c>
      <c r="Q962" s="82"/>
      <c r="R962" s="82"/>
      <c r="S962" s="82"/>
      <c r="T962" s="82"/>
      <c r="U962" s="82"/>
      <c r="V962" s="138" t="s">
        <v>5197</v>
      </c>
      <c r="W962" s="57" t="s">
        <v>4966</v>
      </c>
      <c r="X962" s="126" t="s">
        <v>2511</v>
      </c>
      <c r="Y962" s="126" t="s">
        <v>2511</v>
      </c>
      <c r="Z962" s="57"/>
      <c r="AA962" s="57" t="s">
        <v>4533</v>
      </c>
      <c r="AB962" s="138"/>
      <c r="AC962" s="138" t="s">
        <v>2631</v>
      </c>
      <c r="AD962" s="96"/>
      <c r="AE962" s="80"/>
      <c r="AF962" s="80"/>
      <c r="AG962" s="80"/>
      <c r="AH962" s="83"/>
      <c r="AI962" s="83"/>
      <c r="AJ962" s="84"/>
      <c r="AK962" s="84"/>
      <c r="AL962" s="84"/>
      <c r="AM962" s="84"/>
      <c r="AN962" s="84"/>
      <c r="AO962" s="84"/>
      <c r="AP962" s="84"/>
      <c r="AQ962" s="95" t="s">
        <v>2080</v>
      </c>
      <c r="AR962" s="72"/>
      <c r="AS962" s="72"/>
      <c r="AT962" s="72"/>
      <c r="AU962" s="72"/>
      <c r="AV962" s="72"/>
      <c r="AW962" s="72"/>
      <c r="AX962" s="72"/>
      <c r="AY962" s="72"/>
      <c r="AZ962" s="72"/>
      <c r="BA962" s="72"/>
      <c r="BB962" s="16"/>
      <c r="BC962" s="72"/>
      <c r="BD962" s="20"/>
      <c r="BE962" s="352"/>
    </row>
    <row r="963" spans="1:57" s="81" customFormat="1" ht="12.95" hidden="1" customHeight="1">
      <c r="A963" s="348"/>
      <c r="B963" s="350"/>
      <c r="C963" s="248" t="s">
        <v>1523</v>
      </c>
      <c r="D963" s="239" t="s">
        <v>5198</v>
      </c>
      <c r="E963" s="58"/>
      <c r="F963" s="59" t="s">
        <v>5199</v>
      </c>
      <c r="G963" s="191" t="s">
        <v>2511</v>
      </c>
      <c r="H963" s="192" t="s">
        <v>2081</v>
      </c>
      <c r="I963" s="61" t="s">
        <v>2511</v>
      </c>
      <c r="J963" s="61" t="s">
        <v>2511</v>
      </c>
      <c r="K963" s="62" t="s">
        <v>2511</v>
      </c>
      <c r="L963" s="60" t="s">
        <v>2511</v>
      </c>
      <c r="M963" s="61" t="s">
        <v>2389</v>
      </c>
      <c r="N963" s="61" t="s">
        <v>2511</v>
      </c>
      <c r="O963" s="61" t="s">
        <v>2511</v>
      </c>
      <c r="P963" s="62" t="s">
        <v>2511</v>
      </c>
      <c r="Q963" s="82"/>
      <c r="R963" s="82"/>
      <c r="S963" s="82"/>
      <c r="T963" s="82"/>
      <c r="U963" s="82"/>
      <c r="V963" s="138" t="s">
        <v>5200</v>
      </c>
      <c r="W963" s="57" t="s">
        <v>4966</v>
      </c>
      <c r="X963" s="126" t="s">
        <v>2511</v>
      </c>
      <c r="Y963" s="126" t="s">
        <v>2511</v>
      </c>
      <c r="Z963" s="57"/>
      <c r="AA963" s="57" t="s">
        <v>4533</v>
      </c>
      <c r="AB963" s="138"/>
      <c r="AC963" s="138" t="s">
        <v>2631</v>
      </c>
      <c r="AD963" s="96"/>
      <c r="AE963" s="80"/>
      <c r="AF963" s="80"/>
      <c r="AG963" s="80"/>
      <c r="AH963" s="83"/>
      <c r="AI963" s="83"/>
      <c r="AJ963" s="84"/>
      <c r="AK963" s="84"/>
      <c r="AL963" s="84"/>
      <c r="AM963" s="84"/>
      <c r="AN963" s="84"/>
      <c r="AO963" s="84"/>
      <c r="AP963" s="84"/>
      <c r="AQ963" s="95" t="s">
        <v>2081</v>
      </c>
      <c r="AR963" s="72"/>
      <c r="AS963" s="72"/>
      <c r="AT963" s="72"/>
      <c r="AU963" s="72"/>
      <c r="AV963" s="72"/>
      <c r="AW963" s="72"/>
      <c r="AX963" s="72"/>
      <c r="AY963" s="72"/>
      <c r="AZ963" s="72"/>
      <c r="BA963" s="72"/>
      <c r="BB963" s="16"/>
      <c r="BC963" s="72"/>
      <c r="BD963" s="20"/>
      <c r="BE963" s="352"/>
    </row>
    <row r="964" spans="1:57" s="81" customFormat="1" ht="12.95" hidden="1" customHeight="1">
      <c r="A964" s="348"/>
      <c r="B964" s="350"/>
      <c r="C964" s="248" t="s">
        <v>1524</v>
      </c>
      <c r="D964" s="239" t="s">
        <v>5201</v>
      </c>
      <c r="E964" s="58"/>
      <c r="F964" s="59" t="s">
        <v>5202</v>
      </c>
      <c r="G964" s="191" t="s">
        <v>2511</v>
      </c>
      <c r="H964" s="192" t="s">
        <v>2082</v>
      </c>
      <c r="I964" s="61" t="s">
        <v>2511</v>
      </c>
      <c r="J964" s="61" t="s">
        <v>2511</v>
      </c>
      <c r="K964" s="62" t="s">
        <v>2511</v>
      </c>
      <c r="L964" s="60" t="s">
        <v>2511</v>
      </c>
      <c r="M964" s="61" t="s">
        <v>2389</v>
      </c>
      <c r="N964" s="61" t="s">
        <v>2511</v>
      </c>
      <c r="O964" s="61" t="s">
        <v>2511</v>
      </c>
      <c r="P964" s="62" t="s">
        <v>2511</v>
      </c>
      <c r="Q964" s="82"/>
      <c r="R964" s="82"/>
      <c r="S964" s="82"/>
      <c r="T964" s="82"/>
      <c r="U964" s="82"/>
      <c r="V964" s="138" t="s">
        <v>5203</v>
      </c>
      <c r="W964" s="57" t="s">
        <v>4966</v>
      </c>
      <c r="X964" s="126" t="s">
        <v>2511</v>
      </c>
      <c r="Y964" s="126" t="s">
        <v>2511</v>
      </c>
      <c r="Z964" s="57"/>
      <c r="AA964" s="57" t="s">
        <v>4533</v>
      </c>
      <c r="AB964" s="138"/>
      <c r="AC964" s="138" t="s">
        <v>2631</v>
      </c>
      <c r="AD964" s="96"/>
      <c r="AE964" s="80"/>
      <c r="AF964" s="80"/>
      <c r="AG964" s="80"/>
      <c r="AH964" s="83"/>
      <c r="AI964" s="83"/>
      <c r="AJ964" s="84"/>
      <c r="AK964" s="84"/>
      <c r="AL964" s="84"/>
      <c r="AM964" s="84"/>
      <c r="AN964" s="84"/>
      <c r="AO964" s="84"/>
      <c r="AP964" s="84"/>
      <c r="AQ964" s="95" t="s">
        <v>2082</v>
      </c>
      <c r="AR964" s="72"/>
      <c r="AS964" s="72"/>
      <c r="AT964" s="72"/>
      <c r="AU964" s="72"/>
      <c r="AV964" s="72"/>
      <c r="AW964" s="72"/>
      <c r="AX964" s="72"/>
      <c r="AY964" s="72"/>
      <c r="AZ964" s="72"/>
      <c r="BA964" s="72"/>
      <c r="BB964" s="16"/>
      <c r="BC964" s="72"/>
      <c r="BD964" s="20"/>
      <c r="BE964" s="352"/>
    </row>
    <row r="965" spans="1:57" s="81" customFormat="1" ht="12.95" hidden="1" customHeight="1">
      <c r="A965" s="348"/>
      <c r="B965" s="350"/>
      <c r="C965" s="248" t="s">
        <v>1525</v>
      </c>
      <c r="D965" s="239" t="s">
        <v>5204</v>
      </c>
      <c r="E965" s="58"/>
      <c r="F965" s="59" t="s">
        <v>5205</v>
      </c>
      <c r="G965" s="191" t="s">
        <v>2511</v>
      </c>
      <c r="H965" s="192" t="s">
        <v>2083</v>
      </c>
      <c r="I965" s="61" t="s">
        <v>2511</v>
      </c>
      <c r="J965" s="61" t="s">
        <v>2511</v>
      </c>
      <c r="K965" s="62" t="s">
        <v>2511</v>
      </c>
      <c r="L965" s="60" t="s">
        <v>2511</v>
      </c>
      <c r="M965" s="61" t="s">
        <v>2389</v>
      </c>
      <c r="N965" s="61" t="s">
        <v>2511</v>
      </c>
      <c r="O965" s="61" t="s">
        <v>2511</v>
      </c>
      <c r="P965" s="62" t="s">
        <v>2511</v>
      </c>
      <c r="Q965" s="82"/>
      <c r="R965" s="82"/>
      <c r="S965" s="82"/>
      <c r="T965" s="82"/>
      <c r="U965" s="82"/>
      <c r="V965" s="138" t="s">
        <v>5206</v>
      </c>
      <c r="W965" s="57" t="s">
        <v>4966</v>
      </c>
      <c r="X965" s="126" t="s">
        <v>2511</v>
      </c>
      <c r="Y965" s="126" t="s">
        <v>2511</v>
      </c>
      <c r="Z965" s="57"/>
      <c r="AA965" s="57" t="s">
        <v>4533</v>
      </c>
      <c r="AB965" s="138"/>
      <c r="AC965" s="138" t="s">
        <v>2631</v>
      </c>
      <c r="AD965" s="96"/>
      <c r="AE965" s="80"/>
      <c r="AF965" s="80"/>
      <c r="AG965" s="80"/>
      <c r="AH965" s="83"/>
      <c r="AI965" s="83"/>
      <c r="AJ965" s="84"/>
      <c r="AK965" s="84"/>
      <c r="AL965" s="84"/>
      <c r="AM965" s="84"/>
      <c r="AN965" s="84"/>
      <c r="AO965" s="84"/>
      <c r="AP965" s="84"/>
      <c r="AQ965" s="95" t="s">
        <v>2083</v>
      </c>
      <c r="AR965" s="72"/>
      <c r="AS965" s="72"/>
      <c r="AT965" s="72"/>
      <c r="AU965" s="72"/>
      <c r="AV965" s="72"/>
      <c r="AW965" s="72"/>
      <c r="AX965" s="72"/>
      <c r="AY965" s="72"/>
      <c r="AZ965" s="72"/>
      <c r="BA965" s="72"/>
      <c r="BB965" s="16"/>
      <c r="BC965" s="72"/>
      <c r="BD965" s="20"/>
      <c r="BE965" s="352"/>
    </row>
    <row r="966" spans="1:57" s="81" customFormat="1" ht="12.95" hidden="1" customHeight="1">
      <c r="A966" s="348"/>
      <c r="B966" s="350"/>
      <c r="C966" s="270" t="s">
        <v>1526</v>
      </c>
      <c r="D966" s="239" t="s">
        <v>5207</v>
      </c>
      <c r="E966" s="58"/>
      <c r="F966" s="59" t="s">
        <v>5208</v>
      </c>
      <c r="G966" s="191" t="s">
        <v>2511</v>
      </c>
      <c r="H966" s="192" t="s">
        <v>2084</v>
      </c>
      <c r="I966" s="61" t="s">
        <v>2511</v>
      </c>
      <c r="J966" s="61" t="s">
        <v>2511</v>
      </c>
      <c r="K966" s="62" t="s">
        <v>2511</v>
      </c>
      <c r="L966" s="60" t="s">
        <v>2511</v>
      </c>
      <c r="M966" s="61" t="s">
        <v>2389</v>
      </c>
      <c r="N966" s="61" t="s">
        <v>2511</v>
      </c>
      <c r="O966" s="61" t="s">
        <v>2511</v>
      </c>
      <c r="P966" s="62" t="s">
        <v>2511</v>
      </c>
      <c r="Q966" s="82"/>
      <c r="R966" s="82"/>
      <c r="S966" s="82"/>
      <c r="T966" s="82"/>
      <c r="U966" s="82"/>
      <c r="V966" s="138" t="s">
        <v>5209</v>
      </c>
      <c r="W966" s="57" t="s">
        <v>4966</v>
      </c>
      <c r="X966" s="126" t="s">
        <v>2511</v>
      </c>
      <c r="Y966" s="126" t="s">
        <v>2511</v>
      </c>
      <c r="Z966" s="57"/>
      <c r="AA966" s="57" t="s">
        <v>4533</v>
      </c>
      <c r="AB966" s="138"/>
      <c r="AC966" s="138" t="s">
        <v>2631</v>
      </c>
      <c r="AD966" s="96"/>
      <c r="AE966" s="80"/>
      <c r="AF966" s="80"/>
      <c r="AG966" s="80"/>
      <c r="AH966" s="83"/>
      <c r="AI966" s="83"/>
      <c r="AJ966" s="84"/>
      <c r="AK966" s="84"/>
      <c r="AL966" s="84"/>
      <c r="AM966" s="84"/>
      <c r="AN966" s="84"/>
      <c r="AO966" s="84"/>
      <c r="AP966" s="84"/>
      <c r="AQ966" s="95" t="s">
        <v>2084</v>
      </c>
      <c r="AR966" s="72"/>
      <c r="AS966" s="72"/>
      <c r="AT966" s="72"/>
      <c r="AU966" s="72"/>
      <c r="AV966" s="72"/>
      <c r="AW966" s="72"/>
      <c r="AX966" s="72"/>
      <c r="AY966" s="72"/>
      <c r="AZ966" s="72"/>
      <c r="BA966" s="72"/>
      <c r="BB966" s="16"/>
      <c r="BC966" s="72"/>
      <c r="BD966" s="20"/>
      <c r="BE966" s="352"/>
    </row>
    <row r="967" spans="1:57" s="81" customFormat="1" ht="12.95" hidden="1" customHeight="1">
      <c r="A967" s="348"/>
      <c r="B967" s="350"/>
      <c r="C967" s="270" t="s">
        <v>1527</v>
      </c>
      <c r="D967" s="239" t="s">
        <v>5210</v>
      </c>
      <c r="E967" s="58"/>
      <c r="F967" s="59" t="s">
        <v>5211</v>
      </c>
      <c r="G967" s="191" t="s">
        <v>2511</v>
      </c>
      <c r="H967" s="192" t="s">
        <v>2085</v>
      </c>
      <c r="I967" s="61" t="s">
        <v>2511</v>
      </c>
      <c r="J967" s="61" t="s">
        <v>2511</v>
      </c>
      <c r="K967" s="62" t="s">
        <v>2511</v>
      </c>
      <c r="L967" s="60" t="s">
        <v>2511</v>
      </c>
      <c r="M967" s="61" t="s">
        <v>2389</v>
      </c>
      <c r="N967" s="61" t="s">
        <v>2511</v>
      </c>
      <c r="O967" s="61" t="s">
        <v>2511</v>
      </c>
      <c r="P967" s="62" t="s">
        <v>2511</v>
      </c>
      <c r="Q967" s="82"/>
      <c r="R967" s="82"/>
      <c r="S967" s="82"/>
      <c r="T967" s="82"/>
      <c r="U967" s="82"/>
      <c r="V967" s="138" t="s">
        <v>5212</v>
      </c>
      <c r="W967" s="57" t="s">
        <v>4966</v>
      </c>
      <c r="X967" s="126" t="s">
        <v>2511</v>
      </c>
      <c r="Y967" s="126" t="s">
        <v>2511</v>
      </c>
      <c r="Z967" s="57"/>
      <c r="AA967" s="57" t="s">
        <v>4533</v>
      </c>
      <c r="AB967" s="138"/>
      <c r="AC967" s="138" t="s">
        <v>2631</v>
      </c>
      <c r="AD967" s="96"/>
      <c r="AE967" s="80"/>
      <c r="AF967" s="80"/>
      <c r="AG967" s="80"/>
      <c r="AH967" s="83"/>
      <c r="AI967" s="83"/>
      <c r="AJ967" s="84"/>
      <c r="AK967" s="84"/>
      <c r="AL967" s="84"/>
      <c r="AM967" s="84"/>
      <c r="AN967" s="84"/>
      <c r="AO967" s="84"/>
      <c r="AP967" s="84"/>
      <c r="AQ967" s="95" t="s">
        <v>2085</v>
      </c>
      <c r="AR967" s="72"/>
      <c r="AS967" s="72"/>
      <c r="AT967" s="72"/>
      <c r="AU967" s="72"/>
      <c r="AV967" s="72"/>
      <c r="AW967" s="72"/>
      <c r="AX967" s="72"/>
      <c r="AY967" s="72"/>
      <c r="AZ967" s="72"/>
      <c r="BA967" s="72"/>
      <c r="BB967" s="16"/>
      <c r="BC967" s="72"/>
      <c r="BD967" s="20"/>
      <c r="BE967" s="352"/>
    </row>
    <row r="968" spans="1:57" s="81" customFormat="1" ht="12.75" hidden="1" customHeight="1">
      <c r="A968" s="348"/>
      <c r="B968" s="350"/>
      <c r="C968" s="248" t="s">
        <v>1528</v>
      </c>
      <c r="D968" s="239" t="s">
        <v>5213</v>
      </c>
      <c r="E968" s="58"/>
      <c r="F968" s="59" t="s">
        <v>5214</v>
      </c>
      <c r="G968" s="191" t="s">
        <v>2511</v>
      </c>
      <c r="H968" s="192" t="s">
        <v>2086</v>
      </c>
      <c r="I968" s="61" t="s">
        <v>2511</v>
      </c>
      <c r="J968" s="61" t="s">
        <v>2511</v>
      </c>
      <c r="K968" s="62" t="s">
        <v>2511</v>
      </c>
      <c r="L968" s="60" t="s">
        <v>2511</v>
      </c>
      <c r="M968" s="61" t="s">
        <v>2389</v>
      </c>
      <c r="N968" s="61" t="s">
        <v>2511</v>
      </c>
      <c r="O968" s="61" t="s">
        <v>2511</v>
      </c>
      <c r="P968" s="62" t="s">
        <v>2511</v>
      </c>
      <c r="Q968" s="82"/>
      <c r="R968" s="82"/>
      <c r="S968" s="82"/>
      <c r="T968" s="82"/>
      <c r="U968" s="82"/>
      <c r="V968" s="138" t="s">
        <v>5215</v>
      </c>
      <c r="W968" s="57" t="s">
        <v>4966</v>
      </c>
      <c r="X968" s="126" t="s">
        <v>2511</v>
      </c>
      <c r="Y968" s="126" t="s">
        <v>2511</v>
      </c>
      <c r="Z968" s="57"/>
      <c r="AA968" s="57" t="s">
        <v>4533</v>
      </c>
      <c r="AB968" s="138"/>
      <c r="AC968" s="138">
        <v>0</v>
      </c>
      <c r="AD968" s="96"/>
      <c r="AE968" s="80"/>
      <c r="AF968" s="80"/>
      <c r="AG968" s="80"/>
      <c r="AH968" s="83"/>
      <c r="AI968" s="83"/>
      <c r="AJ968" s="84"/>
      <c r="AK968" s="84"/>
      <c r="AL968" s="84"/>
      <c r="AM968" s="84"/>
      <c r="AN968" s="84"/>
      <c r="AO968" s="84"/>
      <c r="AP968" s="84"/>
      <c r="AQ968" s="95" t="s">
        <v>2086</v>
      </c>
      <c r="AR968" s="72"/>
      <c r="AS968" s="72"/>
      <c r="AT968" s="72"/>
      <c r="AU968" s="72"/>
      <c r="AV968" s="72"/>
      <c r="AW968" s="72"/>
      <c r="AX968" s="72"/>
      <c r="AY968" s="72"/>
      <c r="AZ968" s="72"/>
      <c r="BA968" s="72"/>
      <c r="BB968" s="16"/>
      <c r="BC968" s="72"/>
      <c r="BD968" s="20"/>
      <c r="BE968" s="352"/>
    </row>
    <row r="969" spans="1:57" s="81" customFormat="1" ht="12.95" hidden="1" customHeight="1">
      <c r="A969" s="348"/>
      <c r="B969" s="350"/>
      <c r="C969" s="248" t="s">
        <v>1529</v>
      </c>
      <c r="D969" s="239" t="s">
        <v>5216</v>
      </c>
      <c r="E969" s="58"/>
      <c r="F969" s="59" t="s">
        <v>5217</v>
      </c>
      <c r="G969" s="191" t="s">
        <v>2511</v>
      </c>
      <c r="H969" s="192" t="s">
        <v>2087</v>
      </c>
      <c r="I969" s="61" t="s">
        <v>2511</v>
      </c>
      <c r="J969" s="61" t="s">
        <v>2511</v>
      </c>
      <c r="K969" s="62" t="s">
        <v>2511</v>
      </c>
      <c r="L969" s="60" t="s">
        <v>2511</v>
      </c>
      <c r="M969" s="61" t="s">
        <v>2389</v>
      </c>
      <c r="N969" s="61" t="s">
        <v>2511</v>
      </c>
      <c r="O969" s="61" t="s">
        <v>2511</v>
      </c>
      <c r="P969" s="62" t="s">
        <v>2511</v>
      </c>
      <c r="Q969" s="82"/>
      <c r="R969" s="82"/>
      <c r="S969" s="82"/>
      <c r="T969" s="82"/>
      <c r="U969" s="82"/>
      <c r="V969" s="138" t="s">
        <v>5218</v>
      </c>
      <c r="W969" s="57" t="s">
        <v>4966</v>
      </c>
      <c r="X969" s="126" t="s">
        <v>2511</v>
      </c>
      <c r="Y969" s="126" t="s">
        <v>2511</v>
      </c>
      <c r="Z969" s="57"/>
      <c r="AA969" s="57" t="s">
        <v>4533</v>
      </c>
      <c r="AB969" s="138"/>
      <c r="AC969" s="138" t="s">
        <v>2631</v>
      </c>
      <c r="AD969" s="96"/>
      <c r="AE969" s="80"/>
      <c r="AF969" s="80"/>
      <c r="AG969" s="80"/>
      <c r="AH969" s="83"/>
      <c r="AI969" s="83"/>
      <c r="AJ969" s="84"/>
      <c r="AK969" s="84"/>
      <c r="AL969" s="84"/>
      <c r="AM969" s="84"/>
      <c r="AN969" s="84"/>
      <c r="AO969" s="84"/>
      <c r="AP969" s="84"/>
      <c r="AQ969" s="95" t="s">
        <v>2087</v>
      </c>
      <c r="AR969" s="72"/>
      <c r="AS969" s="72"/>
      <c r="AT969" s="72"/>
      <c r="AU969" s="72"/>
      <c r="AV969" s="72"/>
      <c r="AW969" s="72"/>
      <c r="AX969" s="72"/>
      <c r="AY969" s="72"/>
      <c r="AZ969" s="72"/>
      <c r="BA969" s="72"/>
      <c r="BB969" s="16"/>
      <c r="BC969" s="72"/>
      <c r="BD969" s="20"/>
      <c r="BE969" s="352"/>
    </row>
    <row r="970" spans="1:57" s="81" customFormat="1" ht="12.95" hidden="1" customHeight="1">
      <c r="A970" s="348"/>
      <c r="B970" s="350"/>
      <c r="C970" s="248" t="s">
        <v>1530</v>
      </c>
      <c r="D970" s="239" t="s">
        <v>5219</v>
      </c>
      <c r="E970" s="58"/>
      <c r="F970" s="59" t="s">
        <v>5220</v>
      </c>
      <c r="G970" s="191" t="s">
        <v>2511</v>
      </c>
      <c r="H970" s="192" t="s">
        <v>2088</v>
      </c>
      <c r="I970" s="61" t="s">
        <v>2511</v>
      </c>
      <c r="J970" s="61" t="s">
        <v>2511</v>
      </c>
      <c r="K970" s="62" t="s">
        <v>2511</v>
      </c>
      <c r="L970" s="60" t="s">
        <v>2511</v>
      </c>
      <c r="M970" s="61" t="s">
        <v>2389</v>
      </c>
      <c r="N970" s="61" t="s">
        <v>2511</v>
      </c>
      <c r="O970" s="61" t="s">
        <v>2511</v>
      </c>
      <c r="P970" s="62" t="s">
        <v>2511</v>
      </c>
      <c r="Q970" s="82"/>
      <c r="R970" s="82"/>
      <c r="S970" s="82"/>
      <c r="T970" s="82"/>
      <c r="U970" s="82"/>
      <c r="V970" s="138" t="s">
        <v>5221</v>
      </c>
      <c r="W970" s="57" t="s">
        <v>4966</v>
      </c>
      <c r="X970" s="126" t="s">
        <v>2511</v>
      </c>
      <c r="Y970" s="126" t="s">
        <v>2511</v>
      </c>
      <c r="Z970" s="57"/>
      <c r="AA970" s="57" t="s">
        <v>4533</v>
      </c>
      <c r="AB970" s="138"/>
      <c r="AC970" s="138" t="s">
        <v>2631</v>
      </c>
      <c r="AD970" s="96"/>
      <c r="AE970" s="80"/>
      <c r="AF970" s="80"/>
      <c r="AG970" s="80"/>
      <c r="AH970" s="83"/>
      <c r="AI970" s="83"/>
      <c r="AJ970" s="84"/>
      <c r="AK970" s="84"/>
      <c r="AL970" s="84"/>
      <c r="AM970" s="84"/>
      <c r="AN970" s="84"/>
      <c r="AO970" s="84"/>
      <c r="AP970" s="84"/>
      <c r="AQ970" s="95" t="s">
        <v>2088</v>
      </c>
      <c r="AR970" s="72"/>
      <c r="AS970" s="72"/>
      <c r="AT970" s="72"/>
      <c r="AU970" s="72"/>
      <c r="AV970" s="72"/>
      <c r="AW970" s="72"/>
      <c r="AX970" s="72"/>
      <c r="AY970" s="72"/>
      <c r="AZ970" s="72"/>
      <c r="BA970" s="72"/>
      <c r="BB970" s="16"/>
      <c r="BC970" s="72"/>
      <c r="BD970" s="20"/>
      <c r="BE970" s="352"/>
    </row>
    <row r="971" spans="1:57" s="81" customFormat="1" ht="12.95" hidden="1" customHeight="1">
      <c r="A971" s="348"/>
      <c r="B971" s="350"/>
      <c r="C971" s="248" t="s">
        <v>1531</v>
      </c>
      <c r="D971" s="239" t="s">
        <v>5222</v>
      </c>
      <c r="E971" s="58"/>
      <c r="F971" s="59" t="s">
        <v>5223</v>
      </c>
      <c r="G971" s="191" t="s">
        <v>2511</v>
      </c>
      <c r="H971" s="192" t="s">
        <v>2089</v>
      </c>
      <c r="I971" s="61" t="s">
        <v>2511</v>
      </c>
      <c r="J971" s="61" t="s">
        <v>2511</v>
      </c>
      <c r="K971" s="62" t="s">
        <v>2511</v>
      </c>
      <c r="L971" s="60" t="s">
        <v>2511</v>
      </c>
      <c r="M971" s="61" t="s">
        <v>2389</v>
      </c>
      <c r="N971" s="61" t="s">
        <v>2511</v>
      </c>
      <c r="O971" s="61" t="s">
        <v>2511</v>
      </c>
      <c r="P971" s="62" t="s">
        <v>2511</v>
      </c>
      <c r="Q971" s="82"/>
      <c r="R971" s="82"/>
      <c r="S971" s="82"/>
      <c r="T971" s="82"/>
      <c r="U971" s="82"/>
      <c r="V971" s="138" t="s">
        <v>5224</v>
      </c>
      <c r="W971" s="57" t="s">
        <v>4966</v>
      </c>
      <c r="X971" s="126" t="s">
        <v>2511</v>
      </c>
      <c r="Y971" s="126" t="s">
        <v>2511</v>
      </c>
      <c r="Z971" s="57"/>
      <c r="AA971" s="57" t="s">
        <v>4533</v>
      </c>
      <c r="AB971" s="138"/>
      <c r="AC971" s="138" t="s">
        <v>2631</v>
      </c>
      <c r="AD971" s="96"/>
      <c r="AE971" s="80"/>
      <c r="AF971" s="80"/>
      <c r="AG971" s="80"/>
      <c r="AH971" s="83"/>
      <c r="AI971" s="83"/>
      <c r="AJ971" s="84"/>
      <c r="AK971" s="84"/>
      <c r="AL971" s="84"/>
      <c r="AM971" s="84"/>
      <c r="AN971" s="84"/>
      <c r="AO971" s="84"/>
      <c r="AP971" s="84"/>
      <c r="AQ971" s="95" t="s">
        <v>2089</v>
      </c>
      <c r="AR971" s="72"/>
      <c r="AS971" s="72"/>
      <c r="AT971" s="72"/>
      <c r="AU971" s="72"/>
      <c r="AV971" s="72"/>
      <c r="AW971" s="72"/>
      <c r="AX971" s="72"/>
      <c r="AY971" s="72"/>
      <c r="AZ971" s="72"/>
      <c r="BA971" s="72"/>
      <c r="BB971" s="16"/>
      <c r="BC971" s="72"/>
      <c r="BD971" s="20"/>
      <c r="BE971" s="352"/>
    </row>
    <row r="972" spans="1:57" s="81" customFormat="1" ht="12.95" hidden="1" customHeight="1">
      <c r="A972" s="348"/>
      <c r="B972" s="350"/>
      <c r="C972" s="248" t="s">
        <v>1532</v>
      </c>
      <c r="D972" s="239" t="s">
        <v>5225</v>
      </c>
      <c r="E972" s="58"/>
      <c r="F972" s="59" t="s">
        <v>5226</v>
      </c>
      <c r="G972" s="191" t="s">
        <v>2511</v>
      </c>
      <c r="H972" s="192" t="s">
        <v>2090</v>
      </c>
      <c r="I972" s="61" t="s">
        <v>2511</v>
      </c>
      <c r="J972" s="61" t="s">
        <v>2511</v>
      </c>
      <c r="K972" s="62" t="s">
        <v>2511</v>
      </c>
      <c r="L972" s="60" t="s">
        <v>2511</v>
      </c>
      <c r="M972" s="61" t="s">
        <v>2389</v>
      </c>
      <c r="N972" s="61" t="s">
        <v>2511</v>
      </c>
      <c r="O972" s="61" t="s">
        <v>2511</v>
      </c>
      <c r="P972" s="62" t="s">
        <v>2511</v>
      </c>
      <c r="Q972" s="82"/>
      <c r="R972" s="82"/>
      <c r="S972" s="82"/>
      <c r="T972" s="82"/>
      <c r="U972" s="82"/>
      <c r="V972" s="138" t="s">
        <v>5227</v>
      </c>
      <c r="W972" s="57" t="s">
        <v>4966</v>
      </c>
      <c r="X972" s="126" t="s">
        <v>2511</v>
      </c>
      <c r="Y972" s="126" t="s">
        <v>2511</v>
      </c>
      <c r="Z972" s="57"/>
      <c r="AA972" s="57" t="s">
        <v>4533</v>
      </c>
      <c r="AB972" s="138"/>
      <c r="AC972" s="138" t="s">
        <v>2631</v>
      </c>
      <c r="AD972" s="96"/>
      <c r="AE972" s="80"/>
      <c r="AF972" s="80"/>
      <c r="AG972" s="80"/>
      <c r="AH972" s="83"/>
      <c r="AI972" s="83"/>
      <c r="AJ972" s="84"/>
      <c r="AK972" s="84"/>
      <c r="AL972" s="84"/>
      <c r="AM972" s="84"/>
      <c r="AN972" s="84"/>
      <c r="AO972" s="84"/>
      <c r="AP972" s="84"/>
      <c r="AQ972" s="95" t="s">
        <v>2090</v>
      </c>
      <c r="AR972" s="72"/>
      <c r="AS972" s="72"/>
      <c r="AT972" s="72"/>
      <c r="AU972" s="72"/>
      <c r="AV972" s="72"/>
      <c r="AW972" s="72"/>
      <c r="AX972" s="72"/>
      <c r="AY972" s="72"/>
      <c r="AZ972" s="72"/>
      <c r="BA972" s="72"/>
      <c r="BB972" s="16"/>
      <c r="BC972" s="72"/>
      <c r="BD972" s="20"/>
      <c r="BE972" s="352"/>
    </row>
    <row r="973" spans="1:57" s="81" customFormat="1" ht="12.95" hidden="1" customHeight="1">
      <c r="A973" s="348"/>
      <c r="B973" s="350"/>
      <c r="C973" s="248" t="s">
        <v>1533</v>
      </c>
      <c r="D973" s="239" t="s">
        <v>5228</v>
      </c>
      <c r="E973" s="58"/>
      <c r="F973" s="59" t="s">
        <v>5229</v>
      </c>
      <c r="G973" s="191" t="s">
        <v>2511</v>
      </c>
      <c r="H973" s="192" t="s">
        <v>2091</v>
      </c>
      <c r="I973" s="61" t="s">
        <v>2511</v>
      </c>
      <c r="J973" s="61" t="s">
        <v>2511</v>
      </c>
      <c r="K973" s="62" t="s">
        <v>2511</v>
      </c>
      <c r="L973" s="60" t="s">
        <v>2511</v>
      </c>
      <c r="M973" s="61" t="s">
        <v>2389</v>
      </c>
      <c r="N973" s="61" t="s">
        <v>2511</v>
      </c>
      <c r="O973" s="61" t="s">
        <v>2511</v>
      </c>
      <c r="P973" s="62" t="s">
        <v>2511</v>
      </c>
      <c r="Q973" s="82"/>
      <c r="R973" s="82"/>
      <c r="S973" s="82"/>
      <c r="T973" s="82"/>
      <c r="U973" s="82"/>
      <c r="V973" s="138" t="s">
        <v>5230</v>
      </c>
      <c r="W973" s="57" t="s">
        <v>4966</v>
      </c>
      <c r="X973" s="126" t="s">
        <v>2511</v>
      </c>
      <c r="Y973" s="126" t="s">
        <v>2511</v>
      </c>
      <c r="Z973" s="57"/>
      <c r="AA973" s="57" t="s">
        <v>4533</v>
      </c>
      <c r="AB973" s="138"/>
      <c r="AC973" s="138" t="s">
        <v>2631</v>
      </c>
      <c r="AD973" s="96"/>
      <c r="AE973" s="80"/>
      <c r="AF973" s="80"/>
      <c r="AG973" s="80"/>
      <c r="AH973" s="83"/>
      <c r="AI973" s="83"/>
      <c r="AJ973" s="84"/>
      <c r="AK973" s="84"/>
      <c r="AL973" s="84"/>
      <c r="AM973" s="84"/>
      <c r="AN973" s="84"/>
      <c r="AO973" s="84"/>
      <c r="AP973" s="84"/>
      <c r="AQ973" s="95" t="s">
        <v>2091</v>
      </c>
      <c r="AR973" s="72"/>
      <c r="AS973" s="72"/>
      <c r="AT973" s="72"/>
      <c r="AU973" s="72"/>
      <c r="AV973" s="72"/>
      <c r="AW973" s="72"/>
      <c r="AX973" s="72"/>
      <c r="AY973" s="72"/>
      <c r="AZ973" s="72"/>
      <c r="BA973" s="72"/>
      <c r="BB973" s="16"/>
      <c r="BC973" s="72"/>
      <c r="BD973" s="20"/>
      <c r="BE973" s="352"/>
    </row>
    <row r="974" spans="1:57" s="81" customFormat="1" ht="12.95" hidden="1" customHeight="1">
      <c r="A974" s="348"/>
      <c r="B974" s="350"/>
      <c r="C974" s="248" t="s">
        <v>1534</v>
      </c>
      <c r="D974" s="239" t="s">
        <v>5231</v>
      </c>
      <c r="E974" s="58"/>
      <c r="F974" s="59" t="s">
        <v>5232</v>
      </c>
      <c r="G974" s="191" t="s">
        <v>2511</v>
      </c>
      <c r="H974" s="192" t="s">
        <v>2092</v>
      </c>
      <c r="I974" s="61" t="s">
        <v>2511</v>
      </c>
      <c r="J974" s="61" t="s">
        <v>2511</v>
      </c>
      <c r="K974" s="62" t="s">
        <v>2511</v>
      </c>
      <c r="L974" s="60" t="s">
        <v>2511</v>
      </c>
      <c r="M974" s="61" t="s">
        <v>2389</v>
      </c>
      <c r="N974" s="61" t="s">
        <v>2511</v>
      </c>
      <c r="O974" s="61" t="s">
        <v>2511</v>
      </c>
      <c r="P974" s="62" t="s">
        <v>2511</v>
      </c>
      <c r="Q974" s="82"/>
      <c r="R974" s="82"/>
      <c r="S974" s="82"/>
      <c r="T974" s="82"/>
      <c r="U974" s="82"/>
      <c r="V974" s="138" t="s">
        <v>5233</v>
      </c>
      <c r="W974" s="57" t="s">
        <v>4966</v>
      </c>
      <c r="X974" s="126" t="s">
        <v>2511</v>
      </c>
      <c r="Y974" s="126" t="s">
        <v>2511</v>
      </c>
      <c r="Z974" s="57"/>
      <c r="AA974" s="57" t="s">
        <v>4533</v>
      </c>
      <c r="AB974" s="138"/>
      <c r="AC974" s="138" t="s">
        <v>2631</v>
      </c>
      <c r="AD974" s="96"/>
      <c r="AE974" s="80"/>
      <c r="AF974" s="80"/>
      <c r="AG974" s="80"/>
      <c r="AH974" s="83"/>
      <c r="AI974" s="83"/>
      <c r="AJ974" s="84"/>
      <c r="AK974" s="84"/>
      <c r="AL974" s="84"/>
      <c r="AM974" s="84"/>
      <c r="AN974" s="84"/>
      <c r="AO974" s="84"/>
      <c r="AP974" s="84"/>
      <c r="AQ974" s="95" t="s">
        <v>2092</v>
      </c>
      <c r="AR974" s="72"/>
      <c r="AS974" s="72"/>
      <c r="AT974" s="72"/>
      <c r="AU974" s="72"/>
      <c r="AV974" s="72"/>
      <c r="AW974" s="72"/>
      <c r="AX974" s="72"/>
      <c r="AY974" s="72"/>
      <c r="AZ974" s="72"/>
      <c r="BA974" s="72"/>
      <c r="BB974" s="16"/>
      <c r="BC974" s="72"/>
      <c r="BD974" s="20"/>
      <c r="BE974" s="352"/>
    </row>
    <row r="975" spans="1:57" s="81" customFormat="1" ht="12.95" hidden="1" customHeight="1">
      <c r="A975" s="348"/>
      <c r="B975" s="350"/>
      <c r="C975" s="248" t="s">
        <v>1535</v>
      </c>
      <c r="D975" s="239" t="s">
        <v>5234</v>
      </c>
      <c r="E975" s="58"/>
      <c r="F975" s="59" t="s">
        <v>5235</v>
      </c>
      <c r="G975" s="191" t="s">
        <v>2511</v>
      </c>
      <c r="H975" s="192" t="s">
        <v>2093</v>
      </c>
      <c r="I975" s="61" t="s">
        <v>2511</v>
      </c>
      <c r="J975" s="61" t="s">
        <v>2511</v>
      </c>
      <c r="K975" s="62" t="s">
        <v>2511</v>
      </c>
      <c r="L975" s="60" t="s">
        <v>2511</v>
      </c>
      <c r="M975" s="61" t="s">
        <v>2389</v>
      </c>
      <c r="N975" s="61" t="s">
        <v>2511</v>
      </c>
      <c r="O975" s="61" t="s">
        <v>2511</v>
      </c>
      <c r="P975" s="62" t="s">
        <v>2511</v>
      </c>
      <c r="Q975" s="82"/>
      <c r="R975" s="82"/>
      <c r="S975" s="82"/>
      <c r="T975" s="82"/>
      <c r="U975" s="82"/>
      <c r="V975" s="138" t="s">
        <v>5236</v>
      </c>
      <c r="W975" s="57" t="s">
        <v>4966</v>
      </c>
      <c r="X975" s="126" t="s">
        <v>2511</v>
      </c>
      <c r="Y975" s="126" t="s">
        <v>2511</v>
      </c>
      <c r="Z975" s="57"/>
      <c r="AA975" s="57" t="s">
        <v>4533</v>
      </c>
      <c r="AB975" s="138"/>
      <c r="AC975" s="138" t="s">
        <v>2631</v>
      </c>
      <c r="AD975" s="96"/>
      <c r="AE975" s="80"/>
      <c r="AF975" s="80"/>
      <c r="AG975" s="80"/>
      <c r="AH975" s="83"/>
      <c r="AI975" s="83"/>
      <c r="AJ975" s="84"/>
      <c r="AK975" s="84"/>
      <c r="AL975" s="84"/>
      <c r="AM975" s="84"/>
      <c r="AN975" s="84"/>
      <c r="AO975" s="84"/>
      <c r="AP975" s="84"/>
      <c r="AQ975" s="95" t="s">
        <v>2093</v>
      </c>
      <c r="AR975" s="72"/>
      <c r="AS975" s="72"/>
      <c r="AT975" s="72"/>
      <c r="AU975" s="72"/>
      <c r="AV975" s="72"/>
      <c r="AW975" s="72"/>
      <c r="AX975" s="72"/>
      <c r="AY975" s="72"/>
      <c r="AZ975" s="72"/>
      <c r="BA975" s="72"/>
      <c r="BB975" s="16"/>
      <c r="BC975" s="72"/>
      <c r="BD975" s="20"/>
      <c r="BE975" s="352"/>
    </row>
    <row r="976" spans="1:57" s="81" customFormat="1" ht="12.95" hidden="1" customHeight="1">
      <c r="A976" s="348"/>
      <c r="B976" s="350"/>
      <c r="C976" s="248" t="s">
        <v>1536</v>
      </c>
      <c r="D976" s="239" t="s">
        <v>5237</v>
      </c>
      <c r="E976" s="58"/>
      <c r="F976" s="59" t="s">
        <v>5238</v>
      </c>
      <c r="G976" s="191" t="s">
        <v>2511</v>
      </c>
      <c r="H976" s="192" t="s">
        <v>2094</v>
      </c>
      <c r="I976" s="61" t="s">
        <v>2511</v>
      </c>
      <c r="J976" s="61" t="s">
        <v>2511</v>
      </c>
      <c r="K976" s="62" t="s">
        <v>2511</v>
      </c>
      <c r="L976" s="60" t="s">
        <v>2511</v>
      </c>
      <c r="M976" s="61" t="s">
        <v>2389</v>
      </c>
      <c r="N976" s="61" t="s">
        <v>2511</v>
      </c>
      <c r="O976" s="61" t="s">
        <v>2511</v>
      </c>
      <c r="P976" s="62" t="s">
        <v>2511</v>
      </c>
      <c r="Q976" s="82"/>
      <c r="R976" s="82"/>
      <c r="S976" s="82"/>
      <c r="T976" s="82"/>
      <c r="U976" s="82"/>
      <c r="V976" s="138" t="s">
        <v>5239</v>
      </c>
      <c r="W976" s="57" t="s">
        <v>4966</v>
      </c>
      <c r="X976" s="126" t="s">
        <v>2511</v>
      </c>
      <c r="Y976" s="126" t="s">
        <v>2511</v>
      </c>
      <c r="Z976" s="57"/>
      <c r="AA976" s="57" t="s">
        <v>4533</v>
      </c>
      <c r="AB976" s="138"/>
      <c r="AC976" s="138" t="s">
        <v>2631</v>
      </c>
      <c r="AD976" s="96"/>
      <c r="AE976" s="80"/>
      <c r="AF976" s="80"/>
      <c r="AG976" s="80"/>
      <c r="AH976" s="83"/>
      <c r="AI976" s="83"/>
      <c r="AJ976" s="84"/>
      <c r="AK976" s="84"/>
      <c r="AL976" s="84"/>
      <c r="AM976" s="84"/>
      <c r="AN976" s="84"/>
      <c r="AO976" s="84"/>
      <c r="AP976" s="84"/>
      <c r="AQ976" s="95" t="s">
        <v>2094</v>
      </c>
      <c r="AR976" s="72"/>
      <c r="AS976" s="72"/>
      <c r="AT976" s="72"/>
      <c r="AU976" s="72"/>
      <c r="AV976" s="72"/>
      <c r="AW976" s="72"/>
      <c r="AX976" s="72"/>
      <c r="AY976" s="72"/>
      <c r="AZ976" s="72"/>
      <c r="BA976" s="72"/>
      <c r="BB976" s="16"/>
      <c r="BC976" s="72"/>
      <c r="BD976" s="20"/>
      <c r="BE976" s="352"/>
    </row>
    <row r="977" spans="1:57" s="81" customFormat="1" ht="12.95" hidden="1" customHeight="1">
      <c r="A977" s="348"/>
      <c r="B977" s="350"/>
      <c r="C977" s="248" t="s">
        <v>1537</v>
      </c>
      <c r="D977" s="239" t="s">
        <v>5240</v>
      </c>
      <c r="E977" s="58"/>
      <c r="F977" s="59" t="s">
        <v>5241</v>
      </c>
      <c r="G977" s="191" t="s">
        <v>2511</v>
      </c>
      <c r="H977" s="192" t="s">
        <v>2095</v>
      </c>
      <c r="I977" s="61" t="s">
        <v>2511</v>
      </c>
      <c r="J977" s="61" t="s">
        <v>2511</v>
      </c>
      <c r="K977" s="62" t="s">
        <v>2511</v>
      </c>
      <c r="L977" s="60" t="s">
        <v>2511</v>
      </c>
      <c r="M977" s="61" t="s">
        <v>2389</v>
      </c>
      <c r="N977" s="61" t="s">
        <v>2511</v>
      </c>
      <c r="O977" s="61" t="s">
        <v>2511</v>
      </c>
      <c r="P977" s="62" t="s">
        <v>2511</v>
      </c>
      <c r="Q977" s="82"/>
      <c r="R977" s="82"/>
      <c r="S977" s="82"/>
      <c r="T977" s="82"/>
      <c r="U977" s="82"/>
      <c r="V977" s="138" t="s">
        <v>5242</v>
      </c>
      <c r="W977" s="57" t="s">
        <v>4966</v>
      </c>
      <c r="X977" s="126" t="s">
        <v>2511</v>
      </c>
      <c r="Y977" s="126" t="s">
        <v>2511</v>
      </c>
      <c r="Z977" s="57"/>
      <c r="AA977" s="57" t="s">
        <v>4533</v>
      </c>
      <c r="AB977" s="138"/>
      <c r="AC977" s="138" t="s">
        <v>2631</v>
      </c>
      <c r="AD977" s="96"/>
      <c r="AE977" s="80"/>
      <c r="AF977" s="80"/>
      <c r="AG977" s="80"/>
      <c r="AH977" s="83"/>
      <c r="AI977" s="83"/>
      <c r="AJ977" s="84"/>
      <c r="AK977" s="84"/>
      <c r="AL977" s="84"/>
      <c r="AM977" s="84"/>
      <c r="AN977" s="84"/>
      <c r="AO977" s="84"/>
      <c r="AP977" s="84"/>
      <c r="AQ977" s="95" t="s">
        <v>2095</v>
      </c>
      <c r="AR977" s="72"/>
      <c r="AS977" s="72"/>
      <c r="AT977" s="72"/>
      <c r="AU977" s="72"/>
      <c r="AV977" s="72"/>
      <c r="AW977" s="72"/>
      <c r="AX977" s="72"/>
      <c r="AY977" s="72"/>
      <c r="AZ977" s="72"/>
      <c r="BA977" s="72"/>
      <c r="BB977" s="16"/>
      <c r="BC977" s="72"/>
      <c r="BD977" s="20"/>
      <c r="BE977" s="352"/>
    </row>
    <row r="978" spans="1:57" s="81" customFormat="1" ht="12.95" hidden="1" customHeight="1">
      <c r="A978" s="348"/>
      <c r="B978" s="350"/>
      <c r="C978" s="270" t="s">
        <v>1538</v>
      </c>
      <c r="D978" s="239" t="s">
        <v>5243</v>
      </c>
      <c r="E978" s="58"/>
      <c r="F978" s="59" t="s">
        <v>5244</v>
      </c>
      <c r="G978" s="191" t="s">
        <v>2511</v>
      </c>
      <c r="H978" s="192" t="s">
        <v>2096</v>
      </c>
      <c r="I978" s="61" t="s">
        <v>2511</v>
      </c>
      <c r="J978" s="61" t="s">
        <v>2511</v>
      </c>
      <c r="K978" s="62" t="s">
        <v>2511</v>
      </c>
      <c r="L978" s="60" t="s">
        <v>2511</v>
      </c>
      <c r="M978" s="61" t="s">
        <v>2389</v>
      </c>
      <c r="N978" s="61" t="s">
        <v>2511</v>
      </c>
      <c r="O978" s="61" t="s">
        <v>2511</v>
      </c>
      <c r="P978" s="62" t="s">
        <v>2511</v>
      </c>
      <c r="Q978" s="82"/>
      <c r="R978" s="82"/>
      <c r="S978" s="82"/>
      <c r="T978" s="82"/>
      <c r="U978" s="82"/>
      <c r="V978" s="138" t="s">
        <v>5245</v>
      </c>
      <c r="W978" s="57" t="s">
        <v>4966</v>
      </c>
      <c r="X978" s="126" t="s">
        <v>2511</v>
      </c>
      <c r="Y978" s="126" t="s">
        <v>2511</v>
      </c>
      <c r="Z978" s="57"/>
      <c r="AA978" s="57" t="s">
        <v>4533</v>
      </c>
      <c r="AB978" s="138"/>
      <c r="AC978" s="138" t="s">
        <v>2631</v>
      </c>
      <c r="AD978" s="96"/>
      <c r="AE978" s="80"/>
      <c r="AF978" s="80"/>
      <c r="AG978" s="80"/>
      <c r="AH978" s="83"/>
      <c r="AI978" s="83"/>
      <c r="AJ978" s="84"/>
      <c r="AK978" s="84"/>
      <c r="AL978" s="84"/>
      <c r="AM978" s="84"/>
      <c r="AN978" s="84"/>
      <c r="AO978" s="84"/>
      <c r="AP978" s="84"/>
      <c r="AQ978" s="95" t="s">
        <v>2096</v>
      </c>
      <c r="AR978" s="72"/>
      <c r="AS978" s="72"/>
      <c r="AT978" s="72"/>
      <c r="AU978" s="72"/>
      <c r="AV978" s="72"/>
      <c r="AW978" s="72"/>
      <c r="AX978" s="72"/>
      <c r="AY978" s="72"/>
      <c r="AZ978" s="72"/>
      <c r="BA978" s="72"/>
      <c r="BB978" s="16"/>
      <c r="BC978" s="72"/>
      <c r="BD978" s="20"/>
      <c r="BE978" s="352"/>
    </row>
    <row r="979" spans="1:57" s="81" customFormat="1" ht="12.95" hidden="1" customHeight="1">
      <c r="A979" s="348"/>
      <c r="B979" s="350"/>
      <c r="C979" s="270" t="s">
        <v>1539</v>
      </c>
      <c r="D979" s="239" t="s">
        <v>5246</v>
      </c>
      <c r="E979" s="58"/>
      <c r="F979" s="59" t="s">
        <v>5247</v>
      </c>
      <c r="G979" s="191" t="s">
        <v>2511</v>
      </c>
      <c r="H979" s="192" t="s">
        <v>2097</v>
      </c>
      <c r="I979" s="61" t="s">
        <v>2511</v>
      </c>
      <c r="J979" s="61" t="s">
        <v>2511</v>
      </c>
      <c r="K979" s="62" t="s">
        <v>2511</v>
      </c>
      <c r="L979" s="60" t="s">
        <v>2511</v>
      </c>
      <c r="M979" s="61" t="s">
        <v>2389</v>
      </c>
      <c r="N979" s="61" t="s">
        <v>2511</v>
      </c>
      <c r="O979" s="61" t="s">
        <v>2511</v>
      </c>
      <c r="P979" s="62" t="s">
        <v>2511</v>
      </c>
      <c r="Q979" s="82"/>
      <c r="R979" s="82"/>
      <c r="S979" s="82"/>
      <c r="T979" s="82"/>
      <c r="U979" s="82"/>
      <c r="V979" s="138" t="s">
        <v>5248</v>
      </c>
      <c r="W979" s="57" t="s">
        <v>4966</v>
      </c>
      <c r="X979" s="126" t="s">
        <v>2511</v>
      </c>
      <c r="Y979" s="126" t="s">
        <v>2511</v>
      </c>
      <c r="Z979" s="57"/>
      <c r="AA979" s="57" t="s">
        <v>4533</v>
      </c>
      <c r="AB979" s="138"/>
      <c r="AC979" s="138" t="s">
        <v>2631</v>
      </c>
      <c r="AD979" s="96"/>
      <c r="AE979" s="80"/>
      <c r="AF979" s="80"/>
      <c r="AG979" s="80"/>
      <c r="AH979" s="83"/>
      <c r="AI979" s="83"/>
      <c r="AJ979" s="84"/>
      <c r="AK979" s="84"/>
      <c r="AL979" s="84"/>
      <c r="AM979" s="84"/>
      <c r="AN979" s="84"/>
      <c r="AO979" s="84"/>
      <c r="AP979" s="84"/>
      <c r="AQ979" s="95" t="s">
        <v>2097</v>
      </c>
      <c r="AR979" s="72"/>
      <c r="AS979" s="72"/>
      <c r="AT979" s="72"/>
      <c r="AU979" s="72"/>
      <c r="AV979" s="72"/>
      <c r="AW979" s="72"/>
      <c r="AX979" s="72"/>
      <c r="AY979" s="72"/>
      <c r="AZ979" s="72"/>
      <c r="BA979" s="72"/>
      <c r="BB979" s="16"/>
      <c r="BC979" s="72"/>
      <c r="BD979" s="20"/>
      <c r="BE979" s="352"/>
    </row>
    <row r="980" spans="1:57" s="81" customFormat="1" ht="12.95" hidden="1" customHeight="1">
      <c r="A980" s="348"/>
      <c r="B980" s="350"/>
      <c r="C980" s="248" t="s">
        <v>1540</v>
      </c>
      <c r="D980" s="239" t="s">
        <v>5249</v>
      </c>
      <c r="E980" s="58"/>
      <c r="F980" s="59" t="s">
        <v>5250</v>
      </c>
      <c r="G980" s="191" t="s">
        <v>2511</v>
      </c>
      <c r="H980" s="192" t="s">
        <v>2098</v>
      </c>
      <c r="I980" s="61" t="s">
        <v>2511</v>
      </c>
      <c r="J980" s="61" t="s">
        <v>2511</v>
      </c>
      <c r="K980" s="62" t="s">
        <v>2511</v>
      </c>
      <c r="L980" s="60" t="s">
        <v>2511</v>
      </c>
      <c r="M980" s="61" t="s">
        <v>2389</v>
      </c>
      <c r="N980" s="61" t="s">
        <v>2511</v>
      </c>
      <c r="O980" s="61" t="s">
        <v>2511</v>
      </c>
      <c r="P980" s="62" t="s">
        <v>2511</v>
      </c>
      <c r="Q980" s="82"/>
      <c r="R980" s="82"/>
      <c r="S980" s="82"/>
      <c r="T980" s="82"/>
      <c r="U980" s="82"/>
      <c r="V980" s="138" t="s">
        <v>5251</v>
      </c>
      <c r="W980" s="57" t="s">
        <v>4966</v>
      </c>
      <c r="X980" s="126" t="s">
        <v>2511</v>
      </c>
      <c r="Y980" s="126" t="s">
        <v>2511</v>
      </c>
      <c r="Z980" s="57"/>
      <c r="AA980" s="57" t="s">
        <v>4533</v>
      </c>
      <c r="AB980" s="138"/>
      <c r="AC980" s="138">
        <v>0</v>
      </c>
      <c r="AD980" s="96"/>
      <c r="AE980" s="80"/>
      <c r="AF980" s="80"/>
      <c r="AG980" s="80"/>
      <c r="AH980" s="83"/>
      <c r="AI980" s="83"/>
      <c r="AJ980" s="84"/>
      <c r="AK980" s="84"/>
      <c r="AL980" s="84"/>
      <c r="AM980" s="84"/>
      <c r="AN980" s="84"/>
      <c r="AO980" s="84"/>
      <c r="AP980" s="84"/>
      <c r="AQ980" s="95" t="s">
        <v>2098</v>
      </c>
      <c r="AR980" s="72"/>
      <c r="AS980" s="72"/>
      <c r="AT980" s="72"/>
      <c r="AU980" s="72"/>
      <c r="AV980" s="72"/>
      <c r="AW980" s="72"/>
      <c r="AX980" s="72"/>
      <c r="AY980" s="72"/>
      <c r="AZ980" s="72"/>
      <c r="BA980" s="72"/>
      <c r="BB980" s="16"/>
      <c r="BC980" s="72"/>
      <c r="BD980" s="20"/>
      <c r="BE980" s="352"/>
    </row>
    <row r="981" spans="1:57" s="81" customFormat="1" ht="12.95" hidden="1" customHeight="1">
      <c r="A981" s="348"/>
      <c r="B981" s="350"/>
      <c r="C981" s="248" t="s">
        <v>1541</v>
      </c>
      <c r="D981" s="239" t="s">
        <v>5252</v>
      </c>
      <c r="E981" s="58"/>
      <c r="F981" s="59" t="s">
        <v>5253</v>
      </c>
      <c r="G981" s="191" t="s">
        <v>2511</v>
      </c>
      <c r="H981" s="192" t="s">
        <v>2099</v>
      </c>
      <c r="I981" s="61" t="s">
        <v>2511</v>
      </c>
      <c r="J981" s="61" t="s">
        <v>2511</v>
      </c>
      <c r="K981" s="62" t="s">
        <v>2511</v>
      </c>
      <c r="L981" s="60" t="s">
        <v>2511</v>
      </c>
      <c r="M981" s="61" t="s">
        <v>2389</v>
      </c>
      <c r="N981" s="61" t="s">
        <v>2511</v>
      </c>
      <c r="O981" s="61" t="s">
        <v>2511</v>
      </c>
      <c r="P981" s="62" t="s">
        <v>2511</v>
      </c>
      <c r="Q981" s="82"/>
      <c r="R981" s="82"/>
      <c r="S981" s="82"/>
      <c r="T981" s="82"/>
      <c r="U981" s="82"/>
      <c r="V981" s="138" t="s">
        <v>5254</v>
      </c>
      <c r="W981" s="57" t="s">
        <v>4966</v>
      </c>
      <c r="X981" s="126" t="s">
        <v>2511</v>
      </c>
      <c r="Y981" s="126" t="s">
        <v>2511</v>
      </c>
      <c r="Z981" s="57"/>
      <c r="AA981" s="57" t="s">
        <v>4533</v>
      </c>
      <c r="AB981" s="138"/>
      <c r="AC981" s="138" t="s">
        <v>2631</v>
      </c>
      <c r="AD981" s="96"/>
      <c r="AE981" s="80"/>
      <c r="AF981" s="80"/>
      <c r="AG981" s="80"/>
      <c r="AH981" s="83"/>
      <c r="AI981" s="83"/>
      <c r="AJ981" s="84"/>
      <c r="AK981" s="84"/>
      <c r="AL981" s="84"/>
      <c r="AM981" s="84"/>
      <c r="AN981" s="84"/>
      <c r="AO981" s="84"/>
      <c r="AP981" s="84"/>
      <c r="AQ981" s="95" t="s">
        <v>2099</v>
      </c>
      <c r="AR981" s="72"/>
      <c r="AS981" s="72"/>
      <c r="AT981" s="72"/>
      <c r="AU981" s="72"/>
      <c r="AV981" s="72"/>
      <c r="AW981" s="72"/>
      <c r="AX981" s="72"/>
      <c r="AY981" s="72"/>
      <c r="AZ981" s="72"/>
      <c r="BA981" s="72"/>
      <c r="BB981" s="16"/>
      <c r="BC981" s="72"/>
      <c r="BD981" s="20"/>
      <c r="BE981" s="352"/>
    </row>
    <row r="982" spans="1:57" s="81" customFormat="1" ht="12.95" hidden="1" customHeight="1">
      <c r="A982" s="348"/>
      <c r="B982" s="350"/>
      <c r="C982" s="248" t="s">
        <v>1542</v>
      </c>
      <c r="D982" s="239" t="s">
        <v>5255</v>
      </c>
      <c r="E982" s="58"/>
      <c r="F982" s="59" t="s">
        <v>5256</v>
      </c>
      <c r="G982" s="191" t="s">
        <v>2511</v>
      </c>
      <c r="H982" s="192" t="s">
        <v>2100</v>
      </c>
      <c r="I982" s="61" t="s">
        <v>2511</v>
      </c>
      <c r="J982" s="61" t="s">
        <v>2511</v>
      </c>
      <c r="K982" s="62" t="s">
        <v>2511</v>
      </c>
      <c r="L982" s="60" t="s">
        <v>2511</v>
      </c>
      <c r="M982" s="61" t="s">
        <v>2389</v>
      </c>
      <c r="N982" s="61" t="s">
        <v>2511</v>
      </c>
      <c r="O982" s="61" t="s">
        <v>2511</v>
      </c>
      <c r="P982" s="62" t="s">
        <v>2511</v>
      </c>
      <c r="Q982" s="82"/>
      <c r="R982" s="82"/>
      <c r="S982" s="82"/>
      <c r="T982" s="82"/>
      <c r="U982" s="82"/>
      <c r="V982" s="138" t="s">
        <v>5257</v>
      </c>
      <c r="W982" s="57" t="s">
        <v>4966</v>
      </c>
      <c r="X982" s="126" t="s">
        <v>2511</v>
      </c>
      <c r="Y982" s="126" t="s">
        <v>2511</v>
      </c>
      <c r="Z982" s="57"/>
      <c r="AA982" s="57" t="s">
        <v>4533</v>
      </c>
      <c r="AB982" s="138"/>
      <c r="AC982" s="138" t="s">
        <v>2631</v>
      </c>
      <c r="AD982" s="96"/>
      <c r="AE982" s="80"/>
      <c r="AF982" s="80"/>
      <c r="AG982" s="80"/>
      <c r="AH982" s="83"/>
      <c r="AI982" s="83"/>
      <c r="AJ982" s="84"/>
      <c r="AK982" s="84"/>
      <c r="AL982" s="84"/>
      <c r="AM982" s="84"/>
      <c r="AN982" s="84"/>
      <c r="AO982" s="84"/>
      <c r="AP982" s="84"/>
      <c r="AQ982" s="95" t="s">
        <v>2100</v>
      </c>
      <c r="AR982" s="72"/>
      <c r="AS982" s="72"/>
      <c r="AT982" s="72"/>
      <c r="AU982" s="72"/>
      <c r="AV982" s="72"/>
      <c r="AW982" s="72"/>
      <c r="AX982" s="72"/>
      <c r="AY982" s="72"/>
      <c r="AZ982" s="72"/>
      <c r="BA982" s="72"/>
      <c r="BB982" s="16"/>
      <c r="BC982" s="72"/>
      <c r="BD982" s="20"/>
      <c r="BE982" s="352"/>
    </row>
    <row r="983" spans="1:57" s="81" customFormat="1" ht="12.95" hidden="1" customHeight="1">
      <c r="A983" s="348"/>
      <c r="B983" s="350"/>
      <c r="C983" s="248" t="s">
        <v>1543</v>
      </c>
      <c r="D983" s="239" t="s">
        <v>5258</v>
      </c>
      <c r="E983" s="58"/>
      <c r="F983" s="59" t="s">
        <v>5259</v>
      </c>
      <c r="G983" s="191" t="s">
        <v>2511</v>
      </c>
      <c r="H983" s="192" t="s">
        <v>2101</v>
      </c>
      <c r="I983" s="61" t="s">
        <v>2511</v>
      </c>
      <c r="J983" s="61" t="s">
        <v>2511</v>
      </c>
      <c r="K983" s="62" t="s">
        <v>2511</v>
      </c>
      <c r="L983" s="60" t="s">
        <v>2511</v>
      </c>
      <c r="M983" s="61" t="s">
        <v>2389</v>
      </c>
      <c r="N983" s="61" t="s">
        <v>2511</v>
      </c>
      <c r="O983" s="61" t="s">
        <v>2511</v>
      </c>
      <c r="P983" s="62" t="s">
        <v>2511</v>
      </c>
      <c r="Q983" s="82"/>
      <c r="R983" s="82"/>
      <c r="S983" s="82"/>
      <c r="T983" s="82"/>
      <c r="U983" s="82"/>
      <c r="V983" s="138" t="s">
        <v>5260</v>
      </c>
      <c r="W983" s="57" t="s">
        <v>4966</v>
      </c>
      <c r="X983" s="126" t="s">
        <v>2511</v>
      </c>
      <c r="Y983" s="126" t="s">
        <v>2511</v>
      </c>
      <c r="Z983" s="57"/>
      <c r="AA983" s="57" t="s">
        <v>4533</v>
      </c>
      <c r="AB983" s="138"/>
      <c r="AC983" s="138" t="s">
        <v>2631</v>
      </c>
      <c r="AD983" s="96"/>
      <c r="AE983" s="80"/>
      <c r="AF983" s="80"/>
      <c r="AG983" s="80"/>
      <c r="AH983" s="83"/>
      <c r="AI983" s="83"/>
      <c r="AJ983" s="84"/>
      <c r="AK983" s="84"/>
      <c r="AL983" s="84"/>
      <c r="AM983" s="84"/>
      <c r="AN983" s="84"/>
      <c r="AO983" s="84"/>
      <c r="AP983" s="84"/>
      <c r="AQ983" s="95" t="s">
        <v>2101</v>
      </c>
      <c r="AR983" s="72"/>
      <c r="AS983" s="72"/>
      <c r="AT983" s="72"/>
      <c r="AU983" s="72"/>
      <c r="AV983" s="72"/>
      <c r="AW983" s="72"/>
      <c r="AX983" s="72"/>
      <c r="AY983" s="72"/>
      <c r="AZ983" s="72"/>
      <c r="BA983" s="72"/>
      <c r="BB983" s="16"/>
      <c r="BC983" s="72"/>
      <c r="BD983" s="20"/>
      <c r="BE983" s="352"/>
    </row>
    <row r="984" spans="1:57" s="81" customFormat="1" ht="12.95" hidden="1" customHeight="1">
      <c r="A984" s="348"/>
      <c r="B984" s="350"/>
      <c r="C984" s="248" t="s">
        <v>1544</v>
      </c>
      <c r="D984" s="239" t="s">
        <v>5261</v>
      </c>
      <c r="E984" s="58"/>
      <c r="F984" s="59" t="s">
        <v>5262</v>
      </c>
      <c r="G984" s="191" t="s">
        <v>2511</v>
      </c>
      <c r="H984" s="192" t="s">
        <v>2102</v>
      </c>
      <c r="I984" s="61" t="s">
        <v>2511</v>
      </c>
      <c r="J984" s="61" t="s">
        <v>2511</v>
      </c>
      <c r="K984" s="62" t="s">
        <v>2511</v>
      </c>
      <c r="L984" s="60" t="s">
        <v>2511</v>
      </c>
      <c r="M984" s="61" t="s">
        <v>2389</v>
      </c>
      <c r="N984" s="61" t="s">
        <v>2511</v>
      </c>
      <c r="O984" s="61" t="s">
        <v>2511</v>
      </c>
      <c r="P984" s="62" t="s">
        <v>2511</v>
      </c>
      <c r="Q984" s="82"/>
      <c r="R984" s="82"/>
      <c r="S984" s="82"/>
      <c r="T984" s="82"/>
      <c r="U984" s="82"/>
      <c r="V984" s="138" t="s">
        <v>5263</v>
      </c>
      <c r="W984" s="57" t="s">
        <v>4966</v>
      </c>
      <c r="X984" s="126" t="s">
        <v>2511</v>
      </c>
      <c r="Y984" s="126" t="s">
        <v>2511</v>
      </c>
      <c r="Z984" s="57"/>
      <c r="AA984" s="57" t="s">
        <v>4533</v>
      </c>
      <c r="AB984" s="138"/>
      <c r="AC984" s="138" t="s">
        <v>2631</v>
      </c>
      <c r="AD984" s="96"/>
      <c r="AE984" s="80"/>
      <c r="AF984" s="80"/>
      <c r="AG984" s="80"/>
      <c r="AH984" s="83"/>
      <c r="AI984" s="83"/>
      <c r="AJ984" s="84"/>
      <c r="AK984" s="84"/>
      <c r="AL984" s="84"/>
      <c r="AM984" s="84"/>
      <c r="AN984" s="84"/>
      <c r="AO984" s="84"/>
      <c r="AP984" s="84"/>
      <c r="AQ984" s="95" t="s">
        <v>2102</v>
      </c>
      <c r="AR984" s="72"/>
      <c r="AS984" s="72"/>
      <c r="AT984" s="72"/>
      <c r="AU984" s="72"/>
      <c r="AV984" s="72"/>
      <c r="AW984" s="72"/>
      <c r="AX984" s="72"/>
      <c r="AY984" s="72"/>
      <c r="AZ984" s="72"/>
      <c r="BA984" s="72"/>
      <c r="BB984" s="16"/>
      <c r="BC984" s="72"/>
      <c r="BD984" s="20"/>
      <c r="BE984" s="352"/>
    </row>
    <row r="985" spans="1:57" s="81" customFormat="1" ht="12.95" hidden="1" customHeight="1">
      <c r="A985" s="348"/>
      <c r="B985" s="350"/>
      <c r="C985" s="248" t="s">
        <v>1545</v>
      </c>
      <c r="D985" s="239" t="s">
        <v>5264</v>
      </c>
      <c r="E985" s="58"/>
      <c r="F985" s="59" t="s">
        <v>5265</v>
      </c>
      <c r="G985" s="191" t="s">
        <v>2511</v>
      </c>
      <c r="H985" s="192" t="s">
        <v>2103</v>
      </c>
      <c r="I985" s="61" t="s">
        <v>2511</v>
      </c>
      <c r="J985" s="61" t="s">
        <v>2511</v>
      </c>
      <c r="K985" s="62" t="s">
        <v>2511</v>
      </c>
      <c r="L985" s="60" t="s">
        <v>2511</v>
      </c>
      <c r="M985" s="61" t="s">
        <v>2389</v>
      </c>
      <c r="N985" s="61" t="s">
        <v>2511</v>
      </c>
      <c r="O985" s="61" t="s">
        <v>2511</v>
      </c>
      <c r="P985" s="62" t="s">
        <v>2511</v>
      </c>
      <c r="Q985" s="82"/>
      <c r="R985" s="82"/>
      <c r="S985" s="82"/>
      <c r="T985" s="82"/>
      <c r="U985" s="82"/>
      <c r="V985" s="138" t="s">
        <v>5266</v>
      </c>
      <c r="W985" s="57" t="s">
        <v>4966</v>
      </c>
      <c r="X985" s="126" t="s">
        <v>2511</v>
      </c>
      <c r="Y985" s="126" t="s">
        <v>2511</v>
      </c>
      <c r="Z985" s="57"/>
      <c r="AA985" s="57" t="s">
        <v>4533</v>
      </c>
      <c r="AB985" s="138"/>
      <c r="AC985" s="138" t="s">
        <v>2631</v>
      </c>
      <c r="AD985" s="96"/>
      <c r="AE985" s="80"/>
      <c r="AF985" s="80"/>
      <c r="AG985" s="80"/>
      <c r="AH985" s="83"/>
      <c r="AI985" s="83"/>
      <c r="AJ985" s="84"/>
      <c r="AK985" s="84"/>
      <c r="AL985" s="84"/>
      <c r="AM985" s="84"/>
      <c r="AN985" s="84"/>
      <c r="AO985" s="84"/>
      <c r="AP985" s="84"/>
      <c r="AQ985" s="95" t="s">
        <v>2103</v>
      </c>
      <c r="AR985" s="72"/>
      <c r="AS985" s="72"/>
      <c r="AT985" s="72"/>
      <c r="AU985" s="72"/>
      <c r="AV985" s="72"/>
      <c r="AW985" s="72"/>
      <c r="AX985" s="72"/>
      <c r="AY985" s="72"/>
      <c r="AZ985" s="72"/>
      <c r="BA985" s="72"/>
      <c r="BB985" s="16"/>
      <c r="BC985" s="72"/>
      <c r="BD985" s="20"/>
      <c r="BE985" s="352"/>
    </row>
    <row r="986" spans="1:57" s="81" customFormat="1" ht="12.95" hidden="1" customHeight="1">
      <c r="A986" s="348"/>
      <c r="B986" s="350"/>
      <c r="C986" s="248" t="s">
        <v>1546</v>
      </c>
      <c r="D986" s="239" t="s">
        <v>5267</v>
      </c>
      <c r="E986" s="58"/>
      <c r="F986" s="59" t="s">
        <v>5268</v>
      </c>
      <c r="G986" s="191" t="s">
        <v>2511</v>
      </c>
      <c r="H986" s="192" t="s">
        <v>2104</v>
      </c>
      <c r="I986" s="61" t="s">
        <v>2511</v>
      </c>
      <c r="J986" s="61" t="s">
        <v>2511</v>
      </c>
      <c r="K986" s="62" t="s">
        <v>2511</v>
      </c>
      <c r="L986" s="60" t="s">
        <v>2511</v>
      </c>
      <c r="M986" s="61" t="s">
        <v>2389</v>
      </c>
      <c r="N986" s="61" t="s">
        <v>2511</v>
      </c>
      <c r="O986" s="61" t="s">
        <v>2511</v>
      </c>
      <c r="P986" s="62" t="s">
        <v>2511</v>
      </c>
      <c r="Q986" s="82"/>
      <c r="R986" s="82"/>
      <c r="S986" s="82"/>
      <c r="T986" s="82"/>
      <c r="U986" s="82"/>
      <c r="V986" s="138" t="s">
        <v>5269</v>
      </c>
      <c r="W986" s="57" t="s">
        <v>4966</v>
      </c>
      <c r="X986" s="126" t="s">
        <v>2511</v>
      </c>
      <c r="Y986" s="126" t="s">
        <v>2511</v>
      </c>
      <c r="Z986" s="57"/>
      <c r="AA986" s="57" t="s">
        <v>4533</v>
      </c>
      <c r="AB986" s="138"/>
      <c r="AC986" s="138" t="s">
        <v>2631</v>
      </c>
      <c r="AD986" s="96"/>
      <c r="AE986" s="80"/>
      <c r="AF986" s="80"/>
      <c r="AG986" s="80"/>
      <c r="AH986" s="83"/>
      <c r="AI986" s="83"/>
      <c r="AJ986" s="84"/>
      <c r="AK986" s="84"/>
      <c r="AL986" s="84"/>
      <c r="AM986" s="84"/>
      <c r="AN986" s="84"/>
      <c r="AO986" s="84"/>
      <c r="AP986" s="84"/>
      <c r="AQ986" s="95" t="s">
        <v>2104</v>
      </c>
      <c r="AR986" s="72"/>
      <c r="AS986" s="72"/>
      <c r="AT986" s="72"/>
      <c r="AU986" s="72"/>
      <c r="AV986" s="72"/>
      <c r="AW986" s="72"/>
      <c r="AX986" s="72"/>
      <c r="AY986" s="72"/>
      <c r="AZ986" s="72"/>
      <c r="BA986" s="72"/>
      <c r="BB986" s="16"/>
      <c r="BC986" s="72"/>
      <c r="BD986" s="20"/>
      <c r="BE986" s="352"/>
    </row>
    <row r="987" spans="1:57" s="81" customFormat="1" ht="12.95" hidden="1" customHeight="1">
      <c r="A987" s="348"/>
      <c r="B987" s="350"/>
      <c r="C987" s="248" t="s">
        <v>1547</v>
      </c>
      <c r="D987" s="239" t="s">
        <v>5270</v>
      </c>
      <c r="E987" s="58"/>
      <c r="F987" s="59" t="s">
        <v>5271</v>
      </c>
      <c r="G987" s="191" t="s">
        <v>2511</v>
      </c>
      <c r="H987" s="192" t="s">
        <v>2105</v>
      </c>
      <c r="I987" s="61" t="s">
        <v>2511</v>
      </c>
      <c r="J987" s="61" t="s">
        <v>2511</v>
      </c>
      <c r="K987" s="62" t="s">
        <v>2511</v>
      </c>
      <c r="L987" s="60" t="s">
        <v>2511</v>
      </c>
      <c r="M987" s="61" t="s">
        <v>2389</v>
      </c>
      <c r="N987" s="61" t="s">
        <v>2511</v>
      </c>
      <c r="O987" s="61" t="s">
        <v>2511</v>
      </c>
      <c r="P987" s="62" t="s">
        <v>2511</v>
      </c>
      <c r="Q987" s="82"/>
      <c r="R987" s="82"/>
      <c r="S987" s="82"/>
      <c r="T987" s="82"/>
      <c r="U987" s="82"/>
      <c r="V987" s="138" t="s">
        <v>5272</v>
      </c>
      <c r="W987" s="57" t="s">
        <v>4966</v>
      </c>
      <c r="X987" s="126" t="s">
        <v>2511</v>
      </c>
      <c r="Y987" s="126" t="s">
        <v>2511</v>
      </c>
      <c r="Z987" s="57"/>
      <c r="AA987" s="57" t="s">
        <v>4533</v>
      </c>
      <c r="AB987" s="138"/>
      <c r="AC987" s="138" t="s">
        <v>2631</v>
      </c>
      <c r="AD987" s="96"/>
      <c r="AE987" s="80"/>
      <c r="AF987" s="80"/>
      <c r="AG987" s="80"/>
      <c r="AH987" s="83"/>
      <c r="AI987" s="83"/>
      <c r="AJ987" s="84"/>
      <c r="AK987" s="84"/>
      <c r="AL987" s="84"/>
      <c r="AM987" s="84"/>
      <c r="AN987" s="84"/>
      <c r="AO987" s="84"/>
      <c r="AP987" s="84"/>
      <c r="AQ987" s="95" t="s">
        <v>2105</v>
      </c>
      <c r="AR987" s="72"/>
      <c r="AS987" s="72"/>
      <c r="AT987" s="72"/>
      <c r="AU987" s="72"/>
      <c r="AV987" s="72"/>
      <c r="AW987" s="72"/>
      <c r="AX987" s="72"/>
      <c r="AY987" s="72"/>
      <c r="AZ987" s="72"/>
      <c r="BA987" s="72"/>
      <c r="BB987" s="16"/>
      <c r="BC987" s="72"/>
      <c r="BD987" s="20"/>
      <c r="BE987" s="352"/>
    </row>
    <row r="988" spans="1:57" s="81" customFormat="1" ht="12.95" hidden="1" customHeight="1">
      <c r="A988" s="348"/>
      <c r="B988" s="350"/>
      <c r="C988" s="248" t="s">
        <v>1548</v>
      </c>
      <c r="D988" s="239" t="s">
        <v>5273</v>
      </c>
      <c r="E988" s="58"/>
      <c r="F988" s="59" t="s">
        <v>5274</v>
      </c>
      <c r="G988" s="191" t="s">
        <v>2511</v>
      </c>
      <c r="H988" s="192" t="s">
        <v>2106</v>
      </c>
      <c r="I988" s="61" t="s">
        <v>2511</v>
      </c>
      <c r="J988" s="61" t="s">
        <v>2511</v>
      </c>
      <c r="K988" s="62" t="s">
        <v>2511</v>
      </c>
      <c r="L988" s="60" t="s">
        <v>2511</v>
      </c>
      <c r="M988" s="61" t="s">
        <v>2389</v>
      </c>
      <c r="N988" s="61" t="s">
        <v>2511</v>
      </c>
      <c r="O988" s="61" t="s">
        <v>2511</v>
      </c>
      <c r="P988" s="62" t="s">
        <v>2511</v>
      </c>
      <c r="Q988" s="82"/>
      <c r="R988" s="82"/>
      <c r="S988" s="82"/>
      <c r="T988" s="82"/>
      <c r="U988" s="82"/>
      <c r="V988" s="138" t="s">
        <v>5275</v>
      </c>
      <c r="W988" s="57" t="s">
        <v>4966</v>
      </c>
      <c r="X988" s="126" t="s">
        <v>2511</v>
      </c>
      <c r="Y988" s="126" t="s">
        <v>2511</v>
      </c>
      <c r="Z988" s="57"/>
      <c r="AA988" s="57" t="s">
        <v>4533</v>
      </c>
      <c r="AB988" s="138"/>
      <c r="AC988" s="138" t="s">
        <v>2631</v>
      </c>
      <c r="AD988" s="96"/>
      <c r="AE988" s="80"/>
      <c r="AF988" s="80"/>
      <c r="AG988" s="80"/>
      <c r="AH988" s="83"/>
      <c r="AI988" s="83"/>
      <c r="AJ988" s="84"/>
      <c r="AK988" s="84"/>
      <c r="AL988" s="84"/>
      <c r="AM988" s="84"/>
      <c r="AN988" s="84"/>
      <c r="AO988" s="84"/>
      <c r="AP988" s="84"/>
      <c r="AQ988" s="95" t="s">
        <v>2106</v>
      </c>
      <c r="AR988" s="72"/>
      <c r="AS988" s="72"/>
      <c r="AT988" s="72"/>
      <c r="AU988" s="72"/>
      <c r="AV988" s="72"/>
      <c r="AW988" s="72"/>
      <c r="AX988" s="72"/>
      <c r="AY988" s="72"/>
      <c r="AZ988" s="72"/>
      <c r="BA988" s="72"/>
      <c r="BB988" s="16"/>
      <c r="BC988" s="72"/>
      <c r="BD988" s="20"/>
      <c r="BE988" s="352"/>
    </row>
    <row r="989" spans="1:57" s="81" customFormat="1" ht="12.95" hidden="1" customHeight="1">
      <c r="A989" s="348"/>
      <c r="B989" s="350"/>
      <c r="C989" s="248" t="s">
        <v>1549</v>
      </c>
      <c r="D989" s="239" t="s">
        <v>5276</v>
      </c>
      <c r="E989" s="58"/>
      <c r="F989" s="59" t="s">
        <v>5277</v>
      </c>
      <c r="G989" s="191" t="s">
        <v>2511</v>
      </c>
      <c r="H989" s="192" t="s">
        <v>2107</v>
      </c>
      <c r="I989" s="61" t="s">
        <v>2511</v>
      </c>
      <c r="J989" s="61" t="s">
        <v>2511</v>
      </c>
      <c r="K989" s="62" t="s">
        <v>2511</v>
      </c>
      <c r="L989" s="60" t="s">
        <v>2511</v>
      </c>
      <c r="M989" s="61" t="s">
        <v>2389</v>
      </c>
      <c r="N989" s="61" t="s">
        <v>2511</v>
      </c>
      <c r="O989" s="61" t="s">
        <v>2511</v>
      </c>
      <c r="P989" s="62" t="s">
        <v>2511</v>
      </c>
      <c r="Q989" s="82"/>
      <c r="R989" s="82"/>
      <c r="S989" s="82"/>
      <c r="T989" s="82"/>
      <c r="U989" s="82"/>
      <c r="V989" s="138" t="s">
        <v>5278</v>
      </c>
      <c r="W989" s="57" t="s">
        <v>4966</v>
      </c>
      <c r="X989" s="126" t="s">
        <v>2511</v>
      </c>
      <c r="Y989" s="126" t="s">
        <v>2511</v>
      </c>
      <c r="Z989" s="57"/>
      <c r="AA989" s="57" t="s">
        <v>4533</v>
      </c>
      <c r="AB989" s="138"/>
      <c r="AC989" s="138" t="s">
        <v>2631</v>
      </c>
      <c r="AD989" s="96"/>
      <c r="AE989" s="80"/>
      <c r="AF989" s="80"/>
      <c r="AG989" s="80"/>
      <c r="AH989" s="83"/>
      <c r="AI989" s="83"/>
      <c r="AJ989" s="84"/>
      <c r="AK989" s="84"/>
      <c r="AL989" s="84"/>
      <c r="AM989" s="84"/>
      <c r="AN989" s="84"/>
      <c r="AO989" s="84"/>
      <c r="AP989" s="84"/>
      <c r="AQ989" s="95" t="s">
        <v>2107</v>
      </c>
      <c r="AR989" s="72"/>
      <c r="AS989" s="72"/>
      <c r="AT989" s="72"/>
      <c r="AU989" s="72"/>
      <c r="AV989" s="72"/>
      <c r="AW989" s="72"/>
      <c r="AX989" s="72"/>
      <c r="AY989" s="72"/>
      <c r="AZ989" s="72"/>
      <c r="BA989" s="72"/>
      <c r="BB989" s="16"/>
      <c r="BC989" s="72"/>
      <c r="BD989" s="20"/>
      <c r="BE989" s="352"/>
    </row>
    <row r="990" spans="1:57" s="81" customFormat="1" ht="12.95" hidden="1" customHeight="1">
      <c r="A990" s="348"/>
      <c r="B990" s="350"/>
      <c r="C990" s="270" t="s">
        <v>1550</v>
      </c>
      <c r="D990" s="239" t="s">
        <v>5279</v>
      </c>
      <c r="E990" s="58"/>
      <c r="F990" s="59" t="s">
        <v>5280</v>
      </c>
      <c r="G990" s="191" t="s">
        <v>2511</v>
      </c>
      <c r="H990" s="192" t="s">
        <v>2108</v>
      </c>
      <c r="I990" s="61" t="s">
        <v>2511</v>
      </c>
      <c r="J990" s="61" t="s">
        <v>2511</v>
      </c>
      <c r="K990" s="62" t="s">
        <v>2511</v>
      </c>
      <c r="L990" s="60" t="s">
        <v>2511</v>
      </c>
      <c r="M990" s="61" t="s">
        <v>2389</v>
      </c>
      <c r="N990" s="61" t="s">
        <v>2511</v>
      </c>
      <c r="O990" s="61" t="s">
        <v>2511</v>
      </c>
      <c r="P990" s="62" t="s">
        <v>2511</v>
      </c>
      <c r="Q990" s="82"/>
      <c r="R990" s="82"/>
      <c r="S990" s="82"/>
      <c r="T990" s="82"/>
      <c r="U990" s="82"/>
      <c r="V990" s="138" t="s">
        <v>5281</v>
      </c>
      <c r="W990" s="57" t="s">
        <v>4966</v>
      </c>
      <c r="X990" s="126" t="s">
        <v>2511</v>
      </c>
      <c r="Y990" s="126" t="s">
        <v>2511</v>
      </c>
      <c r="Z990" s="57"/>
      <c r="AA990" s="57" t="s">
        <v>4533</v>
      </c>
      <c r="AB990" s="138"/>
      <c r="AC990" s="138" t="s">
        <v>2631</v>
      </c>
      <c r="AD990" s="96"/>
      <c r="AE990" s="80"/>
      <c r="AF990" s="80"/>
      <c r="AG990" s="80"/>
      <c r="AH990" s="83"/>
      <c r="AI990" s="83"/>
      <c r="AJ990" s="84"/>
      <c r="AK990" s="84"/>
      <c r="AL990" s="84"/>
      <c r="AM990" s="84"/>
      <c r="AN990" s="84"/>
      <c r="AO990" s="84"/>
      <c r="AP990" s="84"/>
      <c r="AQ990" s="95" t="s">
        <v>2108</v>
      </c>
      <c r="AR990" s="72"/>
      <c r="AS990" s="72"/>
      <c r="AT990" s="72"/>
      <c r="AU990" s="72"/>
      <c r="AV990" s="72"/>
      <c r="AW990" s="72"/>
      <c r="AX990" s="72"/>
      <c r="AY990" s="72"/>
      <c r="AZ990" s="72"/>
      <c r="BA990" s="72"/>
      <c r="BB990" s="16"/>
      <c r="BC990" s="72"/>
      <c r="BD990" s="20"/>
      <c r="BE990" s="352"/>
    </row>
    <row r="991" spans="1:57" s="81" customFormat="1" ht="12.95" hidden="1" customHeight="1">
      <c r="A991" s="348"/>
      <c r="B991" s="350"/>
      <c r="C991" s="270" t="s">
        <v>1551</v>
      </c>
      <c r="D991" s="239" t="s">
        <v>5282</v>
      </c>
      <c r="E991" s="58"/>
      <c r="F991" s="59" t="s">
        <v>5283</v>
      </c>
      <c r="G991" s="191" t="s">
        <v>2511</v>
      </c>
      <c r="H991" s="192" t="s">
        <v>2109</v>
      </c>
      <c r="I991" s="61" t="s">
        <v>2511</v>
      </c>
      <c r="J991" s="61" t="s">
        <v>2511</v>
      </c>
      <c r="K991" s="62" t="s">
        <v>2511</v>
      </c>
      <c r="L991" s="60" t="s">
        <v>2511</v>
      </c>
      <c r="M991" s="61" t="s">
        <v>2389</v>
      </c>
      <c r="N991" s="61" t="s">
        <v>2511</v>
      </c>
      <c r="O991" s="61" t="s">
        <v>2511</v>
      </c>
      <c r="P991" s="62" t="s">
        <v>2511</v>
      </c>
      <c r="Q991" s="82"/>
      <c r="R991" s="82"/>
      <c r="S991" s="82"/>
      <c r="T991" s="82"/>
      <c r="U991" s="82"/>
      <c r="V991" s="138" t="s">
        <v>5284</v>
      </c>
      <c r="W991" s="57" t="s">
        <v>4966</v>
      </c>
      <c r="X991" s="126" t="s">
        <v>2511</v>
      </c>
      <c r="Y991" s="126" t="s">
        <v>2511</v>
      </c>
      <c r="Z991" s="57"/>
      <c r="AA991" s="57" t="s">
        <v>4533</v>
      </c>
      <c r="AB991" s="138"/>
      <c r="AC991" s="138" t="s">
        <v>2631</v>
      </c>
      <c r="AD991" s="96"/>
      <c r="AE991" s="80"/>
      <c r="AF991" s="80"/>
      <c r="AG991" s="80"/>
      <c r="AH991" s="83"/>
      <c r="AI991" s="83"/>
      <c r="AJ991" s="84"/>
      <c r="AK991" s="84"/>
      <c r="AL991" s="84"/>
      <c r="AM991" s="84"/>
      <c r="AN991" s="84"/>
      <c r="AO991" s="84"/>
      <c r="AP991" s="84"/>
      <c r="AQ991" s="95" t="s">
        <v>2109</v>
      </c>
      <c r="AR991" s="72"/>
      <c r="AS991" s="72"/>
      <c r="AT991" s="72"/>
      <c r="AU991" s="72"/>
      <c r="AV991" s="72"/>
      <c r="AW991" s="72"/>
      <c r="AX991" s="72"/>
      <c r="AY991" s="72"/>
      <c r="AZ991" s="72"/>
      <c r="BA991" s="72"/>
      <c r="BB991" s="16"/>
      <c r="BC991" s="72"/>
      <c r="BD991" s="20"/>
      <c r="BE991" s="352"/>
    </row>
    <row r="992" spans="1:57" s="81" customFormat="1" ht="12.95" hidden="1" customHeight="1">
      <c r="A992" s="348"/>
      <c r="B992" s="350"/>
      <c r="C992" s="248" t="s">
        <v>1552</v>
      </c>
      <c r="D992" s="239" t="s">
        <v>5285</v>
      </c>
      <c r="E992" s="58"/>
      <c r="F992" s="59" t="s">
        <v>5286</v>
      </c>
      <c r="G992" s="191" t="s">
        <v>2511</v>
      </c>
      <c r="H992" s="192" t="s">
        <v>2110</v>
      </c>
      <c r="I992" s="61" t="s">
        <v>2511</v>
      </c>
      <c r="J992" s="61" t="s">
        <v>2511</v>
      </c>
      <c r="K992" s="62" t="s">
        <v>2511</v>
      </c>
      <c r="L992" s="60" t="s">
        <v>2511</v>
      </c>
      <c r="M992" s="61" t="s">
        <v>2389</v>
      </c>
      <c r="N992" s="61" t="s">
        <v>2511</v>
      </c>
      <c r="O992" s="61" t="s">
        <v>2511</v>
      </c>
      <c r="P992" s="62" t="s">
        <v>2511</v>
      </c>
      <c r="Q992" s="82"/>
      <c r="R992" s="82"/>
      <c r="S992" s="82"/>
      <c r="T992" s="82"/>
      <c r="U992" s="82"/>
      <c r="V992" s="138" t="s">
        <v>5287</v>
      </c>
      <c r="W992" s="57" t="s">
        <v>4966</v>
      </c>
      <c r="X992" s="126" t="s">
        <v>2511</v>
      </c>
      <c r="Y992" s="126" t="s">
        <v>2511</v>
      </c>
      <c r="Z992" s="57"/>
      <c r="AA992" s="57" t="s">
        <v>4533</v>
      </c>
      <c r="AB992" s="138"/>
      <c r="AC992" s="138">
        <v>0</v>
      </c>
      <c r="AD992" s="96"/>
      <c r="AE992" s="80"/>
      <c r="AF992" s="80"/>
      <c r="AG992" s="80"/>
      <c r="AH992" s="83"/>
      <c r="AI992" s="83"/>
      <c r="AJ992" s="84"/>
      <c r="AK992" s="84"/>
      <c r="AL992" s="84"/>
      <c r="AM992" s="84"/>
      <c r="AN992" s="84"/>
      <c r="AO992" s="84"/>
      <c r="AP992" s="84"/>
      <c r="AQ992" s="95" t="s">
        <v>2110</v>
      </c>
      <c r="AR992" s="72"/>
      <c r="AS992" s="72"/>
      <c r="AT992" s="72"/>
      <c r="AU992" s="72"/>
      <c r="AV992" s="72"/>
      <c r="AW992" s="72"/>
      <c r="AX992" s="72"/>
      <c r="AY992" s="72"/>
      <c r="AZ992" s="72"/>
      <c r="BA992" s="72"/>
      <c r="BB992" s="16"/>
      <c r="BC992" s="72"/>
      <c r="BD992" s="20"/>
      <c r="BE992" s="352"/>
    </row>
    <row r="993" spans="1:57" s="81" customFormat="1" ht="12.95" hidden="1" customHeight="1">
      <c r="A993" s="348"/>
      <c r="B993" s="350"/>
      <c r="C993" s="248" t="s">
        <v>1553</v>
      </c>
      <c r="D993" s="239" t="s">
        <v>5288</v>
      </c>
      <c r="E993" s="58"/>
      <c r="F993" s="59" t="s">
        <v>5289</v>
      </c>
      <c r="G993" s="191" t="s">
        <v>2511</v>
      </c>
      <c r="H993" s="192" t="s">
        <v>2111</v>
      </c>
      <c r="I993" s="61" t="s">
        <v>2511</v>
      </c>
      <c r="J993" s="61" t="s">
        <v>2511</v>
      </c>
      <c r="K993" s="62" t="s">
        <v>2511</v>
      </c>
      <c r="L993" s="60" t="s">
        <v>2511</v>
      </c>
      <c r="M993" s="61" t="s">
        <v>2389</v>
      </c>
      <c r="N993" s="61" t="s">
        <v>2511</v>
      </c>
      <c r="O993" s="61" t="s">
        <v>2511</v>
      </c>
      <c r="P993" s="62" t="s">
        <v>2511</v>
      </c>
      <c r="Q993" s="82"/>
      <c r="R993" s="82"/>
      <c r="S993" s="82"/>
      <c r="T993" s="82"/>
      <c r="U993" s="82"/>
      <c r="V993" s="138" t="s">
        <v>5290</v>
      </c>
      <c r="W993" s="57" t="s">
        <v>4966</v>
      </c>
      <c r="X993" s="126" t="s">
        <v>2511</v>
      </c>
      <c r="Y993" s="126" t="s">
        <v>2511</v>
      </c>
      <c r="Z993" s="57"/>
      <c r="AA993" s="57" t="s">
        <v>4533</v>
      </c>
      <c r="AB993" s="138"/>
      <c r="AC993" s="138" t="s">
        <v>2631</v>
      </c>
      <c r="AD993" s="96"/>
      <c r="AE993" s="80"/>
      <c r="AF993" s="80"/>
      <c r="AG993" s="80"/>
      <c r="AH993" s="83"/>
      <c r="AI993" s="83"/>
      <c r="AJ993" s="84"/>
      <c r="AK993" s="84"/>
      <c r="AL993" s="84"/>
      <c r="AM993" s="84"/>
      <c r="AN993" s="84"/>
      <c r="AO993" s="84"/>
      <c r="AP993" s="84"/>
      <c r="AQ993" s="95" t="s">
        <v>2111</v>
      </c>
      <c r="AR993" s="72"/>
      <c r="AS993" s="72"/>
      <c r="AT993" s="72"/>
      <c r="AU993" s="72"/>
      <c r="AV993" s="72"/>
      <c r="AW993" s="72"/>
      <c r="AX993" s="72"/>
      <c r="AY993" s="72"/>
      <c r="AZ993" s="72"/>
      <c r="BA993" s="72"/>
      <c r="BB993" s="16"/>
      <c r="BC993" s="72"/>
      <c r="BD993" s="20"/>
      <c r="BE993" s="352"/>
    </row>
    <row r="994" spans="1:57" s="81" customFormat="1" ht="12.95" hidden="1" customHeight="1">
      <c r="A994" s="348"/>
      <c r="B994" s="350"/>
      <c r="C994" s="248" t="s">
        <v>1554</v>
      </c>
      <c r="D994" s="239" t="s">
        <v>5291</v>
      </c>
      <c r="E994" s="58"/>
      <c r="F994" s="59" t="s">
        <v>5292</v>
      </c>
      <c r="G994" s="191" t="s">
        <v>2511</v>
      </c>
      <c r="H994" s="192" t="s">
        <v>2112</v>
      </c>
      <c r="I994" s="61" t="s">
        <v>2511</v>
      </c>
      <c r="J994" s="61" t="s">
        <v>2511</v>
      </c>
      <c r="K994" s="62" t="s">
        <v>2511</v>
      </c>
      <c r="L994" s="60" t="s">
        <v>2511</v>
      </c>
      <c r="M994" s="61" t="s">
        <v>2389</v>
      </c>
      <c r="N994" s="61" t="s">
        <v>2511</v>
      </c>
      <c r="O994" s="61" t="s">
        <v>2511</v>
      </c>
      <c r="P994" s="62" t="s">
        <v>2511</v>
      </c>
      <c r="Q994" s="82"/>
      <c r="R994" s="82"/>
      <c r="S994" s="82"/>
      <c r="T994" s="82"/>
      <c r="U994" s="82"/>
      <c r="V994" s="138" t="s">
        <v>5293</v>
      </c>
      <c r="W994" s="57" t="s">
        <v>4966</v>
      </c>
      <c r="X994" s="126" t="s">
        <v>2511</v>
      </c>
      <c r="Y994" s="126" t="s">
        <v>2511</v>
      </c>
      <c r="Z994" s="57"/>
      <c r="AA994" s="57" t="s">
        <v>4533</v>
      </c>
      <c r="AB994" s="138"/>
      <c r="AC994" s="138" t="s">
        <v>2631</v>
      </c>
      <c r="AD994" s="96"/>
      <c r="AE994" s="80"/>
      <c r="AF994" s="80"/>
      <c r="AG994" s="80"/>
      <c r="AH994" s="83"/>
      <c r="AI994" s="83"/>
      <c r="AJ994" s="84"/>
      <c r="AK994" s="84"/>
      <c r="AL994" s="84"/>
      <c r="AM994" s="84"/>
      <c r="AN994" s="84"/>
      <c r="AO994" s="84"/>
      <c r="AP994" s="84"/>
      <c r="AQ994" s="95" t="s">
        <v>2112</v>
      </c>
      <c r="AR994" s="72"/>
      <c r="AS994" s="72"/>
      <c r="AT994" s="72"/>
      <c r="AU994" s="72"/>
      <c r="AV994" s="72"/>
      <c r="AW994" s="72"/>
      <c r="AX994" s="72"/>
      <c r="AY994" s="72"/>
      <c r="AZ994" s="72"/>
      <c r="BA994" s="72"/>
      <c r="BB994" s="16"/>
      <c r="BC994" s="72"/>
      <c r="BD994" s="20"/>
      <c r="BE994" s="352"/>
    </row>
    <row r="995" spans="1:57" s="81" customFormat="1" ht="12.95" hidden="1" customHeight="1">
      <c r="A995" s="348"/>
      <c r="B995" s="350"/>
      <c r="C995" s="248" t="s">
        <v>1555</v>
      </c>
      <c r="D995" s="239" t="s">
        <v>5294</v>
      </c>
      <c r="E995" s="58"/>
      <c r="F995" s="59" t="s">
        <v>5295</v>
      </c>
      <c r="G995" s="191" t="s">
        <v>2511</v>
      </c>
      <c r="H995" s="192" t="s">
        <v>2113</v>
      </c>
      <c r="I995" s="61" t="s">
        <v>2511</v>
      </c>
      <c r="J995" s="61" t="s">
        <v>2511</v>
      </c>
      <c r="K995" s="62" t="s">
        <v>2511</v>
      </c>
      <c r="L995" s="60" t="s">
        <v>2511</v>
      </c>
      <c r="M995" s="61" t="s">
        <v>2389</v>
      </c>
      <c r="N995" s="61" t="s">
        <v>2511</v>
      </c>
      <c r="O995" s="61" t="s">
        <v>2511</v>
      </c>
      <c r="P995" s="62" t="s">
        <v>2511</v>
      </c>
      <c r="Q995" s="82"/>
      <c r="R995" s="82"/>
      <c r="S995" s="82"/>
      <c r="T995" s="82"/>
      <c r="U995" s="82"/>
      <c r="V995" s="138" t="s">
        <v>5296</v>
      </c>
      <c r="W995" s="57" t="s">
        <v>4966</v>
      </c>
      <c r="X995" s="126" t="s">
        <v>2511</v>
      </c>
      <c r="Y995" s="126" t="s">
        <v>2511</v>
      </c>
      <c r="Z995" s="57"/>
      <c r="AA995" s="57" t="s">
        <v>4533</v>
      </c>
      <c r="AB995" s="138"/>
      <c r="AC995" s="138" t="s">
        <v>2631</v>
      </c>
      <c r="AD995" s="96"/>
      <c r="AE995" s="80"/>
      <c r="AF995" s="80"/>
      <c r="AG995" s="80"/>
      <c r="AH995" s="83"/>
      <c r="AI995" s="83"/>
      <c r="AJ995" s="84"/>
      <c r="AK995" s="84"/>
      <c r="AL995" s="84"/>
      <c r="AM995" s="84"/>
      <c r="AN995" s="84"/>
      <c r="AO995" s="84"/>
      <c r="AP995" s="84"/>
      <c r="AQ995" s="95" t="s">
        <v>2113</v>
      </c>
      <c r="AR995" s="72"/>
      <c r="AS995" s="72"/>
      <c r="AT995" s="72"/>
      <c r="AU995" s="72"/>
      <c r="AV995" s="72"/>
      <c r="AW995" s="72"/>
      <c r="AX995" s="72"/>
      <c r="AY995" s="72"/>
      <c r="AZ995" s="72"/>
      <c r="BA995" s="72"/>
      <c r="BB995" s="16"/>
      <c r="BC995" s="72"/>
      <c r="BD995" s="20"/>
      <c r="BE995" s="352"/>
    </row>
    <row r="996" spans="1:57" s="81" customFormat="1" ht="12.95" hidden="1" customHeight="1">
      <c r="A996" s="348"/>
      <c r="B996" s="350"/>
      <c r="C996" s="248" t="s">
        <v>1556</v>
      </c>
      <c r="D996" s="239" t="s">
        <v>5297</v>
      </c>
      <c r="E996" s="58"/>
      <c r="F996" s="59" t="s">
        <v>5298</v>
      </c>
      <c r="G996" s="191" t="s">
        <v>2511</v>
      </c>
      <c r="H996" s="192" t="s">
        <v>2114</v>
      </c>
      <c r="I996" s="61" t="s">
        <v>2511</v>
      </c>
      <c r="J996" s="61" t="s">
        <v>2511</v>
      </c>
      <c r="K996" s="62" t="s">
        <v>2511</v>
      </c>
      <c r="L996" s="60" t="s">
        <v>2511</v>
      </c>
      <c r="M996" s="61" t="s">
        <v>2389</v>
      </c>
      <c r="N996" s="61" t="s">
        <v>2511</v>
      </c>
      <c r="O996" s="61" t="s">
        <v>2511</v>
      </c>
      <c r="P996" s="62" t="s">
        <v>2511</v>
      </c>
      <c r="Q996" s="82"/>
      <c r="R996" s="82"/>
      <c r="S996" s="82"/>
      <c r="T996" s="82"/>
      <c r="U996" s="82"/>
      <c r="V996" s="138" t="s">
        <v>5299</v>
      </c>
      <c r="W996" s="57" t="s">
        <v>4966</v>
      </c>
      <c r="X996" s="126" t="s">
        <v>2511</v>
      </c>
      <c r="Y996" s="126" t="s">
        <v>2511</v>
      </c>
      <c r="Z996" s="57"/>
      <c r="AA996" s="57" t="s">
        <v>4533</v>
      </c>
      <c r="AB996" s="138"/>
      <c r="AC996" s="138" t="s">
        <v>2631</v>
      </c>
      <c r="AD996" s="96"/>
      <c r="AE996" s="80"/>
      <c r="AF996" s="80"/>
      <c r="AG996" s="80"/>
      <c r="AH996" s="83"/>
      <c r="AI996" s="83"/>
      <c r="AJ996" s="84"/>
      <c r="AK996" s="84"/>
      <c r="AL996" s="84"/>
      <c r="AM996" s="84"/>
      <c r="AN996" s="84"/>
      <c r="AO996" s="84"/>
      <c r="AP996" s="84"/>
      <c r="AQ996" s="95" t="s">
        <v>2114</v>
      </c>
      <c r="AR996" s="72"/>
      <c r="AS996" s="72"/>
      <c r="AT996" s="72"/>
      <c r="AU996" s="72"/>
      <c r="AV996" s="72"/>
      <c r="AW996" s="72"/>
      <c r="AX996" s="72"/>
      <c r="AY996" s="72"/>
      <c r="AZ996" s="72"/>
      <c r="BA996" s="72"/>
      <c r="BB996" s="16"/>
      <c r="BC996" s="72"/>
      <c r="BD996" s="20"/>
      <c r="BE996" s="352"/>
    </row>
    <row r="997" spans="1:57" s="81" customFormat="1" ht="12.95" hidden="1" customHeight="1">
      <c r="A997" s="348"/>
      <c r="B997" s="350"/>
      <c r="C997" s="248" t="s">
        <v>1557</v>
      </c>
      <c r="D997" s="239" t="s">
        <v>5300</v>
      </c>
      <c r="E997" s="58"/>
      <c r="F997" s="59" t="s">
        <v>5301</v>
      </c>
      <c r="G997" s="191" t="s">
        <v>2511</v>
      </c>
      <c r="H997" s="192" t="s">
        <v>2115</v>
      </c>
      <c r="I997" s="61" t="s">
        <v>2511</v>
      </c>
      <c r="J997" s="61" t="s">
        <v>2511</v>
      </c>
      <c r="K997" s="62" t="s">
        <v>2511</v>
      </c>
      <c r="L997" s="60" t="s">
        <v>2511</v>
      </c>
      <c r="M997" s="61" t="s">
        <v>2389</v>
      </c>
      <c r="N997" s="61" t="s">
        <v>2511</v>
      </c>
      <c r="O997" s="61" t="s">
        <v>2511</v>
      </c>
      <c r="P997" s="62" t="s">
        <v>2511</v>
      </c>
      <c r="Q997" s="82"/>
      <c r="R997" s="82"/>
      <c r="S997" s="82"/>
      <c r="T997" s="82"/>
      <c r="U997" s="82"/>
      <c r="V997" s="138" t="s">
        <v>5302</v>
      </c>
      <c r="W997" s="57" t="s">
        <v>4966</v>
      </c>
      <c r="X997" s="126" t="s">
        <v>2511</v>
      </c>
      <c r="Y997" s="126" t="s">
        <v>2511</v>
      </c>
      <c r="Z997" s="57"/>
      <c r="AA997" s="57" t="s">
        <v>4533</v>
      </c>
      <c r="AB997" s="138"/>
      <c r="AC997" s="138" t="s">
        <v>2631</v>
      </c>
      <c r="AD997" s="96"/>
      <c r="AE997" s="80"/>
      <c r="AF997" s="80"/>
      <c r="AG997" s="80"/>
      <c r="AH997" s="83"/>
      <c r="AI997" s="83"/>
      <c r="AJ997" s="84"/>
      <c r="AK997" s="84"/>
      <c r="AL997" s="84"/>
      <c r="AM997" s="84"/>
      <c r="AN997" s="84"/>
      <c r="AO997" s="84"/>
      <c r="AP997" s="84"/>
      <c r="AQ997" s="95" t="s">
        <v>2115</v>
      </c>
      <c r="AR997" s="72"/>
      <c r="AS997" s="72"/>
      <c r="AT997" s="72"/>
      <c r="AU997" s="72"/>
      <c r="AV997" s="72"/>
      <c r="AW997" s="72"/>
      <c r="AX997" s="72"/>
      <c r="AY997" s="72"/>
      <c r="AZ997" s="72"/>
      <c r="BA997" s="72"/>
      <c r="BB997" s="16"/>
      <c r="BC997" s="72"/>
      <c r="BD997" s="20"/>
      <c r="BE997" s="352"/>
    </row>
    <row r="998" spans="1:57" s="81" customFormat="1" ht="12.95" hidden="1" customHeight="1">
      <c r="A998" s="348"/>
      <c r="B998" s="350"/>
      <c r="C998" s="248" t="s">
        <v>1558</v>
      </c>
      <c r="D998" s="239" t="s">
        <v>5303</v>
      </c>
      <c r="E998" s="58"/>
      <c r="F998" s="59" t="s">
        <v>5304</v>
      </c>
      <c r="G998" s="191" t="s">
        <v>2511</v>
      </c>
      <c r="H998" s="192" t="s">
        <v>2116</v>
      </c>
      <c r="I998" s="61" t="s">
        <v>2511</v>
      </c>
      <c r="J998" s="61" t="s">
        <v>2511</v>
      </c>
      <c r="K998" s="62" t="s">
        <v>2511</v>
      </c>
      <c r="L998" s="60" t="s">
        <v>2511</v>
      </c>
      <c r="M998" s="61" t="s">
        <v>2389</v>
      </c>
      <c r="N998" s="61" t="s">
        <v>2511</v>
      </c>
      <c r="O998" s="61" t="s">
        <v>2511</v>
      </c>
      <c r="P998" s="62" t="s">
        <v>2511</v>
      </c>
      <c r="Q998" s="82"/>
      <c r="R998" s="82"/>
      <c r="S998" s="82"/>
      <c r="T998" s="82"/>
      <c r="U998" s="82"/>
      <c r="V998" s="138" t="s">
        <v>5305</v>
      </c>
      <c r="W998" s="57" t="s">
        <v>4966</v>
      </c>
      <c r="X998" s="126" t="s">
        <v>2511</v>
      </c>
      <c r="Y998" s="126" t="s">
        <v>2511</v>
      </c>
      <c r="Z998" s="57"/>
      <c r="AA998" s="57" t="s">
        <v>4533</v>
      </c>
      <c r="AB998" s="138"/>
      <c r="AC998" s="138" t="s">
        <v>2631</v>
      </c>
      <c r="AD998" s="96"/>
      <c r="AE998" s="80"/>
      <c r="AF998" s="80"/>
      <c r="AG998" s="80"/>
      <c r="AH998" s="83"/>
      <c r="AI998" s="83"/>
      <c r="AJ998" s="84"/>
      <c r="AK998" s="84"/>
      <c r="AL998" s="84"/>
      <c r="AM998" s="84"/>
      <c r="AN998" s="84"/>
      <c r="AO998" s="84"/>
      <c r="AP998" s="84"/>
      <c r="AQ998" s="95" t="s">
        <v>2116</v>
      </c>
      <c r="AR998" s="72"/>
      <c r="AS998" s="72"/>
      <c r="AT998" s="72"/>
      <c r="AU998" s="72"/>
      <c r="AV998" s="72"/>
      <c r="AW998" s="72"/>
      <c r="AX998" s="72"/>
      <c r="AY998" s="72"/>
      <c r="AZ998" s="72"/>
      <c r="BA998" s="72"/>
      <c r="BB998" s="16"/>
      <c r="BC998" s="72"/>
      <c r="BD998" s="20"/>
      <c r="BE998" s="352"/>
    </row>
    <row r="999" spans="1:57" s="81" customFormat="1" ht="12.95" hidden="1" customHeight="1">
      <c r="A999" s="348"/>
      <c r="B999" s="350"/>
      <c r="C999" s="248" t="s">
        <v>1559</v>
      </c>
      <c r="D999" s="239" t="s">
        <v>5306</v>
      </c>
      <c r="E999" s="58"/>
      <c r="F999" s="59" t="s">
        <v>5307</v>
      </c>
      <c r="G999" s="191" t="s">
        <v>2511</v>
      </c>
      <c r="H999" s="192" t="s">
        <v>2117</v>
      </c>
      <c r="I999" s="61" t="s">
        <v>2511</v>
      </c>
      <c r="J999" s="61" t="s">
        <v>2511</v>
      </c>
      <c r="K999" s="62" t="s">
        <v>2511</v>
      </c>
      <c r="L999" s="60" t="s">
        <v>2511</v>
      </c>
      <c r="M999" s="61" t="s">
        <v>2389</v>
      </c>
      <c r="N999" s="61" t="s">
        <v>2511</v>
      </c>
      <c r="O999" s="61" t="s">
        <v>2511</v>
      </c>
      <c r="P999" s="62" t="s">
        <v>2511</v>
      </c>
      <c r="Q999" s="82"/>
      <c r="R999" s="82"/>
      <c r="S999" s="82"/>
      <c r="T999" s="82"/>
      <c r="U999" s="82"/>
      <c r="V999" s="138" t="s">
        <v>5308</v>
      </c>
      <c r="W999" s="57" t="s">
        <v>4966</v>
      </c>
      <c r="X999" s="126" t="s">
        <v>2511</v>
      </c>
      <c r="Y999" s="126" t="s">
        <v>2511</v>
      </c>
      <c r="Z999" s="57"/>
      <c r="AA999" s="57" t="s">
        <v>4533</v>
      </c>
      <c r="AB999" s="138"/>
      <c r="AC999" s="138" t="s">
        <v>2631</v>
      </c>
      <c r="AD999" s="96"/>
      <c r="AE999" s="80"/>
      <c r="AF999" s="80"/>
      <c r="AG999" s="80"/>
      <c r="AH999" s="83"/>
      <c r="AI999" s="83"/>
      <c r="AJ999" s="84"/>
      <c r="AK999" s="84"/>
      <c r="AL999" s="84"/>
      <c r="AM999" s="84"/>
      <c r="AN999" s="84"/>
      <c r="AO999" s="84"/>
      <c r="AP999" s="84"/>
      <c r="AQ999" s="95" t="s">
        <v>2117</v>
      </c>
      <c r="AR999" s="72"/>
      <c r="AS999" s="72"/>
      <c r="AT999" s="72"/>
      <c r="AU999" s="72"/>
      <c r="AV999" s="72"/>
      <c r="AW999" s="72"/>
      <c r="AX999" s="72"/>
      <c r="AY999" s="72"/>
      <c r="AZ999" s="72"/>
      <c r="BA999" s="72"/>
      <c r="BB999" s="16"/>
      <c r="BC999" s="72"/>
      <c r="BD999" s="20"/>
      <c r="BE999" s="352"/>
    </row>
    <row r="1000" spans="1:57" s="81" customFormat="1" ht="12.95" hidden="1" customHeight="1">
      <c r="A1000" s="348"/>
      <c r="B1000" s="350"/>
      <c r="C1000" s="248" t="s">
        <v>1560</v>
      </c>
      <c r="D1000" s="239" t="s">
        <v>5309</v>
      </c>
      <c r="E1000" s="58"/>
      <c r="F1000" s="59" t="s">
        <v>5310</v>
      </c>
      <c r="G1000" s="191" t="s">
        <v>2511</v>
      </c>
      <c r="H1000" s="192" t="s">
        <v>2118</v>
      </c>
      <c r="I1000" s="61" t="s">
        <v>2511</v>
      </c>
      <c r="J1000" s="61" t="s">
        <v>2511</v>
      </c>
      <c r="K1000" s="62" t="s">
        <v>2511</v>
      </c>
      <c r="L1000" s="60" t="s">
        <v>2511</v>
      </c>
      <c r="M1000" s="61" t="s">
        <v>2389</v>
      </c>
      <c r="N1000" s="61" t="s">
        <v>2511</v>
      </c>
      <c r="O1000" s="61" t="s">
        <v>2511</v>
      </c>
      <c r="P1000" s="62" t="s">
        <v>2511</v>
      </c>
      <c r="Q1000" s="82"/>
      <c r="R1000" s="82"/>
      <c r="S1000" s="82"/>
      <c r="T1000" s="82"/>
      <c r="U1000" s="82"/>
      <c r="V1000" s="138" t="s">
        <v>5311</v>
      </c>
      <c r="W1000" s="57" t="s">
        <v>4966</v>
      </c>
      <c r="X1000" s="126" t="s">
        <v>2511</v>
      </c>
      <c r="Y1000" s="126" t="s">
        <v>2511</v>
      </c>
      <c r="Z1000" s="57"/>
      <c r="AA1000" s="57" t="s">
        <v>4533</v>
      </c>
      <c r="AB1000" s="138"/>
      <c r="AC1000" s="138" t="s">
        <v>2631</v>
      </c>
      <c r="AD1000" s="96"/>
      <c r="AE1000" s="80"/>
      <c r="AF1000" s="80"/>
      <c r="AG1000" s="80"/>
      <c r="AH1000" s="83"/>
      <c r="AI1000" s="83"/>
      <c r="AJ1000" s="84"/>
      <c r="AK1000" s="84"/>
      <c r="AL1000" s="84"/>
      <c r="AM1000" s="84"/>
      <c r="AN1000" s="84"/>
      <c r="AO1000" s="84"/>
      <c r="AP1000" s="84"/>
      <c r="AQ1000" s="95" t="s">
        <v>2118</v>
      </c>
      <c r="AR1000" s="72"/>
      <c r="AS1000" s="72"/>
      <c r="AT1000" s="72"/>
      <c r="AU1000" s="72"/>
      <c r="AV1000" s="72"/>
      <c r="AW1000" s="72"/>
      <c r="AX1000" s="72"/>
      <c r="AY1000" s="72"/>
      <c r="AZ1000" s="72"/>
      <c r="BA1000" s="72"/>
      <c r="BB1000" s="16"/>
      <c r="BC1000" s="72"/>
      <c r="BD1000" s="20"/>
      <c r="BE1000" s="352"/>
    </row>
    <row r="1001" spans="1:57" s="81" customFormat="1" ht="12.95" hidden="1" customHeight="1">
      <c r="A1001" s="348"/>
      <c r="B1001" s="350"/>
      <c r="C1001" s="248" t="s">
        <v>1561</v>
      </c>
      <c r="D1001" s="239" t="s">
        <v>5312</v>
      </c>
      <c r="E1001" s="58"/>
      <c r="F1001" s="59" t="s">
        <v>5313</v>
      </c>
      <c r="G1001" s="191" t="s">
        <v>2511</v>
      </c>
      <c r="H1001" s="192" t="s">
        <v>2119</v>
      </c>
      <c r="I1001" s="61" t="s">
        <v>2511</v>
      </c>
      <c r="J1001" s="61" t="s">
        <v>2511</v>
      </c>
      <c r="K1001" s="62" t="s">
        <v>2511</v>
      </c>
      <c r="L1001" s="60" t="s">
        <v>2511</v>
      </c>
      <c r="M1001" s="61" t="s">
        <v>2389</v>
      </c>
      <c r="N1001" s="61" t="s">
        <v>2511</v>
      </c>
      <c r="O1001" s="61" t="s">
        <v>2511</v>
      </c>
      <c r="P1001" s="62" t="s">
        <v>2511</v>
      </c>
      <c r="Q1001" s="82"/>
      <c r="R1001" s="82"/>
      <c r="S1001" s="82"/>
      <c r="T1001" s="82"/>
      <c r="U1001" s="82"/>
      <c r="V1001" s="138" t="s">
        <v>5314</v>
      </c>
      <c r="W1001" s="57" t="s">
        <v>4966</v>
      </c>
      <c r="X1001" s="126" t="s">
        <v>2511</v>
      </c>
      <c r="Y1001" s="126" t="s">
        <v>2511</v>
      </c>
      <c r="Z1001" s="57"/>
      <c r="AA1001" s="57" t="s">
        <v>4533</v>
      </c>
      <c r="AB1001" s="138"/>
      <c r="AC1001" s="138" t="s">
        <v>2631</v>
      </c>
      <c r="AD1001" s="96"/>
      <c r="AE1001" s="80"/>
      <c r="AF1001" s="80"/>
      <c r="AG1001" s="80"/>
      <c r="AH1001" s="83"/>
      <c r="AI1001" s="83"/>
      <c r="AJ1001" s="84"/>
      <c r="AK1001" s="84"/>
      <c r="AL1001" s="84"/>
      <c r="AM1001" s="84"/>
      <c r="AN1001" s="84"/>
      <c r="AO1001" s="84"/>
      <c r="AP1001" s="84"/>
      <c r="AQ1001" s="95" t="s">
        <v>2119</v>
      </c>
      <c r="AR1001" s="72"/>
      <c r="AS1001" s="72"/>
      <c r="AT1001" s="72"/>
      <c r="AU1001" s="72"/>
      <c r="AV1001" s="72"/>
      <c r="AW1001" s="72"/>
      <c r="AX1001" s="72"/>
      <c r="AY1001" s="72"/>
      <c r="AZ1001" s="72"/>
      <c r="BA1001" s="72"/>
      <c r="BB1001" s="16"/>
      <c r="BC1001" s="72"/>
      <c r="BD1001" s="20"/>
      <c r="BE1001" s="352"/>
    </row>
    <row r="1002" spans="1:57" s="81" customFormat="1" ht="12.95" hidden="1" customHeight="1">
      <c r="A1002" s="348"/>
      <c r="B1002" s="350"/>
      <c r="C1002" s="270" t="s">
        <v>1562</v>
      </c>
      <c r="D1002" s="239" t="s">
        <v>5315</v>
      </c>
      <c r="E1002" s="58"/>
      <c r="F1002" s="59" t="s">
        <v>5316</v>
      </c>
      <c r="G1002" s="191" t="s">
        <v>2511</v>
      </c>
      <c r="H1002" s="192" t="s">
        <v>2120</v>
      </c>
      <c r="I1002" s="61" t="s">
        <v>2511</v>
      </c>
      <c r="J1002" s="61" t="s">
        <v>2511</v>
      </c>
      <c r="K1002" s="62" t="s">
        <v>2511</v>
      </c>
      <c r="L1002" s="60" t="s">
        <v>2511</v>
      </c>
      <c r="M1002" s="61" t="s">
        <v>2389</v>
      </c>
      <c r="N1002" s="61" t="s">
        <v>2511</v>
      </c>
      <c r="O1002" s="61" t="s">
        <v>2511</v>
      </c>
      <c r="P1002" s="62" t="s">
        <v>2511</v>
      </c>
      <c r="Q1002" s="82"/>
      <c r="R1002" s="82"/>
      <c r="S1002" s="82"/>
      <c r="T1002" s="82"/>
      <c r="U1002" s="82"/>
      <c r="V1002" s="138" t="s">
        <v>5317</v>
      </c>
      <c r="W1002" s="57" t="s">
        <v>4966</v>
      </c>
      <c r="X1002" s="126" t="s">
        <v>2511</v>
      </c>
      <c r="Y1002" s="126" t="s">
        <v>2511</v>
      </c>
      <c r="Z1002" s="57"/>
      <c r="AA1002" s="57" t="s">
        <v>4533</v>
      </c>
      <c r="AB1002" s="138"/>
      <c r="AC1002" s="138" t="s">
        <v>2631</v>
      </c>
      <c r="AD1002" s="96"/>
      <c r="AE1002" s="80"/>
      <c r="AF1002" s="80"/>
      <c r="AG1002" s="80"/>
      <c r="AH1002" s="83"/>
      <c r="AI1002" s="83"/>
      <c r="AJ1002" s="84"/>
      <c r="AK1002" s="84"/>
      <c r="AL1002" s="84"/>
      <c r="AM1002" s="84"/>
      <c r="AN1002" s="84"/>
      <c r="AO1002" s="84"/>
      <c r="AP1002" s="84"/>
      <c r="AQ1002" s="95" t="s">
        <v>2120</v>
      </c>
      <c r="AR1002" s="72"/>
      <c r="AS1002" s="72"/>
      <c r="AT1002" s="72"/>
      <c r="AU1002" s="72"/>
      <c r="AV1002" s="72"/>
      <c r="AW1002" s="72"/>
      <c r="AX1002" s="72"/>
      <c r="AY1002" s="72"/>
      <c r="AZ1002" s="72"/>
      <c r="BA1002" s="72"/>
      <c r="BB1002" s="16"/>
      <c r="BC1002" s="72"/>
      <c r="BD1002" s="20"/>
      <c r="BE1002" s="352"/>
    </row>
    <row r="1003" spans="1:57" s="81" customFormat="1" ht="12.95" hidden="1" customHeight="1">
      <c r="A1003" s="348"/>
      <c r="B1003" s="350"/>
      <c r="C1003" s="270" t="s">
        <v>1563</v>
      </c>
      <c r="D1003" s="239" t="s">
        <v>5318</v>
      </c>
      <c r="E1003" s="58"/>
      <c r="F1003" s="59" t="s">
        <v>5319</v>
      </c>
      <c r="G1003" s="191" t="s">
        <v>2511</v>
      </c>
      <c r="H1003" s="192" t="s">
        <v>2121</v>
      </c>
      <c r="I1003" s="61" t="s">
        <v>2511</v>
      </c>
      <c r="J1003" s="61" t="s">
        <v>2511</v>
      </c>
      <c r="K1003" s="62" t="s">
        <v>2511</v>
      </c>
      <c r="L1003" s="60" t="s">
        <v>2511</v>
      </c>
      <c r="M1003" s="61" t="s">
        <v>2389</v>
      </c>
      <c r="N1003" s="61" t="s">
        <v>2511</v>
      </c>
      <c r="O1003" s="61" t="s">
        <v>2511</v>
      </c>
      <c r="P1003" s="62" t="s">
        <v>2511</v>
      </c>
      <c r="Q1003" s="82"/>
      <c r="R1003" s="82"/>
      <c r="S1003" s="82"/>
      <c r="T1003" s="82"/>
      <c r="U1003" s="82"/>
      <c r="V1003" s="138" t="s">
        <v>5320</v>
      </c>
      <c r="W1003" s="57" t="s">
        <v>4966</v>
      </c>
      <c r="X1003" s="126" t="s">
        <v>2511</v>
      </c>
      <c r="Y1003" s="126" t="s">
        <v>2511</v>
      </c>
      <c r="Z1003" s="57"/>
      <c r="AA1003" s="57" t="s">
        <v>4533</v>
      </c>
      <c r="AB1003" s="138"/>
      <c r="AC1003" s="138" t="s">
        <v>2631</v>
      </c>
      <c r="AD1003" s="96"/>
      <c r="AE1003" s="80"/>
      <c r="AF1003" s="80"/>
      <c r="AG1003" s="80"/>
      <c r="AH1003" s="83"/>
      <c r="AI1003" s="83"/>
      <c r="AJ1003" s="84"/>
      <c r="AK1003" s="84"/>
      <c r="AL1003" s="84"/>
      <c r="AM1003" s="84"/>
      <c r="AN1003" s="84"/>
      <c r="AO1003" s="84"/>
      <c r="AP1003" s="84"/>
      <c r="AQ1003" s="95" t="s">
        <v>2121</v>
      </c>
      <c r="AR1003" s="72"/>
      <c r="AS1003" s="72"/>
      <c r="AT1003" s="72"/>
      <c r="AU1003" s="72"/>
      <c r="AV1003" s="72"/>
      <c r="AW1003" s="72"/>
      <c r="AX1003" s="72"/>
      <c r="AY1003" s="72"/>
      <c r="AZ1003" s="72"/>
      <c r="BA1003" s="72"/>
      <c r="BB1003" s="16"/>
      <c r="BC1003" s="72"/>
      <c r="BD1003" s="20"/>
      <c r="BE1003" s="352"/>
    </row>
    <row r="1004" spans="1:57" s="81" customFormat="1" ht="12.95" hidden="1" customHeight="1">
      <c r="A1004" s="348"/>
      <c r="B1004" s="350"/>
      <c r="C1004" s="248" t="s">
        <v>1564</v>
      </c>
      <c r="D1004" s="239" t="s">
        <v>5321</v>
      </c>
      <c r="E1004" s="58"/>
      <c r="F1004" s="59" t="s">
        <v>5322</v>
      </c>
      <c r="G1004" s="191" t="s">
        <v>2511</v>
      </c>
      <c r="H1004" s="192" t="s">
        <v>2122</v>
      </c>
      <c r="I1004" s="61" t="s">
        <v>2511</v>
      </c>
      <c r="J1004" s="61" t="s">
        <v>2511</v>
      </c>
      <c r="K1004" s="62" t="s">
        <v>2511</v>
      </c>
      <c r="L1004" s="60" t="s">
        <v>2511</v>
      </c>
      <c r="M1004" s="61" t="s">
        <v>2389</v>
      </c>
      <c r="N1004" s="61" t="s">
        <v>2511</v>
      </c>
      <c r="O1004" s="61" t="s">
        <v>2511</v>
      </c>
      <c r="P1004" s="62" t="s">
        <v>2511</v>
      </c>
      <c r="Q1004" s="82"/>
      <c r="R1004" s="82"/>
      <c r="S1004" s="82"/>
      <c r="T1004" s="82"/>
      <c r="U1004" s="82"/>
      <c r="V1004" s="138" t="s">
        <v>5323</v>
      </c>
      <c r="W1004" s="57" t="s">
        <v>4966</v>
      </c>
      <c r="X1004" s="126" t="s">
        <v>2511</v>
      </c>
      <c r="Y1004" s="126" t="s">
        <v>2511</v>
      </c>
      <c r="Z1004" s="57"/>
      <c r="AA1004" s="57" t="s">
        <v>4533</v>
      </c>
      <c r="AB1004" s="138"/>
      <c r="AC1004" s="138">
        <v>0</v>
      </c>
      <c r="AD1004" s="96"/>
      <c r="AE1004" s="80"/>
      <c r="AF1004" s="80"/>
      <c r="AG1004" s="80"/>
      <c r="AH1004" s="83"/>
      <c r="AI1004" s="83"/>
      <c r="AJ1004" s="84"/>
      <c r="AK1004" s="84"/>
      <c r="AL1004" s="84"/>
      <c r="AM1004" s="84"/>
      <c r="AN1004" s="84"/>
      <c r="AO1004" s="84"/>
      <c r="AP1004" s="84"/>
      <c r="AQ1004" s="95" t="s">
        <v>2122</v>
      </c>
      <c r="AR1004" s="72"/>
      <c r="AS1004" s="72"/>
      <c r="AT1004" s="72"/>
      <c r="AU1004" s="72"/>
      <c r="AV1004" s="72"/>
      <c r="AW1004" s="72"/>
      <c r="AX1004" s="72"/>
      <c r="AY1004" s="72"/>
      <c r="AZ1004" s="72"/>
      <c r="BA1004" s="72"/>
      <c r="BB1004" s="16"/>
      <c r="BC1004" s="72"/>
      <c r="BD1004" s="20"/>
      <c r="BE1004" s="352"/>
    </row>
    <row r="1005" spans="1:57" s="81" customFormat="1" ht="12.95" hidden="1" customHeight="1">
      <c r="A1005" s="348"/>
      <c r="B1005" s="350"/>
      <c r="C1005" s="248" t="s">
        <v>1565</v>
      </c>
      <c r="D1005" s="239" t="s">
        <v>5324</v>
      </c>
      <c r="E1005" s="58"/>
      <c r="F1005" s="59" t="s">
        <v>5325</v>
      </c>
      <c r="G1005" s="191" t="s">
        <v>2511</v>
      </c>
      <c r="H1005" s="192" t="s">
        <v>2123</v>
      </c>
      <c r="I1005" s="61" t="s">
        <v>2511</v>
      </c>
      <c r="J1005" s="61" t="s">
        <v>2511</v>
      </c>
      <c r="K1005" s="62" t="s">
        <v>2511</v>
      </c>
      <c r="L1005" s="60" t="s">
        <v>2511</v>
      </c>
      <c r="M1005" s="61" t="s">
        <v>2389</v>
      </c>
      <c r="N1005" s="61" t="s">
        <v>2511</v>
      </c>
      <c r="O1005" s="61" t="s">
        <v>2511</v>
      </c>
      <c r="P1005" s="62" t="s">
        <v>2511</v>
      </c>
      <c r="Q1005" s="82"/>
      <c r="R1005" s="82"/>
      <c r="S1005" s="82"/>
      <c r="T1005" s="82"/>
      <c r="U1005" s="82"/>
      <c r="V1005" s="138" t="s">
        <v>5326</v>
      </c>
      <c r="W1005" s="57" t="s">
        <v>4966</v>
      </c>
      <c r="X1005" s="126" t="s">
        <v>2511</v>
      </c>
      <c r="Y1005" s="126" t="s">
        <v>2511</v>
      </c>
      <c r="Z1005" s="57"/>
      <c r="AA1005" s="57" t="s">
        <v>4533</v>
      </c>
      <c r="AB1005" s="138"/>
      <c r="AC1005" s="138" t="s">
        <v>2631</v>
      </c>
      <c r="AD1005" s="96"/>
      <c r="AE1005" s="80"/>
      <c r="AF1005" s="80"/>
      <c r="AG1005" s="80"/>
      <c r="AH1005" s="83"/>
      <c r="AI1005" s="83"/>
      <c r="AJ1005" s="84"/>
      <c r="AK1005" s="84"/>
      <c r="AL1005" s="84"/>
      <c r="AM1005" s="84"/>
      <c r="AN1005" s="84"/>
      <c r="AO1005" s="84"/>
      <c r="AP1005" s="84"/>
      <c r="AQ1005" s="95" t="s">
        <v>2123</v>
      </c>
      <c r="AR1005" s="72"/>
      <c r="AS1005" s="72"/>
      <c r="AT1005" s="72"/>
      <c r="AU1005" s="72"/>
      <c r="AV1005" s="72"/>
      <c r="AW1005" s="72"/>
      <c r="AX1005" s="72"/>
      <c r="AY1005" s="72"/>
      <c r="AZ1005" s="72"/>
      <c r="BA1005" s="72"/>
      <c r="BB1005" s="16"/>
      <c r="BC1005" s="72"/>
      <c r="BD1005" s="20"/>
      <c r="BE1005" s="352"/>
    </row>
    <row r="1006" spans="1:57" s="81" customFormat="1" ht="12.95" hidden="1" customHeight="1">
      <c r="A1006" s="348"/>
      <c r="B1006" s="350"/>
      <c r="C1006" s="248" t="s">
        <v>1566</v>
      </c>
      <c r="D1006" s="239" t="s">
        <v>5327</v>
      </c>
      <c r="E1006" s="58"/>
      <c r="F1006" s="59" t="s">
        <v>5328</v>
      </c>
      <c r="G1006" s="191" t="s">
        <v>2511</v>
      </c>
      <c r="H1006" s="192" t="s">
        <v>2124</v>
      </c>
      <c r="I1006" s="61" t="s">
        <v>2511</v>
      </c>
      <c r="J1006" s="61" t="s">
        <v>2511</v>
      </c>
      <c r="K1006" s="62" t="s">
        <v>2511</v>
      </c>
      <c r="L1006" s="60" t="s">
        <v>2511</v>
      </c>
      <c r="M1006" s="61" t="s">
        <v>2389</v>
      </c>
      <c r="N1006" s="61" t="s">
        <v>2511</v>
      </c>
      <c r="O1006" s="61" t="s">
        <v>2511</v>
      </c>
      <c r="P1006" s="62" t="s">
        <v>2511</v>
      </c>
      <c r="Q1006" s="82"/>
      <c r="R1006" s="82"/>
      <c r="S1006" s="82"/>
      <c r="T1006" s="82"/>
      <c r="U1006" s="82"/>
      <c r="V1006" s="138" t="s">
        <v>5329</v>
      </c>
      <c r="W1006" s="57" t="s">
        <v>4966</v>
      </c>
      <c r="X1006" s="126" t="s">
        <v>2511</v>
      </c>
      <c r="Y1006" s="126" t="s">
        <v>2511</v>
      </c>
      <c r="Z1006" s="57"/>
      <c r="AA1006" s="57" t="s">
        <v>4533</v>
      </c>
      <c r="AB1006" s="138"/>
      <c r="AC1006" s="138" t="s">
        <v>2631</v>
      </c>
      <c r="AD1006" s="96"/>
      <c r="AE1006" s="80"/>
      <c r="AF1006" s="80"/>
      <c r="AG1006" s="80"/>
      <c r="AH1006" s="83"/>
      <c r="AI1006" s="83"/>
      <c r="AJ1006" s="84"/>
      <c r="AK1006" s="84"/>
      <c r="AL1006" s="84"/>
      <c r="AM1006" s="84"/>
      <c r="AN1006" s="84"/>
      <c r="AO1006" s="84"/>
      <c r="AP1006" s="84"/>
      <c r="AQ1006" s="95" t="s">
        <v>2124</v>
      </c>
      <c r="AR1006" s="72"/>
      <c r="AS1006" s="72"/>
      <c r="AT1006" s="72"/>
      <c r="AU1006" s="72"/>
      <c r="AV1006" s="72"/>
      <c r="AW1006" s="72"/>
      <c r="AX1006" s="72"/>
      <c r="AY1006" s="72"/>
      <c r="AZ1006" s="72"/>
      <c r="BA1006" s="72"/>
      <c r="BB1006" s="16"/>
      <c r="BC1006" s="72"/>
      <c r="BD1006" s="20"/>
      <c r="BE1006" s="352"/>
    </row>
    <row r="1007" spans="1:57" s="81" customFormat="1" ht="12.95" hidden="1" customHeight="1">
      <c r="A1007" s="348"/>
      <c r="B1007" s="350"/>
      <c r="C1007" s="248" t="s">
        <v>1567</v>
      </c>
      <c r="D1007" s="239" t="s">
        <v>5330</v>
      </c>
      <c r="E1007" s="58"/>
      <c r="F1007" s="59" t="s">
        <v>5331</v>
      </c>
      <c r="G1007" s="191" t="s">
        <v>2511</v>
      </c>
      <c r="H1007" s="192" t="s">
        <v>2125</v>
      </c>
      <c r="I1007" s="61" t="s">
        <v>2511</v>
      </c>
      <c r="J1007" s="61" t="s">
        <v>2511</v>
      </c>
      <c r="K1007" s="62" t="s">
        <v>2511</v>
      </c>
      <c r="L1007" s="60" t="s">
        <v>2511</v>
      </c>
      <c r="M1007" s="61" t="s">
        <v>2389</v>
      </c>
      <c r="N1007" s="61" t="s">
        <v>2511</v>
      </c>
      <c r="O1007" s="61" t="s">
        <v>2511</v>
      </c>
      <c r="P1007" s="62" t="s">
        <v>2511</v>
      </c>
      <c r="Q1007" s="82"/>
      <c r="R1007" s="82"/>
      <c r="S1007" s="82"/>
      <c r="T1007" s="82"/>
      <c r="U1007" s="82"/>
      <c r="V1007" s="138" t="s">
        <v>5332</v>
      </c>
      <c r="W1007" s="57" t="s">
        <v>4966</v>
      </c>
      <c r="X1007" s="126" t="s">
        <v>2511</v>
      </c>
      <c r="Y1007" s="126" t="s">
        <v>2511</v>
      </c>
      <c r="Z1007" s="57"/>
      <c r="AA1007" s="57" t="s">
        <v>4533</v>
      </c>
      <c r="AB1007" s="138"/>
      <c r="AC1007" s="138" t="s">
        <v>2631</v>
      </c>
      <c r="AD1007" s="96"/>
      <c r="AE1007" s="80"/>
      <c r="AF1007" s="80"/>
      <c r="AG1007" s="80"/>
      <c r="AH1007" s="83"/>
      <c r="AI1007" s="83"/>
      <c r="AJ1007" s="84"/>
      <c r="AK1007" s="84"/>
      <c r="AL1007" s="84"/>
      <c r="AM1007" s="84"/>
      <c r="AN1007" s="84"/>
      <c r="AO1007" s="84"/>
      <c r="AP1007" s="84"/>
      <c r="AQ1007" s="95" t="s">
        <v>2125</v>
      </c>
      <c r="AR1007" s="72"/>
      <c r="AS1007" s="72"/>
      <c r="AT1007" s="72"/>
      <c r="AU1007" s="72"/>
      <c r="AV1007" s="72"/>
      <c r="AW1007" s="72"/>
      <c r="AX1007" s="72"/>
      <c r="AY1007" s="72"/>
      <c r="AZ1007" s="72"/>
      <c r="BA1007" s="72"/>
      <c r="BB1007" s="16"/>
      <c r="BC1007" s="72"/>
      <c r="BD1007" s="20"/>
      <c r="BE1007" s="352"/>
    </row>
    <row r="1008" spans="1:57" s="81" customFormat="1" ht="12.95" hidden="1" customHeight="1">
      <c r="A1008" s="348"/>
      <c r="B1008" s="350"/>
      <c r="C1008" s="248" t="s">
        <v>1568</v>
      </c>
      <c r="D1008" s="239" t="s">
        <v>5333</v>
      </c>
      <c r="E1008" s="58"/>
      <c r="F1008" s="59" t="s">
        <v>5334</v>
      </c>
      <c r="G1008" s="191" t="s">
        <v>2511</v>
      </c>
      <c r="H1008" s="192" t="s">
        <v>2126</v>
      </c>
      <c r="I1008" s="61" t="s">
        <v>2511</v>
      </c>
      <c r="J1008" s="61" t="s">
        <v>2511</v>
      </c>
      <c r="K1008" s="62" t="s">
        <v>2511</v>
      </c>
      <c r="L1008" s="60" t="s">
        <v>2511</v>
      </c>
      <c r="M1008" s="61" t="s">
        <v>2389</v>
      </c>
      <c r="N1008" s="61" t="s">
        <v>2511</v>
      </c>
      <c r="O1008" s="61" t="s">
        <v>2511</v>
      </c>
      <c r="P1008" s="62" t="s">
        <v>2511</v>
      </c>
      <c r="Q1008" s="82"/>
      <c r="R1008" s="82"/>
      <c r="S1008" s="82"/>
      <c r="T1008" s="82"/>
      <c r="U1008" s="82"/>
      <c r="V1008" s="138" t="s">
        <v>5335</v>
      </c>
      <c r="W1008" s="57" t="s">
        <v>4966</v>
      </c>
      <c r="X1008" s="126" t="s">
        <v>2511</v>
      </c>
      <c r="Y1008" s="126" t="s">
        <v>2511</v>
      </c>
      <c r="Z1008" s="57"/>
      <c r="AA1008" s="57" t="s">
        <v>4533</v>
      </c>
      <c r="AB1008" s="138"/>
      <c r="AC1008" s="138" t="s">
        <v>2631</v>
      </c>
      <c r="AD1008" s="96"/>
      <c r="AE1008" s="80"/>
      <c r="AF1008" s="80"/>
      <c r="AG1008" s="80"/>
      <c r="AH1008" s="83"/>
      <c r="AI1008" s="83"/>
      <c r="AJ1008" s="84"/>
      <c r="AK1008" s="84"/>
      <c r="AL1008" s="84"/>
      <c r="AM1008" s="84"/>
      <c r="AN1008" s="84"/>
      <c r="AO1008" s="84"/>
      <c r="AP1008" s="84"/>
      <c r="AQ1008" s="95" t="s">
        <v>2126</v>
      </c>
      <c r="AR1008" s="72"/>
      <c r="AS1008" s="72"/>
      <c r="AT1008" s="72"/>
      <c r="AU1008" s="72"/>
      <c r="AV1008" s="72"/>
      <c r="AW1008" s="72"/>
      <c r="AX1008" s="72"/>
      <c r="AY1008" s="72"/>
      <c r="AZ1008" s="72"/>
      <c r="BA1008" s="72"/>
      <c r="BB1008" s="16"/>
      <c r="BC1008" s="72"/>
      <c r="BD1008" s="20"/>
      <c r="BE1008" s="352"/>
    </row>
    <row r="1009" spans="1:57" s="81" customFormat="1" ht="12.95" hidden="1" customHeight="1">
      <c r="A1009" s="348"/>
      <c r="B1009" s="350"/>
      <c r="C1009" s="248" t="s">
        <v>1569</v>
      </c>
      <c r="D1009" s="239" t="s">
        <v>5336</v>
      </c>
      <c r="E1009" s="58"/>
      <c r="F1009" s="59" t="s">
        <v>5337</v>
      </c>
      <c r="G1009" s="191" t="s">
        <v>2511</v>
      </c>
      <c r="H1009" s="192" t="s">
        <v>2127</v>
      </c>
      <c r="I1009" s="61" t="s">
        <v>2511</v>
      </c>
      <c r="J1009" s="61" t="s">
        <v>2511</v>
      </c>
      <c r="K1009" s="62" t="s">
        <v>2511</v>
      </c>
      <c r="L1009" s="60" t="s">
        <v>2511</v>
      </c>
      <c r="M1009" s="61" t="s">
        <v>2389</v>
      </c>
      <c r="N1009" s="61" t="s">
        <v>2511</v>
      </c>
      <c r="O1009" s="61" t="s">
        <v>2511</v>
      </c>
      <c r="P1009" s="62" t="s">
        <v>2511</v>
      </c>
      <c r="Q1009" s="82"/>
      <c r="R1009" s="82"/>
      <c r="S1009" s="82"/>
      <c r="T1009" s="82"/>
      <c r="U1009" s="82"/>
      <c r="V1009" s="138" t="s">
        <v>5338</v>
      </c>
      <c r="W1009" s="57" t="s">
        <v>4966</v>
      </c>
      <c r="X1009" s="126" t="s">
        <v>2511</v>
      </c>
      <c r="Y1009" s="126" t="s">
        <v>2511</v>
      </c>
      <c r="Z1009" s="57"/>
      <c r="AA1009" s="57" t="s">
        <v>4533</v>
      </c>
      <c r="AB1009" s="138"/>
      <c r="AC1009" s="138" t="s">
        <v>2631</v>
      </c>
      <c r="AD1009" s="96"/>
      <c r="AE1009" s="80"/>
      <c r="AF1009" s="80"/>
      <c r="AG1009" s="80"/>
      <c r="AH1009" s="83"/>
      <c r="AI1009" s="83"/>
      <c r="AJ1009" s="84"/>
      <c r="AK1009" s="84"/>
      <c r="AL1009" s="84"/>
      <c r="AM1009" s="84"/>
      <c r="AN1009" s="84"/>
      <c r="AO1009" s="84"/>
      <c r="AP1009" s="84"/>
      <c r="AQ1009" s="95" t="s">
        <v>2127</v>
      </c>
      <c r="AR1009" s="72"/>
      <c r="AS1009" s="72"/>
      <c r="AT1009" s="72"/>
      <c r="AU1009" s="72"/>
      <c r="AV1009" s="72"/>
      <c r="AW1009" s="72"/>
      <c r="AX1009" s="72"/>
      <c r="AY1009" s="72"/>
      <c r="AZ1009" s="72"/>
      <c r="BA1009" s="72"/>
      <c r="BB1009" s="16"/>
      <c r="BC1009" s="72"/>
      <c r="BD1009" s="20"/>
      <c r="BE1009" s="352"/>
    </row>
    <row r="1010" spans="1:57" s="81" customFormat="1" ht="12.95" hidden="1" customHeight="1">
      <c r="A1010" s="348"/>
      <c r="B1010" s="350"/>
      <c r="C1010" s="248" t="s">
        <v>1570</v>
      </c>
      <c r="D1010" s="239" t="s">
        <v>5339</v>
      </c>
      <c r="E1010" s="58"/>
      <c r="F1010" s="59" t="s">
        <v>5340</v>
      </c>
      <c r="G1010" s="191" t="s">
        <v>2511</v>
      </c>
      <c r="H1010" s="192" t="s">
        <v>2128</v>
      </c>
      <c r="I1010" s="61" t="s">
        <v>2511</v>
      </c>
      <c r="J1010" s="61" t="s">
        <v>2511</v>
      </c>
      <c r="K1010" s="62" t="s">
        <v>2511</v>
      </c>
      <c r="L1010" s="60" t="s">
        <v>2511</v>
      </c>
      <c r="M1010" s="61" t="s">
        <v>2389</v>
      </c>
      <c r="N1010" s="61" t="s">
        <v>2511</v>
      </c>
      <c r="O1010" s="61" t="s">
        <v>2511</v>
      </c>
      <c r="P1010" s="62" t="s">
        <v>2511</v>
      </c>
      <c r="Q1010" s="82"/>
      <c r="R1010" s="82"/>
      <c r="S1010" s="82"/>
      <c r="T1010" s="82"/>
      <c r="U1010" s="82"/>
      <c r="V1010" s="138" t="s">
        <v>5341</v>
      </c>
      <c r="W1010" s="57" t="s">
        <v>4966</v>
      </c>
      <c r="X1010" s="126" t="s">
        <v>2511</v>
      </c>
      <c r="Y1010" s="126" t="s">
        <v>2511</v>
      </c>
      <c r="Z1010" s="57"/>
      <c r="AA1010" s="57" t="s">
        <v>4533</v>
      </c>
      <c r="AB1010" s="138"/>
      <c r="AC1010" s="138" t="s">
        <v>2631</v>
      </c>
      <c r="AD1010" s="96"/>
      <c r="AE1010" s="80"/>
      <c r="AF1010" s="80"/>
      <c r="AG1010" s="80"/>
      <c r="AH1010" s="83"/>
      <c r="AI1010" s="83"/>
      <c r="AJ1010" s="84"/>
      <c r="AK1010" s="84"/>
      <c r="AL1010" s="84"/>
      <c r="AM1010" s="84"/>
      <c r="AN1010" s="84"/>
      <c r="AO1010" s="84"/>
      <c r="AP1010" s="84"/>
      <c r="AQ1010" s="95" t="s">
        <v>2128</v>
      </c>
      <c r="AR1010" s="72"/>
      <c r="AS1010" s="72"/>
      <c r="AT1010" s="72"/>
      <c r="AU1010" s="72"/>
      <c r="AV1010" s="72"/>
      <c r="AW1010" s="72"/>
      <c r="AX1010" s="72"/>
      <c r="AY1010" s="72"/>
      <c r="AZ1010" s="72"/>
      <c r="BA1010" s="72"/>
      <c r="BB1010" s="16"/>
      <c r="BC1010" s="72"/>
      <c r="BD1010" s="20"/>
      <c r="BE1010" s="352"/>
    </row>
    <row r="1011" spans="1:57" s="81" customFormat="1" ht="12.95" hidden="1" customHeight="1">
      <c r="A1011" s="348"/>
      <c r="B1011" s="350"/>
      <c r="C1011" s="248" t="s">
        <v>1571</v>
      </c>
      <c r="D1011" s="239" t="s">
        <v>5342</v>
      </c>
      <c r="E1011" s="58"/>
      <c r="F1011" s="59" t="s">
        <v>5343</v>
      </c>
      <c r="G1011" s="191" t="s">
        <v>2511</v>
      </c>
      <c r="H1011" s="192" t="s">
        <v>2129</v>
      </c>
      <c r="I1011" s="61" t="s">
        <v>2511</v>
      </c>
      <c r="J1011" s="61" t="s">
        <v>2511</v>
      </c>
      <c r="K1011" s="62" t="s">
        <v>2511</v>
      </c>
      <c r="L1011" s="60" t="s">
        <v>2511</v>
      </c>
      <c r="M1011" s="61" t="s">
        <v>2389</v>
      </c>
      <c r="N1011" s="61" t="s">
        <v>2511</v>
      </c>
      <c r="O1011" s="61" t="s">
        <v>2511</v>
      </c>
      <c r="P1011" s="62" t="s">
        <v>2511</v>
      </c>
      <c r="Q1011" s="82"/>
      <c r="R1011" s="82"/>
      <c r="S1011" s="82"/>
      <c r="T1011" s="82"/>
      <c r="U1011" s="82"/>
      <c r="V1011" s="138" t="s">
        <v>5344</v>
      </c>
      <c r="W1011" s="57" t="s">
        <v>4966</v>
      </c>
      <c r="X1011" s="126" t="s">
        <v>2511</v>
      </c>
      <c r="Y1011" s="126" t="s">
        <v>2511</v>
      </c>
      <c r="Z1011" s="57"/>
      <c r="AA1011" s="57" t="s">
        <v>4533</v>
      </c>
      <c r="AB1011" s="138"/>
      <c r="AC1011" s="138" t="s">
        <v>2631</v>
      </c>
      <c r="AD1011" s="96"/>
      <c r="AE1011" s="80"/>
      <c r="AF1011" s="80"/>
      <c r="AG1011" s="80"/>
      <c r="AH1011" s="83"/>
      <c r="AI1011" s="83"/>
      <c r="AJ1011" s="84"/>
      <c r="AK1011" s="84"/>
      <c r="AL1011" s="84"/>
      <c r="AM1011" s="84"/>
      <c r="AN1011" s="84"/>
      <c r="AO1011" s="84"/>
      <c r="AP1011" s="84"/>
      <c r="AQ1011" s="95" t="s">
        <v>2129</v>
      </c>
      <c r="AR1011" s="72"/>
      <c r="AS1011" s="72"/>
      <c r="AT1011" s="72"/>
      <c r="AU1011" s="72"/>
      <c r="AV1011" s="72"/>
      <c r="AW1011" s="72"/>
      <c r="AX1011" s="72"/>
      <c r="AY1011" s="72"/>
      <c r="AZ1011" s="72"/>
      <c r="BA1011" s="72"/>
      <c r="BB1011" s="16"/>
      <c r="BC1011" s="72"/>
      <c r="BD1011" s="20"/>
      <c r="BE1011" s="352"/>
    </row>
    <row r="1012" spans="1:57" s="81" customFormat="1" ht="12.95" hidden="1" customHeight="1">
      <c r="A1012" s="348"/>
      <c r="B1012" s="350"/>
      <c r="C1012" s="248" t="s">
        <v>1572</v>
      </c>
      <c r="D1012" s="239" t="s">
        <v>5345</v>
      </c>
      <c r="E1012" s="58"/>
      <c r="F1012" s="59" t="s">
        <v>5346</v>
      </c>
      <c r="G1012" s="191" t="s">
        <v>2511</v>
      </c>
      <c r="H1012" s="192" t="s">
        <v>2130</v>
      </c>
      <c r="I1012" s="61" t="s">
        <v>2511</v>
      </c>
      <c r="J1012" s="61" t="s">
        <v>2511</v>
      </c>
      <c r="K1012" s="62" t="s">
        <v>2511</v>
      </c>
      <c r="L1012" s="60" t="s">
        <v>2511</v>
      </c>
      <c r="M1012" s="61" t="s">
        <v>2389</v>
      </c>
      <c r="N1012" s="61" t="s">
        <v>2511</v>
      </c>
      <c r="O1012" s="61" t="s">
        <v>2511</v>
      </c>
      <c r="P1012" s="62" t="s">
        <v>2511</v>
      </c>
      <c r="Q1012" s="82"/>
      <c r="R1012" s="82"/>
      <c r="S1012" s="82"/>
      <c r="T1012" s="82"/>
      <c r="U1012" s="82"/>
      <c r="V1012" s="138" t="s">
        <v>5347</v>
      </c>
      <c r="W1012" s="57" t="s">
        <v>4966</v>
      </c>
      <c r="X1012" s="126" t="s">
        <v>2511</v>
      </c>
      <c r="Y1012" s="126" t="s">
        <v>2511</v>
      </c>
      <c r="Z1012" s="57"/>
      <c r="AA1012" s="57" t="s">
        <v>4533</v>
      </c>
      <c r="AB1012" s="138"/>
      <c r="AC1012" s="138" t="s">
        <v>2631</v>
      </c>
      <c r="AD1012" s="96"/>
      <c r="AE1012" s="80"/>
      <c r="AF1012" s="80"/>
      <c r="AG1012" s="80"/>
      <c r="AH1012" s="83"/>
      <c r="AI1012" s="83"/>
      <c r="AJ1012" s="84"/>
      <c r="AK1012" s="84"/>
      <c r="AL1012" s="84"/>
      <c r="AM1012" s="84"/>
      <c r="AN1012" s="84"/>
      <c r="AO1012" s="84"/>
      <c r="AP1012" s="84"/>
      <c r="AQ1012" s="95" t="s">
        <v>2130</v>
      </c>
      <c r="AR1012" s="72"/>
      <c r="AS1012" s="72"/>
      <c r="AT1012" s="72"/>
      <c r="AU1012" s="72"/>
      <c r="AV1012" s="72"/>
      <c r="AW1012" s="72"/>
      <c r="AX1012" s="72"/>
      <c r="AY1012" s="72"/>
      <c r="AZ1012" s="72"/>
      <c r="BA1012" s="72"/>
      <c r="BB1012" s="16"/>
      <c r="BC1012" s="72"/>
      <c r="BD1012" s="20"/>
      <c r="BE1012" s="352"/>
    </row>
    <row r="1013" spans="1:57" s="81" customFormat="1" ht="12.95" hidden="1" customHeight="1">
      <c r="A1013" s="348"/>
      <c r="B1013" s="350"/>
      <c r="C1013" s="248" t="s">
        <v>1573</v>
      </c>
      <c r="D1013" s="239" t="s">
        <v>5348</v>
      </c>
      <c r="E1013" s="58"/>
      <c r="F1013" s="59" t="s">
        <v>5349</v>
      </c>
      <c r="G1013" s="191" t="s">
        <v>2511</v>
      </c>
      <c r="H1013" s="192" t="s">
        <v>2131</v>
      </c>
      <c r="I1013" s="61" t="s">
        <v>2511</v>
      </c>
      <c r="J1013" s="61" t="s">
        <v>2511</v>
      </c>
      <c r="K1013" s="62" t="s">
        <v>2511</v>
      </c>
      <c r="L1013" s="60" t="s">
        <v>2511</v>
      </c>
      <c r="M1013" s="61" t="s">
        <v>2389</v>
      </c>
      <c r="N1013" s="61" t="s">
        <v>2511</v>
      </c>
      <c r="O1013" s="61" t="s">
        <v>2511</v>
      </c>
      <c r="P1013" s="62" t="s">
        <v>2511</v>
      </c>
      <c r="Q1013" s="82"/>
      <c r="R1013" s="82"/>
      <c r="S1013" s="82"/>
      <c r="T1013" s="82"/>
      <c r="U1013" s="82"/>
      <c r="V1013" s="138" t="s">
        <v>5350</v>
      </c>
      <c r="W1013" s="57" t="s">
        <v>4966</v>
      </c>
      <c r="X1013" s="126" t="s">
        <v>2511</v>
      </c>
      <c r="Y1013" s="126" t="s">
        <v>2511</v>
      </c>
      <c r="Z1013" s="57"/>
      <c r="AA1013" s="57" t="s">
        <v>4533</v>
      </c>
      <c r="AB1013" s="138"/>
      <c r="AC1013" s="138" t="s">
        <v>2631</v>
      </c>
      <c r="AD1013" s="96"/>
      <c r="AE1013" s="80"/>
      <c r="AF1013" s="80"/>
      <c r="AG1013" s="80"/>
      <c r="AH1013" s="83"/>
      <c r="AI1013" s="83"/>
      <c r="AJ1013" s="84"/>
      <c r="AK1013" s="84"/>
      <c r="AL1013" s="84"/>
      <c r="AM1013" s="84"/>
      <c r="AN1013" s="84"/>
      <c r="AO1013" s="84"/>
      <c r="AP1013" s="84"/>
      <c r="AQ1013" s="95" t="s">
        <v>2131</v>
      </c>
      <c r="AR1013" s="72"/>
      <c r="AS1013" s="72"/>
      <c r="AT1013" s="72"/>
      <c r="AU1013" s="72"/>
      <c r="AV1013" s="72"/>
      <c r="AW1013" s="72"/>
      <c r="AX1013" s="72"/>
      <c r="AY1013" s="72"/>
      <c r="AZ1013" s="72"/>
      <c r="BA1013" s="72"/>
      <c r="BB1013" s="16"/>
      <c r="BC1013" s="72"/>
      <c r="BD1013" s="20"/>
      <c r="BE1013" s="352"/>
    </row>
    <row r="1014" spans="1:57" s="81" customFormat="1" ht="12.95" hidden="1" customHeight="1">
      <c r="A1014" s="348"/>
      <c r="B1014" s="350"/>
      <c r="C1014" s="270" t="s">
        <v>1574</v>
      </c>
      <c r="D1014" s="239" t="s">
        <v>5351</v>
      </c>
      <c r="E1014" s="58"/>
      <c r="F1014" s="59" t="s">
        <v>5352</v>
      </c>
      <c r="G1014" s="191" t="s">
        <v>2511</v>
      </c>
      <c r="H1014" s="192" t="s">
        <v>2132</v>
      </c>
      <c r="I1014" s="61" t="s">
        <v>2511</v>
      </c>
      <c r="J1014" s="61" t="s">
        <v>2511</v>
      </c>
      <c r="K1014" s="62" t="s">
        <v>2511</v>
      </c>
      <c r="L1014" s="60" t="s">
        <v>2511</v>
      </c>
      <c r="M1014" s="61" t="s">
        <v>2389</v>
      </c>
      <c r="N1014" s="61" t="s">
        <v>2511</v>
      </c>
      <c r="O1014" s="61" t="s">
        <v>2511</v>
      </c>
      <c r="P1014" s="62" t="s">
        <v>2511</v>
      </c>
      <c r="Q1014" s="82"/>
      <c r="R1014" s="82"/>
      <c r="S1014" s="82"/>
      <c r="T1014" s="82"/>
      <c r="U1014" s="82"/>
      <c r="V1014" s="138" t="s">
        <v>5353</v>
      </c>
      <c r="W1014" s="57" t="s">
        <v>4966</v>
      </c>
      <c r="X1014" s="126" t="s">
        <v>2511</v>
      </c>
      <c r="Y1014" s="126" t="s">
        <v>2511</v>
      </c>
      <c r="Z1014" s="57"/>
      <c r="AA1014" s="57" t="s">
        <v>4533</v>
      </c>
      <c r="AB1014" s="138"/>
      <c r="AC1014" s="138" t="s">
        <v>2631</v>
      </c>
      <c r="AD1014" s="96"/>
      <c r="AE1014" s="80"/>
      <c r="AF1014" s="80"/>
      <c r="AG1014" s="80"/>
      <c r="AH1014" s="83"/>
      <c r="AI1014" s="83"/>
      <c r="AJ1014" s="84"/>
      <c r="AK1014" s="84"/>
      <c r="AL1014" s="84"/>
      <c r="AM1014" s="84"/>
      <c r="AN1014" s="84"/>
      <c r="AO1014" s="84"/>
      <c r="AP1014" s="84"/>
      <c r="AQ1014" s="95" t="s">
        <v>2132</v>
      </c>
      <c r="AR1014" s="72"/>
      <c r="AS1014" s="72"/>
      <c r="AT1014" s="72"/>
      <c r="AU1014" s="72"/>
      <c r="AV1014" s="72"/>
      <c r="AW1014" s="72"/>
      <c r="AX1014" s="72"/>
      <c r="AY1014" s="72"/>
      <c r="AZ1014" s="72"/>
      <c r="BA1014" s="72"/>
      <c r="BB1014" s="16"/>
      <c r="BC1014" s="72"/>
      <c r="BD1014" s="20"/>
      <c r="BE1014" s="352"/>
    </row>
    <row r="1015" spans="1:57" s="81" customFormat="1" ht="12.95" hidden="1" customHeight="1">
      <c r="A1015" s="348"/>
      <c r="B1015" s="350"/>
      <c r="C1015" s="270" t="s">
        <v>1575</v>
      </c>
      <c r="D1015" s="239" t="s">
        <v>5354</v>
      </c>
      <c r="E1015" s="58"/>
      <c r="F1015" s="59" t="s">
        <v>5355</v>
      </c>
      <c r="G1015" s="191" t="s">
        <v>2511</v>
      </c>
      <c r="H1015" s="192" t="s">
        <v>2133</v>
      </c>
      <c r="I1015" s="61" t="s">
        <v>2511</v>
      </c>
      <c r="J1015" s="61" t="s">
        <v>2511</v>
      </c>
      <c r="K1015" s="62" t="s">
        <v>2511</v>
      </c>
      <c r="L1015" s="60" t="s">
        <v>2511</v>
      </c>
      <c r="M1015" s="61" t="s">
        <v>2389</v>
      </c>
      <c r="N1015" s="61" t="s">
        <v>2511</v>
      </c>
      <c r="O1015" s="61" t="s">
        <v>2511</v>
      </c>
      <c r="P1015" s="62" t="s">
        <v>2511</v>
      </c>
      <c r="Q1015" s="82"/>
      <c r="R1015" s="82"/>
      <c r="S1015" s="82"/>
      <c r="T1015" s="82"/>
      <c r="U1015" s="82"/>
      <c r="V1015" s="138" t="s">
        <v>5356</v>
      </c>
      <c r="W1015" s="57" t="s">
        <v>4966</v>
      </c>
      <c r="X1015" s="126" t="s">
        <v>2511</v>
      </c>
      <c r="Y1015" s="126" t="s">
        <v>2511</v>
      </c>
      <c r="Z1015" s="57"/>
      <c r="AA1015" s="57" t="s">
        <v>4533</v>
      </c>
      <c r="AB1015" s="138"/>
      <c r="AC1015" s="138" t="s">
        <v>2631</v>
      </c>
      <c r="AD1015" s="96"/>
      <c r="AE1015" s="80"/>
      <c r="AF1015" s="80"/>
      <c r="AG1015" s="80"/>
      <c r="AH1015" s="83"/>
      <c r="AI1015" s="83"/>
      <c r="AJ1015" s="84"/>
      <c r="AK1015" s="84"/>
      <c r="AL1015" s="84"/>
      <c r="AM1015" s="84"/>
      <c r="AN1015" s="84"/>
      <c r="AO1015" s="84"/>
      <c r="AP1015" s="84"/>
      <c r="AQ1015" s="95" t="s">
        <v>2133</v>
      </c>
      <c r="AR1015" s="72"/>
      <c r="AS1015" s="72"/>
      <c r="AT1015" s="72"/>
      <c r="AU1015" s="72"/>
      <c r="AV1015" s="72"/>
      <c r="AW1015" s="72"/>
      <c r="AX1015" s="72"/>
      <c r="AY1015" s="72"/>
      <c r="AZ1015" s="72"/>
      <c r="BA1015" s="72"/>
      <c r="BB1015" s="16"/>
      <c r="BC1015" s="72"/>
      <c r="BD1015" s="20"/>
      <c r="BE1015" s="352"/>
    </row>
    <row r="1016" spans="1:57" s="81" customFormat="1" ht="12.95" hidden="1" customHeight="1">
      <c r="A1016" s="348"/>
      <c r="B1016" s="350"/>
      <c r="C1016" s="248" t="s">
        <v>1576</v>
      </c>
      <c r="D1016" s="239" t="s">
        <v>5357</v>
      </c>
      <c r="E1016" s="58"/>
      <c r="F1016" s="59" t="s">
        <v>5358</v>
      </c>
      <c r="G1016" s="191" t="s">
        <v>2511</v>
      </c>
      <c r="H1016" s="192" t="s">
        <v>2134</v>
      </c>
      <c r="I1016" s="61" t="s">
        <v>2511</v>
      </c>
      <c r="J1016" s="61" t="s">
        <v>2511</v>
      </c>
      <c r="K1016" s="62" t="s">
        <v>2511</v>
      </c>
      <c r="L1016" s="60" t="s">
        <v>2511</v>
      </c>
      <c r="M1016" s="61" t="s">
        <v>2389</v>
      </c>
      <c r="N1016" s="61" t="s">
        <v>2511</v>
      </c>
      <c r="O1016" s="61" t="s">
        <v>2511</v>
      </c>
      <c r="P1016" s="62" t="s">
        <v>2511</v>
      </c>
      <c r="Q1016" s="82"/>
      <c r="R1016" s="82"/>
      <c r="S1016" s="82"/>
      <c r="T1016" s="82"/>
      <c r="U1016" s="82"/>
      <c r="V1016" s="138" t="s">
        <v>5359</v>
      </c>
      <c r="W1016" s="57" t="s">
        <v>4966</v>
      </c>
      <c r="X1016" s="126" t="s">
        <v>2511</v>
      </c>
      <c r="Y1016" s="126" t="s">
        <v>2511</v>
      </c>
      <c r="Z1016" s="57"/>
      <c r="AA1016" s="57" t="s">
        <v>4533</v>
      </c>
      <c r="AB1016" s="138"/>
      <c r="AC1016" s="138">
        <v>0</v>
      </c>
      <c r="AD1016" s="96"/>
      <c r="AE1016" s="80"/>
      <c r="AF1016" s="80"/>
      <c r="AG1016" s="80"/>
      <c r="AH1016" s="83"/>
      <c r="AI1016" s="83"/>
      <c r="AJ1016" s="84"/>
      <c r="AK1016" s="84"/>
      <c r="AL1016" s="84"/>
      <c r="AM1016" s="84"/>
      <c r="AN1016" s="84"/>
      <c r="AO1016" s="84"/>
      <c r="AP1016" s="84"/>
      <c r="AQ1016" s="95" t="s">
        <v>2134</v>
      </c>
      <c r="AR1016" s="72"/>
      <c r="AS1016" s="72"/>
      <c r="AT1016" s="72"/>
      <c r="AU1016" s="72"/>
      <c r="AV1016" s="72"/>
      <c r="AW1016" s="72"/>
      <c r="AX1016" s="72"/>
      <c r="AY1016" s="72"/>
      <c r="AZ1016" s="72"/>
      <c r="BA1016" s="72"/>
      <c r="BB1016" s="16"/>
      <c r="BC1016" s="72"/>
      <c r="BD1016" s="20"/>
      <c r="BE1016" s="352"/>
    </row>
    <row r="1017" spans="1:57" s="81" customFormat="1" ht="12.95" hidden="1" customHeight="1">
      <c r="A1017" s="348"/>
      <c r="B1017" s="350"/>
      <c r="C1017" s="248" t="s">
        <v>1577</v>
      </c>
      <c r="D1017" s="239" t="s">
        <v>5360</v>
      </c>
      <c r="E1017" s="58"/>
      <c r="F1017" s="59" t="s">
        <v>5361</v>
      </c>
      <c r="G1017" s="191" t="s">
        <v>2511</v>
      </c>
      <c r="H1017" s="192" t="s">
        <v>2135</v>
      </c>
      <c r="I1017" s="61" t="s">
        <v>2511</v>
      </c>
      <c r="J1017" s="61" t="s">
        <v>2511</v>
      </c>
      <c r="K1017" s="62" t="s">
        <v>2511</v>
      </c>
      <c r="L1017" s="60" t="s">
        <v>2511</v>
      </c>
      <c r="M1017" s="61" t="s">
        <v>2389</v>
      </c>
      <c r="N1017" s="61" t="s">
        <v>2511</v>
      </c>
      <c r="O1017" s="61" t="s">
        <v>2511</v>
      </c>
      <c r="P1017" s="62" t="s">
        <v>2511</v>
      </c>
      <c r="Q1017" s="82"/>
      <c r="R1017" s="82"/>
      <c r="S1017" s="82"/>
      <c r="T1017" s="82"/>
      <c r="U1017" s="82"/>
      <c r="V1017" s="138" t="s">
        <v>5362</v>
      </c>
      <c r="W1017" s="57" t="s">
        <v>4966</v>
      </c>
      <c r="X1017" s="126" t="s">
        <v>2511</v>
      </c>
      <c r="Y1017" s="126" t="s">
        <v>2511</v>
      </c>
      <c r="Z1017" s="57"/>
      <c r="AA1017" s="57" t="s">
        <v>4533</v>
      </c>
      <c r="AB1017" s="138"/>
      <c r="AC1017" s="138" t="s">
        <v>2631</v>
      </c>
      <c r="AD1017" s="96"/>
      <c r="AE1017" s="80"/>
      <c r="AF1017" s="80"/>
      <c r="AG1017" s="80"/>
      <c r="AH1017" s="83"/>
      <c r="AI1017" s="83"/>
      <c r="AJ1017" s="84"/>
      <c r="AK1017" s="84"/>
      <c r="AL1017" s="84"/>
      <c r="AM1017" s="84"/>
      <c r="AN1017" s="84"/>
      <c r="AO1017" s="84"/>
      <c r="AP1017" s="84"/>
      <c r="AQ1017" s="95" t="s">
        <v>2135</v>
      </c>
      <c r="AR1017" s="72"/>
      <c r="AS1017" s="72"/>
      <c r="AT1017" s="72"/>
      <c r="AU1017" s="72"/>
      <c r="AV1017" s="72"/>
      <c r="AW1017" s="72"/>
      <c r="AX1017" s="72"/>
      <c r="AY1017" s="72"/>
      <c r="AZ1017" s="72"/>
      <c r="BA1017" s="72"/>
      <c r="BB1017" s="16"/>
      <c r="BC1017" s="72"/>
      <c r="BD1017" s="20"/>
      <c r="BE1017" s="352"/>
    </row>
    <row r="1018" spans="1:57" s="81" customFormat="1" ht="12.95" hidden="1" customHeight="1">
      <c r="A1018" s="348"/>
      <c r="B1018" s="350"/>
      <c r="C1018" s="248" t="s">
        <v>1578</v>
      </c>
      <c r="D1018" s="239" t="s">
        <v>5363</v>
      </c>
      <c r="E1018" s="58"/>
      <c r="F1018" s="59" t="s">
        <v>5364</v>
      </c>
      <c r="G1018" s="191" t="s">
        <v>2511</v>
      </c>
      <c r="H1018" s="192" t="s">
        <v>2136</v>
      </c>
      <c r="I1018" s="61" t="s">
        <v>2511</v>
      </c>
      <c r="J1018" s="61" t="s">
        <v>2511</v>
      </c>
      <c r="K1018" s="62" t="s">
        <v>2511</v>
      </c>
      <c r="L1018" s="60" t="s">
        <v>2511</v>
      </c>
      <c r="M1018" s="61" t="s">
        <v>2389</v>
      </c>
      <c r="N1018" s="61" t="s">
        <v>2511</v>
      </c>
      <c r="O1018" s="61" t="s">
        <v>2511</v>
      </c>
      <c r="P1018" s="62" t="s">
        <v>2511</v>
      </c>
      <c r="Q1018" s="82"/>
      <c r="R1018" s="82"/>
      <c r="S1018" s="82"/>
      <c r="T1018" s="82"/>
      <c r="U1018" s="82"/>
      <c r="V1018" s="138" t="s">
        <v>5365</v>
      </c>
      <c r="W1018" s="57" t="s">
        <v>4966</v>
      </c>
      <c r="X1018" s="126" t="s">
        <v>2511</v>
      </c>
      <c r="Y1018" s="126" t="s">
        <v>2511</v>
      </c>
      <c r="Z1018" s="57"/>
      <c r="AA1018" s="57" t="s">
        <v>4533</v>
      </c>
      <c r="AB1018" s="138"/>
      <c r="AC1018" s="138" t="s">
        <v>2631</v>
      </c>
      <c r="AD1018" s="96"/>
      <c r="AE1018" s="80"/>
      <c r="AF1018" s="80"/>
      <c r="AG1018" s="80"/>
      <c r="AH1018" s="83"/>
      <c r="AI1018" s="83"/>
      <c r="AJ1018" s="84"/>
      <c r="AK1018" s="84"/>
      <c r="AL1018" s="84"/>
      <c r="AM1018" s="84"/>
      <c r="AN1018" s="84"/>
      <c r="AO1018" s="84"/>
      <c r="AP1018" s="84"/>
      <c r="AQ1018" s="95" t="s">
        <v>2136</v>
      </c>
      <c r="AR1018" s="72"/>
      <c r="AS1018" s="72"/>
      <c r="AT1018" s="72"/>
      <c r="AU1018" s="72"/>
      <c r="AV1018" s="72"/>
      <c r="AW1018" s="72"/>
      <c r="AX1018" s="72"/>
      <c r="AY1018" s="72"/>
      <c r="AZ1018" s="72"/>
      <c r="BA1018" s="72"/>
      <c r="BB1018" s="16"/>
      <c r="BC1018" s="72"/>
      <c r="BD1018" s="20"/>
      <c r="BE1018" s="352"/>
    </row>
    <row r="1019" spans="1:57" s="81" customFormat="1" ht="12.95" hidden="1" customHeight="1">
      <c r="A1019" s="348"/>
      <c r="B1019" s="350"/>
      <c r="C1019" s="248" t="s">
        <v>1579</v>
      </c>
      <c r="D1019" s="239" t="s">
        <v>5366</v>
      </c>
      <c r="E1019" s="58"/>
      <c r="F1019" s="59" t="s">
        <v>5367</v>
      </c>
      <c r="G1019" s="191" t="s">
        <v>2511</v>
      </c>
      <c r="H1019" s="192" t="s">
        <v>2137</v>
      </c>
      <c r="I1019" s="61" t="s">
        <v>2511</v>
      </c>
      <c r="J1019" s="61" t="s">
        <v>2511</v>
      </c>
      <c r="K1019" s="62" t="s">
        <v>2511</v>
      </c>
      <c r="L1019" s="60" t="s">
        <v>2511</v>
      </c>
      <c r="M1019" s="61" t="s">
        <v>2389</v>
      </c>
      <c r="N1019" s="61" t="s">
        <v>2511</v>
      </c>
      <c r="O1019" s="61" t="s">
        <v>2511</v>
      </c>
      <c r="P1019" s="62" t="s">
        <v>2511</v>
      </c>
      <c r="Q1019" s="82"/>
      <c r="R1019" s="82"/>
      <c r="S1019" s="82"/>
      <c r="T1019" s="82"/>
      <c r="U1019" s="82"/>
      <c r="V1019" s="138" t="s">
        <v>5368</v>
      </c>
      <c r="W1019" s="57" t="s">
        <v>4966</v>
      </c>
      <c r="X1019" s="126" t="s">
        <v>2511</v>
      </c>
      <c r="Y1019" s="126" t="s">
        <v>2511</v>
      </c>
      <c r="Z1019" s="57"/>
      <c r="AA1019" s="57" t="s">
        <v>4533</v>
      </c>
      <c r="AB1019" s="138"/>
      <c r="AC1019" s="138" t="s">
        <v>2631</v>
      </c>
      <c r="AD1019" s="96"/>
      <c r="AE1019" s="80"/>
      <c r="AF1019" s="80"/>
      <c r="AG1019" s="80"/>
      <c r="AH1019" s="83"/>
      <c r="AI1019" s="83"/>
      <c r="AJ1019" s="84"/>
      <c r="AK1019" s="84"/>
      <c r="AL1019" s="84"/>
      <c r="AM1019" s="84"/>
      <c r="AN1019" s="84"/>
      <c r="AO1019" s="84"/>
      <c r="AP1019" s="84"/>
      <c r="AQ1019" s="95" t="s">
        <v>2137</v>
      </c>
      <c r="AR1019" s="72"/>
      <c r="AS1019" s="72"/>
      <c r="AT1019" s="72"/>
      <c r="AU1019" s="72"/>
      <c r="AV1019" s="72"/>
      <c r="AW1019" s="72"/>
      <c r="AX1019" s="72"/>
      <c r="AY1019" s="72"/>
      <c r="AZ1019" s="72"/>
      <c r="BA1019" s="72"/>
      <c r="BB1019" s="16"/>
      <c r="BC1019" s="72"/>
      <c r="BD1019" s="20"/>
      <c r="BE1019" s="352"/>
    </row>
    <row r="1020" spans="1:57" s="81" customFormat="1" ht="12.95" hidden="1" customHeight="1">
      <c r="A1020" s="348"/>
      <c r="B1020" s="350"/>
      <c r="C1020" s="248" t="s">
        <v>1580</v>
      </c>
      <c r="D1020" s="239" t="s">
        <v>5369</v>
      </c>
      <c r="E1020" s="58"/>
      <c r="F1020" s="59" t="s">
        <v>5370</v>
      </c>
      <c r="G1020" s="191" t="s">
        <v>2511</v>
      </c>
      <c r="H1020" s="192" t="s">
        <v>2138</v>
      </c>
      <c r="I1020" s="61" t="s">
        <v>2511</v>
      </c>
      <c r="J1020" s="61" t="s">
        <v>2511</v>
      </c>
      <c r="K1020" s="62" t="s">
        <v>2511</v>
      </c>
      <c r="L1020" s="60" t="s">
        <v>2511</v>
      </c>
      <c r="M1020" s="61" t="s">
        <v>2389</v>
      </c>
      <c r="N1020" s="61" t="s">
        <v>2511</v>
      </c>
      <c r="O1020" s="61" t="s">
        <v>2511</v>
      </c>
      <c r="P1020" s="62" t="s">
        <v>2511</v>
      </c>
      <c r="Q1020" s="82"/>
      <c r="R1020" s="82"/>
      <c r="S1020" s="82"/>
      <c r="T1020" s="82"/>
      <c r="U1020" s="82"/>
      <c r="V1020" s="138" t="s">
        <v>5371</v>
      </c>
      <c r="W1020" s="57" t="s">
        <v>4966</v>
      </c>
      <c r="X1020" s="126" t="s">
        <v>2511</v>
      </c>
      <c r="Y1020" s="126" t="s">
        <v>2511</v>
      </c>
      <c r="Z1020" s="57"/>
      <c r="AA1020" s="57" t="s">
        <v>4533</v>
      </c>
      <c r="AB1020" s="138"/>
      <c r="AC1020" s="138" t="s">
        <v>2631</v>
      </c>
      <c r="AD1020" s="96"/>
      <c r="AE1020" s="80"/>
      <c r="AF1020" s="80"/>
      <c r="AG1020" s="80"/>
      <c r="AH1020" s="83"/>
      <c r="AI1020" s="83"/>
      <c r="AJ1020" s="84"/>
      <c r="AK1020" s="84"/>
      <c r="AL1020" s="84"/>
      <c r="AM1020" s="84"/>
      <c r="AN1020" s="84"/>
      <c r="AO1020" s="84"/>
      <c r="AP1020" s="84"/>
      <c r="AQ1020" s="95" t="s">
        <v>2138</v>
      </c>
      <c r="AR1020" s="72"/>
      <c r="AS1020" s="72"/>
      <c r="AT1020" s="72"/>
      <c r="AU1020" s="72"/>
      <c r="AV1020" s="72"/>
      <c r="AW1020" s="72"/>
      <c r="AX1020" s="72"/>
      <c r="AY1020" s="72"/>
      <c r="AZ1020" s="72"/>
      <c r="BA1020" s="72"/>
      <c r="BB1020" s="16"/>
      <c r="BC1020" s="72"/>
      <c r="BD1020" s="20"/>
      <c r="BE1020" s="352"/>
    </row>
    <row r="1021" spans="1:57" s="81" customFormat="1" ht="12.95" hidden="1" customHeight="1">
      <c r="A1021" s="348"/>
      <c r="B1021" s="350"/>
      <c r="C1021" s="248" t="s">
        <v>1581</v>
      </c>
      <c r="D1021" s="239" t="s">
        <v>5372</v>
      </c>
      <c r="E1021" s="58"/>
      <c r="F1021" s="59" t="s">
        <v>5373</v>
      </c>
      <c r="G1021" s="191" t="s">
        <v>2511</v>
      </c>
      <c r="H1021" s="192" t="s">
        <v>2139</v>
      </c>
      <c r="I1021" s="61" t="s">
        <v>2511</v>
      </c>
      <c r="J1021" s="61" t="s">
        <v>2511</v>
      </c>
      <c r="K1021" s="62" t="s">
        <v>2511</v>
      </c>
      <c r="L1021" s="60" t="s">
        <v>2511</v>
      </c>
      <c r="M1021" s="61" t="s">
        <v>2389</v>
      </c>
      <c r="N1021" s="61" t="s">
        <v>2511</v>
      </c>
      <c r="O1021" s="61" t="s">
        <v>2511</v>
      </c>
      <c r="P1021" s="62" t="s">
        <v>2511</v>
      </c>
      <c r="Q1021" s="82"/>
      <c r="R1021" s="82"/>
      <c r="S1021" s="82"/>
      <c r="T1021" s="82"/>
      <c r="U1021" s="82"/>
      <c r="V1021" s="138" t="s">
        <v>5374</v>
      </c>
      <c r="W1021" s="57" t="s">
        <v>4966</v>
      </c>
      <c r="X1021" s="126" t="s">
        <v>2511</v>
      </c>
      <c r="Y1021" s="126" t="s">
        <v>2511</v>
      </c>
      <c r="Z1021" s="57"/>
      <c r="AA1021" s="57" t="s">
        <v>4533</v>
      </c>
      <c r="AB1021" s="138"/>
      <c r="AC1021" s="138" t="s">
        <v>2631</v>
      </c>
      <c r="AD1021" s="96"/>
      <c r="AE1021" s="80"/>
      <c r="AF1021" s="80"/>
      <c r="AG1021" s="80"/>
      <c r="AH1021" s="83"/>
      <c r="AI1021" s="83"/>
      <c r="AJ1021" s="84"/>
      <c r="AK1021" s="84"/>
      <c r="AL1021" s="84"/>
      <c r="AM1021" s="84"/>
      <c r="AN1021" s="84"/>
      <c r="AO1021" s="84"/>
      <c r="AP1021" s="84"/>
      <c r="AQ1021" s="95" t="s">
        <v>2139</v>
      </c>
      <c r="AR1021" s="72"/>
      <c r="AS1021" s="72"/>
      <c r="AT1021" s="72"/>
      <c r="AU1021" s="72"/>
      <c r="AV1021" s="72"/>
      <c r="AW1021" s="72"/>
      <c r="AX1021" s="72"/>
      <c r="AY1021" s="72"/>
      <c r="AZ1021" s="72"/>
      <c r="BA1021" s="72"/>
      <c r="BB1021" s="16"/>
      <c r="BC1021" s="72"/>
      <c r="BD1021" s="20"/>
      <c r="BE1021" s="352"/>
    </row>
    <row r="1022" spans="1:57" s="81" customFormat="1" ht="12.95" hidden="1" customHeight="1">
      <c r="A1022" s="348"/>
      <c r="B1022" s="350"/>
      <c r="C1022" s="248" t="s">
        <v>1582</v>
      </c>
      <c r="D1022" s="239" t="s">
        <v>5375</v>
      </c>
      <c r="E1022" s="58"/>
      <c r="F1022" s="59" t="s">
        <v>5376</v>
      </c>
      <c r="G1022" s="191" t="s">
        <v>2511</v>
      </c>
      <c r="H1022" s="192" t="s">
        <v>2140</v>
      </c>
      <c r="I1022" s="61" t="s">
        <v>2511</v>
      </c>
      <c r="J1022" s="61" t="s">
        <v>2511</v>
      </c>
      <c r="K1022" s="62" t="s">
        <v>2511</v>
      </c>
      <c r="L1022" s="60" t="s">
        <v>2511</v>
      </c>
      <c r="M1022" s="61" t="s">
        <v>2389</v>
      </c>
      <c r="N1022" s="61" t="s">
        <v>2511</v>
      </c>
      <c r="O1022" s="61" t="s">
        <v>2511</v>
      </c>
      <c r="P1022" s="62" t="s">
        <v>2511</v>
      </c>
      <c r="Q1022" s="82"/>
      <c r="R1022" s="82"/>
      <c r="S1022" s="82"/>
      <c r="T1022" s="82"/>
      <c r="U1022" s="82"/>
      <c r="V1022" s="138" t="s">
        <v>5377</v>
      </c>
      <c r="W1022" s="57" t="s">
        <v>4966</v>
      </c>
      <c r="X1022" s="126" t="s">
        <v>2511</v>
      </c>
      <c r="Y1022" s="126" t="s">
        <v>2511</v>
      </c>
      <c r="Z1022" s="57"/>
      <c r="AA1022" s="57" t="s">
        <v>4533</v>
      </c>
      <c r="AB1022" s="138"/>
      <c r="AC1022" s="138" t="s">
        <v>2631</v>
      </c>
      <c r="AD1022" s="96"/>
      <c r="AE1022" s="80"/>
      <c r="AF1022" s="80"/>
      <c r="AG1022" s="80"/>
      <c r="AH1022" s="83"/>
      <c r="AI1022" s="83"/>
      <c r="AJ1022" s="84"/>
      <c r="AK1022" s="84"/>
      <c r="AL1022" s="84"/>
      <c r="AM1022" s="84"/>
      <c r="AN1022" s="84"/>
      <c r="AO1022" s="84"/>
      <c r="AP1022" s="84"/>
      <c r="AQ1022" s="95" t="s">
        <v>2140</v>
      </c>
      <c r="AR1022" s="72"/>
      <c r="AS1022" s="72"/>
      <c r="AT1022" s="72"/>
      <c r="AU1022" s="72"/>
      <c r="AV1022" s="72"/>
      <c r="AW1022" s="72"/>
      <c r="AX1022" s="72"/>
      <c r="AY1022" s="72"/>
      <c r="AZ1022" s="72"/>
      <c r="BA1022" s="72"/>
      <c r="BB1022" s="16"/>
      <c r="BC1022" s="72"/>
      <c r="BD1022" s="20"/>
      <c r="BE1022" s="352"/>
    </row>
    <row r="1023" spans="1:57" s="81" customFormat="1" ht="12.95" hidden="1" customHeight="1">
      <c r="A1023" s="348"/>
      <c r="B1023" s="350"/>
      <c r="C1023" s="248" t="s">
        <v>1583</v>
      </c>
      <c r="D1023" s="239" t="s">
        <v>5378</v>
      </c>
      <c r="E1023" s="58"/>
      <c r="F1023" s="59" t="s">
        <v>5379</v>
      </c>
      <c r="G1023" s="191" t="s">
        <v>2511</v>
      </c>
      <c r="H1023" s="192" t="s">
        <v>2141</v>
      </c>
      <c r="I1023" s="61" t="s">
        <v>2511</v>
      </c>
      <c r="J1023" s="61" t="s">
        <v>2511</v>
      </c>
      <c r="K1023" s="62" t="s">
        <v>2511</v>
      </c>
      <c r="L1023" s="60" t="s">
        <v>2511</v>
      </c>
      <c r="M1023" s="61" t="s">
        <v>2389</v>
      </c>
      <c r="N1023" s="61" t="s">
        <v>2511</v>
      </c>
      <c r="O1023" s="61" t="s">
        <v>2511</v>
      </c>
      <c r="P1023" s="62" t="s">
        <v>2511</v>
      </c>
      <c r="Q1023" s="82"/>
      <c r="R1023" s="82"/>
      <c r="S1023" s="82"/>
      <c r="T1023" s="82"/>
      <c r="U1023" s="82"/>
      <c r="V1023" s="138" t="s">
        <v>5380</v>
      </c>
      <c r="W1023" s="57" t="s">
        <v>4966</v>
      </c>
      <c r="X1023" s="126" t="s">
        <v>2511</v>
      </c>
      <c r="Y1023" s="126" t="s">
        <v>2511</v>
      </c>
      <c r="Z1023" s="57"/>
      <c r="AA1023" s="57" t="s">
        <v>4533</v>
      </c>
      <c r="AB1023" s="138"/>
      <c r="AC1023" s="138" t="s">
        <v>2631</v>
      </c>
      <c r="AD1023" s="96"/>
      <c r="AE1023" s="80"/>
      <c r="AF1023" s="80"/>
      <c r="AG1023" s="80"/>
      <c r="AH1023" s="83"/>
      <c r="AI1023" s="83"/>
      <c r="AJ1023" s="84"/>
      <c r="AK1023" s="84"/>
      <c r="AL1023" s="84"/>
      <c r="AM1023" s="84"/>
      <c r="AN1023" s="84"/>
      <c r="AO1023" s="84"/>
      <c r="AP1023" s="84"/>
      <c r="AQ1023" s="95" t="s">
        <v>2141</v>
      </c>
      <c r="AR1023" s="72"/>
      <c r="AS1023" s="72"/>
      <c r="AT1023" s="72"/>
      <c r="AU1023" s="72"/>
      <c r="AV1023" s="72"/>
      <c r="AW1023" s="72"/>
      <c r="AX1023" s="72"/>
      <c r="AY1023" s="72"/>
      <c r="AZ1023" s="72"/>
      <c r="BA1023" s="72"/>
      <c r="BB1023" s="16"/>
      <c r="BC1023" s="72"/>
      <c r="BD1023" s="20"/>
      <c r="BE1023" s="352"/>
    </row>
    <row r="1024" spans="1:57" s="81" customFormat="1" ht="12.95" hidden="1" customHeight="1">
      <c r="A1024" s="348"/>
      <c r="B1024" s="350"/>
      <c r="C1024" s="248" t="s">
        <v>1584</v>
      </c>
      <c r="D1024" s="239" t="s">
        <v>5381</v>
      </c>
      <c r="E1024" s="58"/>
      <c r="F1024" s="59" t="s">
        <v>5382</v>
      </c>
      <c r="G1024" s="191" t="s">
        <v>2511</v>
      </c>
      <c r="H1024" s="192" t="s">
        <v>2142</v>
      </c>
      <c r="I1024" s="61" t="s">
        <v>2511</v>
      </c>
      <c r="J1024" s="61" t="s">
        <v>2511</v>
      </c>
      <c r="K1024" s="62" t="s">
        <v>2511</v>
      </c>
      <c r="L1024" s="60" t="s">
        <v>2511</v>
      </c>
      <c r="M1024" s="61" t="s">
        <v>2389</v>
      </c>
      <c r="N1024" s="61" t="s">
        <v>2511</v>
      </c>
      <c r="O1024" s="61" t="s">
        <v>2511</v>
      </c>
      <c r="P1024" s="62" t="s">
        <v>2511</v>
      </c>
      <c r="Q1024" s="82"/>
      <c r="R1024" s="82"/>
      <c r="S1024" s="82"/>
      <c r="T1024" s="82"/>
      <c r="U1024" s="82"/>
      <c r="V1024" s="138" t="s">
        <v>5383</v>
      </c>
      <c r="W1024" s="57" t="s">
        <v>4966</v>
      </c>
      <c r="X1024" s="126" t="s">
        <v>2511</v>
      </c>
      <c r="Y1024" s="126" t="s">
        <v>2511</v>
      </c>
      <c r="Z1024" s="57"/>
      <c r="AA1024" s="57" t="s">
        <v>4533</v>
      </c>
      <c r="AB1024" s="138"/>
      <c r="AC1024" s="138" t="s">
        <v>2631</v>
      </c>
      <c r="AD1024" s="96"/>
      <c r="AE1024" s="80"/>
      <c r="AF1024" s="80"/>
      <c r="AG1024" s="80"/>
      <c r="AH1024" s="83"/>
      <c r="AI1024" s="83"/>
      <c r="AJ1024" s="84"/>
      <c r="AK1024" s="84"/>
      <c r="AL1024" s="84"/>
      <c r="AM1024" s="84"/>
      <c r="AN1024" s="84"/>
      <c r="AO1024" s="84"/>
      <c r="AP1024" s="84"/>
      <c r="AQ1024" s="95" t="s">
        <v>2142</v>
      </c>
      <c r="AR1024" s="72"/>
      <c r="AS1024" s="72"/>
      <c r="AT1024" s="72"/>
      <c r="AU1024" s="72"/>
      <c r="AV1024" s="72"/>
      <c r="AW1024" s="72"/>
      <c r="AX1024" s="72"/>
      <c r="AY1024" s="72"/>
      <c r="AZ1024" s="72"/>
      <c r="BA1024" s="72"/>
      <c r="BB1024" s="16"/>
      <c r="BC1024" s="72"/>
      <c r="BD1024" s="20"/>
      <c r="BE1024" s="352"/>
    </row>
    <row r="1025" spans="1:57" s="81" customFormat="1" ht="12.95" hidden="1" customHeight="1">
      <c r="A1025" s="348"/>
      <c r="B1025" s="350"/>
      <c r="C1025" s="248" t="s">
        <v>1585</v>
      </c>
      <c r="D1025" s="239" t="s">
        <v>5384</v>
      </c>
      <c r="E1025" s="58"/>
      <c r="F1025" s="59" t="s">
        <v>5385</v>
      </c>
      <c r="G1025" s="191" t="s">
        <v>2511</v>
      </c>
      <c r="H1025" s="192" t="s">
        <v>2143</v>
      </c>
      <c r="I1025" s="61" t="s">
        <v>2511</v>
      </c>
      <c r="J1025" s="61" t="s">
        <v>2511</v>
      </c>
      <c r="K1025" s="62" t="s">
        <v>2511</v>
      </c>
      <c r="L1025" s="60" t="s">
        <v>2511</v>
      </c>
      <c r="M1025" s="61" t="s">
        <v>2389</v>
      </c>
      <c r="N1025" s="61" t="s">
        <v>2511</v>
      </c>
      <c r="O1025" s="61" t="s">
        <v>2511</v>
      </c>
      <c r="P1025" s="62" t="s">
        <v>2511</v>
      </c>
      <c r="Q1025" s="82"/>
      <c r="R1025" s="82"/>
      <c r="S1025" s="82"/>
      <c r="T1025" s="82"/>
      <c r="U1025" s="82"/>
      <c r="V1025" s="138" t="s">
        <v>5386</v>
      </c>
      <c r="W1025" s="57" t="s">
        <v>4966</v>
      </c>
      <c r="X1025" s="126" t="s">
        <v>2511</v>
      </c>
      <c r="Y1025" s="126" t="s">
        <v>2511</v>
      </c>
      <c r="Z1025" s="57"/>
      <c r="AA1025" s="57" t="s">
        <v>4533</v>
      </c>
      <c r="AB1025" s="138"/>
      <c r="AC1025" s="138" t="s">
        <v>2631</v>
      </c>
      <c r="AD1025" s="96"/>
      <c r="AE1025" s="80"/>
      <c r="AF1025" s="80"/>
      <c r="AG1025" s="80"/>
      <c r="AH1025" s="83"/>
      <c r="AI1025" s="83"/>
      <c r="AJ1025" s="84"/>
      <c r="AK1025" s="84"/>
      <c r="AL1025" s="84"/>
      <c r="AM1025" s="84"/>
      <c r="AN1025" s="84"/>
      <c r="AO1025" s="84"/>
      <c r="AP1025" s="84"/>
      <c r="AQ1025" s="95" t="s">
        <v>2143</v>
      </c>
      <c r="AR1025" s="72"/>
      <c r="AS1025" s="72"/>
      <c r="AT1025" s="72"/>
      <c r="AU1025" s="72"/>
      <c r="AV1025" s="72"/>
      <c r="AW1025" s="72"/>
      <c r="AX1025" s="72"/>
      <c r="AY1025" s="72"/>
      <c r="AZ1025" s="72"/>
      <c r="BA1025" s="72"/>
      <c r="BB1025" s="16"/>
      <c r="BC1025" s="72"/>
      <c r="BD1025" s="20"/>
      <c r="BE1025" s="352"/>
    </row>
    <row r="1026" spans="1:57" s="81" customFormat="1" ht="12.95" hidden="1" customHeight="1">
      <c r="A1026" s="348"/>
      <c r="B1026" s="350"/>
      <c r="C1026" s="270" t="s">
        <v>1586</v>
      </c>
      <c r="D1026" s="239" t="s">
        <v>5387</v>
      </c>
      <c r="E1026" s="58"/>
      <c r="F1026" s="59" t="s">
        <v>5388</v>
      </c>
      <c r="G1026" s="191" t="s">
        <v>2511</v>
      </c>
      <c r="H1026" s="192" t="s">
        <v>2144</v>
      </c>
      <c r="I1026" s="61" t="s">
        <v>2511</v>
      </c>
      <c r="J1026" s="61" t="s">
        <v>2511</v>
      </c>
      <c r="K1026" s="62" t="s">
        <v>2511</v>
      </c>
      <c r="L1026" s="60" t="s">
        <v>2511</v>
      </c>
      <c r="M1026" s="61" t="s">
        <v>2389</v>
      </c>
      <c r="N1026" s="61" t="s">
        <v>2511</v>
      </c>
      <c r="O1026" s="61" t="s">
        <v>2511</v>
      </c>
      <c r="P1026" s="62" t="s">
        <v>2511</v>
      </c>
      <c r="Q1026" s="82"/>
      <c r="R1026" s="82"/>
      <c r="S1026" s="82"/>
      <c r="T1026" s="82"/>
      <c r="U1026" s="82"/>
      <c r="V1026" s="138" t="s">
        <v>5389</v>
      </c>
      <c r="W1026" s="57" t="s">
        <v>4966</v>
      </c>
      <c r="X1026" s="126" t="s">
        <v>2511</v>
      </c>
      <c r="Y1026" s="126" t="s">
        <v>2511</v>
      </c>
      <c r="Z1026" s="57"/>
      <c r="AA1026" s="57" t="s">
        <v>4533</v>
      </c>
      <c r="AB1026" s="138"/>
      <c r="AC1026" s="138" t="s">
        <v>2631</v>
      </c>
      <c r="AD1026" s="96"/>
      <c r="AE1026" s="80"/>
      <c r="AF1026" s="80"/>
      <c r="AG1026" s="80"/>
      <c r="AH1026" s="83"/>
      <c r="AI1026" s="83"/>
      <c r="AJ1026" s="84"/>
      <c r="AK1026" s="84"/>
      <c r="AL1026" s="84"/>
      <c r="AM1026" s="84"/>
      <c r="AN1026" s="84"/>
      <c r="AO1026" s="84"/>
      <c r="AP1026" s="84"/>
      <c r="AQ1026" s="95" t="s">
        <v>2144</v>
      </c>
      <c r="AR1026" s="72"/>
      <c r="AS1026" s="72"/>
      <c r="AT1026" s="72"/>
      <c r="AU1026" s="72"/>
      <c r="AV1026" s="72"/>
      <c r="AW1026" s="72"/>
      <c r="AX1026" s="72"/>
      <c r="AY1026" s="72"/>
      <c r="AZ1026" s="72"/>
      <c r="BA1026" s="72"/>
      <c r="BB1026" s="16"/>
      <c r="BC1026" s="72"/>
      <c r="BD1026" s="20"/>
      <c r="BE1026" s="352"/>
    </row>
    <row r="1027" spans="1:57" s="81" customFormat="1" ht="12.95" hidden="1" customHeight="1">
      <c r="A1027" s="348"/>
      <c r="B1027" s="350"/>
      <c r="C1027" s="270" t="s">
        <v>1587</v>
      </c>
      <c r="D1027" s="239" t="s">
        <v>5390</v>
      </c>
      <c r="E1027" s="58"/>
      <c r="F1027" s="59" t="s">
        <v>5391</v>
      </c>
      <c r="G1027" s="191" t="s">
        <v>2511</v>
      </c>
      <c r="H1027" s="192" t="s">
        <v>2145</v>
      </c>
      <c r="I1027" s="61" t="s">
        <v>2511</v>
      </c>
      <c r="J1027" s="61" t="s">
        <v>2511</v>
      </c>
      <c r="K1027" s="62" t="s">
        <v>2511</v>
      </c>
      <c r="L1027" s="60" t="s">
        <v>2511</v>
      </c>
      <c r="M1027" s="61" t="s">
        <v>2389</v>
      </c>
      <c r="N1027" s="61" t="s">
        <v>2511</v>
      </c>
      <c r="O1027" s="61" t="s">
        <v>2511</v>
      </c>
      <c r="P1027" s="62" t="s">
        <v>2511</v>
      </c>
      <c r="Q1027" s="82"/>
      <c r="R1027" s="82"/>
      <c r="S1027" s="82"/>
      <c r="T1027" s="82"/>
      <c r="U1027" s="82"/>
      <c r="V1027" s="138" t="s">
        <v>5392</v>
      </c>
      <c r="W1027" s="57" t="s">
        <v>4966</v>
      </c>
      <c r="X1027" s="126" t="s">
        <v>2511</v>
      </c>
      <c r="Y1027" s="126" t="s">
        <v>2511</v>
      </c>
      <c r="Z1027" s="57"/>
      <c r="AA1027" s="57" t="s">
        <v>4533</v>
      </c>
      <c r="AB1027" s="138"/>
      <c r="AC1027" s="138" t="s">
        <v>2631</v>
      </c>
      <c r="AD1027" s="96"/>
      <c r="AE1027" s="80"/>
      <c r="AF1027" s="80"/>
      <c r="AG1027" s="80"/>
      <c r="AH1027" s="83"/>
      <c r="AI1027" s="83"/>
      <c r="AJ1027" s="84"/>
      <c r="AK1027" s="84"/>
      <c r="AL1027" s="84"/>
      <c r="AM1027" s="84"/>
      <c r="AN1027" s="84"/>
      <c r="AO1027" s="84"/>
      <c r="AP1027" s="84"/>
      <c r="AQ1027" s="95" t="s">
        <v>2145</v>
      </c>
      <c r="AR1027" s="72"/>
      <c r="AS1027" s="72"/>
      <c r="AT1027" s="72"/>
      <c r="AU1027" s="72"/>
      <c r="AV1027" s="72"/>
      <c r="AW1027" s="72"/>
      <c r="AX1027" s="72"/>
      <c r="AY1027" s="72"/>
      <c r="AZ1027" s="72"/>
      <c r="BA1027" s="72"/>
      <c r="BB1027" s="16"/>
      <c r="BC1027" s="72"/>
      <c r="BD1027" s="20"/>
      <c r="BE1027" s="352"/>
    </row>
    <row r="1028" spans="1:57" s="81" customFormat="1" ht="12.95" hidden="1" customHeight="1">
      <c r="A1028" s="348"/>
      <c r="B1028" s="350"/>
      <c r="C1028" s="270" t="s">
        <v>1588</v>
      </c>
      <c r="D1028" s="239" t="s">
        <v>5393</v>
      </c>
      <c r="E1028" s="58"/>
      <c r="F1028" s="59" t="s">
        <v>5394</v>
      </c>
      <c r="G1028" s="191" t="s">
        <v>2511</v>
      </c>
      <c r="H1028" s="192" t="s">
        <v>2146</v>
      </c>
      <c r="I1028" s="61" t="s">
        <v>2511</v>
      </c>
      <c r="J1028" s="61" t="s">
        <v>2511</v>
      </c>
      <c r="K1028" s="62" t="s">
        <v>2511</v>
      </c>
      <c r="L1028" s="60" t="s">
        <v>2511</v>
      </c>
      <c r="M1028" s="61" t="s">
        <v>2389</v>
      </c>
      <c r="N1028" s="61" t="s">
        <v>2511</v>
      </c>
      <c r="O1028" s="61" t="s">
        <v>2511</v>
      </c>
      <c r="P1028" s="62" t="s">
        <v>2511</v>
      </c>
      <c r="Q1028" s="82"/>
      <c r="R1028" s="82"/>
      <c r="S1028" s="82"/>
      <c r="T1028" s="82"/>
      <c r="U1028" s="82"/>
      <c r="V1028" s="138" t="s">
        <v>5395</v>
      </c>
      <c r="W1028" s="57" t="s">
        <v>4966</v>
      </c>
      <c r="X1028" s="126" t="s">
        <v>2511</v>
      </c>
      <c r="Y1028" s="126" t="s">
        <v>2511</v>
      </c>
      <c r="Z1028" s="57"/>
      <c r="AA1028" s="57" t="s">
        <v>4533</v>
      </c>
      <c r="AB1028" s="138"/>
      <c r="AC1028" s="138">
        <v>0</v>
      </c>
      <c r="AD1028" s="96"/>
      <c r="AE1028" s="80"/>
      <c r="AF1028" s="80"/>
      <c r="AG1028" s="80"/>
      <c r="AH1028" s="83"/>
      <c r="AI1028" s="83"/>
      <c r="AJ1028" s="84"/>
      <c r="AK1028" s="84"/>
      <c r="AL1028" s="84"/>
      <c r="AM1028" s="84"/>
      <c r="AN1028" s="84"/>
      <c r="AO1028" s="84"/>
      <c r="AP1028" s="84"/>
      <c r="AQ1028" s="95" t="s">
        <v>2146</v>
      </c>
      <c r="AR1028" s="72"/>
      <c r="AS1028" s="72"/>
      <c r="AT1028" s="72"/>
      <c r="AU1028" s="72"/>
      <c r="AV1028" s="72"/>
      <c r="AW1028" s="72"/>
      <c r="AX1028" s="72"/>
      <c r="AY1028" s="72"/>
      <c r="AZ1028" s="72"/>
      <c r="BA1028" s="72"/>
      <c r="BB1028" s="16"/>
      <c r="BC1028" s="72"/>
      <c r="BD1028" s="20"/>
      <c r="BE1028" s="352"/>
    </row>
    <row r="1029" spans="1:57" s="91" customFormat="1" ht="18" hidden="1" customHeight="1">
      <c r="A1029" s="278"/>
      <c r="B1029" s="278"/>
      <c r="C1029" s="268" t="s">
        <v>1737</v>
      </c>
      <c r="D1029" s="268"/>
      <c r="E1029" s="86"/>
      <c r="F1029" s="86"/>
      <c r="G1029" s="87"/>
      <c r="H1029" s="87"/>
      <c r="I1029" s="87"/>
      <c r="J1029" s="87"/>
      <c r="K1029" s="87"/>
      <c r="L1029" s="86"/>
      <c r="M1029" s="86"/>
      <c r="N1029" s="86"/>
      <c r="O1029" s="86"/>
      <c r="P1029" s="86"/>
      <c r="Q1029" s="86"/>
      <c r="R1029" s="86"/>
      <c r="S1029" s="86"/>
      <c r="T1029" s="86"/>
      <c r="U1029" s="86"/>
      <c r="V1029" s="86"/>
      <c r="W1029" s="86"/>
      <c r="X1029" s="129"/>
      <c r="Y1029" s="129"/>
      <c r="Z1029" s="88"/>
      <c r="AA1029" s="88"/>
      <c r="AB1029" s="88"/>
      <c r="AC1029" s="88"/>
      <c r="AD1029" s="88"/>
      <c r="AE1029" s="88"/>
      <c r="AF1029" s="88"/>
      <c r="AG1029" s="88"/>
      <c r="AH1029" s="88"/>
      <c r="AI1029" s="88"/>
      <c r="AJ1029" s="88"/>
      <c r="AK1029" s="88"/>
      <c r="AL1029" s="88"/>
      <c r="AM1029" s="88"/>
      <c r="AN1029" s="88"/>
      <c r="AO1029" s="88"/>
      <c r="AP1029" s="88"/>
      <c r="AQ1029" s="89"/>
      <c r="AR1029" s="89"/>
      <c r="AS1029" s="90"/>
      <c r="AT1029" s="90"/>
      <c r="AU1029" s="90"/>
      <c r="AV1029" s="90"/>
      <c r="AW1029" s="90"/>
      <c r="AX1029" s="90"/>
      <c r="AY1029" s="90"/>
      <c r="AZ1029" s="90"/>
      <c r="BA1029" s="90"/>
      <c r="BB1029" s="90"/>
      <c r="BC1029" s="175" t="s">
        <v>478</v>
      </c>
      <c r="BD1029" s="90"/>
      <c r="BE1029" s="234" t="s">
        <v>1737</v>
      </c>
    </row>
    <row r="1030" spans="1:57" s="81" customFormat="1" ht="12.95" hidden="1" customHeight="1">
      <c r="A1030" s="302"/>
      <c r="B1030" s="302"/>
      <c r="C1030" s="271" t="s">
        <v>1738</v>
      </c>
      <c r="D1030" s="239" t="s">
        <v>5396</v>
      </c>
      <c r="E1030" s="58"/>
      <c r="F1030" s="59" t="s">
        <v>5397</v>
      </c>
      <c r="G1030" s="191" t="s">
        <v>2511</v>
      </c>
      <c r="H1030" s="192" t="s">
        <v>886</v>
      </c>
      <c r="I1030" s="61" t="s">
        <v>2511</v>
      </c>
      <c r="J1030" s="61" t="s">
        <v>2511</v>
      </c>
      <c r="K1030" s="62" t="s">
        <v>2511</v>
      </c>
      <c r="L1030" s="60" t="s">
        <v>2511</v>
      </c>
      <c r="M1030" s="61" t="s">
        <v>2389</v>
      </c>
      <c r="N1030" s="61" t="s">
        <v>2511</v>
      </c>
      <c r="O1030" s="61" t="s">
        <v>2511</v>
      </c>
      <c r="P1030" s="62" t="s">
        <v>2511</v>
      </c>
      <c r="Q1030" s="82"/>
      <c r="R1030" s="82"/>
      <c r="S1030" s="82"/>
      <c r="T1030" s="82"/>
      <c r="U1030" s="82"/>
      <c r="V1030" s="138" t="s">
        <v>5398</v>
      </c>
      <c r="W1030" s="57" t="s">
        <v>5399</v>
      </c>
      <c r="X1030" s="126" t="s">
        <v>2511</v>
      </c>
      <c r="Y1030" s="126" t="s">
        <v>2511</v>
      </c>
      <c r="Z1030" s="57"/>
      <c r="AA1030" s="57" t="s">
        <v>4528</v>
      </c>
      <c r="AB1030" s="138"/>
      <c r="AC1030" s="138">
        <v>0</v>
      </c>
      <c r="AD1030" s="96"/>
      <c r="AE1030" s="80"/>
      <c r="AF1030" s="80"/>
      <c r="AG1030" s="80"/>
      <c r="AH1030" s="83"/>
      <c r="AI1030" s="83"/>
      <c r="AJ1030" s="84"/>
      <c r="AK1030" s="84"/>
      <c r="AL1030" s="84"/>
      <c r="AM1030" s="84"/>
      <c r="AN1030" s="84"/>
      <c r="AO1030" s="84"/>
      <c r="AP1030" s="84"/>
      <c r="AQ1030" s="95" t="s">
        <v>886</v>
      </c>
      <c r="AR1030" s="72"/>
      <c r="AS1030" s="72"/>
      <c r="AT1030" s="72"/>
      <c r="AU1030" s="72"/>
      <c r="AV1030" s="72"/>
      <c r="AW1030" s="72"/>
      <c r="AX1030" s="72"/>
      <c r="AY1030" s="72"/>
      <c r="AZ1030" s="72"/>
      <c r="BA1030" s="72"/>
      <c r="BB1030" s="16"/>
      <c r="BC1030" s="72"/>
      <c r="BD1030" s="20"/>
      <c r="BE1030" s="238" t="s">
        <v>2217</v>
      </c>
    </row>
    <row r="1031" spans="1:57" s="91" customFormat="1" ht="18" hidden="1" customHeight="1">
      <c r="A1031" s="229"/>
      <c r="B1031" s="100"/>
      <c r="C1031" s="268" t="s">
        <v>220</v>
      </c>
      <c r="D1031" s="268"/>
      <c r="E1031" s="86"/>
      <c r="F1031" s="86"/>
      <c r="G1031" s="87"/>
      <c r="H1031" s="87"/>
      <c r="I1031" s="87"/>
      <c r="J1031" s="87"/>
      <c r="K1031" s="87"/>
      <c r="L1031" s="86"/>
      <c r="M1031" s="86"/>
      <c r="N1031" s="86"/>
      <c r="O1031" s="86"/>
      <c r="P1031" s="86"/>
      <c r="Q1031" s="86"/>
      <c r="R1031" s="86"/>
      <c r="S1031" s="86"/>
      <c r="T1031" s="86"/>
      <c r="U1031" s="86"/>
      <c r="V1031" s="86"/>
      <c r="W1031" s="86"/>
      <c r="X1031" s="129"/>
      <c r="Y1031" s="129"/>
      <c r="Z1031" s="88"/>
      <c r="AA1031" s="88"/>
      <c r="AB1031" s="88"/>
      <c r="AC1031" s="88"/>
      <c r="AD1031" s="88"/>
      <c r="AE1031" s="88"/>
      <c r="AF1031" s="88"/>
      <c r="AG1031" s="88"/>
      <c r="AH1031" s="88"/>
      <c r="AI1031" s="88"/>
      <c r="AJ1031" s="88"/>
      <c r="AK1031" s="88"/>
      <c r="AL1031" s="88"/>
      <c r="AM1031" s="88"/>
      <c r="AN1031" s="88"/>
      <c r="AO1031" s="88"/>
      <c r="AP1031" s="88"/>
      <c r="AQ1031" s="89"/>
      <c r="AR1031" s="100"/>
      <c r="AS1031" s="101"/>
      <c r="AT1031" s="101"/>
      <c r="AU1031" s="101"/>
      <c r="AV1031" s="101"/>
      <c r="AW1031" s="101"/>
      <c r="AX1031" s="101"/>
      <c r="AY1031" s="101"/>
      <c r="AZ1031" s="101"/>
      <c r="BA1031" s="101"/>
      <c r="BB1031" s="101"/>
      <c r="BC1031" s="175" t="s">
        <v>59</v>
      </c>
      <c r="BD1031" s="101"/>
      <c r="BE1031" s="229" t="s">
        <v>220</v>
      </c>
    </row>
    <row r="1032" spans="1:57" s="81" customFormat="1" ht="12.95" hidden="1" customHeight="1">
      <c r="A1032" s="342"/>
      <c r="B1032" s="342"/>
      <c r="C1032" s="269" t="s">
        <v>221</v>
      </c>
      <c r="D1032" s="239" t="s">
        <v>5400</v>
      </c>
      <c r="E1032" s="58"/>
      <c r="F1032" s="59" t="s">
        <v>5401</v>
      </c>
      <c r="G1032" s="191" t="s">
        <v>2511</v>
      </c>
      <c r="H1032" s="192" t="s">
        <v>5402</v>
      </c>
      <c r="I1032" s="61" t="s">
        <v>2511</v>
      </c>
      <c r="J1032" s="61" t="s">
        <v>2511</v>
      </c>
      <c r="K1032" s="62" t="s">
        <v>2511</v>
      </c>
      <c r="L1032" s="60" t="s">
        <v>2511</v>
      </c>
      <c r="M1032" s="61" t="s">
        <v>2523</v>
      </c>
      <c r="N1032" s="61" t="s">
        <v>2511</v>
      </c>
      <c r="O1032" s="61" t="s">
        <v>2511</v>
      </c>
      <c r="P1032" s="62" t="s">
        <v>2511</v>
      </c>
      <c r="Q1032" s="82"/>
      <c r="R1032" s="82"/>
      <c r="S1032" s="82"/>
      <c r="T1032" s="82"/>
      <c r="U1032" s="82"/>
      <c r="V1032" s="138" t="s">
        <v>5403</v>
      </c>
      <c r="W1032" s="57" t="s">
        <v>5404</v>
      </c>
      <c r="X1032" s="126" t="s">
        <v>2511</v>
      </c>
      <c r="Y1032" s="126" t="s">
        <v>2511</v>
      </c>
      <c r="Z1032" s="57"/>
      <c r="AA1032" s="57" t="s">
        <v>5405</v>
      </c>
      <c r="AB1032" s="138"/>
      <c r="AC1032" s="138" t="s">
        <v>5406</v>
      </c>
      <c r="AD1032" s="93"/>
      <c r="AE1032" s="93"/>
      <c r="AF1032" s="93"/>
      <c r="AG1032" s="93"/>
      <c r="AH1032" s="94"/>
      <c r="AI1032" s="94"/>
      <c r="AJ1032" s="107"/>
      <c r="AK1032" s="107"/>
      <c r="AL1032" s="107"/>
      <c r="AM1032" s="107"/>
      <c r="AN1032" s="107"/>
      <c r="AO1032" s="107"/>
      <c r="AP1032" s="107"/>
      <c r="AQ1032" s="108" t="s">
        <v>221</v>
      </c>
      <c r="AR1032" s="3"/>
      <c r="AS1032" s="3"/>
      <c r="AT1032" s="3"/>
      <c r="AU1032" s="3"/>
      <c r="AV1032" s="3"/>
      <c r="AW1032" s="3"/>
      <c r="AX1032" s="3"/>
      <c r="AY1032" s="3"/>
      <c r="AZ1032" s="3"/>
      <c r="BA1032" s="3"/>
      <c r="BB1032" s="198"/>
      <c r="BC1032" s="3"/>
      <c r="BD1032" s="19"/>
      <c r="BE1032" s="343" t="s">
        <v>5414</v>
      </c>
    </row>
    <row r="1033" spans="1:57" s="81" customFormat="1" ht="12.95" hidden="1" customHeight="1">
      <c r="A1033" s="342"/>
      <c r="B1033" s="342"/>
      <c r="C1033" s="269" t="s">
        <v>222</v>
      </c>
      <c r="D1033" s="239" t="s">
        <v>5407</v>
      </c>
      <c r="E1033" s="109"/>
      <c r="F1033" s="110" t="s">
        <v>5408</v>
      </c>
      <c r="G1033" s="204" t="s">
        <v>2511</v>
      </c>
      <c r="H1033" s="240" t="s">
        <v>5409</v>
      </c>
      <c r="I1033" s="203" t="s">
        <v>2511</v>
      </c>
      <c r="J1033" s="203" t="s">
        <v>2511</v>
      </c>
      <c r="K1033" s="206" t="s">
        <v>2511</v>
      </c>
      <c r="L1033" s="208" t="s">
        <v>2511</v>
      </c>
      <c r="M1033" s="203" t="s">
        <v>2388</v>
      </c>
      <c r="N1033" s="203" t="s">
        <v>2511</v>
      </c>
      <c r="O1033" s="203" t="s">
        <v>2511</v>
      </c>
      <c r="P1033" s="206" t="s">
        <v>2511</v>
      </c>
      <c r="Q1033" s="111"/>
      <c r="R1033" s="111"/>
      <c r="S1033" s="111"/>
      <c r="T1033" s="111"/>
      <c r="U1033" s="111"/>
      <c r="V1033" s="205" t="s">
        <v>5410</v>
      </c>
      <c r="W1033" s="123" t="s">
        <v>5404</v>
      </c>
      <c r="X1033" s="241" t="s">
        <v>2511</v>
      </c>
      <c r="Y1033" s="241" t="s">
        <v>2511</v>
      </c>
      <c r="Z1033" s="123"/>
      <c r="AA1033" s="123" t="s">
        <v>5405</v>
      </c>
      <c r="AB1033" s="205"/>
      <c r="AC1033" s="205" t="s">
        <v>5411</v>
      </c>
      <c r="AD1033" s="97"/>
      <c r="AE1033" s="97"/>
      <c r="AF1033" s="97"/>
      <c r="AG1033" s="97"/>
      <c r="AH1033" s="98"/>
      <c r="AI1033" s="98"/>
      <c r="AJ1033" s="99"/>
      <c r="AK1033" s="99"/>
      <c r="AL1033" s="99"/>
      <c r="AM1033" s="99"/>
      <c r="AN1033" s="99"/>
      <c r="AO1033" s="99"/>
      <c r="AP1033" s="99"/>
      <c r="AQ1033" s="112" t="s">
        <v>222</v>
      </c>
      <c r="AR1033" s="6"/>
      <c r="AS1033" s="6"/>
      <c r="AT1033" s="6"/>
      <c r="AU1033" s="6"/>
      <c r="AV1033" s="6"/>
      <c r="AW1033" s="6"/>
      <c r="AX1033" s="6"/>
      <c r="AY1033" s="6"/>
      <c r="AZ1033" s="6"/>
      <c r="BA1033" s="6"/>
      <c r="BB1033" s="199"/>
      <c r="BC1033" s="6"/>
      <c r="BD1033" s="21"/>
      <c r="BE1033" s="344"/>
    </row>
    <row r="1034" spans="1:57" s="25" customFormat="1" ht="15" hidden="1">
      <c r="A1034" s="148"/>
      <c r="C1034" s="24"/>
      <c r="D1034" s="24"/>
      <c r="E1034" s="24"/>
      <c r="F1034" s="24"/>
      <c r="G1034" s="78"/>
      <c r="H1034" s="78"/>
      <c r="I1034" s="78"/>
      <c r="J1034" s="78"/>
      <c r="K1034" s="78"/>
      <c r="L1034" s="24"/>
      <c r="M1034" s="24"/>
      <c r="N1034" s="24"/>
      <c r="O1034" s="24"/>
      <c r="P1034" s="24"/>
      <c r="Q1034" s="24"/>
      <c r="R1034" s="24"/>
      <c r="S1034" s="24"/>
      <c r="T1034" s="24"/>
      <c r="U1034" s="24"/>
      <c r="V1034" s="24"/>
      <c r="W1034" s="24"/>
      <c r="X1034" s="130"/>
      <c r="Y1034" s="130"/>
      <c r="Z1034" s="113"/>
      <c r="AA1034" s="113"/>
      <c r="AB1034" s="113"/>
      <c r="AC1034" s="113"/>
      <c r="AD1034" s="113"/>
      <c r="AE1034" s="113"/>
      <c r="AF1034" s="113"/>
      <c r="AG1034" s="113"/>
      <c r="AH1034" s="113"/>
      <c r="AI1034" s="113"/>
      <c r="AJ1034" s="113"/>
      <c r="AK1034" s="113"/>
      <c r="AL1034" s="113"/>
      <c r="AM1034" s="113"/>
      <c r="AN1034" s="113"/>
      <c r="AO1034" s="113"/>
      <c r="AP1034" s="113"/>
      <c r="AQ1034" s="118"/>
      <c r="AR1034" s="118"/>
      <c r="AS1034" s="118"/>
      <c r="AT1034" s="118"/>
      <c r="AU1034" s="118"/>
      <c r="AV1034" s="118"/>
      <c r="AW1034" s="118"/>
      <c r="AX1034" s="118"/>
      <c r="AY1034" s="118"/>
      <c r="AZ1034" s="118"/>
      <c r="BA1034" s="118"/>
      <c r="BB1034" s="118"/>
      <c r="BC1034" s="118"/>
      <c r="BD1034" s="115"/>
      <c r="BE1034" s="148"/>
    </row>
    <row r="1035" spans="1:57" s="25" customFormat="1" ht="15" hidden="1">
      <c r="A1035" s="113"/>
      <c r="C1035" s="24"/>
      <c r="D1035" s="24"/>
      <c r="E1035" s="24"/>
      <c r="F1035" s="24"/>
      <c r="G1035" s="78"/>
      <c r="H1035" s="78"/>
      <c r="I1035" s="345"/>
      <c r="J1035" s="345"/>
      <c r="K1035" s="345"/>
      <c r="L1035" s="345"/>
      <c r="M1035" s="345"/>
      <c r="N1035" s="345"/>
      <c r="O1035" s="345"/>
      <c r="P1035" s="345"/>
      <c r="Q1035" s="24"/>
      <c r="R1035" s="24"/>
      <c r="S1035" s="24"/>
      <c r="T1035" s="24"/>
      <c r="U1035" s="24"/>
      <c r="V1035" s="24"/>
      <c r="W1035" s="24"/>
      <c r="X1035" s="130"/>
      <c r="Y1035" s="130"/>
      <c r="Z1035" s="113"/>
      <c r="AA1035" s="113"/>
      <c r="AB1035" s="113"/>
      <c r="AC1035" s="113"/>
      <c r="AD1035" s="113"/>
      <c r="AE1035" s="113"/>
      <c r="AF1035" s="113"/>
      <c r="AG1035" s="113"/>
      <c r="AH1035" s="113"/>
      <c r="AI1035" s="113"/>
      <c r="AJ1035" s="113"/>
      <c r="AK1035" s="113"/>
      <c r="AL1035" s="113"/>
      <c r="AM1035" s="113"/>
      <c r="AN1035" s="113"/>
      <c r="AO1035" s="114"/>
      <c r="AP1035" s="114"/>
      <c r="AQ1035" s="148"/>
      <c r="AR1035" s="148"/>
      <c r="AS1035" s="148"/>
      <c r="AT1035" s="148"/>
      <c r="AU1035" s="148"/>
      <c r="AV1035" s="148"/>
      <c r="AW1035" s="148"/>
      <c r="AX1035" s="148"/>
      <c r="AY1035" s="148"/>
      <c r="AZ1035" s="148"/>
      <c r="BA1035" s="148"/>
      <c r="BB1035" s="148"/>
      <c r="BC1035" s="148"/>
      <c r="BD1035" s="209" t="s">
        <v>880</v>
      </c>
      <c r="BE1035" s="209"/>
    </row>
    <row r="1036" spans="1:57" s="119" customFormat="1" ht="15" hidden="1">
      <c r="A1036" s="116"/>
      <c r="C1036" s="307"/>
      <c r="D1036" s="307"/>
      <c r="E1036" s="307"/>
      <c r="F1036" s="307"/>
      <c r="G1036" s="237"/>
      <c r="H1036" s="237"/>
      <c r="I1036" s="237"/>
      <c r="J1036" s="237"/>
      <c r="K1036" s="237"/>
      <c r="L1036" s="307"/>
      <c r="M1036" s="307"/>
      <c r="N1036" s="307"/>
      <c r="O1036" s="307"/>
      <c r="P1036" s="307"/>
      <c r="Q1036" s="307"/>
      <c r="R1036" s="307"/>
      <c r="S1036" s="307"/>
      <c r="T1036" s="307"/>
      <c r="U1036" s="307"/>
      <c r="V1036" s="307"/>
      <c r="W1036" s="307"/>
      <c r="X1036" s="131"/>
      <c r="Y1036" s="131"/>
      <c r="Z1036" s="116"/>
      <c r="AA1036" s="116"/>
      <c r="AB1036" s="116"/>
      <c r="AC1036" s="116"/>
      <c r="AD1036" s="116"/>
      <c r="AE1036" s="116"/>
      <c r="AF1036" s="116"/>
      <c r="AG1036" s="116"/>
      <c r="AH1036" s="116"/>
      <c r="AI1036" s="116"/>
      <c r="AJ1036" s="116"/>
      <c r="AK1036" s="116"/>
      <c r="AL1036" s="116"/>
      <c r="AM1036" s="116"/>
      <c r="AN1036" s="116"/>
      <c r="AO1036" s="117"/>
      <c r="AP1036" s="117"/>
      <c r="AQ1036" s="149"/>
      <c r="AR1036" s="149"/>
      <c r="AS1036" s="149"/>
      <c r="AT1036" s="149"/>
      <c r="AU1036" s="149"/>
      <c r="AV1036" s="149"/>
      <c r="AW1036" s="149"/>
      <c r="AX1036" s="149"/>
      <c r="AY1036" s="149"/>
      <c r="AZ1036" s="149"/>
      <c r="BA1036" s="149"/>
      <c r="BB1036" s="149"/>
      <c r="BC1036" s="149"/>
      <c r="BD1036" s="210" t="s">
        <v>881</v>
      </c>
      <c r="BE1036" s="210" t="s">
        <v>882</v>
      </c>
    </row>
    <row r="1037" spans="1:57" s="119" customFormat="1" ht="15" hidden="1">
      <c r="A1037" s="279"/>
      <c r="C1037" s="307"/>
      <c r="D1037" s="307"/>
      <c r="E1037" s="307"/>
      <c r="F1037" s="307"/>
      <c r="G1037" s="237"/>
      <c r="H1037" s="237"/>
      <c r="I1037" s="237"/>
      <c r="J1037" s="237"/>
      <c r="K1037" s="237"/>
      <c r="L1037" s="307"/>
      <c r="M1037" s="307"/>
      <c r="N1037" s="307"/>
      <c r="O1037" s="307"/>
      <c r="P1037" s="307"/>
      <c r="Q1037" s="307"/>
      <c r="R1037" s="307"/>
      <c r="S1037" s="307"/>
      <c r="T1037" s="307"/>
      <c r="U1037" s="307"/>
      <c r="V1037" s="307"/>
      <c r="W1037" s="307"/>
      <c r="X1037" s="131"/>
      <c r="Y1037" s="131"/>
      <c r="Z1037" s="116"/>
      <c r="AA1037" s="116"/>
      <c r="AB1037" s="116"/>
      <c r="AC1037" s="116"/>
      <c r="AD1037" s="116"/>
      <c r="AE1037" s="116"/>
      <c r="AF1037" s="116"/>
      <c r="AG1037" s="116"/>
      <c r="AH1037" s="116"/>
      <c r="AI1037" s="116"/>
      <c r="AJ1037" s="116"/>
      <c r="AK1037" s="116"/>
      <c r="AL1037" s="116"/>
      <c r="AM1037" s="116"/>
      <c r="AN1037" s="116"/>
      <c r="AO1037" s="117"/>
      <c r="AP1037" s="117"/>
      <c r="AQ1037" s="149"/>
      <c r="AR1037" s="149"/>
      <c r="AS1037" s="149"/>
      <c r="AT1037" s="149"/>
      <c r="AU1037" s="149"/>
      <c r="AV1037" s="149"/>
      <c r="AW1037" s="149"/>
      <c r="AX1037" s="149"/>
      <c r="AY1037" s="149"/>
      <c r="AZ1037" s="149"/>
      <c r="BA1037" s="149"/>
      <c r="BB1037" s="149"/>
      <c r="BC1037" s="149"/>
      <c r="BD1037" s="211" t="s">
        <v>883</v>
      </c>
      <c r="BE1037" s="211" t="str">
        <f>BC27</f>
        <v>1.8V/3.3V</v>
      </c>
    </row>
    <row r="1038" spans="1:57" s="119" customFormat="1" ht="15" hidden="1">
      <c r="A1038" s="279"/>
      <c r="C1038" s="307"/>
      <c r="D1038" s="307"/>
      <c r="E1038" s="307"/>
      <c r="F1038" s="307"/>
      <c r="G1038" s="237"/>
      <c r="H1038" s="237"/>
      <c r="I1038" s="237"/>
      <c r="J1038" s="237"/>
      <c r="K1038" s="237"/>
      <c r="L1038" s="307"/>
      <c r="M1038" s="307"/>
      <c r="N1038" s="307"/>
      <c r="O1038" s="307"/>
      <c r="P1038" s="307"/>
      <c r="Q1038" s="307"/>
      <c r="R1038" s="307"/>
      <c r="S1038" s="307"/>
      <c r="T1038" s="307"/>
      <c r="U1038" s="307"/>
      <c r="V1038" s="307"/>
      <c r="W1038" s="307"/>
      <c r="X1038" s="131"/>
      <c r="Y1038" s="131"/>
      <c r="Z1038" s="116"/>
      <c r="AA1038" s="116"/>
      <c r="AB1038" s="116"/>
      <c r="AC1038" s="116"/>
      <c r="AD1038" s="116"/>
      <c r="AE1038" s="116"/>
      <c r="AF1038" s="116"/>
      <c r="AG1038" s="116"/>
      <c r="AH1038" s="116"/>
      <c r="AI1038" s="116"/>
      <c r="AJ1038" s="116"/>
      <c r="AK1038" s="116"/>
      <c r="AL1038" s="116"/>
      <c r="AM1038" s="116"/>
      <c r="AN1038" s="116"/>
      <c r="AO1038" s="117"/>
      <c r="AP1038" s="117"/>
      <c r="AQ1038" s="149"/>
      <c r="AR1038" s="149"/>
      <c r="AS1038" s="149"/>
      <c r="AT1038" s="149"/>
      <c r="AU1038" s="149"/>
      <c r="AV1038" s="149"/>
      <c r="AW1038" s="149"/>
      <c r="AX1038" s="149"/>
      <c r="AY1038" s="149"/>
      <c r="AZ1038" s="149"/>
      <c r="BA1038" s="149"/>
      <c r="BB1038" s="149"/>
      <c r="BC1038" s="149"/>
      <c r="BD1038" s="211" t="s">
        <v>884</v>
      </c>
      <c r="BE1038" s="211" t="str">
        <f>BC34</f>
        <v>1.8V/3.3V</v>
      </c>
    </row>
    <row r="1039" spans="1:57" s="25" customFormat="1" ht="15" hidden="1">
      <c r="A1039" s="280"/>
      <c r="C1039" s="24"/>
      <c r="D1039" s="24"/>
      <c r="E1039" s="24"/>
      <c r="F1039" s="24"/>
      <c r="G1039" s="78"/>
      <c r="H1039" s="78"/>
      <c r="I1039" s="78"/>
      <c r="J1039" s="78"/>
      <c r="K1039" s="78"/>
      <c r="L1039" s="24"/>
      <c r="M1039" s="24"/>
      <c r="N1039" s="24"/>
      <c r="O1039" s="24"/>
      <c r="P1039" s="24"/>
      <c r="Q1039" s="24"/>
      <c r="R1039" s="24"/>
      <c r="S1039" s="24"/>
      <c r="T1039" s="24"/>
      <c r="U1039" s="24"/>
      <c r="V1039" s="24"/>
      <c r="W1039" s="24"/>
      <c r="X1039" s="130"/>
      <c r="Y1039" s="130"/>
      <c r="Z1039" s="113"/>
      <c r="AA1039" s="113"/>
      <c r="AB1039" s="113"/>
      <c r="AC1039" s="113"/>
      <c r="AD1039" s="113"/>
      <c r="AE1039" s="113"/>
      <c r="AF1039" s="113"/>
      <c r="AG1039" s="113"/>
      <c r="AH1039" s="113"/>
      <c r="AI1039" s="113"/>
      <c r="AJ1039" s="113"/>
      <c r="AK1039" s="113"/>
      <c r="AL1039" s="113"/>
      <c r="AM1039" s="113"/>
      <c r="AN1039" s="113"/>
      <c r="AO1039" s="114"/>
      <c r="AP1039" s="114"/>
      <c r="AQ1039" s="148"/>
      <c r="AR1039" s="148"/>
      <c r="AS1039" s="148"/>
      <c r="AT1039" s="148"/>
      <c r="AU1039" s="148"/>
      <c r="AV1039" s="148"/>
      <c r="AW1039" s="148"/>
      <c r="AX1039" s="148"/>
      <c r="AY1039" s="148"/>
      <c r="AZ1039" s="148"/>
      <c r="BA1039" s="148"/>
      <c r="BB1039" s="148"/>
      <c r="BC1039" s="148"/>
      <c r="BD1039" s="212" t="s">
        <v>840</v>
      </c>
      <c r="BE1039" s="212" t="str">
        <f>BC41</f>
        <v>1.8V</v>
      </c>
    </row>
    <row r="1040" spans="1:57" s="25" customFormat="1" ht="15" hidden="1">
      <c r="A1040" s="280"/>
      <c r="C1040" s="24"/>
      <c r="D1040" s="24"/>
      <c r="E1040" s="24"/>
      <c r="F1040" s="24"/>
      <c r="G1040" s="78"/>
      <c r="H1040" s="78"/>
      <c r="I1040" s="78"/>
      <c r="J1040" s="78"/>
      <c r="K1040" s="78"/>
      <c r="L1040" s="24"/>
      <c r="M1040" s="24"/>
      <c r="N1040" s="24"/>
      <c r="O1040" s="24"/>
      <c r="P1040" s="24"/>
      <c r="Q1040" s="24"/>
      <c r="R1040" s="24"/>
      <c r="S1040" s="24"/>
      <c r="T1040" s="24"/>
      <c r="U1040" s="24"/>
      <c r="V1040" s="24"/>
      <c r="W1040" s="24"/>
      <c r="X1040" s="130"/>
      <c r="Y1040" s="130"/>
      <c r="Z1040" s="113"/>
      <c r="AA1040" s="113"/>
      <c r="AB1040" s="113"/>
      <c r="AC1040" s="113"/>
      <c r="AD1040" s="113"/>
      <c r="AE1040" s="113"/>
      <c r="AF1040" s="113"/>
      <c r="AG1040" s="113"/>
      <c r="AH1040" s="113"/>
      <c r="AI1040" s="113"/>
      <c r="AJ1040" s="113"/>
      <c r="AK1040" s="113"/>
      <c r="AL1040" s="113"/>
      <c r="AM1040" s="113"/>
      <c r="AN1040" s="113"/>
      <c r="AO1040" s="114"/>
      <c r="AP1040" s="114"/>
      <c r="AQ1040" s="148"/>
      <c r="AR1040" s="148"/>
      <c r="AS1040" s="148"/>
      <c r="AT1040" s="148"/>
      <c r="AU1040" s="148"/>
      <c r="AV1040" s="148"/>
      <c r="AW1040" s="148"/>
      <c r="AX1040" s="148"/>
      <c r="AY1040" s="148"/>
      <c r="AZ1040" s="148"/>
      <c r="BA1040" s="148"/>
      <c r="BB1040" s="148"/>
      <c r="BC1040" s="148"/>
      <c r="BD1040" s="212" t="s">
        <v>551</v>
      </c>
      <c r="BE1040" s="212" t="str">
        <f>BC56</f>
        <v>1.8V</v>
      </c>
    </row>
    <row r="1041" spans="1:57" s="25" customFormat="1" ht="15" hidden="1">
      <c r="A1041" s="280"/>
      <c r="C1041" s="24"/>
      <c r="D1041" s="24"/>
      <c r="E1041" s="24"/>
      <c r="F1041" s="24"/>
      <c r="G1041" s="78"/>
      <c r="H1041" s="78"/>
      <c r="I1041" s="78"/>
      <c r="J1041" s="78"/>
      <c r="K1041" s="78"/>
      <c r="L1041" s="24"/>
      <c r="M1041" s="24"/>
      <c r="N1041" s="24"/>
      <c r="O1041" s="24"/>
      <c r="P1041" s="24"/>
      <c r="Q1041" s="24"/>
      <c r="R1041" s="24"/>
      <c r="S1041" s="24"/>
      <c r="T1041" s="24"/>
      <c r="U1041" s="24"/>
      <c r="V1041" s="24"/>
      <c r="W1041" s="24"/>
      <c r="X1041" s="130"/>
      <c r="Y1041" s="130"/>
      <c r="Z1041" s="113"/>
      <c r="AA1041" s="113"/>
      <c r="AB1041" s="113"/>
      <c r="AC1041" s="113"/>
      <c r="AD1041" s="113"/>
      <c r="AE1041" s="113"/>
      <c r="AF1041" s="113"/>
      <c r="AG1041" s="113"/>
      <c r="AH1041" s="113"/>
      <c r="AI1041" s="113"/>
      <c r="AJ1041" s="113"/>
      <c r="AK1041" s="113"/>
      <c r="AL1041" s="113"/>
      <c r="AM1041" s="113"/>
      <c r="AN1041" s="113"/>
      <c r="AO1041" s="114"/>
      <c r="AP1041" s="114"/>
      <c r="AQ1041" s="148"/>
      <c r="AR1041" s="148"/>
      <c r="AS1041" s="148"/>
      <c r="AT1041" s="148"/>
      <c r="AU1041" s="148"/>
      <c r="AV1041" s="148"/>
      <c r="AW1041" s="148"/>
      <c r="AX1041" s="148"/>
      <c r="AY1041" s="148"/>
      <c r="AZ1041" s="148"/>
      <c r="BA1041" s="148"/>
      <c r="BB1041" s="148"/>
      <c r="BC1041" s="148"/>
      <c r="BD1041" s="212" t="s">
        <v>282</v>
      </c>
      <c r="BE1041" s="212" t="str">
        <f>BC103</f>
        <v>1.8V</v>
      </c>
    </row>
    <row r="1042" spans="1:57" s="25" customFormat="1" ht="15" hidden="1">
      <c r="A1042" s="280"/>
      <c r="C1042" s="24"/>
      <c r="D1042" s="24"/>
      <c r="E1042" s="24"/>
      <c r="F1042" s="24"/>
      <c r="G1042" s="78"/>
      <c r="H1042" s="78"/>
      <c r="I1042" s="78"/>
      <c r="J1042" s="78"/>
      <c r="K1042" s="78"/>
      <c r="L1042" s="24"/>
      <c r="M1042" s="24"/>
      <c r="N1042" s="24"/>
      <c r="O1042" s="24"/>
      <c r="P1042" s="24"/>
      <c r="Q1042" s="24"/>
      <c r="R1042" s="24"/>
      <c r="S1042" s="24"/>
      <c r="T1042" s="24"/>
      <c r="U1042" s="24"/>
      <c r="V1042" s="24"/>
      <c r="W1042" s="24"/>
      <c r="X1042" s="130"/>
      <c r="Y1042" s="130"/>
      <c r="Z1042" s="113"/>
      <c r="AA1042" s="113"/>
      <c r="AB1042" s="113"/>
      <c r="AC1042" s="113"/>
      <c r="AD1042" s="113"/>
      <c r="AE1042" s="113"/>
      <c r="AF1042" s="113"/>
      <c r="AG1042" s="113"/>
      <c r="AH1042" s="113"/>
      <c r="AI1042" s="113"/>
      <c r="AJ1042" s="113"/>
      <c r="AK1042" s="113"/>
      <c r="AL1042" s="113"/>
      <c r="AM1042" s="113"/>
      <c r="AN1042" s="113"/>
      <c r="AO1042" s="114"/>
      <c r="AP1042" s="114"/>
      <c r="AQ1042" s="148"/>
      <c r="AR1042" s="148"/>
      <c r="AS1042" s="148"/>
      <c r="AT1042" s="148"/>
      <c r="AU1042" s="148"/>
      <c r="AV1042" s="148"/>
      <c r="AW1042" s="148"/>
      <c r="AX1042" s="148"/>
      <c r="AY1042" s="148"/>
      <c r="AZ1042" s="148"/>
      <c r="BA1042" s="148"/>
      <c r="BB1042" s="148"/>
      <c r="BC1042" s="148"/>
      <c r="BD1042" s="212" t="s">
        <v>731</v>
      </c>
      <c r="BE1042" s="212" t="str">
        <f>BC151</f>
        <v>3.3V</v>
      </c>
    </row>
    <row r="1043" spans="1:57" s="25" customFormat="1" ht="15" hidden="1">
      <c r="A1043" s="280"/>
      <c r="C1043" s="24"/>
      <c r="D1043" s="346"/>
      <c r="E1043" s="346"/>
      <c r="F1043" s="346"/>
      <c r="G1043" s="346"/>
      <c r="H1043" s="346"/>
      <c r="I1043" s="346"/>
      <c r="J1043" s="346"/>
      <c r="K1043" s="346"/>
      <c r="L1043" s="307"/>
      <c r="M1043" s="307"/>
      <c r="N1043" s="307"/>
      <c r="O1043" s="307"/>
      <c r="P1043" s="307"/>
      <c r="Q1043" s="307"/>
      <c r="R1043" s="307"/>
      <c r="S1043" s="307"/>
      <c r="T1043" s="307"/>
      <c r="U1043" s="307"/>
      <c r="V1043" s="307"/>
      <c r="W1043" s="24"/>
      <c r="X1043" s="130"/>
      <c r="Y1043" s="130"/>
      <c r="Z1043" s="113"/>
      <c r="AA1043" s="113"/>
      <c r="AB1043" s="113"/>
      <c r="AC1043" s="113"/>
      <c r="AD1043" s="113"/>
      <c r="AE1043" s="113"/>
      <c r="AF1043" s="113"/>
      <c r="AG1043" s="113"/>
      <c r="AH1043" s="113"/>
      <c r="AI1043" s="113"/>
      <c r="AJ1043" s="113"/>
      <c r="AK1043" s="113"/>
      <c r="AL1043" s="113"/>
      <c r="AM1043" s="113"/>
      <c r="AN1043" s="113"/>
      <c r="AO1043" s="114"/>
      <c r="AP1043" s="114"/>
      <c r="AQ1043" s="148"/>
      <c r="AR1043" s="148"/>
      <c r="AS1043" s="148"/>
      <c r="AT1043" s="148"/>
      <c r="AU1043" s="148"/>
      <c r="AV1043" s="148"/>
      <c r="AW1043" s="148"/>
      <c r="AX1043" s="148"/>
      <c r="AY1043" s="148"/>
      <c r="AZ1043" s="148"/>
      <c r="BA1043" s="148"/>
      <c r="BB1043" s="148"/>
      <c r="BC1043" s="148"/>
      <c r="BD1043" s="212" t="s">
        <v>292</v>
      </c>
      <c r="BE1043" s="212" t="str">
        <f>BC199</f>
        <v>OFF</v>
      </c>
    </row>
    <row r="1044" spans="1:57" s="25" customFormat="1" hidden="1">
      <c r="A1044" s="281"/>
      <c r="G1044" s="120"/>
      <c r="H1044" s="120"/>
      <c r="I1044" s="120"/>
      <c r="J1044" s="120"/>
      <c r="K1044" s="120"/>
      <c r="X1044" s="130"/>
      <c r="Y1044" s="130"/>
      <c r="Z1044" s="121"/>
      <c r="AA1044" s="121"/>
      <c r="AB1044" s="121"/>
      <c r="AC1044" s="121"/>
      <c r="AD1044" s="121"/>
      <c r="AE1044" s="121"/>
      <c r="AF1044" s="121"/>
      <c r="AG1044" s="121"/>
      <c r="AH1044" s="121"/>
      <c r="AI1044" s="121"/>
      <c r="AJ1044" s="121"/>
      <c r="AK1044" s="121"/>
      <c r="AL1044" s="121"/>
      <c r="AM1044" s="121"/>
      <c r="AN1044" s="121"/>
      <c r="AQ1044" s="130"/>
      <c r="AR1044" s="130"/>
      <c r="AS1044" s="130"/>
      <c r="AT1044" s="130"/>
      <c r="AU1044" s="130"/>
      <c r="AV1044" s="130"/>
      <c r="AW1044" s="130"/>
      <c r="AX1044" s="130"/>
      <c r="AY1044" s="130"/>
      <c r="AZ1044" s="130"/>
      <c r="BA1044" s="130"/>
      <c r="BB1044" s="130"/>
      <c r="BC1044" s="130"/>
      <c r="BD1044" s="213" t="s">
        <v>766</v>
      </c>
      <c r="BE1044" s="213" t="str">
        <f>BC211</f>
        <v>OFF</v>
      </c>
    </row>
    <row r="1045" spans="1:57" s="25" customFormat="1" hidden="1">
      <c r="A1045" s="130"/>
      <c r="G1045" s="120"/>
      <c r="H1045" s="120"/>
      <c r="I1045" s="120"/>
      <c r="J1045" s="120"/>
      <c r="K1045" s="120"/>
      <c r="X1045" s="130"/>
      <c r="Y1045" s="130"/>
      <c r="Z1045" s="121"/>
      <c r="AA1045" s="121"/>
      <c r="AB1045" s="121"/>
      <c r="AC1045" s="121"/>
      <c r="AD1045" s="121"/>
      <c r="AE1045" s="121"/>
      <c r="AF1045" s="121"/>
      <c r="AG1045" s="121"/>
      <c r="AH1045" s="121"/>
      <c r="AI1045" s="121"/>
      <c r="AJ1045" s="121"/>
      <c r="AK1045" s="121"/>
      <c r="AL1045" s="121"/>
      <c r="AM1045" s="121"/>
      <c r="AN1045" s="121"/>
      <c r="AO1045" s="121"/>
      <c r="AP1045" s="121"/>
      <c r="AS1045" s="27"/>
      <c r="AT1045" s="27"/>
      <c r="AU1045" s="27"/>
      <c r="AV1045" s="27"/>
      <c r="AW1045" s="27"/>
      <c r="AX1045" s="27"/>
      <c r="AY1045" s="27"/>
      <c r="AZ1045" s="27"/>
      <c r="BA1045" s="27"/>
      <c r="BB1045" s="27"/>
      <c r="BC1045" s="133"/>
      <c r="BD1045" s="27"/>
      <c r="BE1045" s="130"/>
    </row>
    <row r="1046" spans="1:57" s="25" customFormat="1" hidden="1">
      <c r="A1046" s="130"/>
      <c r="G1046" s="120"/>
      <c r="H1046" s="120"/>
      <c r="I1046" s="120"/>
      <c r="J1046" s="120"/>
      <c r="K1046" s="120"/>
      <c r="X1046" s="130"/>
      <c r="Y1046" s="130"/>
      <c r="Z1046" s="121"/>
      <c r="AA1046" s="121"/>
      <c r="AB1046" s="121"/>
      <c r="AC1046" s="121"/>
      <c r="AD1046" s="121"/>
      <c r="AE1046" s="121"/>
      <c r="AF1046" s="121"/>
      <c r="AG1046" s="121"/>
      <c r="AH1046" s="121"/>
      <c r="AI1046" s="121"/>
      <c r="AJ1046" s="121"/>
      <c r="AK1046" s="121"/>
      <c r="AL1046" s="121"/>
      <c r="AM1046" s="121"/>
      <c r="AN1046" s="121"/>
      <c r="AO1046" s="121"/>
      <c r="AP1046" s="121"/>
      <c r="AS1046" s="27"/>
      <c r="AT1046" s="27"/>
      <c r="AU1046" s="27"/>
      <c r="AV1046" s="27"/>
      <c r="AW1046" s="27"/>
      <c r="AX1046" s="27"/>
      <c r="AY1046" s="27"/>
      <c r="AZ1046" s="27"/>
      <c r="BA1046" s="27"/>
      <c r="BB1046" s="27"/>
      <c r="BC1046" s="133"/>
      <c r="BD1046" s="27"/>
      <c r="BE1046" s="130"/>
    </row>
    <row r="1047" spans="1:57" s="25" customFormat="1" hidden="1">
      <c r="A1047" s="130"/>
      <c r="G1047" s="120"/>
      <c r="H1047" s="120"/>
      <c r="I1047" s="120"/>
      <c r="J1047" s="120"/>
      <c r="K1047" s="120"/>
      <c r="X1047" s="130"/>
      <c r="Y1047" s="130"/>
      <c r="Z1047" s="121"/>
      <c r="AA1047" s="121"/>
      <c r="AB1047" s="121"/>
      <c r="AC1047" s="121"/>
      <c r="AD1047" s="121"/>
      <c r="AE1047" s="121"/>
      <c r="AF1047" s="121"/>
      <c r="AG1047" s="121"/>
      <c r="AH1047" s="121"/>
      <c r="AI1047" s="121"/>
      <c r="AJ1047" s="121"/>
      <c r="AK1047" s="121"/>
      <c r="AL1047" s="121"/>
      <c r="AM1047" s="121"/>
      <c r="AN1047" s="121"/>
      <c r="AO1047" s="121"/>
      <c r="AP1047" s="121"/>
      <c r="AS1047" s="27"/>
      <c r="AT1047" s="27"/>
      <c r="AU1047" s="27"/>
      <c r="AV1047" s="27"/>
      <c r="AW1047" s="27"/>
      <c r="AX1047" s="27"/>
      <c r="AY1047" s="27"/>
      <c r="AZ1047" s="27"/>
      <c r="BA1047" s="27"/>
      <c r="BB1047" s="27"/>
      <c r="BC1047" s="133"/>
      <c r="BD1047" s="27"/>
      <c r="BE1047" s="130"/>
    </row>
    <row r="1048" spans="1:57" s="25" customFormat="1">
      <c r="A1048" s="130"/>
      <c r="G1048" s="120"/>
      <c r="H1048" s="120"/>
      <c r="I1048" s="120"/>
      <c r="J1048" s="120"/>
      <c r="K1048" s="120"/>
      <c r="X1048" s="130"/>
      <c r="Y1048" s="130"/>
      <c r="Z1048" s="121"/>
      <c r="AA1048" s="121"/>
      <c r="AB1048" s="121"/>
      <c r="AC1048" s="121"/>
      <c r="AD1048" s="121"/>
      <c r="AE1048" s="121"/>
      <c r="AF1048" s="121"/>
      <c r="AG1048" s="121"/>
      <c r="AH1048" s="121"/>
      <c r="AI1048" s="121"/>
      <c r="AJ1048" s="121"/>
      <c r="AK1048" s="121"/>
      <c r="AL1048" s="121"/>
      <c r="AM1048" s="121"/>
      <c r="AN1048" s="121"/>
      <c r="AO1048" s="121"/>
      <c r="AP1048" s="121"/>
      <c r="AS1048" s="27"/>
      <c r="AT1048" s="27"/>
      <c r="AU1048" s="27"/>
      <c r="AV1048" s="27"/>
      <c r="AW1048" s="27"/>
      <c r="AX1048" s="27"/>
      <c r="AY1048" s="27"/>
      <c r="AZ1048" s="27"/>
      <c r="BA1048" s="27"/>
      <c r="BB1048" s="27"/>
      <c r="BC1048" s="133"/>
      <c r="BD1048" s="27"/>
      <c r="BE1048" s="130"/>
    </row>
    <row r="1049" spans="1:57" s="25" customFormat="1">
      <c r="A1049" s="130"/>
      <c r="G1049" s="120"/>
      <c r="H1049" s="120"/>
      <c r="I1049" s="120"/>
      <c r="J1049" s="120"/>
      <c r="K1049" s="120"/>
      <c r="X1049" s="130"/>
      <c r="Y1049" s="130"/>
      <c r="Z1049" s="121"/>
      <c r="AA1049" s="121"/>
      <c r="AB1049" s="121"/>
      <c r="AC1049" s="121"/>
      <c r="AD1049" s="121"/>
      <c r="AE1049" s="121"/>
      <c r="AF1049" s="121"/>
      <c r="AG1049" s="121"/>
      <c r="AH1049" s="121"/>
      <c r="AI1049" s="121"/>
      <c r="AJ1049" s="121"/>
      <c r="AK1049" s="121"/>
      <c r="AL1049" s="121"/>
      <c r="AM1049" s="121"/>
      <c r="AN1049" s="121"/>
      <c r="AO1049" s="121"/>
      <c r="AP1049" s="121"/>
      <c r="AS1049" s="27"/>
      <c r="AT1049" s="27"/>
      <c r="AU1049" s="27"/>
      <c r="AV1049" s="27"/>
      <c r="AW1049" s="27"/>
      <c r="AX1049" s="27"/>
      <c r="AY1049" s="27"/>
      <c r="AZ1049" s="27"/>
      <c r="BA1049" s="27"/>
      <c r="BB1049" s="27"/>
      <c r="BC1049" s="133"/>
      <c r="BD1049" s="27"/>
      <c r="BE1049" s="130"/>
    </row>
    <row r="1050" spans="1:57" s="25" customFormat="1">
      <c r="A1050" s="130"/>
      <c r="G1050" s="120"/>
      <c r="H1050" s="120"/>
      <c r="I1050" s="120"/>
      <c r="J1050" s="120"/>
      <c r="K1050" s="120"/>
      <c r="X1050" s="130"/>
      <c r="Y1050" s="130"/>
      <c r="Z1050" s="121"/>
      <c r="AA1050" s="121"/>
      <c r="AB1050" s="121"/>
      <c r="AC1050" s="121"/>
      <c r="AD1050" s="121"/>
      <c r="AE1050" s="121"/>
      <c r="AF1050" s="121"/>
      <c r="AG1050" s="121"/>
      <c r="AH1050" s="121"/>
      <c r="AI1050" s="121"/>
      <c r="AJ1050" s="121"/>
      <c r="AK1050" s="121"/>
      <c r="AL1050" s="121"/>
      <c r="AM1050" s="121"/>
      <c r="AN1050" s="121"/>
      <c r="AO1050" s="121"/>
      <c r="AP1050" s="121"/>
      <c r="AS1050" s="27"/>
      <c r="AT1050" s="27"/>
      <c r="AU1050" s="27"/>
      <c r="AV1050" s="27"/>
      <c r="AW1050" s="27"/>
      <c r="AX1050" s="27"/>
      <c r="AY1050" s="27"/>
      <c r="AZ1050" s="27"/>
      <c r="BA1050" s="27"/>
      <c r="BB1050" s="27"/>
      <c r="BC1050" s="133"/>
      <c r="BD1050" s="27"/>
      <c r="BE1050" s="130"/>
    </row>
    <row r="1051" spans="1:57" s="25" customFormat="1">
      <c r="A1051" s="130"/>
      <c r="G1051" s="120"/>
      <c r="H1051" s="120"/>
      <c r="I1051" s="120"/>
      <c r="J1051" s="120"/>
      <c r="K1051" s="120"/>
      <c r="X1051" s="130"/>
      <c r="Y1051" s="130"/>
      <c r="Z1051" s="121"/>
      <c r="AA1051" s="121"/>
      <c r="AB1051" s="121"/>
      <c r="AC1051" s="121"/>
      <c r="AD1051" s="121"/>
      <c r="AE1051" s="121"/>
      <c r="AF1051" s="121"/>
      <c r="AG1051" s="121"/>
      <c r="AH1051" s="121"/>
      <c r="AI1051" s="121"/>
      <c r="AJ1051" s="121"/>
      <c r="AK1051" s="121"/>
      <c r="AL1051" s="121"/>
      <c r="AM1051" s="121"/>
      <c r="AN1051" s="121"/>
      <c r="AO1051" s="121"/>
      <c r="AP1051" s="121"/>
      <c r="AS1051" s="27"/>
      <c r="AT1051" s="27"/>
      <c r="AU1051" s="27"/>
      <c r="AV1051" s="27"/>
      <c r="AW1051" s="27"/>
      <c r="AX1051" s="27"/>
      <c r="AY1051" s="27"/>
      <c r="AZ1051" s="27"/>
      <c r="BA1051" s="27"/>
      <c r="BB1051" s="27"/>
      <c r="BC1051" s="133"/>
      <c r="BD1051" s="27"/>
      <c r="BE1051" s="130"/>
    </row>
    <row r="1052" spans="1:57" s="25" customFormat="1">
      <c r="A1052" s="130"/>
      <c r="G1052" s="120"/>
      <c r="H1052" s="120"/>
      <c r="I1052" s="120"/>
      <c r="J1052" s="120"/>
      <c r="K1052" s="120"/>
      <c r="X1052" s="130"/>
      <c r="Y1052" s="130"/>
      <c r="Z1052" s="121"/>
      <c r="AA1052" s="121"/>
      <c r="AB1052" s="121"/>
      <c r="AC1052" s="121"/>
      <c r="AD1052" s="121"/>
      <c r="AE1052" s="121"/>
      <c r="AF1052" s="121"/>
      <c r="AG1052" s="121"/>
      <c r="AH1052" s="121"/>
      <c r="AI1052" s="121"/>
      <c r="AJ1052" s="121"/>
      <c r="AK1052" s="121"/>
      <c r="AL1052" s="121"/>
      <c r="AM1052" s="121"/>
      <c r="AN1052" s="121"/>
      <c r="AO1052" s="121"/>
      <c r="AP1052" s="121"/>
      <c r="AS1052" s="27"/>
      <c r="AT1052" s="27"/>
      <c r="AU1052" s="27"/>
      <c r="AV1052" s="27"/>
      <c r="AW1052" s="27"/>
      <c r="AX1052" s="27"/>
      <c r="AY1052" s="27"/>
      <c r="AZ1052" s="27"/>
      <c r="BA1052" s="27"/>
      <c r="BB1052" s="27"/>
      <c r="BC1052" s="133"/>
      <c r="BD1052" s="27"/>
      <c r="BE1052" s="130"/>
    </row>
    <row r="1053" spans="1:57" s="25" customFormat="1">
      <c r="A1053" s="130"/>
      <c r="G1053" s="120"/>
      <c r="H1053" s="120"/>
      <c r="I1053" s="120"/>
      <c r="J1053" s="120"/>
      <c r="K1053" s="120"/>
      <c r="X1053" s="130"/>
      <c r="Y1053" s="130"/>
      <c r="Z1053" s="121"/>
      <c r="AA1053" s="121"/>
      <c r="AB1053" s="121"/>
      <c r="AC1053" s="121"/>
      <c r="AD1053" s="121"/>
      <c r="AE1053" s="121"/>
      <c r="AF1053" s="121"/>
      <c r="AG1053" s="121"/>
      <c r="AH1053" s="121"/>
      <c r="AI1053" s="121"/>
      <c r="AJ1053" s="121"/>
      <c r="AK1053" s="121"/>
      <c r="AL1053" s="121"/>
      <c r="AM1053" s="121"/>
      <c r="AN1053" s="121"/>
      <c r="AO1053" s="121"/>
      <c r="AP1053" s="121"/>
      <c r="AS1053" s="27"/>
      <c r="AT1053" s="27"/>
      <c r="AU1053" s="27"/>
      <c r="AV1053" s="27"/>
      <c r="AW1053" s="27"/>
      <c r="AX1053" s="27"/>
      <c r="AY1053" s="27"/>
      <c r="AZ1053" s="27"/>
      <c r="BA1053" s="27"/>
      <c r="BB1053" s="27"/>
      <c r="BC1053" s="133"/>
      <c r="BD1053" s="27"/>
      <c r="BE1053" s="130"/>
    </row>
    <row r="1054" spans="1:57" s="25" customFormat="1">
      <c r="A1054" s="130"/>
      <c r="G1054" s="120"/>
      <c r="H1054" s="120"/>
      <c r="I1054" s="120"/>
      <c r="J1054" s="120"/>
      <c r="K1054" s="120"/>
      <c r="X1054" s="130"/>
      <c r="Y1054" s="130"/>
      <c r="Z1054" s="121"/>
      <c r="AA1054" s="121"/>
      <c r="AB1054" s="121"/>
      <c r="AC1054" s="121"/>
      <c r="AD1054" s="121"/>
      <c r="AE1054" s="121"/>
      <c r="AF1054" s="121"/>
      <c r="AG1054" s="121"/>
      <c r="AH1054" s="121"/>
      <c r="AI1054" s="121"/>
      <c r="AJ1054" s="121"/>
      <c r="AK1054" s="121"/>
      <c r="AL1054" s="121"/>
      <c r="AM1054" s="121"/>
      <c r="AN1054" s="121"/>
      <c r="AO1054" s="121"/>
      <c r="AP1054" s="121"/>
      <c r="AS1054" s="27"/>
      <c r="AT1054" s="27"/>
      <c r="AU1054" s="27"/>
      <c r="AV1054" s="27"/>
      <c r="AW1054" s="27"/>
      <c r="AX1054" s="27"/>
      <c r="AY1054" s="27"/>
      <c r="AZ1054" s="27"/>
      <c r="BA1054" s="27"/>
      <c r="BB1054" s="27"/>
      <c r="BC1054" s="133"/>
      <c r="BD1054" s="27"/>
      <c r="BE1054" s="130"/>
    </row>
    <row r="1055" spans="1:57" s="25" customFormat="1">
      <c r="A1055" s="130"/>
      <c r="G1055" s="120"/>
      <c r="H1055" s="120"/>
      <c r="I1055" s="120"/>
      <c r="J1055" s="120"/>
      <c r="K1055" s="120"/>
      <c r="X1055" s="130"/>
      <c r="Y1055" s="130"/>
      <c r="Z1055" s="121"/>
      <c r="AA1055" s="121"/>
      <c r="AB1055" s="121"/>
      <c r="AC1055" s="121"/>
      <c r="AD1055" s="121"/>
      <c r="AE1055" s="121"/>
      <c r="AF1055" s="121"/>
      <c r="AG1055" s="121"/>
      <c r="AH1055" s="121"/>
      <c r="AI1055" s="121"/>
      <c r="AJ1055" s="121"/>
      <c r="AK1055" s="121"/>
      <c r="AL1055" s="121"/>
      <c r="AM1055" s="121"/>
      <c r="AN1055" s="121"/>
      <c r="AO1055" s="121"/>
      <c r="AP1055" s="121"/>
      <c r="AS1055" s="27"/>
      <c r="AT1055" s="27"/>
      <c r="AU1055" s="27"/>
      <c r="AV1055" s="27"/>
      <c r="AW1055" s="27"/>
      <c r="AX1055" s="27"/>
      <c r="AY1055" s="27"/>
      <c r="AZ1055" s="27"/>
      <c r="BA1055" s="27"/>
      <c r="BB1055" s="27"/>
      <c r="BC1055" s="133"/>
      <c r="BD1055" s="27"/>
      <c r="BE1055" s="130"/>
    </row>
    <row r="1056" spans="1:57" s="25" customFormat="1">
      <c r="A1056" s="130"/>
      <c r="G1056" s="120"/>
      <c r="H1056" s="120"/>
      <c r="I1056" s="120"/>
      <c r="J1056" s="120"/>
      <c r="K1056" s="120"/>
      <c r="X1056" s="130"/>
      <c r="Y1056" s="130"/>
      <c r="Z1056" s="121"/>
      <c r="AA1056" s="121"/>
      <c r="AB1056" s="121"/>
      <c r="AC1056" s="121"/>
      <c r="AD1056" s="121"/>
      <c r="AE1056" s="121"/>
      <c r="AF1056" s="121"/>
      <c r="AG1056" s="121"/>
      <c r="AH1056" s="121"/>
      <c r="AI1056" s="121"/>
      <c r="AJ1056" s="121"/>
      <c r="AK1056" s="121"/>
      <c r="AL1056" s="121"/>
      <c r="AM1056" s="121"/>
      <c r="AN1056" s="121"/>
      <c r="AO1056" s="121"/>
      <c r="AP1056" s="121"/>
      <c r="AS1056" s="27"/>
      <c r="AT1056" s="27"/>
      <c r="AU1056" s="27"/>
      <c r="AV1056" s="27"/>
      <c r="AW1056" s="27"/>
      <c r="AX1056" s="27"/>
      <c r="AY1056" s="27"/>
      <c r="AZ1056" s="27"/>
      <c r="BA1056" s="27"/>
      <c r="BB1056" s="27"/>
      <c r="BC1056" s="133"/>
      <c r="BD1056" s="27"/>
      <c r="BE1056" s="130"/>
    </row>
    <row r="1057" spans="1:57" s="25" customFormat="1">
      <c r="A1057" s="130"/>
      <c r="G1057" s="120"/>
      <c r="H1057" s="120"/>
      <c r="I1057" s="120"/>
      <c r="J1057" s="120"/>
      <c r="K1057" s="120"/>
      <c r="X1057" s="130"/>
      <c r="Y1057" s="130"/>
      <c r="Z1057" s="121"/>
      <c r="AA1057" s="121"/>
      <c r="AB1057" s="121"/>
      <c r="AC1057" s="121"/>
      <c r="AD1057" s="121"/>
      <c r="AE1057" s="121"/>
      <c r="AF1057" s="121"/>
      <c r="AG1057" s="121"/>
      <c r="AH1057" s="121"/>
      <c r="AI1057" s="121"/>
      <c r="AJ1057" s="121"/>
      <c r="AK1057" s="121"/>
      <c r="AL1057" s="121"/>
      <c r="AM1057" s="121"/>
      <c r="AN1057" s="121"/>
      <c r="AO1057" s="121"/>
      <c r="AP1057" s="121"/>
      <c r="AS1057" s="27"/>
      <c r="AT1057" s="27"/>
      <c r="AU1057" s="27"/>
      <c r="AV1057" s="27"/>
      <c r="AW1057" s="27"/>
      <c r="AX1057" s="27"/>
      <c r="AY1057" s="27"/>
      <c r="AZ1057" s="27"/>
      <c r="BA1057" s="27"/>
      <c r="BB1057" s="27"/>
      <c r="BC1057" s="133"/>
      <c r="BD1057" s="27"/>
      <c r="BE1057" s="130"/>
    </row>
    <row r="1058" spans="1:57" s="25" customFormat="1">
      <c r="A1058" s="130"/>
      <c r="G1058" s="120"/>
      <c r="H1058" s="120"/>
      <c r="I1058" s="120"/>
      <c r="J1058" s="120"/>
      <c r="K1058" s="120"/>
      <c r="X1058" s="130"/>
      <c r="Y1058" s="130"/>
      <c r="Z1058" s="121"/>
      <c r="AA1058" s="121"/>
      <c r="AB1058" s="121"/>
      <c r="AC1058" s="121"/>
      <c r="AD1058" s="121"/>
      <c r="AE1058" s="121"/>
      <c r="AF1058" s="121"/>
      <c r="AG1058" s="121"/>
      <c r="AH1058" s="121"/>
      <c r="AI1058" s="121"/>
      <c r="AJ1058" s="121"/>
      <c r="AK1058" s="121"/>
      <c r="AL1058" s="121"/>
      <c r="AM1058" s="121"/>
      <c r="AN1058" s="121"/>
      <c r="AO1058" s="121"/>
      <c r="AP1058" s="121"/>
      <c r="AS1058" s="27"/>
      <c r="AT1058" s="27"/>
      <c r="AU1058" s="27"/>
      <c r="AV1058" s="27"/>
      <c r="AW1058" s="27"/>
      <c r="AX1058" s="27"/>
      <c r="AY1058" s="27"/>
      <c r="AZ1058" s="27"/>
      <c r="BA1058" s="27"/>
      <c r="BB1058" s="27"/>
      <c r="BC1058" s="133"/>
      <c r="BD1058" s="27"/>
      <c r="BE1058" s="130"/>
    </row>
    <row r="1059" spans="1:57" s="25" customFormat="1">
      <c r="A1059" s="130"/>
      <c r="G1059" s="120"/>
      <c r="H1059" s="120"/>
      <c r="I1059" s="120"/>
      <c r="J1059" s="120"/>
      <c r="K1059" s="120"/>
      <c r="X1059" s="130"/>
      <c r="Y1059" s="130"/>
      <c r="Z1059" s="121"/>
      <c r="AA1059" s="121"/>
      <c r="AB1059" s="121"/>
      <c r="AC1059" s="121"/>
      <c r="AD1059" s="121"/>
      <c r="AE1059" s="121"/>
      <c r="AF1059" s="121"/>
      <c r="AG1059" s="121"/>
      <c r="AH1059" s="121"/>
      <c r="AI1059" s="121"/>
      <c r="AJ1059" s="121"/>
      <c r="AK1059" s="121"/>
      <c r="AL1059" s="121"/>
      <c r="AM1059" s="121"/>
      <c r="AN1059" s="121"/>
      <c r="AO1059" s="121"/>
      <c r="AP1059" s="121"/>
      <c r="AS1059" s="27"/>
      <c r="AT1059" s="27"/>
      <c r="AU1059" s="27"/>
      <c r="AV1059" s="27"/>
      <c r="AW1059" s="27"/>
      <c r="AX1059" s="27"/>
      <c r="AY1059" s="27"/>
      <c r="AZ1059" s="27"/>
      <c r="BA1059" s="27"/>
      <c r="BB1059" s="27"/>
      <c r="BC1059" s="133"/>
      <c r="BD1059" s="27"/>
      <c r="BE1059" s="130"/>
    </row>
    <row r="1060" spans="1:57" s="25" customFormat="1">
      <c r="A1060" s="130"/>
      <c r="G1060" s="120"/>
      <c r="H1060" s="120"/>
      <c r="I1060" s="120"/>
      <c r="J1060" s="120"/>
      <c r="K1060" s="120"/>
      <c r="X1060" s="130"/>
      <c r="Y1060" s="130"/>
      <c r="Z1060" s="121"/>
      <c r="AA1060" s="121"/>
      <c r="AB1060" s="121"/>
      <c r="AC1060" s="121"/>
      <c r="AD1060" s="121"/>
      <c r="AE1060" s="121"/>
      <c r="AF1060" s="121"/>
      <c r="AG1060" s="121"/>
      <c r="AH1060" s="121"/>
      <c r="AI1060" s="121"/>
      <c r="AJ1060" s="121"/>
      <c r="AK1060" s="121"/>
      <c r="AL1060" s="121"/>
      <c r="AM1060" s="121"/>
      <c r="AN1060" s="121"/>
      <c r="AO1060" s="121"/>
      <c r="AP1060" s="121"/>
      <c r="AS1060" s="27"/>
      <c r="AT1060" s="27"/>
      <c r="AU1060" s="27"/>
      <c r="AV1060" s="27"/>
      <c r="AW1060" s="27"/>
      <c r="AX1060" s="27"/>
      <c r="AY1060" s="27"/>
      <c r="AZ1060" s="27"/>
      <c r="BA1060" s="27"/>
      <c r="BB1060" s="27"/>
      <c r="BC1060" s="133"/>
      <c r="BD1060" s="27"/>
      <c r="BE1060" s="130"/>
    </row>
    <row r="1061" spans="1:57" s="25" customFormat="1">
      <c r="A1061" s="130"/>
      <c r="G1061" s="120"/>
      <c r="H1061" s="120"/>
      <c r="I1061" s="120"/>
      <c r="J1061" s="120"/>
      <c r="K1061" s="120"/>
      <c r="X1061" s="130"/>
      <c r="Y1061" s="130"/>
      <c r="Z1061" s="121"/>
      <c r="AA1061" s="121"/>
      <c r="AB1061" s="121"/>
      <c r="AC1061" s="121"/>
      <c r="AD1061" s="121"/>
      <c r="AE1061" s="121"/>
      <c r="AF1061" s="121"/>
      <c r="AG1061" s="121"/>
      <c r="AH1061" s="121"/>
      <c r="AI1061" s="121"/>
      <c r="AJ1061" s="121"/>
      <c r="AK1061" s="121"/>
      <c r="AL1061" s="121"/>
      <c r="AM1061" s="121"/>
      <c r="AN1061" s="121"/>
      <c r="AO1061" s="121"/>
      <c r="AP1061" s="121"/>
      <c r="AS1061" s="27"/>
      <c r="AT1061" s="27"/>
      <c r="AU1061" s="27"/>
      <c r="AV1061" s="27"/>
      <c r="AW1061" s="27"/>
      <c r="AX1061" s="27"/>
      <c r="AY1061" s="27"/>
      <c r="AZ1061" s="27"/>
      <c r="BA1061" s="27"/>
      <c r="BB1061" s="27"/>
      <c r="BC1061" s="133"/>
      <c r="BD1061" s="27"/>
      <c r="BE1061" s="130"/>
    </row>
    <row r="1062" spans="1:57" s="25" customFormat="1">
      <c r="A1062" s="130"/>
      <c r="G1062" s="120"/>
      <c r="H1062" s="120"/>
      <c r="I1062" s="120"/>
      <c r="J1062" s="120"/>
      <c r="K1062" s="120"/>
      <c r="X1062" s="130"/>
      <c r="Y1062" s="130"/>
      <c r="Z1062" s="121"/>
      <c r="AA1062" s="121"/>
      <c r="AB1062" s="121"/>
      <c r="AC1062" s="121"/>
      <c r="AD1062" s="121"/>
      <c r="AE1062" s="121"/>
      <c r="AF1062" s="121"/>
      <c r="AG1062" s="121"/>
      <c r="AH1062" s="121"/>
      <c r="AI1062" s="121"/>
      <c r="AJ1062" s="121"/>
      <c r="AK1062" s="121"/>
      <c r="AL1062" s="121"/>
      <c r="AM1062" s="121"/>
      <c r="AN1062" s="121"/>
      <c r="AO1062" s="121"/>
      <c r="AP1062" s="121"/>
      <c r="AS1062" s="27"/>
      <c r="AT1062" s="27"/>
      <c r="AU1062" s="27"/>
      <c r="AV1062" s="27"/>
      <c r="AW1062" s="27"/>
      <c r="AX1062" s="27"/>
      <c r="AY1062" s="27"/>
      <c r="AZ1062" s="27"/>
      <c r="BA1062" s="27"/>
      <c r="BB1062" s="27"/>
      <c r="BC1062" s="133"/>
      <c r="BD1062" s="27"/>
      <c r="BE1062" s="130"/>
    </row>
    <row r="1063" spans="1:57" s="25" customFormat="1">
      <c r="A1063" s="130"/>
      <c r="G1063" s="120"/>
      <c r="H1063" s="120"/>
      <c r="I1063" s="120"/>
      <c r="J1063" s="120"/>
      <c r="K1063" s="120"/>
      <c r="X1063" s="130"/>
      <c r="Y1063" s="130"/>
      <c r="Z1063" s="121"/>
      <c r="AA1063" s="121"/>
      <c r="AB1063" s="121"/>
      <c r="AC1063" s="121"/>
      <c r="AD1063" s="121"/>
      <c r="AE1063" s="121"/>
      <c r="AF1063" s="121"/>
      <c r="AG1063" s="121"/>
      <c r="AH1063" s="121"/>
      <c r="AI1063" s="121"/>
      <c r="AJ1063" s="121"/>
      <c r="AK1063" s="121"/>
      <c r="AL1063" s="121"/>
      <c r="AM1063" s="121"/>
      <c r="AN1063" s="121"/>
      <c r="AO1063" s="121"/>
      <c r="AP1063" s="121"/>
      <c r="AS1063" s="27"/>
      <c r="AT1063" s="27"/>
      <c r="AU1063" s="27"/>
      <c r="AV1063" s="27"/>
      <c r="AW1063" s="27"/>
      <c r="AX1063" s="27"/>
      <c r="AY1063" s="27"/>
      <c r="AZ1063" s="27"/>
      <c r="BA1063" s="27"/>
      <c r="BB1063" s="27"/>
      <c r="BC1063" s="133"/>
      <c r="BD1063" s="27"/>
      <c r="BE1063" s="130"/>
    </row>
    <row r="1064" spans="1:57" s="25" customFormat="1">
      <c r="A1064" s="130"/>
      <c r="G1064" s="120"/>
      <c r="H1064" s="120"/>
      <c r="I1064" s="120"/>
      <c r="J1064" s="120"/>
      <c r="K1064" s="120"/>
      <c r="X1064" s="130"/>
      <c r="Y1064" s="130"/>
      <c r="Z1064" s="121"/>
      <c r="AA1064" s="121"/>
      <c r="AB1064" s="121"/>
      <c r="AC1064" s="121"/>
      <c r="AD1064" s="121"/>
      <c r="AE1064" s="121"/>
      <c r="AF1064" s="121"/>
      <c r="AG1064" s="121"/>
      <c r="AH1064" s="121"/>
      <c r="AI1064" s="121"/>
      <c r="AJ1064" s="121"/>
      <c r="AK1064" s="121"/>
      <c r="AL1064" s="121"/>
      <c r="AM1064" s="121"/>
      <c r="AN1064" s="121"/>
      <c r="AO1064" s="121"/>
      <c r="AP1064" s="121"/>
      <c r="AS1064" s="27"/>
      <c r="AT1064" s="27"/>
      <c r="AU1064" s="27"/>
      <c r="AV1064" s="27"/>
      <c r="AW1064" s="27"/>
      <c r="AX1064" s="27"/>
      <c r="AY1064" s="27"/>
      <c r="AZ1064" s="27"/>
      <c r="BA1064" s="27"/>
      <c r="BB1064" s="27"/>
      <c r="BC1064" s="133"/>
      <c r="BD1064" s="27"/>
      <c r="BE1064" s="130"/>
    </row>
    <row r="1065" spans="1:57" s="25" customFormat="1">
      <c r="A1065" s="130"/>
      <c r="G1065" s="120"/>
      <c r="H1065" s="120"/>
      <c r="I1065" s="120"/>
      <c r="J1065" s="120"/>
      <c r="K1065" s="120"/>
      <c r="X1065" s="130"/>
      <c r="Y1065" s="130"/>
      <c r="Z1065" s="121"/>
      <c r="AA1065" s="121"/>
      <c r="AB1065" s="121"/>
      <c r="AC1065" s="121"/>
      <c r="AD1065" s="121"/>
      <c r="AE1065" s="121"/>
      <c r="AF1065" s="121"/>
      <c r="AG1065" s="121"/>
      <c r="AH1065" s="121"/>
      <c r="AI1065" s="121"/>
      <c r="AJ1065" s="121"/>
      <c r="AK1065" s="121"/>
      <c r="AL1065" s="121"/>
      <c r="AM1065" s="121"/>
      <c r="AN1065" s="121"/>
      <c r="AO1065" s="121"/>
      <c r="AP1065" s="121"/>
      <c r="AS1065" s="27"/>
      <c r="AT1065" s="27"/>
      <c r="AU1065" s="27"/>
      <c r="AV1065" s="27"/>
      <c r="AW1065" s="27"/>
      <c r="AX1065" s="27"/>
      <c r="AY1065" s="27"/>
      <c r="AZ1065" s="27"/>
      <c r="BA1065" s="27"/>
      <c r="BB1065" s="27"/>
      <c r="BC1065" s="133"/>
      <c r="BD1065" s="27"/>
      <c r="BE1065" s="130"/>
    </row>
    <row r="1066" spans="1:57" s="25" customFormat="1">
      <c r="A1066" s="130"/>
      <c r="G1066" s="120"/>
      <c r="H1066" s="120"/>
      <c r="I1066" s="120"/>
      <c r="J1066" s="120"/>
      <c r="K1066" s="120"/>
      <c r="X1066" s="130"/>
      <c r="Y1066" s="130"/>
      <c r="Z1066" s="121"/>
      <c r="AA1066" s="121"/>
      <c r="AB1066" s="121"/>
      <c r="AC1066" s="121"/>
      <c r="AD1066" s="121"/>
      <c r="AE1066" s="121"/>
      <c r="AF1066" s="121"/>
      <c r="AG1066" s="121"/>
      <c r="AH1066" s="121"/>
      <c r="AI1066" s="121"/>
      <c r="AJ1066" s="121"/>
      <c r="AK1066" s="121"/>
      <c r="AL1066" s="121"/>
      <c r="AM1066" s="121"/>
      <c r="AN1066" s="121"/>
      <c r="AO1066" s="121"/>
      <c r="AP1066" s="121"/>
      <c r="AS1066" s="27"/>
      <c r="AT1066" s="27"/>
      <c r="AU1066" s="27"/>
      <c r="AV1066" s="27"/>
      <c r="AW1066" s="27"/>
      <c r="AX1066" s="27"/>
      <c r="AY1066" s="27"/>
      <c r="AZ1066" s="27"/>
      <c r="BA1066" s="27"/>
      <c r="BB1066" s="27"/>
      <c r="BC1066" s="133"/>
      <c r="BD1066" s="27"/>
      <c r="BE1066" s="130"/>
    </row>
    <row r="1067" spans="1:57" s="25" customFormat="1">
      <c r="A1067" s="130"/>
      <c r="G1067" s="120"/>
      <c r="H1067" s="120"/>
      <c r="I1067" s="120"/>
      <c r="J1067" s="120"/>
      <c r="K1067" s="120"/>
      <c r="X1067" s="130"/>
      <c r="Y1067" s="130"/>
      <c r="Z1067" s="121"/>
      <c r="AA1067" s="121"/>
      <c r="AB1067" s="121"/>
      <c r="AC1067" s="121"/>
      <c r="AD1067" s="121"/>
      <c r="AE1067" s="121"/>
      <c r="AF1067" s="121"/>
      <c r="AG1067" s="121"/>
      <c r="AH1067" s="121"/>
      <c r="AI1067" s="121"/>
      <c r="AJ1067" s="121"/>
      <c r="AK1067" s="121"/>
      <c r="AL1067" s="121"/>
      <c r="AM1067" s="121"/>
      <c r="AN1067" s="121"/>
      <c r="AO1067" s="121"/>
      <c r="AP1067" s="121"/>
      <c r="AS1067" s="27"/>
      <c r="AT1067" s="27"/>
      <c r="AU1067" s="27"/>
      <c r="AV1067" s="27"/>
      <c r="AW1067" s="27"/>
      <c r="AX1067" s="27"/>
      <c r="AY1067" s="27"/>
      <c r="AZ1067" s="27"/>
      <c r="BA1067" s="27"/>
      <c r="BB1067" s="27"/>
      <c r="BC1067" s="133"/>
      <c r="BD1067" s="27"/>
      <c r="BE1067" s="130"/>
    </row>
    <row r="1068" spans="1:57" s="25" customFormat="1">
      <c r="A1068" s="130"/>
      <c r="G1068" s="120"/>
      <c r="H1068" s="120"/>
      <c r="I1068" s="120"/>
      <c r="J1068" s="120"/>
      <c r="K1068" s="120"/>
      <c r="X1068" s="130"/>
      <c r="Y1068" s="130"/>
      <c r="Z1068" s="121"/>
      <c r="AA1068" s="121"/>
      <c r="AB1068" s="121"/>
      <c r="AC1068" s="121"/>
      <c r="AD1068" s="121"/>
      <c r="AE1068" s="121"/>
      <c r="AF1068" s="121"/>
      <c r="AG1068" s="121"/>
      <c r="AH1068" s="121"/>
      <c r="AI1068" s="121"/>
      <c r="AJ1068" s="121"/>
      <c r="AK1068" s="121"/>
      <c r="AL1068" s="121"/>
      <c r="AM1068" s="121"/>
      <c r="AN1068" s="121"/>
      <c r="AO1068" s="121"/>
      <c r="AP1068" s="121"/>
      <c r="AS1068" s="27"/>
      <c r="AT1068" s="27"/>
      <c r="AU1068" s="27"/>
      <c r="AV1068" s="27"/>
      <c r="AW1068" s="27"/>
      <c r="AX1068" s="27"/>
      <c r="AY1068" s="27"/>
      <c r="AZ1068" s="27"/>
      <c r="BA1068" s="27"/>
      <c r="BB1068" s="27"/>
      <c r="BC1068" s="133"/>
      <c r="BD1068" s="27"/>
      <c r="BE1068" s="130"/>
    </row>
    <row r="1069" spans="1:57" s="25" customFormat="1">
      <c r="A1069" s="130"/>
      <c r="G1069" s="120"/>
      <c r="H1069" s="120"/>
      <c r="I1069" s="120"/>
      <c r="J1069" s="120"/>
      <c r="K1069" s="120"/>
      <c r="X1069" s="130"/>
      <c r="Y1069" s="130"/>
      <c r="Z1069" s="121"/>
      <c r="AA1069" s="121"/>
      <c r="AB1069" s="121"/>
      <c r="AC1069" s="121"/>
      <c r="AD1069" s="121"/>
      <c r="AE1069" s="121"/>
      <c r="AF1069" s="121"/>
      <c r="AG1069" s="121"/>
      <c r="AH1069" s="121"/>
      <c r="AI1069" s="121"/>
      <c r="AJ1069" s="121"/>
      <c r="AK1069" s="121"/>
      <c r="AL1069" s="121"/>
      <c r="AM1069" s="121"/>
      <c r="AN1069" s="121"/>
      <c r="AO1069" s="121"/>
      <c r="AP1069" s="121"/>
      <c r="AS1069" s="27"/>
      <c r="AT1069" s="27"/>
      <c r="AU1069" s="27"/>
      <c r="AV1069" s="27"/>
      <c r="AW1069" s="27"/>
      <c r="AX1069" s="27"/>
      <c r="AY1069" s="27"/>
      <c r="AZ1069" s="27"/>
      <c r="BA1069" s="27"/>
      <c r="BB1069" s="27"/>
      <c r="BC1069" s="133"/>
      <c r="BD1069" s="27"/>
      <c r="BE1069" s="130"/>
    </row>
    <row r="1070" spans="1:57" s="25" customFormat="1">
      <c r="A1070" s="130"/>
      <c r="G1070" s="120"/>
      <c r="H1070" s="120"/>
      <c r="I1070" s="120"/>
      <c r="J1070" s="120"/>
      <c r="K1070" s="120"/>
      <c r="X1070" s="130"/>
      <c r="Y1070" s="130"/>
      <c r="Z1070" s="121"/>
      <c r="AA1070" s="121"/>
      <c r="AB1070" s="121"/>
      <c r="AC1070" s="121"/>
      <c r="AD1070" s="121"/>
      <c r="AE1070" s="121"/>
      <c r="AF1070" s="121"/>
      <c r="AG1070" s="121"/>
      <c r="AH1070" s="121"/>
      <c r="AI1070" s="121"/>
      <c r="AJ1070" s="121"/>
      <c r="AK1070" s="121"/>
      <c r="AL1070" s="121"/>
      <c r="AM1070" s="121"/>
      <c r="AN1070" s="121"/>
      <c r="AO1070" s="121"/>
      <c r="AP1070" s="121"/>
      <c r="AS1070" s="27"/>
      <c r="AT1070" s="27"/>
      <c r="AU1070" s="27"/>
      <c r="AV1070" s="27"/>
      <c r="AW1070" s="27"/>
      <c r="AX1070" s="27"/>
      <c r="AY1070" s="27"/>
      <c r="AZ1070" s="27"/>
      <c r="BA1070" s="27"/>
      <c r="BB1070" s="27"/>
      <c r="BC1070" s="133"/>
      <c r="BD1070" s="27"/>
      <c r="BE1070" s="130"/>
    </row>
    <row r="1071" spans="1:57" s="25" customFormat="1">
      <c r="A1071" s="130"/>
      <c r="G1071" s="120"/>
      <c r="H1071" s="120"/>
      <c r="I1071" s="120"/>
      <c r="J1071" s="120"/>
      <c r="K1071" s="120"/>
      <c r="X1071" s="130"/>
      <c r="Y1071" s="130"/>
      <c r="Z1071" s="121"/>
      <c r="AA1071" s="121"/>
      <c r="AB1071" s="121"/>
      <c r="AC1071" s="121"/>
      <c r="AD1071" s="121"/>
      <c r="AE1071" s="121"/>
      <c r="AF1071" s="121"/>
      <c r="AG1071" s="121"/>
      <c r="AH1071" s="121"/>
      <c r="AI1071" s="121"/>
      <c r="AJ1071" s="121"/>
      <c r="AK1071" s="121"/>
      <c r="AL1071" s="121"/>
      <c r="AM1071" s="121"/>
      <c r="AN1071" s="121"/>
      <c r="AO1071" s="121"/>
      <c r="AP1071" s="121"/>
      <c r="AS1071" s="27"/>
      <c r="AT1071" s="27"/>
      <c r="AU1071" s="27"/>
      <c r="AV1071" s="27"/>
      <c r="AW1071" s="27"/>
      <c r="AX1071" s="27"/>
      <c r="AY1071" s="27"/>
      <c r="AZ1071" s="27"/>
      <c r="BA1071" s="27"/>
      <c r="BB1071" s="27"/>
      <c r="BC1071" s="133"/>
      <c r="BD1071" s="27"/>
      <c r="BE1071" s="130"/>
    </row>
    <row r="1072" spans="1:57" s="25" customFormat="1">
      <c r="A1072" s="130"/>
      <c r="G1072" s="120"/>
      <c r="H1072" s="120"/>
      <c r="I1072" s="120"/>
      <c r="J1072" s="120"/>
      <c r="K1072" s="120"/>
      <c r="X1072" s="130"/>
      <c r="Y1072" s="130"/>
      <c r="Z1072" s="121"/>
      <c r="AA1072" s="121"/>
      <c r="AB1072" s="121"/>
      <c r="AC1072" s="121"/>
      <c r="AD1072" s="121"/>
      <c r="AE1072" s="121"/>
      <c r="AF1072" s="121"/>
      <c r="AG1072" s="121"/>
      <c r="AH1072" s="121"/>
      <c r="AI1072" s="121"/>
      <c r="AJ1072" s="121"/>
      <c r="AK1072" s="121"/>
      <c r="AL1072" s="121"/>
      <c r="AM1072" s="121"/>
      <c r="AN1072" s="121"/>
      <c r="AO1072" s="121"/>
      <c r="AP1072" s="121"/>
      <c r="AS1072" s="27"/>
      <c r="AT1072" s="27"/>
      <c r="AU1072" s="27"/>
      <c r="AV1072" s="27"/>
      <c r="AW1072" s="27"/>
      <c r="AX1072" s="27"/>
      <c r="AY1072" s="27"/>
      <c r="AZ1072" s="27"/>
      <c r="BA1072" s="27"/>
      <c r="BB1072" s="27"/>
      <c r="BC1072" s="133"/>
      <c r="BD1072" s="27"/>
      <c r="BE1072" s="130"/>
    </row>
    <row r="1073" spans="1:57" s="25" customFormat="1">
      <c r="A1073" s="130"/>
      <c r="G1073" s="120"/>
      <c r="H1073" s="120"/>
      <c r="I1073" s="120"/>
      <c r="J1073" s="120"/>
      <c r="K1073" s="120"/>
      <c r="X1073" s="130"/>
      <c r="Y1073" s="130"/>
      <c r="Z1073" s="121"/>
      <c r="AA1073" s="121"/>
      <c r="AB1073" s="121"/>
      <c r="AC1073" s="121"/>
      <c r="AD1073" s="121"/>
      <c r="AE1073" s="121"/>
      <c r="AF1073" s="121"/>
      <c r="AG1073" s="121"/>
      <c r="AH1073" s="121"/>
      <c r="AI1073" s="121"/>
      <c r="AJ1073" s="121"/>
      <c r="AK1073" s="121"/>
      <c r="AL1073" s="121"/>
      <c r="AM1073" s="121"/>
      <c r="AN1073" s="121"/>
      <c r="AO1073" s="121"/>
      <c r="AP1073" s="121"/>
      <c r="AS1073" s="27"/>
      <c r="AT1073" s="27"/>
      <c r="AU1073" s="27"/>
      <c r="AV1073" s="27"/>
      <c r="AW1073" s="27"/>
      <c r="AX1073" s="27"/>
      <c r="AY1073" s="27"/>
      <c r="AZ1073" s="27"/>
      <c r="BA1073" s="27"/>
      <c r="BB1073" s="27"/>
      <c r="BC1073" s="133"/>
      <c r="BD1073" s="27"/>
      <c r="BE1073" s="130"/>
    </row>
    <row r="1074" spans="1:57" s="25" customFormat="1">
      <c r="A1074" s="130"/>
      <c r="G1074" s="120"/>
      <c r="H1074" s="120"/>
      <c r="I1074" s="120"/>
      <c r="J1074" s="120"/>
      <c r="K1074" s="120"/>
      <c r="X1074" s="130"/>
      <c r="Y1074" s="130"/>
      <c r="Z1074" s="121"/>
      <c r="AA1074" s="121"/>
      <c r="AB1074" s="121"/>
      <c r="AC1074" s="121"/>
      <c r="AD1074" s="121"/>
      <c r="AE1074" s="121"/>
      <c r="AF1074" s="121"/>
      <c r="AG1074" s="121"/>
      <c r="AH1074" s="121"/>
      <c r="AI1074" s="121"/>
      <c r="AJ1074" s="121"/>
      <c r="AK1074" s="121"/>
      <c r="AL1074" s="121"/>
      <c r="AM1074" s="121"/>
      <c r="AN1074" s="121"/>
      <c r="AO1074" s="121"/>
      <c r="AP1074" s="121"/>
      <c r="AS1074" s="27"/>
      <c r="AT1074" s="27"/>
      <c r="AU1074" s="27"/>
      <c r="AV1074" s="27"/>
      <c r="AW1074" s="27"/>
      <c r="AX1074" s="27"/>
      <c r="AY1074" s="27"/>
      <c r="AZ1074" s="27"/>
      <c r="BA1074" s="27"/>
      <c r="BB1074" s="27"/>
      <c r="BC1074" s="133"/>
      <c r="BD1074" s="27"/>
      <c r="BE1074" s="130"/>
    </row>
    <row r="1075" spans="1:57" s="25" customFormat="1">
      <c r="A1075" s="130"/>
      <c r="G1075" s="120"/>
      <c r="H1075" s="120"/>
      <c r="I1075" s="120"/>
      <c r="J1075" s="120"/>
      <c r="K1075" s="120"/>
      <c r="X1075" s="130"/>
      <c r="Y1075" s="130"/>
      <c r="Z1075" s="121"/>
      <c r="AA1075" s="121"/>
      <c r="AB1075" s="121"/>
      <c r="AC1075" s="121"/>
      <c r="AD1075" s="121"/>
      <c r="AE1075" s="121"/>
      <c r="AF1075" s="121"/>
      <c r="AG1075" s="121"/>
      <c r="AH1075" s="121"/>
      <c r="AI1075" s="121"/>
      <c r="AJ1075" s="121"/>
      <c r="AK1075" s="121"/>
      <c r="AL1075" s="121"/>
      <c r="AM1075" s="121"/>
      <c r="AN1075" s="121"/>
      <c r="AO1075" s="121"/>
      <c r="AP1075" s="121"/>
      <c r="AS1075" s="27"/>
      <c r="AT1075" s="27"/>
      <c r="AU1075" s="27"/>
      <c r="AV1075" s="27"/>
      <c r="AW1075" s="27"/>
      <c r="AX1075" s="27"/>
      <c r="AY1075" s="27"/>
      <c r="AZ1075" s="27"/>
      <c r="BA1075" s="27"/>
      <c r="BB1075" s="27"/>
      <c r="BC1075" s="133"/>
      <c r="BD1075" s="27"/>
      <c r="BE1075" s="130"/>
    </row>
    <row r="1076" spans="1:57" s="25" customFormat="1">
      <c r="A1076" s="130"/>
      <c r="G1076" s="120"/>
      <c r="H1076" s="120"/>
      <c r="I1076" s="120"/>
      <c r="J1076" s="120"/>
      <c r="K1076" s="120"/>
      <c r="X1076" s="130"/>
      <c r="Y1076" s="130"/>
      <c r="Z1076" s="121"/>
      <c r="AA1076" s="121"/>
      <c r="AB1076" s="121"/>
      <c r="AC1076" s="121"/>
      <c r="AD1076" s="121"/>
      <c r="AE1076" s="121"/>
      <c r="AF1076" s="121"/>
      <c r="AG1076" s="121"/>
      <c r="AH1076" s="121"/>
      <c r="AI1076" s="121"/>
      <c r="AJ1076" s="121"/>
      <c r="AK1076" s="121"/>
      <c r="AL1076" s="121"/>
      <c r="AM1076" s="121"/>
      <c r="AN1076" s="121"/>
      <c r="AO1076" s="121"/>
      <c r="AP1076" s="121"/>
      <c r="AS1076" s="27"/>
      <c r="AT1076" s="27"/>
      <c r="AU1076" s="27"/>
      <c r="AV1076" s="27"/>
      <c r="AW1076" s="27"/>
      <c r="AX1076" s="27"/>
      <c r="AY1076" s="27"/>
      <c r="AZ1076" s="27"/>
      <c r="BA1076" s="27"/>
      <c r="BB1076" s="27"/>
      <c r="BC1076" s="133"/>
      <c r="BD1076" s="27"/>
      <c r="BE1076" s="130"/>
    </row>
    <row r="1077" spans="1:57" s="25" customFormat="1">
      <c r="A1077" s="130"/>
      <c r="G1077" s="120"/>
      <c r="H1077" s="120"/>
      <c r="I1077" s="120"/>
      <c r="J1077" s="120"/>
      <c r="K1077" s="120"/>
      <c r="X1077" s="130"/>
      <c r="Y1077" s="130"/>
      <c r="Z1077" s="121"/>
      <c r="AA1077" s="121"/>
      <c r="AB1077" s="121"/>
      <c r="AC1077" s="121"/>
      <c r="AD1077" s="121"/>
      <c r="AE1077" s="121"/>
      <c r="AF1077" s="121"/>
      <c r="AG1077" s="121"/>
      <c r="AH1077" s="121"/>
      <c r="AI1077" s="121"/>
      <c r="AJ1077" s="121"/>
      <c r="AK1077" s="121"/>
      <c r="AL1077" s="121"/>
      <c r="AM1077" s="121"/>
      <c r="AN1077" s="121"/>
      <c r="AO1077" s="121"/>
      <c r="AP1077" s="121"/>
      <c r="AS1077" s="27"/>
      <c r="AT1077" s="27"/>
      <c r="AU1077" s="27"/>
      <c r="AV1077" s="27"/>
      <c r="AW1077" s="27"/>
      <c r="AX1077" s="27"/>
      <c r="AY1077" s="27"/>
      <c r="AZ1077" s="27"/>
      <c r="BA1077" s="27"/>
      <c r="BB1077" s="27"/>
      <c r="BC1077" s="133"/>
      <c r="BD1077" s="27"/>
      <c r="BE1077" s="130"/>
    </row>
    <row r="1078" spans="1:57" s="25" customFormat="1">
      <c r="A1078" s="130"/>
      <c r="G1078" s="120"/>
      <c r="H1078" s="120"/>
      <c r="I1078" s="120"/>
      <c r="J1078" s="120"/>
      <c r="K1078" s="120"/>
      <c r="X1078" s="130"/>
      <c r="Y1078" s="130"/>
      <c r="Z1078" s="121"/>
      <c r="AA1078" s="121"/>
      <c r="AB1078" s="121"/>
      <c r="AC1078" s="121"/>
      <c r="AD1078" s="121"/>
      <c r="AE1078" s="121"/>
      <c r="AF1078" s="121"/>
      <c r="AG1078" s="121"/>
      <c r="AH1078" s="121"/>
      <c r="AI1078" s="121"/>
      <c r="AJ1078" s="121"/>
      <c r="AK1078" s="121"/>
      <c r="AL1078" s="121"/>
      <c r="AM1078" s="121"/>
      <c r="AN1078" s="121"/>
      <c r="AO1078" s="121"/>
      <c r="AP1078" s="121"/>
      <c r="AS1078" s="27"/>
      <c r="AT1078" s="27"/>
      <c r="AU1078" s="27"/>
      <c r="AV1078" s="27"/>
      <c r="AW1078" s="27"/>
      <c r="AX1078" s="27"/>
      <c r="AY1078" s="27"/>
      <c r="AZ1078" s="27"/>
      <c r="BA1078" s="27"/>
      <c r="BB1078" s="27"/>
      <c r="BC1078" s="133"/>
      <c r="BD1078" s="27"/>
      <c r="BE1078" s="130"/>
    </row>
    <row r="1079" spans="1:57" s="25" customFormat="1">
      <c r="A1079" s="130"/>
      <c r="G1079" s="120"/>
      <c r="H1079" s="120"/>
      <c r="I1079" s="120"/>
      <c r="J1079" s="120"/>
      <c r="K1079" s="120"/>
      <c r="X1079" s="130"/>
      <c r="Y1079" s="130"/>
      <c r="Z1079" s="121"/>
      <c r="AA1079" s="121"/>
      <c r="AB1079" s="121"/>
      <c r="AC1079" s="121"/>
      <c r="AD1079" s="121"/>
      <c r="AE1079" s="121"/>
      <c r="AF1079" s="121"/>
      <c r="AG1079" s="121"/>
      <c r="AH1079" s="121"/>
      <c r="AI1079" s="121"/>
      <c r="AJ1079" s="121"/>
      <c r="AK1079" s="121"/>
      <c r="AL1079" s="121"/>
      <c r="AM1079" s="121"/>
      <c r="AN1079" s="121"/>
      <c r="AO1079" s="121"/>
      <c r="AP1079" s="121"/>
      <c r="AS1079" s="27"/>
      <c r="AT1079" s="27"/>
      <c r="AU1079" s="27"/>
      <c r="AV1079" s="27"/>
      <c r="AW1079" s="27"/>
      <c r="AX1079" s="27"/>
      <c r="AY1079" s="27"/>
      <c r="AZ1079" s="27"/>
      <c r="BA1079" s="27"/>
      <c r="BB1079" s="27"/>
      <c r="BC1079" s="133"/>
      <c r="BD1079" s="27"/>
      <c r="BE1079" s="130"/>
    </row>
    <row r="1080" spans="1:57" s="25" customFormat="1">
      <c r="A1080" s="130"/>
      <c r="G1080" s="120"/>
      <c r="H1080" s="120"/>
      <c r="I1080" s="120"/>
      <c r="J1080" s="120"/>
      <c r="K1080" s="120"/>
      <c r="X1080" s="130"/>
      <c r="Y1080" s="130"/>
      <c r="Z1080" s="121"/>
      <c r="AA1080" s="121"/>
      <c r="AB1080" s="121"/>
      <c r="AC1080" s="121"/>
      <c r="AD1080" s="121"/>
      <c r="AE1080" s="121"/>
      <c r="AF1080" s="121"/>
      <c r="AG1080" s="121"/>
      <c r="AH1080" s="121"/>
      <c r="AI1080" s="121"/>
      <c r="AJ1080" s="121"/>
      <c r="AK1080" s="121"/>
      <c r="AL1080" s="121"/>
      <c r="AM1080" s="121"/>
      <c r="AN1080" s="121"/>
      <c r="AO1080" s="121"/>
      <c r="AP1080" s="121"/>
      <c r="AS1080" s="27"/>
      <c r="AT1080" s="27"/>
      <c r="AU1080" s="27"/>
      <c r="AV1080" s="27"/>
      <c r="AW1080" s="27"/>
      <c r="AX1080" s="27"/>
      <c r="AY1080" s="27"/>
      <c r="AZ1080" s="27"/>
      <c r="BA1080" s="27"/>
      <c r="BB1080" s="27"/>
      <c r="BC1080" s="133"/>
      <c r="BD1080" s="27"/>
      <c r="BE1080" s="130"/>
    </row>
    <row r="1081" spans="1:57" s="25" customFormat="1">
      <c r="A1081" s="130"/>
      <c r="G1081" s="120"/>
      <c r="H1081" s="120"/>
      <c r="I1081" s="120"/>
      <c r="J1081" s="120"/>
      <c r="K1081" s="120"/>
      <c r="X1081" s="130"/>
      <c r="Y1081" s="130"/>
      <c r="Z1081" s="121"/>
      <c r="AA1081" s="121"/>
      <c r="AB1081" s="121"/>
      <c r="AC1081" s="121"/>
      <c r="AD1081" s="121"/>
      <c r="AE1081" s="121"/>
      <c r="AF1081" s="121"/>
      <c r="AG1081" s="121"/>
      <c r="AH1081" s="121"/>
      <c r="AI1081" s="121"/>
      <c r="AJ1081" s="121"/>
      <c r="AK1081" s="121"/>
      <c r="AL1081" s="121"/>
      <c r="AM1081" s="121"/>
      <c r="AN1081" s="121"/>
      <c r="AO1081" s="121"/>
      <c r="AP1081" s="121"/>
      <c r="AS1081" s="27"/>
      <c r="AT1081" s="27"/>
      <c r="AU1081" s="27"/>
      <c r="AV1081" s="27"/>
      <c r="AW1081" s="27"/>
      <c r="AX1081" s="27"/>
      <c r="AY1081" s="27"/>
      <c r="AZ1081" s="27"/>
      <c r="BA1081" s="27"/>
      <c r="BB1081" s="27"/>
      <c r="BC1081" s="133"/>
      <c r="BD1081" s="27"/>
      <c r="BE1081" s="130"/>
    </row>
    <row r="1082" spans="1:57" s="25" customFormat="1">
      <c r="A1082" s="130"/>
      <c r="G1082" s="120"/>
      <c r="H1082" s="120"/>
      <c r="I1082" s="120"/>
      <c r="J1082" s="120"/>
      <c r="K1082" s="120"/>
      <c r="X1082" s="130"/>
      <c r="Y1082" s="130"/>
      <c r="Z1082" s="121"/>
      <c r="AA1082" s="121"/>
      <c r="AB1082" s="121"/>
      <c r="AC1082" s="121"/>
      <c r="AD1082" s="121"/>
      <c r="AE1082" s="121"/>
      <c r="AF1082" s="121"/>
      <c r="AG1082" s="121"/>
      <c r="AH1082" s="121"/>
      <c r="AI1082" s="121"/>
      <c r="AJ1082" s="121"/>
      <c r="AK1082" s="121"/>
      <c r="AL1082" s="121"/>
      <c r="AM1082" s="121"/>
      <c r="AN1082" s="121"/>
      <c r="AO1082" s="121"/>
      <c r="AP1082" s="121"/>
      <c r="AS1082" s="27"/>
      <c r="AT1082" s="27"/>
      <c r="AU1082" s="27"/>
      <c r="AV1082" s="27"/>
      <c r="AW1082" s="27"/>
      <c r="AX1082" s="27"/>
      <c r="AY1082" s="27"/>
      <c r="AZ1082" s="27"/>
      <c r="BA1082" s="27"/>
      <c r="BB1082" s="27"/>
      <c r="BC1082" s="133"/>
      <c r="BD1082" s="27"/>
      <c r="BE1082" s="130"/>
    </row>
    <row r="1083" spans="1:57" s="25" customFormat="1">
      <c r="A1083" s="130"/>
      <c r="G1083" s="120"/>
      <c r="H1083" s="120"/>
      <c r="I1083" s="120"/>
      <c r="J1083" s="120"/>
      <c r="K1083" s="120"/>
      <c r="X1083" s="130"/>
      <c r="Y1083" s="130"/>
      <c r="Z1083" s="121"/>
      <c r="AA1083" s="121"/>
      <c r="AB1083" s="121"/>
      <c r="AC1083" s="121"/>
      <c r="AD1083" s="121"/>
      <c r="AE1083" s="121"/>
      <c r="AF1083" s="121"/>
      <c r="AG1083" s="121"/>
      <c r="AH1083" s="121"/>
      <c r="AI1083" s="121"/>
      <c r="AJ1083" s="121"/>
      <c r="AK1083" s="121"/>
      <c r="AL1083" s="121"/>
      <c r="AM1083" s="121"/>
      <c r="AN1083" s="121"/>
      <c r="AO1083" s="121"/>
      <c r="AP1083" s="121"/>
      <c r="AS1083" s="27"/>
      <c r="AT1083" s="27"/>
      <c r="AU1083" s="27"/>
      <c r="AV1083" s="27"/>
      <c r="AW1083" s="27"/>
      <c r="AX1083" s="27"/>
      <c r="AY1083" s="27"/>
      <c r="AZ1083" s="27"/>
      <c r="BA1083" s="27"/>
      <c r="BB1083" s="27"/>
      <c r="BC1083" s="133"/>
      <c r="BD1083" s="27"/>
      <c r="BE1083" s="130"/>
    </row>
    <row r="1084" spans="1:57" s="25" customFormat="1">
      <c r="A1084" s="130"/>
      <c r="G1084" s="120"/>
      <c r="H1084" s="120"/>
      <c r="I1084" s="120"/>
      <c r="J1084" s="120"/>
      <c r="K1084" s="120"/>
      <c r="X1084" s="130"/>
      <c r="Y1084" s="130"/>
      <c r="Z1084" s="121"/>
      <c r="AA1084" s="121"/>
      <c r="AB1084" s="121"/>
      <c r="AC1084" s="121"/>
      <c r="AD1084" s="121"/>
      <c r="AE1084" s="121"/>
      <c r="AF1084" s="121"/>
      <c r="AG1084" s="121"/>
      <c r="AH1084" s="121"/>
      <c r="AI1084" s="121"/>
      <c r="AJ1084" s="121"/>
      <c r="AK1084" s="121"/>
      <c r="AL1084" s="121"/>
      <c r="AM1084" s="121"/>
      <c r="AN1084" s="121"/>
      <c r="AO1084" s="121"/>
      <c r="AP1084" s="121"/>
      <c r="AS1084" s="27"/>
      <c r="AT1084" s="27"/>
      <c r="AU1084" s="27"/>
      <c r="AV1084" s="27"/>
      <c r="AW1084" s="27"/>
      <c r="AX1084" s="27"/>
      <c r="AY1084" s="27"/>
      <c r="AZ1084" s="27"/>
      <c r="BA1084" s="27"/>
      <c r="BB1084" s="27"/>
      <c r="BC1084" s="133"/>
      <c r="BD1084" s="27"/>
      <c r="BE1084" s="130"/>
    </row>
    <row r="1085" spans="1:57" s="25" customFormat="1">
      <c r="A1085" s="130"/>
      <c r="G1085" s="120"/>
      <c r="H1085" s="120"/>
      <c r="I1085" s="120"/>
      <c r="J1085" s="120"/>
      <c r="K1085" s="120"/>
      <c r="X1085" s="130"/>
      <c r="Y1085" s="130"/>
      <c r="Z1085" s="121"/>
      <c r="AA1085" s="121"/>
      <c r="AB1085" s="121"/>
      <c r="AC1085" s="121"/>
      <c r="AD1085" s="121"/>
      <c r="AE1085" s="121"/>
      <c r="AF1085" s="121"/>
      <c r="AG1085" s="121"/>
      <c r="AH1085" s="121"/>
      <c r="AI1085" s="121"/>
      <c r="AJ1085" s="121"/>
      <c r="AK1085" s="121"/>
      <c r="AL1085" s="121"/>
      <c r="AM1085" s="121"/>
      <c r="AN1085" s="121"/>
      <c r="AO1085" s="121"/>
      <c r="AP1085" s="121"/>
      <c r="AS1085" s="27"/>
      <c r="AT1085" s="27"/>
      <c r="AU1085" s="27"/>
      <c r="AV1085" s="27"/>
      <c r="AW1085" s="27"/>
      <c r="AX1085" s="27"/>
      <c r="AY1085" s="27"/>
      <c r="AZ1085" s="27"/>
      <c r="BA1085" s="27"/>
      <c r="BB1085" s="27"/>
      <c r="BC1085" s="133"/>
      <c r="BD1085" s="27"/>
      <c r="BE1085" s="130"/>
    </row>
    <row r="1086" spans="1:57" s="25" customFormat="1">
      <c r="A1086" s="130"/>
      <c r="G1086" s="120"/>
      <c r="H1086" s="120"/>
      <c r="I1086" s="120"/>
      <c r="J1086" s="120"/>
      <c r="K1086" s="120"/>
      <c r="X1086" s="130"/>
      <c r="Y1086" s="130"/>
      <c r="Z1086" s="121"/>
      <c r="AA1086" s="121"/>
      <c r="AB1086" s="121"/>
      <c r="AC1086" s="121"/>
      <c r="AD1086" s="121"/>
      <c r="AE1086" s="121"/>
      <c r="AF1086" s="121"/>
      <c r="AG1086" s="121"/>
      <c r="AH1086" s="121"/>
      <c r="AI1086" s="121"/>
      <c r="AJ1086" s="121"/>
      <c r="AK1086" s="121"/>
      <c r="AL1086" s="121"/>
      <c r="AM1086" s="121"/>
      <c r="AN1086" s="121"/>
      <c r="AO1086" s="121"/>
      <c r="AP1086" s="121"/>
      <c r="AS1086" s="27"/>
      <c r="AT1086" s="27"/>
      <c r="AU1086" s="27"/>
      <c r="AV1086" s="27"/>
      <c r="AW1086" s="27"/>
      <c r="AX1086" s="27"/>
      <c r="AY1086" s="27"/>
      <c r="AZ1086" s="27"/>
      <c r="BA1086" s="27"/>
      <c r="BB1086" s="27"/>
      <c r="BC1086" s="133"/>
      <c r="BD1086" s="27"/>
      <c r="BE1086" s="130"/>
    </row>
    <row r="1087" spans="1:57" s="25" customFormat="1">
      <c r="A1087" s="130"/>
      <c r="G1087" s="120"/>
      <c r="H1087" s="120"/>
      <c r="I1087" s="120"/>
      <c r="J1087" s="120"/>
      <c r="K1087" s="120"/>
      <c r="X1087" s="130"/>
      <c r="Y1087" s="130"/>
      <c r="Z1087" s="121"/>
      <c r="AA1087" s="121"/>
      <c r="AB1087" s="121"/>
      <c r="AC1087" s="121"/>
      <c r="AD1087" s="121"/>
      <c r="AE1087" s="121"/>
      <c r="AF1087" s="121"/>
      <c r="AG1087" s="121"/>
      <c r="AH1087" s="121"/>
      <c r="AI1087" s="121"/>
      <c r="AJ1087" s="121"/>
      <c r="AK1087" s="121"/>
      <c r="AL1087" s="121"/>
      <c r="AM1087" s="121"/>
      <c r="AN1087" s="121"/>
      <c r="AO1087" s="121"/>
      <c r="AP1087" s="121"/>
      <c r="AS1087" s="27"/>
      <c r="AT1087" s="27"/>
      <c r="AU1087" s="27"/>
      <c r="AV1087" s="27"/>
      <c r="AW1087" s="27"/>
      <c r="AX1087" s="27"/>
      <c r="AY1087" s="27"/>
      <c r="AZ1087" s="27"/>
      <c r="BA1087" s="27"/>
      <c r="BB1087" s="27"/>
      <c r="BC1087" s="133"/>
      <c r="BD1087" s="27"/>
      <c r="BE1087" s="130"/>
    </row>
    <row r="1088" spans="1:57" s="25" customFormat="1">
      <c r="A1088" s="130"/>
      <c r="G1088" s="120"/>
      <c r="H1088" s="120"/>
      <c r="I1088" s="120"/>
      <c r="J1088" s="120"/>
      <c r="K1088" s="120"/>
      <c r="X1088" s="130"/>
      <c r="Y1088" s="130"/>
      <c r="Z1088" s="121"/>
      <c r="AA1088" s="121"/>
      <c r="AB1088" s="121"/>
      <c r="AC1088" s="121"/>
      <c r="AD1088" s="121"/>
      <c r="AE1088" s="121"/>
      <c r="AF1088" s="121"/>
      <c r="AG1088" s="121"/>
      <c r="AH1088" s="121"/>
      <c r="AI1088" s="121"/>
      <c r="AJ1088" s="121"/>
      <c r="AK1088" s="121"/>
      <c r="AL1088" s="121"/>
      <c r="AM1088" s="121"/>
      <c r="AN1088" s="121"/>
      <c r="AO1088" s="121"/>
      <c r="AP1088" s="121"/>
      <c r="AS1088" s="27"/>
      <c r="AT1088" s="27"/>
      <c r="AU1088" s="27"/>
      <c r="AV1088" s="27"/>
      <c r="AW1088" s="27"/>
      <c r="AX1088" s="27"/>
      <c r="AY1088" s="27"/>
      <c r="AZ1088" s="27"/>
      <c r="BA1088" s="27"/>
      <c r="BB1088" s="27"/>
      <c r="BC1088" s="133"/>
      <c r="BD1088" s="27"/>
      <c r="BE1088" s="130"/>
    </row>
    <row r="1089" spans="1:57" s="25" customFormat="1">
      <c r="A1089" s="130"/>
      <c r="G1089" s="120"/>
      <c r="H1089" s="120"/>
      <c r="I1089" s="120"/>
      <c r="J1089" s="120"/>
      <c r="K1089" s="120"/>
      <c r="X1089" s="130"/>
      <c r="Y1089" s="130"/>
      <c r="Z1089" s="121"/>
      <c r="AA1089" s="121"/>
      <c r="AB1089" s="121"/>
      <c r="AC1089" s="121"/>
      <c r="AD1089" s="121"/>
      <c r="AE1089" s="121"/>
      <c r="AF1089" s="121"/>
      <c r="AG1089" s="121"/>
      <c r="AH1089" s="121"/>
      <c r="AI1089" s="121"/>
      <c r="AJ1089" s="121"/>
      <c r="AK1089" s="121"/>
      <c r="AL1089" s="121"/>
      <c r="AM1089" s="121"/>
      <c r="AN1089" s="121"/>
      <c r="AO1089" s="121"/>
      <c r="AP1089" s="121"/>
      <c r="AS1089" s="27"/>
      <c r="AT1089" s="27"/>
      <c r="AU1089" s="27"/>
      <c r="AV1089" s="27"/>
      <c r="AW1089" s="27"/>
      <c r="AX1089" s="27"/>
      <c r="AY1089" s="27"/>
      <c r="AZ1089" s="27"/>
      <c r="BA1089" s="27"/>
      <c r="BB1089" s="27"/>
      <c r="BC1089" s="133"/>
      <c r="BD1089" s="27"/>
      <c r="BE1089" s="130"/>
    </row>
    <row r="1090" spans="1:57" s="25" customFormat="1">
      <c r="A1090" s="130"/>
      <c r="G1090" s="120"/>
      <c r="H1090" s="120"/>
      <c r="I1090" s="120"/>
      <c r="J1090" s="120"/>
      <c r="K1090" s="120"/>
      <c r="X1090" s="130"/>
      <c r="Y1090" s="130"/>
      <c r="Z1090" s="121"/>
      <c r="AA1090" s="121"/>
      <c r="AB1090" s="121"/>
      <c r="AC1090" s="121"/>
      <c r="AD1090" s="121"/>
      <c r="AE1090" s="121"/>
      <c r="AF1090" s="121"/>
      <c r="AG1090" s="121"/>
      <c r="AH1090" s="121"/>
      <c r="AI1090" s="121"/>
      <c r="AJ1090" s="121"/>
      <c r="AK1090" s="121"/>
      <c r="AL1090" s="121"/>
      <c r="AM1090" s="121"/>
      <c r="AN1090" s="121"/>
      <c r="AO1090" s="121"/>
      <c r="AP1090" s="121"/>
      <c r="AS1090" s="27"/>
      <c r="AT1090" s="27"/>
      <c r="AU1090" s="27"/>
      <c r="AV1090" s="27"/>
      <c r="AW1090" s="27"/>
      <c r="AX1090" s="27"/>
      <c r="AY1090" s="27"/>
      <c r="AZ1090" s="27"/>
      <c r="BA1090" s="27"/>
      <c r="BB1090" s="27"/>
      <c r="BC1090" s="133"/>
      <c r="BD1090" s="27"/>
      <c r="BE1090" s="130"/>
    </row>
    <row r="1091" spans="1:57" s="25" customFormat="1">
      <c r="A1091" s="130"/>
      <c r="G1091" s="120"/>
      <c r="H1091" s="120"/>
      <c r="I1091" s="120"/>
      <c r="J1091" s="120"/>
      <c r="K1091" s="120"/>
      <c r="X1091" s="130"/>
      <c r="Y1091" s="130"/>
      <c r="Z1091" s="121"/>
      <c r="AA1091" s="121"/>
      <c r="AB1091" s="121"/>
      <c r="AC1091" s="121"/>
      <c r="AD1091" s="121"/>
      <c r="AE1091" s="121"/>
      <c r="AF1091" s="121"/>
      <c r="AG1091" s="121"/>
      <c r="AH1091" s="121"/>
      <c r="AI1091" s="121"/>
      <c r="AJ1091" s="121"/>
      <c r="AK1091" s="121"/>
      <c r="AL1091" s="121"/>
      <c r="AM1091" s="121"/>
      <c r="AN1091" s="121"/>
      <c r="AO1091" s="121"/>
      <c r="AP1091" s="121"/>
      <c r="AS1091" s="27"/>
      <c r="AT1091" s="27"/>
      <c r="AU1091" s="27"/>
      <c r="AV1091" s="27"/>
      <c r="AW1091" s="27"/>
      <c r="AX1091" s="27"/>
      <c r="AY1091" s="27"/>
      <c r="AZ1091" s="27"/>
      <c r="BA1091" s="27"/>
      <c r="BB1091" s="27"/>
      <c r="BC1091" s="133"/>
      <c r="BD1091" s="27"/>
      <c r="BE1091" s="130"/>
    </row>
    <row r="1092" spans="1:57" s="25" customFormat="1">
      <c r="A1092" s="130"/>
      <c r="G1092" s="120"/>
      <c r="H1092" s="120"/>
      <c r="I1092" s="120"/>
      <c r="J1092" s="120"/>
      <c r="K1092" s="120"/>
      <c r="X1092" s="130"/>
      <c r="Y1092" s="130"/>
      <c r="Z1092" s="121"/>
      <c r="AA1092" s="121"/>
      <c r="AB1092" s="121"/>
      <c r="AC1092" s="121"/>
      <c r="AD1092" s="121"/>
      <c r="AE1092" s="121"/>
      <c r="AF1092" s="121"/>
      <c r="AG1092" s="121"/>
      <c r="AH1092" s="121"/>
      <c r="AI1092" s="121"/>
      <c r="AJ1092" s="121"/>
      <c r="AK1092" s="121"/>
      <c r="AL1092" s="121"/>
      <c r="AM1092" s="121"/>
      <c r="AN1092" s="121"/>
      <c r="AO1092" s="121"/>
      <c r="AP1092" s="121"/>
      <c r="AS1092" s="27"/>
      <c r="AT1092" s="27"/>
      <c r="AU1092" s="27"/>
      <c r="AV1092" s="27"/>
      <c r="AW1092" s="27"/>
      <c r="AX1092" s="27"/>
      <c r="AY1092" s="27"/>
      <c r="AZ1092" s="27"/>
      <c r="BA1092" s="27"/>
      <c r="BB1092" s="27"/>
      <c r="BC1092" s="133"/>
      <c r="BD1092" s="27"/>
      <c r="BE1092" s="130"/>
    </row>
    <row r="1093" spans="1:57" s="25" customFormat="1">
      <c r="A1093" s="130"/>
      <c r="G1093" s="120"/>
      <c r="H1093" s="120"/>
      <c r="I1093" s="120"/>
      <c r="J1093" s="120"/>
      <c r="K1093" s="120"/>
      <c r="X1093" s="130"/>
      <c r="Y1093" s="130"/>
      <c r="Z1093" s="121"/>
      <c r="AA1093" s="121"/>
      <c r="AB1093" s="121"/>
      <c r="AC1093" s="121"/>
      <c r="AD1093" s="121"/>
      <c r="AE1093" s="121"/>
      <c r="AF1093" s="121"/>
      <c r="AG1093" s="121"/>
      <c r="AH1093" s="121"/>
      <c r="AI1093" s="121"/>
      <c r="AJ1093" s="121"/>
      <c r="AK1093" s="121"/>
      <c r="AL1093" s="121"/>
      <c r="AM1093" s="121"/>
      <c r="AN1093" s="121"/>
      <c r="AO1093" s="121"/>
      <c r="AP1093" s="121"/>
      <c r="AS1093" s="27"/>
      <c r="AT1093" s="27"/>
      <c r="AU1093" s="27"/>
      <c r="AV1093" s="27"/>
      <c r="AW1093" s="27"/>
      <c r="AX1093" s="27"/>
      <c r="AY1093" s="27"/>
      <c r="AZ1093" s="27"/>
      <c r="BA1093" s="27"/>
      <c r="BB1093" s="27"/>
      <c r="BC1093" s="133"/>
      <c r="BD1093" s="27"/>
      <c r="BE1093" s="130"/>
    </row>
    <row r="1094" spans="1:57" s="25" customFormat="1">
      <c r="A1094" s="130"/>
      <c r="G1094" s="120"/>
      <c r="H1094" s="120"/>
      <c r="I1094" s="120"/>
      <c r="J1094" s="120"/>
      <c r="K1094" s="120"/>
      <c r="X1094" s="130"/>
      <c r="Y1094" s="130"/>
      <c r="Z1094" s="121"/>
      <c r="AA1094" s="121"/>
      <c r="AB1094" s="121"/>
      <c r="AC1094" s="121"/>
      <c r="AD1094" s="121"/>
      <c r="AE1094" s="121"/>
      <c r="AF1094" s="121"/>
      <c r="AG1094" s="121"/>
      <c r="AH1094" s="121"/>
      <c r="AI1094" s="121"/>
      <c r="AJ1094" s="121"/>
      <c r="AK1094" s="121"/>
      <c r="AL1094" s="121"/>
      <c r="AM1094" s="121"/>
      <c r="AN1094" s="121"/>
      <c r="AO1094" s="121"/>
      <c r="AP1094" s="121"/>
      <c r="AS1094" s="27"/>
      <c r="AT1094" s="27"/>
      <c r="AU1094" s="27"/>
      <c r="AV1094" s="27"/>
      <c r="AW1094" s="27"/>
      <c r="AX1094" s="27"/>
      <c r="AY1094" s="27"/>
      <c r="AZ1094" s="27"/>
      <c r="BA1094" s="27"/>
      <c r="BB1094" s="27"/>
      <c r="BC1094" s="133"/>
      <c r="BD1094" s="27"/>
      <c r="BE1094" s="130"/>
    </row>
    <row r="1095" spans="1:57" s="25" customFormat="1">
      <c r="A1095" s="130"/>
      <c r="G1095" s="120"/>
      <c r="H1095" s="120"/>
      <c r="I1095" s="120"/>
      <c r="J1095" s="120"/>
      <c r="K1095" s="120"/>
      <c r="X1095" s="130"/>
      <c r="Y1095" s="130"/>
      <c r="Z1095" s="121"/>
      <c r="AA1095" s="121"/>
      <c r="AB1095" s="121"/>
      <c r="AC1095" s="121"/>
      <c r="AD1095" s="121"/>
      <c r="AE1095" s="121"/>
      <c r="AF1095" s="121"/>
      <c r="AG1095" s="121"/>
      <c r="AH1095" s="121"/>
      <c r="AI1095" s="121"/>
      <c r="AJ1095" s="121"/>
      <c r="AK1095" s="121"/>
      <c r="AL1095" s="121"/>
      <c r="AM1095" s="121"/>
      <c r="AN1095" s="121"/>
      <c r="AO1095" s="121"/>
      <c r="AP1095" s="121"/>
      <c r="AS1095" s="27"/>
      <c r="AT1095" s="27"/>
      <c r="AU1095" s="27"/>
      <c r="AV1095" s="27"/>
      <c r="AW1095" s="27"/>
      <c r="AX1095" s="27"/>
      <c r="AY1095" s="27"/>
      <c r="AZ1095" s="27"/>
      <c r="BA1095" s="27"/>
      <c r="BB1095" s="27"/>
      <c r="BC1095" s="133"/>
      <c r="BD1095" s="27"/>
      <c r="BE1095" s="130"/>
    </row>
    <row r="1096" spans="1:57" s="25" customFormat="1">
      <c r="A1096" s="130"/>
      <c r="G1096" s="120"/>
      <c r="H1096" s="120"/>
      <c r="I1096" s="120"/>
      <c r="J1096" s="120"/>
      <c r="K1096" s="120"/>
      <c r="X1096" s="130"/>
      <c r="Y1096" s="130"/>
      <c r="Z1096" s="121"/>
      <c r="AA1096" s="121"/>
      <c r="AB1096" s="121"/>
      <c r="AC1096" s="121"/>
      <c r="AD1096" s="121"/>
      <c r="AE1096" s="121"/>
      <c r="AF1096" s="121"/>
      <c r="AG1096" s="121"/>
      <c r="AH1096" s="121"/>
      <c r="AI1096" s="121"/>
      <c r="AJ1096" s="121"/>
      <c r="AK1096" s="121"/>
      <c r="AL1096" s="121"/>
      <c r="AM1096" s="121"/>
      <c r="AN1096" s="121"/>
      <c r="AO1096" s="121"/>
      <c r="AP1096" s="121"/>
      <c r="AS1096" s="27"/>
      <c r="AT1096" s="27"/>
      <c r="AU1096" s="27"/>
      <c r="AV1096" s="27"/>
      <c r="AW1096" s="27"/>
      <c r="AX1096" s="27"/>
      <c r="AY1096" s="27"/>
      <c r="AZ1096" s="27"/>
      <c r="BA1096" s="27"/>
      <c r="BB1096" s="27"/>
      <c r="BC1096" s="133"/>
      <c r="BD1096" s="27"/>
      <c r="BE1096" s="130"/>
    </row>
    <row r="1097" spans="1:57" s="25" customFormat="1">
      <c r="A1097" s="130"/>
      <c r="G1097" s="120"/>
      <c r="H1097" s="120"/>
      <c r="I1097" s="120"/>
      <c r="J1097" s="120"/>
      <c r="K1097" s="120"/>
      <c r="X1097" s="130"/>
      <c r="Y1097" s="130"/>
      <c r="Z1097" s="121"/>
      <c r="AA1097" s="121"/>
      <c r="AB1097" s="121"/>
      <c r="AC1097" s="121"/>
      <c r="AD1097" s="121"/>
      <c r="AE1097" s="121"/>
      <c r="AF1097" s="121"/>
      <c r="AG1097" s="121"/>
      <c r="AH1097" s="121"/>
      <c r="AI1097" s="121"/>
      <c r="AJ1097" s="121"/>
      <c r="AK1097" s="121"/>
      <c r="AL1097" s="121"/>
      <c r="AM1097" s="121"/>
      <c r="AN1097" s="121"/>
      <c r="AO1097" s="121"/>
      <c r="AP1097" s="121"/>
      <c r="AS1097" s="27"/>
      <c r="AT1097" s="27"/>
      <c r="AU1097" s="27"/>
      <c r="AV1097" s="27"/>
      <c r="AW1097" s="27"/>
      <c r="AX1097" s="27"/>
      <c r="AY1097" s="27"/>
      <c r="AZ1097" s="27"/>
      <c r="BA1097" s="27"/>
      <c r="BB1097" s="27"/>
      <c r="BC1097" s="133"/>
      <c r="BD1097" s="27"/>
      <c r="BE1097" s="130"/>
    </row>
    <row r="1098" spans="1:57" s="25" customFormat="1">
      <c r="A1098" s="130"/>
      <c r="G1098" s="120"/>
      <c r="H1098" s="120"/>
      <c r="I1098" s="120"/>
      <c r="J1098" s="120"/>
      <c r="K1098" s="120"/>
      <c r="X1098" s="130"/>
      <c r="Y1098" s="130"/>
      <c r="Z1098" s="121"/>
      <c r="AA1098" s="121"/>
      <c r="AB1098" s="121"/>
      <c r="AC1098" s="121"/>
      <c r="AD1098" s="121"/>
      <c r="AE1098" s="121"/>
      <c r="AF1098" s="121"/>
      <c r="AG1098" s="121"/>
      <c r="AH1098" s="121"/>
      <c r="AI1098" s="121"/>
      <c r="AJ1098" s="121"/>
      <c r="AK1098" s="121"/>
      <c r="AL1098" s="121"/>
      <c r="AM1098" s="121"/>
      <c r="AN1098" s="121"/>
      <c r="AO1098" s="121"/>
      <c r="AP1098" s="121"/>
      <c r="AS1098" s="27"/>
      <c r="AT1098" s="27"/>
      <c r="AU1098" s="27"/>
      <c r="AV1098" s="27"/>
      <c r="AW1098" s="27"/>
      <c r="AX1098" s="27"/>
      <c r="AY1098" s="27"/>
      <c r="AZ1098" s="27"/>
      <c r="BA1098" s="27"/>
      <c r="BB1098" s="27"/>
      <c r="BC1098" s="133"/>
      <c r="BD1098" s="27"/>
      <c r="BE1098" s="130"/>
    </row>
    <row r="1099" spans="1:57" s="25" customFormat="1">
      <c r="A1099" s="130"/>
      <c r="G1099" s="120"/>
      <c r="H1099" s="120"/>
      <c r="I1099" s="120"/>
      <c r="J1099" s="120"/>
      <c r="K1099" s="120"/>
      <c r="X1099" s="130"/>
      <c r="Y1099" s="130"/>
      <c r="Z1099" s="121"/>
      <c r="AA1099" s="121"/>
      <c r="AB1099" s="121"/>
      <c r="AC1099" s="121"/>
      <c r="AD1099" s="121"/>
      <c r="AE1099" s="121"/>
      <c r="AF1099" s="121"/>
      <c r="AG1099" s="121"/>
      <c r="AH1099" s="121"/>
      <c r="AI1099" s="121"/>
      <c r="AJ1099" s="121"/>
      <c r="AK1099" s="121"/>
      <c r="AL1099" s="121"/>
      <c r="AM1099" s="121"/>
      <c r="AN1099" s="121"/>
      <c r="AO1099" s="121"/>
      <c r="AP1099" s="121"/>
      <c r="AS1099" s="27"/>
      <c r="AT1099" s="27"/>
      <c r="AU1099" s="27"/>
      <c r="AV1099" s="27"/>
      <c r="AW1099" s="27"/>
      <c r="AX1099" s="27"/>
      <c r="AY1099" s="27"/>
      <c r="AZ1099" s="27"/>
      <c r="BA1099" s="27"/>
      <c r="BB1099" s="27"/>
      <c r="BC1099" s="133"/>
      <c r="BD1099" s="27"/>
      <c r="BE1099" s="130"/>
    </row>
    <row r="1100" spans="1:57" s="25" customFormat="1">
      <c r="A1100" s="130"/>
      <c r="G1100" s="120"/>
      <c r="H1100" s="120"/>
      <c r="I1100" s="120"/>
      <c r="J1100" s="120"/>
      <c r="K1100" s="120"/>
      <c r="X1100" s="130"/>
      <c r="Y1100" s="130"/>
      <c r="Z1100" s="121"/>
      <c r="AA1100" s="121"/>
      <c r="AB1100" s="121"/>
      <c r="AC1100" s="121"/>
      <c r="AD1100" s="121"/>
      <c r="AE1100" s="121"/>
      <c r="AF1100" s="121"/>
      <c r="AG1100" s="121"/>
      <c r="AH1100" s="121"/>
      <c r="AI1100" s="121"/>
      <c r="AJ1100" s="121"/>
      <c r="AK1100" s="121"/>
      <c r="AL1100" s="121"/>
      <c r="AM1100" s="121"/>
      <c r="AN1100" s="121"/>
      <c r="AO1100" s="121"/>
      <c r="AP1100" s="121"/>
      <c r="AS1100" s="27"/>
      <c r="AT1100" s="27"/>
      <c r="AU1100" s="27"/>
      <c r="AV1100" s="27"/>
      <c r="AW1100" s="27"/>
      <c r="AX1100" s="27"/>
      <c r="AY1100" s="27"/>
      <c r="AZ1100" s="27"/>
      <c r="BA1100" s="27"/>
      <c r="BB1100" s="27"/>
      <c r="BC1100" s="133"/>
      <c r="BD1100" s="27"/>
      <c r="BE1100" s="130"/>
    </row>
    <row r="1101" spans="1:57" s="25" customFormat="1">
      <c r="A1101" s="130"/>
      <c r="G1101" s="120"/>
      <c r="H1101" s="120"/>
      <c r="I1101" s="120"/>
      <c r="J1101" s="120"/>
      <c r="K1101" s="120"/>
      <c r="X1101" s="130"/>
      <c r="Y1101" s="130"/>
      <c r="Z1101" s="121"/>
      <c r="AA1101" s="121"/>
      <c r="AB1101" s="121"/>
      <c r="AC1101" s="121"/>
      <c r="AD1101" s="121"/>
      <c r="AE1101" s="121"/>
      <c r="AF1101" s="121"/>
      <c r="AG1101" s="121"/>
      <c r="AH1101" s="121"/>
      <c r="AI1101" s="121"/>
      <c r="AJ1101" s="121"/>
      <c r="AK1101" s="121"/>
      <c r="AL1101" s="121"/>
      <c r="AM1101" s="121"/>
      <c r="AN1101" s="121"/>
      <c r="AO1101" s="121"/>
      <c r="AP1101" s="121"/>
      <c r="AS1101" s="27"/>
      <c r="AT1101" s="27"/>
      <c r="AU1101" s="27"/>
      <c r="AV1101" s="27"/>
      <c r="AW1101" s="27"/>
      <c r="AX1101" s="27"/>
      <c r="AY1101" s="27"/>
      <c r="AZ1101" s="27"/>
      <c r="BA1101" s="27"/>
      <c r="BB1101" s="27"/>
      <c r="BC1101" s="133"/>
      <c r="BD1101" s="27"/>
      <c r="BE1101" s="130"/>
    </row>
    <row r="1102" spans="1:57" s="25" customFormat="1">
      <c r="A1102" s="130"/>
      <c r="G1102" s="120"/>
      <c r="H1102" s="120"/>
      <c r="I1102" s="120"/>
      <c r="J1102" s="120"/>
      <c r="K1102" s="120"/>
      <c r="X1102" s="130"/>
      <c r="Y1102" s="130"/>
      <c r="Z1102" s="121"/>
      <c r="AA1102" s="121"/>
      <c r="AB1102" s="121"/>
      <c r="AC1102" s="121"/>
      <c r="AD1102" s="121"/>
      <c r="AE1102" s="121"/>
      <c r="AF1102" s="121"/>
      <c r="AG1102" s="121"/>
      <c r="AH1102" s="121"/>
      <c r="AI1102" s="121"/>
      <c r="AJ1102" s="121"/>
      <c r="AK1102" s="121"/>
      <c r="AL1102" s="121"/>
      <c r="AM1102" s="121"/>
      <c r="AN1102" s="121"/>
      <c r="AO1102" s="121"/>
      <c r="AP1102" s="121"/>
      <c r="AS1102" s="27"/>
      <c r="AT1102" s="27"/>
      <c r="AU1102" s="27"/>
      <c r="AV1102" s="27"/>
      <c r="AW1102" s="27"/>
      <c r="AX1102" s="27"/>
      <c r="AY1102" s="27"/>
      <c r="AZ1102" s="27"/>
      <c r="BA1102" s="27"/>
      <c r="BB1102" s="27"/>
      <c r="BC1102" s="133"/>
      <c r="BD1102" s="27"/>
      <c r="BE1102" s="130"/>
    </row>
    <row r="1103" spans="1:57" s="25" customFormat="1">
      <c r="A1103" s="130"/>
      <c r="G1103" s="120"/>
      <c r="H1103" s="120"/>
      <c r="I1103" s="120"/>
      <c r="J1103" s="120"/>
      <c r="K1103" s="120"/>
      <c r="X1103" s="130"/>
      <c r="Y1103" s="130"/>
      <c r="Z1103" s="121"/>
      <c r="AA1103" s="121"/>
      <c r="AB1103" s="121"/>
      <c r="AC1103" s="121"/>
      <c r="AD1103" s="121"/>
      <c r="AE1103" s="121"/>
      <c r="AF1103" s="121"/>
      <c r="AG1103" s="121"/>
      <c r="AH1103" s="121"/>
      <c r="AI1103" s="121"/>
      <c r="AJ1103" s="121"/>
      <c r="AK1103" s="121"/>
      <c r="AL1103" s="121"/>
      <c r="AM1103" s="121"/>
      <c r="AN1103" s="121"/>
      <c r="AO1103" s="121"/>
      <c r="AP1103" s="121"/>
      <c r="AS1103" s="27"/>
      <c r="AT1103" s="27"/>
      <c r="AU1103" s="27"/>
      <c r="AV1103" s="27"/>
      <c r="AW1103" s="27"/>
      <c r="AX1103" s="27"/>
      <c r="AY1103" s="27"/>
      <c r="AZ1103" s="27"/>
      <c r="BA1103" s="27"/>
      <c r="BB1103" s="27"/>
      <c r="BC1103" s="133"/>
      <c r="BD1103" s="27"/>
      <c r="BE1103" s="130"/>
    </row>
    <row r="1104" spans="1:57" s="25" customFormat="1">
      <c r="A1104" s="130"/>
      <c r="G1104" s="120"/>
      <c r="H1104" s="120"/>
      <c r="I1104" s="120"/>
      <c r="J1104" s="120"/>
      <c r="K1104" s="120"/>
      <c r="X1104" s="130"/>
      <c r="Y1104" s="130"/>
      <c r="Z1104" s="121"/>
      <c r="AA1104" s="121"/>
      <c r="AB1104" s="121"/>
      <c r="AC1104" s="121"/>
      <c r="AD1104" s="121"/>
      <c r="AE1104" s="121"/>
      <c r="AF1104" s="121"/>
      <c r="AG1104" s="121"/>
      <c r="AH1104" s="121"/>
      <c r="AI1104" s="121"/>
      <c r="AJ1104" s="121"/>
      <c r="AK1104" s="121"/>
      <c r="AL1104" s="121"/>
      <c r="AM1104" s="121"/>
      <c r="AN1104" s="121"/>
      <c r="AO1104" s="121"/>
      <c r="AP1104" s="121"/>
      <c r="AS1104" s="27"/>
      <c r="AT1104" s="27"/>
      <c r="AU1104" s="27"/>
      <c r="AV1104" s="27"/>
      <c r="AW1104" s="27"/>
      <c r="AX1104" s="27"/>
      <c r="AY1104" s="27"/>
      <c r="AZ1104" s="27"/>
      <c r="BA1104" s="27"/>
      <c r="BB1104" s="27"/>
      <c r="BC1104" s="133"/>
      <c r="BD1104" s="27"/>
      <c r="BE1104" s="130"/>
    </row>
    <row r="1105" spans="1:57" s="25" customFormat="1">
      <c r="A1105" s="130"/>
      <c r="G1105" s="120"/>
      <c r="H1105" s="120"/>
      <c r="I1105" s="120"/>
      <c r="J1105" s="120"/>
      <c r="K1105" s="120"/>
      <c r="X1105" s="130"/>
      <c r="Y1105" s="130"/>
      <c r="Z1105" s="121"/>
      <c r="AA1105" s="121"/>
      <c r="AB1105" s="121"/>
      <c r="AC1105" s="121"/>
      <c r="AD1105" s="121"/>
      <c r="AE1105" s="121"/>
      <c r="AF1105" s="121"/>
      <c r="AG1105" s="121"/>
      <c r="AH1105" s="121"/>
      <c r="AI1105" s="121"/>
      <c r="AJ1105" s="121"/>
      <c r="AK1105" s="121"/>
      <c r="AL1105" s="121"/>
      <c r="AM1105" s="121"/>
      <c r="AN1105" s="121"/>
      <c r="AO1105" s="121"/>
      <c r="AP1105" s="121"/>
      <c r="AS1105" s="27"/>
      <c r="AT1105" s="27"/>
      <c r="AU1105" s="27"/>
      <c r="AV1105" s="27"/>
      <c r="AW1105" s="27"/>
      <c r="AX1105" s="27"/>
      <c r="AY1105" s="27"/>
      <c r="AZ1105" s="27"/>
      <c r="BA1105" s="27"/>
      <c r="BB1105" s="27"/>
      <c r="BC1105" s="133"/>
      <c r="BD1105" s="27"/>
      <c r="BE1105" s="130"/>
    </row>
    <row r="1106" spans="1:57" s="25" customFormat="1">
      <c r="A1106" s="130"/>
      <c r="G1106" s="120"/>
      <c r="H1106" s="120"/>
      <c r="I1106" s="120"/>
      <c r="J1106" s="120"/>
      <c r="K1106" s="120"/>
      <c r="X1106" s="130"/>
      <c r="Y1106" s="130"/>
      <c r="Z1106" s="121"/>
      <c r="AA1106" s="121"/>
      <c r="AB1106" s="121"/>
      <c r="AC1106" s="121"/>
      <c r="AD1106" s="121"/>
      <c r="AE1106" s="121"/>
      <c r="AF1106" s="121"/>
      <c r="AG1106" s="121"/>
      <c r="AH1106" s="121"/>
      <c r="AI1106" s="121"/>
      <c r="AJ1106" s="121"/>
      <c r="AK1106" s="121"/>
      <c r="AL1106" s="121"/>
      <c r="AM1106" s="121"/>
      <c r="AN1106" s="121"/>
      <c r="AO1106" s="121"/>
      <c r="AP1106" s="121"/>
      <c r="AS1106" s="27"/>
      <c r="AT1106" s="27"/>
      <c r="AU1106" s="27"/>
      <c r="AV1106" s="27"/>
      <c r="AW1106" s="27"/>
      <c r="AX1106" s="27"/>
      <c r="AY1106" s="27"/>
      <c r="AZ1106" s="27"/>
      <c r="BA1106" s="27"/>
      <c r="BB1106" s="27"/>
      <c r="BC1106" s="133"/>
      <c r="BD1106" s="27"/>
      <c r="BE1106" s="130"/>
    </row>
    <row r="1107" spans="1:57" s="25" customFormat="1">
      <c r="A1107" s="130"/>
      <c r="G1107" s="120"/>
      <c r="H1107" s="120"/>
      <c r="I1107" s="120"/>
      <c r="J1107" s="120"/>
      <c r="K1107" s="120"/>
      <c r="X1107" s="130"/>
      <c r="Y1107" s="130"/>
      <c r="Z1107" s="121"/>
      <c r="AA1107" s="121"/>
      <c r="AB1107" s="121"/>
      <c r="AC1107" s="121"/>
      <c r="AD1107" s="121"/>
      <c r="AE1107" s="121"/>
      <c r="AF1107" s="121"/>
      <c r="AG1107" s="121"/>
      <c r="AH1107" s="121"/>
      <c r="AI1107" s="121"/>
      <c r="AJ1107" s="121"/>
      <c r="AK1107" s="121"/>
      <c r="AL1107" s="121"/>
      <c r="AM1107" s="121"/>
      <c r="AN1107" s="121"/>
      <c r="AO1107" s="121"/>
      <c r="AP1107" s="121"/>
      <c r="AS1107" s="27"/>
      <c r="AT1107" s="27"/>
      <c r="AU1107" s="27"/>
      <c r="AV1107" s="27"/>
      <c r="AW1107" s="27"/>
      <c r="AX1107" s="27"/>
      <c r="AY1107" s="27"/>
      <c r="AZ1107" s="27"/>
      <c r="BA1107" s="27"/>
      <c r="BB1107" s="27"/>
      <c r="BC1107" s="133"/>
      <c r="BD1107" s="27"/>
      <c r="BE1107" s="130"/>
    </row>
    <row r="1108" spans="1:57" s="25" customFormat="1">
      <c r="A1108" s="130"/>
      <c r="G1108" s="120"/>
      <c r="H1108" s="120"/>
      <c r="I1108" s="120"/>
      <c r="J1108" s="120"/>
      <c r="K1108" s="120"/>
      <c r="X1108" s="130"/>
      <c r="Y1108" s="130"/>
      <c r="Z1108" s="121"/>
      <c r="AA1108" s="121"/>
      <c r="AB1108" s="121"/>
      <c r="AC1108" s="121"/>
      <c r="AD1108" s="121"/>
      <c r="AE1108" s="121"/>
      <c r="AF1108" s="121"/>
      <c r="AG1108" s="121"/>
      <c r="AH1108" s="121"/>
      <c r="AI1108" s="121"/>
      <c r="AJ1108" s="121"/>
      <c r="AK1108" s="121"/>
      <c r="AL1108" s="121"/>
      <c r="AM1108" s="121"/>
      <c r="AN1108" s="121"/>
      <c r="AO1108" s="121"/>
      <c r="AP1108" s="121"/>
      <c r="AS1108" s="27"/>
      <c r="AT1108" s="27"/>
      <c r="AU1108" s="27"/>
      <c r="AV1108" s="27"/>
      <c r="AW1108" s="27"/>
      <c r="AX1108" s="27"/>
      <c r="AY1108" s="27"/>
      <c r="AZ1108" s="27"/>
      <c r="BA1108" s="27"/>
      <c r="BB1108" s="27"/>
      <c r="BC1108" s="133"/>
      <c r="BD1108" s="27"/>
      <c r="BE1108" s="130"/>
    </row>
    <row r="1109" spans="1:57" s="25" customFormat="1">
      <c r="A1109" s="130"/>
      <c r="G1109" s="120"/>
      <c r="H1109" s="120"/>
      <c r="I1109" s="120"/>
      <c r="J1109" s="120"/>
      <c r="K1109" s="120"/>
      <c r="X1109" s="130"/>
      <c r="Y1109" s="130"/>
      <c r="Z1109" s="121"/>
      <c r="AA1109" s="121"/>
      <c r="AB1109" s="121"/>
      <c r="AC1109" s="121"/>
      <c r="AD1109" s="121"/>
      <c r="AE1109" s="121"/>
      <c r="AF1109" s="121"/>
      <c r="AG1109" s="121"/>
      <c r="AH1109" s="121"/>
      <c r="AI1109" s="121"/>
      <c r="AJ1109" s="121"/>
      <c r="AK1109" s="121"/>
      <c r="AL1109" s="121"/>
      <c r="AM1109" s="121"/>
      <c r="AN1109" s="121"/>
      <c r="AO1109" s="121"/>
      <c r="AP1109" s="121"/>
      <c r="AS1109" s="27"/>
      <c r="AT1109" s="27"/>
      <c r="AU1109" s="27"/>
      <c r="AV1109" s="27"/>
      <c r="AW1109" s="27"/>
      <c r="AX1109" s="27"/>
      <c r="AY1109" s="27"/>
      <c r="AZ1109" s="27"/>
      <c r="BA1109" s="27"/>
      <c r="BB1109" s="27"/>
      <c r="BC1109" s="133"/>
      <c r="BD1109" s="27"/>
      <c r="BE1109" s="130"/>
    </row>
    <row r="1110" spans="1:57" s="25" customFormat="1">
      <c r="A1110" s="130"/>
      <c r="G1110" s="120"/>
      <c r="H1110" s="120"/>
      <c r="I1110" s="120"/>
      <c r="J1110" s="120"/>
      <c r="K1110" s="120"/>
      <c r="X1110" s="130"/>
      <c r="Y1110" s="130"/>
      <c r="Z1110" s="121"/>
      <c r="AA1110" s="121"/>
      <c r="AB1110" s="121"/>
      <c r="AC1110" s="121"/>
      <c r="AD1110" s="121"/>
      <c r="AE1110" s="121"/>
      <c r="AF1110" s="121"/>
      <c r="AG1110" s="121"/>
      <c r="AH1110" s="121"/>
      <c r="AI1110" s="121"/>
      <c r="AJ1110" s="121"/>
      <c r="AK1110" s="121"/>
      <c r="AL1110" s="121"/>
      <c r="AM1110" s="121"/>
      <c r="AN1110" s="121"/>
      <c r="AO1110" s="121"/>
      <c r="AP1110" s="121"/>
      <c r="AS1110" s="27"/>
      <c r="AT1110" s="27"/>
      <c r="AU1110" s="27"/>
      <c r="AV1110" s="27"/>
      <c r="AW1110" s="27"/>
      <c r="AX1110" s="27"/>
      <c r="AY1110" s="27"/>
      <c r="AZ1110" s="27"/>
      <c r="BA1110" s="27"/>
      <c r="BB1110" s="27"/>
      <c r="BC1110" s="133"/>
      <c r="BD1110" s="27"/>
      <c r="BE1110" s="130"/>
    </row>
    <row r="1111" spans="1:57" s="25" customFormat="1">
      <c r="A1111" s="130"/>
      <c r="G1111" s="120"/>
      <c r="H1111" s="120"/>
      <c r="I1111" s="120"/>
      <c r="J1111" s="120"/>
      <c r="K1111" s="120"/>
      <c r="X1111" s="130"/>
      <c r="Y1111" s="130"/>
      <c r="Z1111" s="121"/>
      <c r="AA1111" s="121"/>
      <c r="AB1111" s="121"/>
      <c r="AC1111" s="121"/>
      <c r="AD1111" s="121"/>
      <c r="AE1111" s="121"/>
      <c r="AF1111" s="121"/>
      <c r="AG1111" s="121"/>
      <c r="AH1111" s="121"/>
      <c r="AI1111" s="121"/>
      <c r="AJ1111" s="121"/>
      <c r="AK1111" s="121"/>
      <c r="AL1111" s="121"/>
      <c r="AM1111" s="121"/>
      <c r="AN1111" s="121"/>
      <c r="AO1111" s="121"/>
      <c r="AP1111" s="121"/>
      <c r="AS1111" s="27"/>
      <c r="AT1111" s="27"/>
      <c r="AU1111" s="27"/>
      <c r="AV1111" s="27"/>
      <c r="AW1111" s="27"/>
      <c r="AX1111" s="27"/>
      <c r="AY1111" s="27"/>
      <c r="AZ1111" s="27"/>
      <c r="BA1111" s="27"/>
      <c r="BB1111" s="27"/>
      <c r="BC1111" s="133"/>
      <c r="BD1111" s="27"/>
      <c r="BE1111" s="130"/>
    </row>
    <row r="1112" spans="1:57" s="25" customFormat="1">
      <c r="A1112" s="130"/>
      <c r="G1112" s="120"/>
      <c r="H1112" s="120"/>
      <c r="I1112" s="120"/>
      <c r="J1112" s="120"/>
      <c r="K1112" s="120"/>
      <c r="X1112" s="130"/>
      <c r="Y1112" s="130"/>
      <c r="Z1112" s="121"/>
      <c r="AA1112" s="121"/>
      <c r="AB1112" s="121"/>
      <c r="AC1112" s="121"/>
      <c r="AD1112" s="121"/>
      <c r="AE1112" s="121"/>
      <c r="AF1112" s="121"/>
      <c r="AG1112" s="121"/>
      <c r="AH1112" s="121"/>
      <c r="AI1112" s="121"/>
      <c r="AJ1112" s="121"/>
      <c r="AK1112" s="121"/>
      <c r="AL1112" s="121"/>
      <c r="AM1112" s="121"/>
      <c r="AN1112" s="121"/>
      <c r="AO1112" s="121"/>
      <c r="AP1112" s="121"/>
      <c r="AS1112" s="27"/>
      <c r="AT1112" s="27"/>
      <c r="AU1112" s="27"/>
      <c r="AV1112" s="27"/>
      <c r="AW1112" s="27"/>
      <c r="AX1112" s="27"/>
      <c r="AY1112" s="27"/>
      <c r="AZ1112" s="27"/>
      <c r="BA1112" s="27"/>
      <c r="BB1112" s="27"/>
      <c r="BC1112" s="133"/>
      <c r="BD1112" s="27"/>
      <c r="BE1112" s="130"/>
    </row>
    <row r="1113" spans="1:57" s="25" customFormat="1">
      <c r="A1113" s="130"/>
      <c r="G1113" s="120"/>
      <c r="H1113" s="120"/>
      <c r="I1113" s="120"/>
      <c r="J1113" s="120"/>
      <c r="K1113" s="120"/>
      <c r="X1113" s="130"/>
      <c r="Y1113" s="130"/>
      <c r="Z1113" s="121"/>
      <c r="AA1113" s="121"/>
      <c r="AB1113" s="121"/>
      <c r="AC1113" s="121"/>
      <c r="AD1113" s="121"/>
      <c r="AE1113" s="121"/>
      <c r="AF1113" s="121"/>
      <c r="AG1113" s="121"/>
      <c r="AH1113" s="121"/>
      <c r="AI1113" s="121"/>
      <c r="AJ1113" s="121"/>
      <c r="AK1113" s="121"/>
      <c r="AL1113" s="121"/>
      <c r="AM1113" s="121"/>
      <c r="AN1113" s="121"/>
      <c r="AO1113" s="121"/>
      <c r="AP1113" s="121"/>
      <c r="AS1113" s="27"/>
      <c r="AT1113" s="27"/>
      <c r="AU1113" s="27"/>
      <c r="AV1113" s="27"/>
      <c r="AW1113" s="27"/>
      <c r="AX1113" s="27"/>
      <c r="AY1113" s="27"/>
      <c r="AZ1113" s="27"/>
      <c r="BA1113" s="27"/>
      <c r="BB1113" s="27"/>
      <c r="BC1113" s="133"/>
      <c r="BD1113" s="27"/>
      <c r="BE1113" s="130"/>
    </row>
    <row r="1114" spans="1:57" s="25" customFormat="1">
      <c r="A1114" s="130"/>
      <c r="G1114" s="120"/>
      <c r="H1114" s="120"/>
      <c r="I1114" s="120"/>
      <c r="J1114" s="120"/>
      <c r="K1114" s="120"/>
      <c r="X1114" s="130"/>
      <c r="Y1114" s="130"/>
      <c r="Z1114" s="121"/>
      <c r="AA1114" s="121"/>
      <c r="AB1114" s="121"/>
      <c r="AC1114" s="121"/>
      <c r="AD1114" s="121"/>
      <c r="AE1114" s="121"/>
      <c r="AF1114" s="121"/>
      <c r="AG1114" s="121"/>
      <c r="AH1114" s="121"/>
      <c r="AI1114" s="121"/>
      <c r="AJ1114" s="121"/>
      <c r="AK1114" s="121"/>
      <c r="AL1114" s="121"/>
      <c r="AM1114" s="121"/>
      <c r="AN1114" s="121"/>
      <c r="AO1114" s="121"/>
      <c r="AP1114" s="121"/>
      <c r="AS1114" s="27"/>
      <c r="AT1114" s="27"/>
      <c r="AU1114" s="27"/>
      <c r="AV1114" s="27"/>
      <c r="AW1114" s="27"/>
      <c r="AX1114" s="27"/>
      <c r="AY1114" s="27"/>
      <c r="AZ1114" s="27"/>
      <c r="BA1114" s="27"/>
      <c r="BB1114" s="27"/>
      <c r="BC1114" s="133"/>
      <c r="BD1114" s="27"/>
      <c r="BE1114" s="130"/>
    </row>
    <row r="1115" spans="1:57" s="25" customFormat="1">
      <c r="A1115" s="130"/>
      <c r="G1115" s="120"/>
      <c r="H1115" s="120"/>
      <c r="I1115" s="120"/>
      <c r="J1115" s="120"/>
      <c r="K1115" s="120"/>
      <c r="X1115" s="130"/>
      <c r="Y1115" s="130"/>
      <c r="Z1115" s="121"/>
      <c r="AA1115" s="121"/>
      <c r="AB1115" s="121"/>
      <c r="AC1115" s="121"/>
      <c r="AD1115" s="121"/>
      <c r="AE1115" s="121"/>
      <c r="AF1115" s="121"/>
      <c r="AG1115" s="121"/>
      <c r="AH1115" s="121"/>
      <c r="AI1115" s="121"/>
      <c r="AJ1115" s="121"/>
      <c r="AK1115" s="121"/>
      <c r="AL1115" s="121"/>
      <c r="AM1115" s="121"/>
      <c r="AN1115" s="121"/>
      <c r="AO1115" s="121"/>
      <c r="AP1115" s="121"/>
      <c r="AS1115" s="27"/>
      <c r="AT1115" s="27"/>
      <c r="AU1115" s="27"/>
      <c r="AV1115" s="27"/>
      <c r="AW1115" s="27"/>
      <c r="AX1115" s="27"/>
      <c r="AY1115" s="27"/>
      <c r="AZ1115" s="27"/>
      <c r="BA1115" s="27"/>
      <c r="BB1115" s="27"/>
      <c r="BC1115" s="133"/>
      <c r="BD1115" s="27"/>
      <c r="BE1115" s="130"/>
    </row>
    <row r="1116" spans="1:57" s="25" customFormat="1">
      <c r="A1116" s="130"/>
      <c r="G1116" s="120"/>
      <c r="H1116" s="120"/>
      <c r="I1116" s="120"/>
      <c r="J1116" s="120"/>
      <c r="K1116" s="120"/>
      <c r="X1116" s="130"/>
      <c r="Y1116" s="130"/>
      <c r="Z1116" s="121"/>
      <c r="AA1116" s="121"/>
      <c r="AB1116" s="121"/>
      <c r="AC1116" s="121"/>
      <c r="AD1116" s="121"/>
      <c r="AE1116" s="121"/>
      <c r="AF1116" s="121"/>
      <c r="AG1116" s="121"/>
      <c r="AH1116" s="121"/>
      <c r="AI1116" s="121"/>
      <c r="AJ1116" s="121"/>
      <c r="AK1116" s="121"/>
      <c r="AL1116" s="121"/>
      <c r="AM1116" s="121"/>
      <c r="AN1116" s="121"/>
      <c r="AO1116" s="121"/>
      <c r="AP1116" s="121"/>
      <c r="AS1116" s="27"/>
      <c r="AT1116" s="27"/>
      <c r="AU1116" s="27"/>
      <c r="AV1116" s="27"/>
      <c r="AW1116" s="27"/>
      <c r="AX1116" s="27"/>
      <c r="AY1116" s="27"/>
      <c r="AZ1116" s="27"/>
      <c r="BA1116" s="27"/>
      <c r="BB1116" s="27"/>
      <c r="BC1116" s="133"/>
      <c r="BD1116" s="27"/>
      <c r="BE1116" s="130"/>
    </row>
    <row r="1117" spans="1:57" s="25" customFormat="1">
      <c r="A1117" s="130"/>
      <c r="G1117" s="120"/>
      <c r="H1117" s="120"/>
      <c r="I1117" s="120"/>
      <c r="J1117" s="120"/>
      <c r="K1117" s="120"/>
      <c r="X1117" s="130"/>
      <c r="Y1117" s="130"/>
      <c r="Z1117" s="121"/>
      <c r="AA1117" s="121"/>
      <c r="AB1117" s="121"/>
      <c r="AC1117" s="121"/>
      <c r="AD1117" s="121"/>
      <c r="AE1117" s="121"/>
      <c r="AF1117" s="121"/>
      <c r="AG1117" s="121"/>
      <c r="AH1117" s="121"/>
      <c r="AI1117" s="121"/>
      <c r="AJ1117" s="121"/>
      <c r="AK1117" s="121"/>
      <c r="AL1117" s="121"/>
      <c r="AM1117" s="121"/>
      <c r="AN1117" s="121"/>
      <c r="AO1117" s="121"/>
      <c r="AP1117" s="121"/>
      <c r="AS1117" s="27"/>
      <c r="AT1117" s="27"/>
      <c r="AU1117" s="27"/>
      <c r="AV1117" s="27"/>
      <c r="AW1117" s="27"/>
      <c r="AX1117" s="27"/>
      <c r="AY1117" s="27"/>
      <c r="AZ1117" s="27"/>
      <c r="BA1117" s="27"/>
      <c r="BB1117" s="27"/>
      <c r="BC1117" s="133"/>
      <c r="BD1117" s="27"/>
      <c r="BE1117" s="130"/>
    </row>
    <row r="1118" spans="1:57" s="25" customFormat="1">
      <c r="A1118" s="130"/>
      <c r="G1118" s="120"/>
      <c r="H1118" s="120"/>
      <c r="I1118" s="120"/>
      <c r="J1118" s="120"/>
      <c r="K1118" s="120"/>
      <c r="X1118" s="130"/>
      <c r="Y1118" s="130"/>
      <c r="Z1118" s="121"/>
      <c r="AA1118" s="121"/>
      <c r="AB1118" s="121"/>
      <c r="AC1118" s="121"/>
      <c r="AD1118" s="121"/>
      <c r="AE1118" s="121"/>
      <c r="AF1118" s="121"/>
      <c r="AG1118" s="121"/>
      <c r="AH1118" s="121"/>
      <c r="AI1118" s="121"/>
      <c r="AJ1118" s="121"/>
      <c r="AK1118" s="121"/>
      <c r="AL1118" s="121"/>
      <c r="AM1118" s="121"/>
      <c r="AN1118" s="121"/>
      <c r="AO1118" s="121"/>
      <c r="AP1118" s="121"/>
      <c r="AS1118" s="27"/>
      <c r="AT1118" s="27"/>
      <c r="AU1118" s="27"/>
      <c r="AV1118" s="27"/>
      <c r="AW1118" s="27"/>
      <c r="AX1118" s="27"/>
      <c r="AY1118" s="27"/>
      <c r="AZ1118" s="27"/>
      <c r="BA1118" s="27"/>
      <c r="BB1118" s="27"/>
      <c r="BC1118" s="133"/>
      <c r="BD1118" s="27"/>
      <c r="BE1118" s="130"/>
    </row>
    <row r="1119" spans="1:57" s="25" customFormat="1">
      <c r="A1119" s="130"/>
      <c r="G1119" s="120"/>
      <c r="H1119" s="120"/>
      <c r="I1119" s="120"/>
      <c r="J1119" s="120"/>
      <c r="K1119" s="120"/>
      <c r="X1119" s="130"/>
      <c r="Y1119" s="130"/>
      <c r="Z1119" s="121"/>
      <c r="AA1119" s="121"/>
      <c r="AB1119" s="121"/>
      <c r="AC1119" s="121"/>
      <c r="AD1119" s="121"/>
      <c r="AE1119" s="121"/>
      <c r="AF1119" s="121"/>
      <c r="AG1119" s="121"/>
      <c r="AH1119" s="121"/>
      <c r="AI1119" s="121"/>
      <c r="AJ1119" s="121"/>
      <c r="AK1119" s="121"/>
      <c r="AL1119" s="121"/>
      <c r="AM1119" s="121"/>
      <c r="AN1119" s="121"/>
      <c r="AO1119" s="121"/>
      <c r="AP1119" s="121"/>
      <c r="AS1119" s="27"/>
      <c r="AT1119" s="27"/>
      <c r="AU1119" s="27"/>
      <c r="AV1119" s="27"/>
      <c r="AW1119" s="27"/>
      <c r="AX1119" s="27"/>
      <c r="AY1119" s="27"/>
      <c r="AZ1119" s="27"/>
      <c r="BA1119" s="27"/>
      <c r="BB1119" s="27"/>
      <c r="BC1119" s="133"/>
      <c r="BD1119" s="27"/>
      <c r="BE1119" s="130"/>
    </row>
    <row r="1120" spans="1:57" s="25" customFormat="1">
      <c r="A1120" s="130"/>
      <c r="G1120" s="120"/>
      <c r="H1120" s="120"/>
      <c r="I1120" s="120"/>
      <c r="J1120" s="120"/>
      <c r="K1120" s="120"/>
      <c r="X1120" s="130"/>
      <c r="Y1120" s="130"/>
      <c r="Z1120" s="121"/>
      <c r="AA1120" s="121"/>
      <c r="AB1120" s="121"/>
      <c r="AC1120" s="121"/>
      <c r="AD1120" s="121"/>
      <c r="AE1120" s="121"/>
      <c r="AF1120" s="121"/>
      <c r="AG1120" s="121"/>
      <c r="AH1120" s="121"/>
      <c r="AI1120" s="121"/>
      <c r="AJ1120" s="121"/>
      <c r="AK1120" s="121"/>
      <c r="AL1120" s="121"/>
      <c r="AM1120" s="121"/>
      <c r="AN1120" s="121"/>
      <c r="AO1120" s="121"/>
      <c r="AP1120" s="121"/>
      <c r="AS1120" s="27"/>
      <c r="AT1120" s="27"/>
      <c r="AU1120" s="27"/>
      <c r="AV1120" s="27"/>
      <c r="AW1120" s="27"/>
      <c r="AX1120" s="27"/>
      <c r="AY1120" s="27"/>
      <c r="AZ1120" s="27"/>
      <c r="BA1120" s="27"/>
      <c r="BB1120" s="27"/>
      <c r="BC1120" s="133"/>
      <c r="BD1120" s="27"/>
      <c r="BE1120" s="130"/>
    </row>
    <row r="1121" spans="1:57" s="25" customFormat="1">
      <c r="A1121" s="130"/>
      <c r="G1121" s="120"/>
      <c r="H1121" s="120"/>
      <c r="I1121" s="120"/>
      <c r="J1121" s="120"/>
      <c r="K1121" s="120"/>
      <c r="X1121" s="130"/>
      <c r="Y1121" s="130"/>
      <c r="Z1121" s="121"/>
      <c r="AA1121" s="121"/>
      <c r="AB1121" s="121"/>
      <c r="AC1121" s="121"/>
      <c r="AD1121" s="121"/>
      <c r="AE1121" s="121"/>
      <c r="AF1121" s="121"/>
      <c r="AG1121" s="121"/>
      <c r="AH1121" s="121"/>
      <c r="AI1121" s="121"/>
      <c r="AJ1121" s="121"/>
      <c r="AK1121" s="121"/>
      <c r="AL1121" s="121"/>
      <c r="AM1121" s="121"/>
      <c r="AN1121" s="121"/>
      <c r="AO1121" s="121"/>
      <c r="AP1121" s="121"/>
      <c r="AS1121" s="27"/>
      <c r="AT1121" s="27"/>
      <c r="AU1121" s="27"/>
      <c r="AV1121" s="27"/>
      <c r="AW1121" s="27"/>
      <c r="AX1121" s="27"/>
      <c r="AY1121" s="27"/>
      <c r="AZ1121" s="27"/>
      <c r="BA1121" s="27"/>
      <c r="BB1121" s="27"/>
      <c r="BC1121" s="133"/>
      <c r="BD1121" s="27"/>
      <c r="BE1121" s="130"/>
    </row>
    <row r="1122" spans="1:57" s="25" customFormat="1">
      <c r="A1122" s="130"/>
      <c r="G1122" s="120"/>
      <c r="H1122" s="120"/>
      <c r="I1122" s="120"/>
      <c r="J1122" s="120"/>
      <c r="K1122" s="120"/>
      <c r="X1122" s="130"/>
      <c r="Y1122" s="130"/>
      <c r="Z1122" s="121"/>
      <c r="AA1122" s="121"/>
      <c r="AB1122" s="121"/>
      <c r="AC1122" s="121"/>
      <c r="AD1122" s="121"/>
      <c r="AE1122" s="121"/>
      <c r="AF1122" s="121"/>
      <c r="AG1122" s="121"/>
      <c r="AH1122" s="121"/>
      <c r="AI1122" s="121"/>
      <c r="AJ1122" s="121"/>
      <c r="AK1122" s="121"/>
      <c r="AL1122" s="121"/>
      <c r="AM1122" s="121"/>
      <c r="AN1122" s="121"/>
      <c r="AO1122" s="121"/>
      <c r="AP1122" s="121"/>
      <c r="AS1122" s="27"/>
      <c r="AT1122" s="27"/>
      <c r="AU1122" s="27"/>
      <c r="AV1122" s="27"/>
      <c r="AW1122" s="27"/>
      <c r="AX1122" s="27"/>
      <c r="AY1122" s="27"/>
      <c r="AZ1122" s="27"/>
      <c r="BA1122" s="27"/>
      <c r="BB1122" s="27"/>
      <c r="BC1122" s="133"/>
      <c r="BD1122" s="27"/>
      <c r="BE1122" s="130"/>
    </row>
    <row r="1123" spans="1:57" s="25" customFormat="1">
      <c r="A1123" s="130"/>
      <c r="G1123" s="120"/>
      <c r="H1123" s="120"/>
      <c r="I1123" s="120"/>
      <c r="J1123" s="120"/>
      <c r="K1123" s="120"/>
      <c r="X1123" s="130"/>
      <c r="Y1123" s="130"/>
      <c r="Z1123" s="121"/>
      <c r="AA1123" s="121"/>
      <c r="AB1123" s="121"/>
      <c r="AC1123" s="121"/>
      <c r="AD1123" s="121"/>
      <c r="AE1123" s="121"/>
      <c r="AF1123" s="121"/>
      <c r="AG1123" s="121"/>
      <c r="AH1123" s="121"/>
      <c r="AI1123" s="121"/>
      <c r="AJ1123" s="121"/>
      <c r="AK1123" s="121"/>
      <c r="AL1123" s="121"/>
      <c r="AM1123" s="121"/>
      <c r="AN1123" s="121"/>
      <c r="AO1123" s="121"/>
      <c r="AP1123" s="121"/>
      <c r="AS1123" s="27"/>
      <c r="AT1123" s="27"/>
      <c r="AU1123" s="27"/>
      <c r="AV1123" s="27"/>
      <c r="AW1123" s="27"/>
      <c r="AX1123" s="27"/>
      <c r="AY1123" s="27"/>
      <c r="AZ1123" s="27"/>
      <c r="BA1123" s="27"/>
      <c r="BB1123" s="27"/>
      <c r="BC1123" s="133"/>
      <c r="BD1123" s="27"/>
      <c r="BE1123" s="130"/>
    </row>
    <row r="1124" spans="1:57" s="25" customFormat="1">
      <c r="A1124" s="130"/>
      <c r="G1124" s="120"/>
      <c r="H1124" s="120"/>
      <c r="I1124" s="120"/>
      <c r="J1124" s="120"/>
      <c r="K1124" s="120"/>
      <c r="X1124" s="130"/>
      <c r="Y1124" s="130"/>
      <c r="Z1124" s="121"/>
      <c r="AA1124" s="121"/>
      <c r="AB1124" s="121"/>
      <c r="AC1124" s="121"/>
      <c r="AD1124" s="121"/>
      <c r="AE1124" s="121"/>
      <c r="AF1124" s="121"/>
      <c r="AG1124" s="121"/>
      <c r="AH1124" s="121"/>
      <c r="AI1124" s="121"/>
      <c r="AJ1124" s="121"/>
      <c r="AK1124" s="121"/>
      <c r="AL1124" s="121"/>
      <c r="AM1124" s="121"/>
      <c r="AN1124" s="121"/>
      <c r="AO1124" s="121"/>
      <c r="AP1124" s="121"/>
      <c r="AS1124" s="27"/>
      <c r="AT1124" s="27"/>
      <c r="AU1124" s="27"/>
      <c r="AV1124" s="27"/>
      <c r="AW1124" s="27"/>
      <c r="AX1124" s="27"/>
      <c r="AY1124" s="27"/>
      <c r="AZ1124" s="27"/>
      <c r="BA1124" s="27"/>
      <c r="BB1124" s="27"/>
      <c r="BC1124" s="133"/>
      <c r="BD1124" s="27"/>
      <c r="BE1124" s="130"/>
    </row>
    <row r="1125" spans="1:57" s="25" customFormat="1">
      <c r="A1125" s="130"/>
      <c r="G1125" s="120"/>
      <c r="H1125" s="120"/>
      <c r="I1125" s="120"/>
      <c r="J1125" s="120"/>
      <c r="K1125" s="120"/>
      <c r="X1125" s="130"/>
      <c r="Y1125" s="130"/>
      <c r="Z1125" s="121"/>
      <c r="AA1125" s="121"/>
      <c r="AB1125" s="121"/>
      <c r="AC1125" s="121"/>
      <c r="AD1125" s="121"/>
      <c r="AE1125" s="121"/>
      <c r="AF1125" s="121"/>
      <c r="AG1125" s="121"/>
      <c r="AH1125" s="121"/>
      <c r="AI1125" s="121"/>
      <c r="AJ1125" s="121"/>
      <c r="AK1125" s="121"/>
      <c r="AL1125" s="121"/>
      <c r="AM1125" s="121"/>
      <c r="AN1125" s="121"/>
      <c r="AO1125" s="121"/>
      <c r="AP1125" s="121"/>
      <c r="AS1125" s="27"/>
      <c r="AT1125" s="27"/>
      <c r="AU1125" s="27"/>
      <c r="AV1125" s="27"/>
      <c r="AW1125" s="27"/>
      <c r="AX1125" s="27"/>
      <c r="AY1125" s="27"/>
      <c r="AZ1125" s="27"/>
      <c r="BA1125" s="27"/>
      <c r="BB1125" s="27"/>
      <c r="BC1125" s="133"/>
      <c r="BD1125" s="27"/>
      <c r="BE1125" s="130"/>
    </row>
    <row r="1126" spans="1:57" s="25" customFormat="1">
      <c r="A1126" s="130"/>
      <c r="G1126" s="120"/>
      <c r="H1126" s="120"/>
      <c r="I1126" s="120"/>
      <c r="J1126" s="120"/>
      <c r="K1126" s="120"/>
      <c r="X1126" s="130"/>
      <c r="Y1126" s="130"/>
      <c r="Z1126" s="121"/>
      <c r="AA1126" s="121"/>
      <c r="AB1126" s="121"/>
      <c r="AC1126" s="121"/>
      <c r="AD1126" s="121"/>
      <c r="AE1126" s="121"/>
      <c r="AF1126" s="121"/>
      <c r="AG1126" s="121"/>
      <c r="AH1126" s="121"/>
      <c r="AI1126" s="121"/>
      <c r="AJ1126" s="121"/>
      <c r="AK1126" s="121"/>
      <c r="AL1126" s="121"/>
      <c r="AM1126" s="121"/>
      <c r="AN1126" s="121"/>
      <c r="AO1126" s="121"/>
      <c r="AP1126" s="121"/>
      <c r="AS1126" s="27"/>
      <c r="AT1126" s="27"/>
      <c r="AU1126" s="27"/>
      <c r="AV1126" s="27"/>
      <c r="AW1126" s="27"/>
      <c r="AX1126" s="27"/>
      <c r="AY1126" s="27"/>
      <c r="AZ1126" s="27"/>
      <c r="BA1126" s="27"/>
      <c r="BB1126" s="27"/>
      <c r="BC1126" s="133"/>
      <c r="BD1126" s="27"/>
      <c r="BE1126" s="130"/>
    </row>
    <row r="1127" spans="1:57" s="25" customFormat="1">
      <c r="A1127" s="130"/>
      <c r="G1127" s="120"/>
      <c r="H1127" s="120"/>
      <c r="I1127" s="120"/>
      <c r="J1127" s="120"/>
      <c r="K1127" s="120"/>
      <c r="X1127" s="130"/>
      <c r="Y1127" s="130"/>
      <c r="Z1127" s="121"/>
      <c r="AA1127" s="121"/>
      <c r="AB1127" s="121"/>
      <c r="AC1127" s="121"/>
      <c r="AD1127" s="121"/>
      <c r="AE1127" s="121"/>
      <c r="AF1127" s="121"/>
      <c r="AG1127" s="121"/>
      <c r="AH1127" s="121"/>
      <c r="AI1127" s="121"/>
      <c r="AJ1127" s="121"/>
      <c r="AK1127" s="121"/>
      <c r="AL1127" s="121"/>
      <c r="AM1127" s="121"/>
      <c r="AN1127" s="121"/>
      <c r="AO1127" s="121"/>
      <c r="AP1127" s="121"/>
      <c r="AS1127" s="27"/>
      <c r="AT1127" s="27"/>
      <c r="AU1127" s="27"/>
      <c r="AV1127" s="27"/>
      <c r="AW1127" s="27"/>
      <c r="AX1127" s="27"/>
      <c r="AY1127" s="27"/>
      <c r="AZ1127" s="27"/>
      <c r="BA1127" s="27"/>
      <c r="BB1127" s="27"/>
      <c r="BC1127" s="133"/>
      <c r="BD1127" s="27"/>
      <c r="BE1127" s="130"/>
    </row>
    <row r="1128" spans="1:57" s="25" customFormat="1">
      <c r="A1128" s="130"/>
      <c r="G1128" s="120"/>
      <c r="H1128" s="120"/>
      <c r="I1128" s="120"/>
      <c r="J1128" s="120"/>
      <c r="K1128" s="120"/>
      <c r="X1128" s="130"/>
      <c r="Y1128" s="130"/>
      <c r="Z1128" s="121"/>
      <c r="AA1128" s="121"/>
      <c r="AB1128" s="121"/>
      <c r="AC1128" s="121"/>
      <c r="AD1128" s="121"/>
      <c r="AE1128" s="121"/>
      <c r="AF1128" s="121"/>
      <c r="AG1128" s="121"/>
      <c r="AH1128" s="121"/>
      <c r="AI1128" s="121"/>
      <c r="AJ1128" s="121"/>
      <c r="AK1128" s="121"/>
      <c r="AL1128" s="121"/>
      <c r="AM1128" s="121"/>
      <c r="AN1128" s="121"/>
      <c r="AO1128" s="121"/>
      <c r="AP1128" s="121"/>
      <c r="AS1128" s="27"/>
      <c r="AT1128" s="27"/>
      <c r="AU1128" s="27"/>
      <c r="AV1128" s="27"/>
      <c r="AW1128" s="27"/>
      <c r="AX1128" s="27"/>
      <c r="AY1128" s="27"/>
      <c r="AZ1128" s="27"/>
      <c r="BA1128" s="27"/>
      <c r="BB1128" s="27"/>
      <c r="BC1128" s="133"/>
      <c r="BD1128" s="27"/>
      <c r="BE1128" s="130"/>
    </row>
    <row r="1129" spans="1:57" s="25" customFormat="1">
      <c r="A1129" s="130"/>
      <c r="G1129" s="120"/>
      <c r="H1129" s="120"/>
      <c r="I1129" s="120"/>
      <c r="J1129" s="120"/>
      <c r="K1129" s="120"/>
      <c r="X1129" s="130"/>
      <c r="Y1129" s="130"/>
      <c r="Z1129" s="121"/>
      <c r="AA1129" s="121"/>
      <c r="AB1129" s="121"/>
      <c r="AC1129" s="121"/>
      <c r="AD1129" s="121"/>
      <c r="AE1129" s="121"/>
      <c r="AF1129" s="121"/>
      <c r="AG1129" s="121"/>
      <c r="AH1129" s="121"/>
      <c r="AI1129" s="121"/>
      <c r="AJ1129" s="121"/>
      <c r="AK1129" s="121"/>
      <c r="AL1129" s="121"/>
      <c r="AM1129" s="121"/>
      <c r="AN1129" s="121"/>
      <c r="AO1129" s="121"/>
      <c r="AP1129" s="121"/>
      <c r="AS1129" s="27"/>
      <c r="AT1129" s="27"/>
      <c r="AU1129" s="27"/>
      <c r="AV1129" s="27"/>
      <c r="AW1129" s="27"/>
      <c r="AX1129" s="27"/>
      <c r="AY1129" s="27"/>
      <c r="AZ1129" s="27"/>
      <c r="BA1129" s="27"/>
      <c r="BB1129" s="27"/>
      <c r="BC1129" s="133"/>
      <c r="BD1129" s="27"/>
      <c r="BE1129" s="130"/>
    </row>
    <row r="1130" spans="1:57" s="25" customFormat="1">
      <c r="A1130" s="130"/>
      <c r="G1130" s="120"/>
      <c r="H1130" s="120"/>
      <c r="I1130" s="120"/>
      <c r="J1130" s="120"/>
      <c r="K1130" s="120"/>
      <c r="X1130" s="130"/>
      <c r="Y1130" s="130"/>
      <c r="Z1130" s="121"/>
      <c r="AA1130" s="121"/>
      <c r="AB1130" s="121"/>
      <c r="AC1130" s="121"/>
      <c r="AD1130" s="121"/>
      <c r="AE1130" s="121"/>
      <c r="AF1130" s="121"/>
      <c r="AG1130" s="121"/>
      <c r="AH1130" s="121"/>
      <c r="AI1130" s="121"/>
      <c r="AJ1130" s="121"/>
      <c r="AK1130" s="121"/>
      <c r="AL1130" s="121"/>
      <c r="AM1130" s="121"/>
      <c r="AN1130" s="121"/>
      <c r="AO1130" s="121"/>
      <c r="AP1130" s="121"/>
      <c r="AS1130" s="27"/>
      <c r="AT1130" s="27"/>
      <c r="AU1130" s="27"/>
      <c r="AV1130" s="27"/>
      <c r="AW1130" s="27"/>
      <c r="AX1130" s="27"/>
      <c r="AY1130" s="27"/>
      <c r="AZ1130" s="27"/>
      <c r="BA1130" s="27"/>
      <c r="BB1130" s="27"/>
      <c r="BC1130" s="133"/>
      <c r="BD1130" s="27"/>
      <c r="BE1130" s="130"/>
    </row>
    <row r="1131" spans="1:57" s="25" customFormat="1">
      <c r="A1131" s="130"/>
      <c r="G1131" s="120"/>
      <c r="H1131" s="120"/>
      <c r="I1131" s="120"/>
      <c r="J1131" s="120"/>
      <c r="K1131" s="120"/>
      <c r="X1131" s="130"/>
      <c r="Y1131" s="130"/>
      <c r="Z1131" s="121"/>
      <c r="AA1131" s="121"/>
      <c r="AB1131" s="121"/>
      <c r="AC1131" s="121"/>
      <c r="AD1131" s="121"/>
      <c r="AE1131" s="121"/>
      <c r="AF1131" s="121"/>
      <c r="AG1131" s="121"/>
      <c r="AH1131" s="121"/>
      <c r="AI1131" s="121"/>
      <c r="AJ1131" s="121"/>
      <c r="AK1131" s="121"/>
      <c r="AL1131" s="121"/>
      <c r="AM1131" s="121"/>
      <c r="AN1131" s="121"/>
      <c r="AO1131" s="121"/>
      <c r="AP1131" s="121"/>
      <c r="AS1131" s="27"/>
      <c r="AT1131" s="27"/>
      <c r="AU1131" s="27"/>
      <c r="AV1131" s="27"/>
      <c r="AW1131" s="27"/>
      <c r="AX1131" s="27"/>
      <c r="AY1131" s="27"/>
      <c r="AZ1131" s="27"/>
      <c r="BA1131" s="27"/>
      <c r="BB1131" s="27"/>
      <c r="BC1131" s="133"/>
      <c r="BD1131" s="27"/>
      <c r="BE1131" s="130"/>
    </row>
    <row r="1132" spans="1:57" s="25" customFormat="1">
      <c r="A1132" s="130"/>
      <c r="G1132" s="120"/>
      <c r="H1132" s="120"/>
      <c r="I1132" s="120"/>
      <c r="J1132" s="120"/>
      <c r="K1132" s="120"/>
      <c r="X1132" s="130"/>
      <c r="Y1132" s="130"/>
      <c r="Z1132" s="121"/>
      <c r="AA1132" s="121"/>
      <c r="AB1132" s="121"/>
      <c r="AC1132" s="121"/>
      <c r="AD1132" s="121"/>
      <c r="AE1132" s="121"/>
      <c r="AF1132" s="121"/>
      <c r="AG1132" s="121"/>
      <c r="AH1132" s="121"/>
      <c r="AI1132" s="121"/>
      <c r="AJ1132" s="121"/>
      <c r="AK1132" s="121"/>
      <c r="AL1132" s="121"/>
      <c r="AM1132" s="121"/>
      <c r="AN1132" s="121"/>
      <c r="AO1132" s="121"/>
      <c r="AP1132" s="121"/>
      <c r="AS1132" s="27"/>
      <c r="AT1132" s="27"/>
      <c r="AU1132" s="27"/>
      <c r="AV1132" s="27"/>
      <c r="AW1132" s="27"/>
      <c r="AX1132" s="27"/>
      <c r="AY1132" s="27"/>
      <c r="AZ1132" s="27"/>
      <c r="BA1132" s="27"/>
      <c r="BB1132" s="27"/>
      <c r="BC1132" s="133"/>
      <c r="BD1132" s="27"/>
      <c r="BE1132" s="130"/>
    </row>
    <row r="1133" spans="1:57" s="25" customFormat="1">
      <c r="A1133" s="130"/>
      <c r="G1133" s="120"/>
      <c r="H1133" s="120"/>
      <c r="I1133" s="120"/>
      <c r="J1133" s="120"/>
      <c r="K1133" s="120"/>
      <c r="X1133" s="130"/>
      <c r="Y1133" s="130"/>
      <c r="Z1133" s="121"/>
      <c r="AA1133" s="121"/>
      <c r="AB1133" s="121"/>
      <c r="AC1133" s="121"/>
      <c r="AD1133" s="121"/>
      <c r="AE1133" s="121"/>
      <c r="AF1133" s="121"/>
      <c r="AG1133" s="121"/>
      <c r="AH1133" s="121"/>
      <c r="AI1133" s="121"/>
      <c r="AJ1133" s="121"/>
      <c r="AK1133" s="121"/>
      <c r="AL1133" s="121"/>
      <c r="AM1133" s="121"/>
      <c r="AN1133" s="121"/>
      <c r="AO1133" s="121"/>
      <c r="AP1133" s="121"/>
      <c r="AS1133" s="27"/>
      <c r="AT1133" s="27"/>
      <c r="AU1133" s="27"/>
      <c r="AV1133" s="27"/>
      <c r="AW1133" s="27"/>
      <c r="AX1133" s="27"/>
      <c r="AY1133" s="27"/>
      <c r="AZ1133" s="27"/>
      <c r="BA1133" s="27"/>
      <c r="BB1133" s="27"/>
      <c r="BC1133" s="133"/>
      <c r="BD1133" s="27"/>
      <c r="BE1133" s="130"/>
    </row>
    <row r="1134" spans="1:57" s="25" customFormat="1">
      <c r="A1134" s="130"/>
      <c r="G1134" s="120"/>
      <c r="H1134" s="120"/>
      <c r="I1134" s="120"/>
      <c r="J1134" s="120"/>
      <c r="K1134" s="120"/>
      <c r="X1134" s="130"/>
      <c r="Y1134" s="130"/>
      <c r="Z1134" s="121"/>
      <c r="AA1134" s="121"/>
      <c r="AB1134" s="121"/>
      <c r="AC1134" s="121"/>
      <c r="AD1134" s="121"/>
      <c r="AE1134" s="121"/>
      <c r="AF1134" s="121"/>
      <c r="AG1134" s="121"/>
      <c r="AH1134" s="121"/>
      <c r="AI1134" s="121"/>
      <c r="AJ1134" s="121"/>
      <c r="AK1134" s="121"/>
      <c r="AL1134" s="121"/>
      <c r="AM1134" s="121"/>
      <c r="AN1134" s="121"/>
      <c r="AO1134" s="121"/>
      <c r="AP1134" s="121"/>
      <c r="AS1134" s="27"/>
      <c r="AT1134" s="27"/>
      <c r="AU1134" s="27"/>
      <c r="AV1134" s="27"/>
      <c r="AW1134" s="27"/>
      <c r="AX1134" s="27"/>
      <c r="AY1134" s="27"/>
      <c r="AZ1134" s="27"/>
      <c r="BA1134" s="27"/>
      <c r="BB1134" s="27"/>
      <c r="BC1134" s="133"/>
      <c r="BD1134" s="27"/>
      <c r="BE1134" s="130"/>
    </row>
    <row r="1135" spans="1:57" s="25" customFormat="1">
      <c r="A1135" s="130"/>
      <c r="G1135" s="120"/>
      <c r="H1135" s="120"/>
      <c r="I1135" s="120"/>
      <c r="J1135" s="120"/>
      <c r="K1135" s="120"/>
      <c r="X1135" s="130"/>
      <c r="Y1135" s="130"/>
      <c r="Z1135" s="121"/>
      <c r="AA1135" s="121"/>
      <c r="AB1135" s="121"/>
      <c r="AC1135" s="121"/>
      <c r="AD1135" s="121"/>
      <c r="AE1135" s="121"/>
      <c r="AF1135" s="121"/>
      <c r="AG1135" s="121"/>
      <c r="AH1135" s="121"/>
      <c r="AI1135" s="121"/>
      <c r="AJ1135" s="121"/>
      <c r="AK1135" s="121"/>
      <c r="AL1135" s="121"/>
      <c r="AM1135" s="121"/>
      <c r="AN1135" s="121"/>
      <c r="AO1135" s="121"/>
      <c r="AP1135" s="121"/>
      <c r="AS1135" s="27"/>
      <c r="AT1135" s="27"/>
      <c r="AU1135" s="27"/>
      <c r="AV1135" s="27"/>
      <c r="AW1135" s="27"/>
      <c r="AX1135" s="27"/>
      <c r="AY1135" s="27"/>
      <c r="AZ1135" s="27"/>
      <c r="BA1135" s="27"/>
      <c r="BB1135" s="27"/>
      <c r="BC1135" s="133"/>
      <c r="BD1135" s="27"/>
      <c r="BE1135" s="130"/>
    </row>
    <row r="1136" spans="1:57" s="25" customFormat="1">
      <c r="A1136" s="130"/>
      <c r="G1136" s="120"/>
      <c r="H1136" s="120"/>
      <c r="I1136" s="120"/>
      <c r="J1136" s="120"/>
      <c r="K1136" s="120"/>
      <c r="X1136" s="130"/>
      <c r="Y1136" s="130"/>
      <c r="Z1136" s="121"/>
      <c r="AA1136" s="121"/>
      <c r="AB1136" s="121"/>
      <c r="AC1136" s="121"/>
      <c r="AD1136" s="121"/>
      <c r="AE1136" s="121"/>
      <c r="AF1136" s="121"/>
      <c r="AG1136" s="121"/>
      <c r="AH1136" s="121"/>
      <c r="AI1136" s="121"/>
      <c r="AJ1136" s="121"/>
      <c r="AK1136" s="121"/>
      <c r="AL1136" s="121"/>
      <c r="AM1136" s="121"/>
      <c r="AN1136" s="121"/>
      <c r="AO1136" s="121"/>
      <c r="AP1136" s="121"/>
      <c r="AS1136" s="27"/>
      <c r="AT1136" s="27"/>
      <c r="AU1136" s="27"/>
      <c r="AV1136" s="27"/>
      <c r="AW1136" s="27"/>
      <c r="AX1136" s="27"/>
      <c r="AY1136" s="27"/>
      <c r="AZ1136" s="27"/>
      <c r="BA1136" s="27"/>
      <c r="BB1136" s="27"/>
      <c r="BC1136" s="133"/>
      <c r="BD1136" s="27"/>
      <c r="BE1136" s="130"/>
    </row>
    <row r="1137" spans="1:57" s="25" customFormat="1">
      <c r="A1137" s="130"/>
      <c r="G1137" s="120"/>
      <c r="H1137" s="120"/>
      <c r="I1137" s="120"/>
      <c r="J1137" s="120"/>
      <c r="K1137" s="120"/>
      <c r="X1137" s="130"/>
      <c r="Y1137" s="130"/>
      <c r="Z1137" s="121"/>
      <c r="AA1137" s="121"/>
      <c r="AB1137" s="121"/>
      <c r="AC1137" s="121"/>
      <c r="AD1137" s="121"/>
      <c r="AE1137" s="121"/>
      <c r="AF1137" s="121"/>
      <c r="AG1137" s="121"/>
      <c r="AH1137" s="121"/>
      <c r="AI1137" s="121"/>
      <c r="AJ1137" s="121"/>
      <c r="AK1137" s="121"/>
      <c r="AL1137" s="121"/>
      <c r="AM1137" s="121"/>
      <c r="AN1137" s="121"/>
      <c r="AO1137" s="121"/>
      <c r="AP1137" s="121"/>
      <c r="AS1137" s="27"/>
      <c r="AT1137" s="27"/>
      <c r="AU1137" s="27"/>
      <c r="AV1137" s="27"/>
      <c r="AW1137" s="27"/>
      <c r="AX1137" s="27"/>
      <c r="AY1137" s="27"/>
      <c r="AZ1137" s="27"/>
      <c r="BA1137" s="27"/>
      <c r="BB1137" s="27"/>
      <c r="BC1137" s="133"/>
      <c r="BD1137" s="27"/>
      <c r="BE1137" s="130"/>
    </row>
    <row r="1138" spans="1:57" s="25" customFormat="1">
      <c r="A1138" s="130"/>
      <c r="G1138" s="120"/>
      <c r="H1138" s="120"/>
      <c r="I1138" s="120"/>
      <c r="J1138" s="120"/>
      <c r="K1138" s="120"/>
      <c r="X1138" s="130"/>
      <c r="Y1138" s="130"/>
      <c r="Z1138" s="121"/>
      <c r="AA1138" s="121"/>
      <c r="AB1138" s="121"/>
      <c r="AC1138" s="121"/>
      <c r="AD1138" s="121"/>
      <c r="AE1138" s="121"/>
      <c r="AF1138" s="121"/>
      <c r="AG1138" s="121"/>
      <c r="AH1138" s="121"/>
      <c r="AI1138" s="121"/>
      <c r="AJ1138" s="121"/>
      <c r="AK1138" s="121"/>
      <c r="AL1138" s="121"/>
      <c r="AM1138" s="121"/>
      <c r="AN1138" s="121"/>
      <c r="AO1138" s="121"/>
      <c r="AP1138" s="121"/>
      <c r="AS1138" s="27"/>
      <c r="AT1138" s="27"/>
      <c r="AU1138" s="27"/>
      <c r="AV1138" s="27"/>
      <c r="AW1138" s="27"/>
      <c r="AX1138" s="27"/>
      <c r="AY1138" s="27"/>
      <c r="AZ1138" s="27"/>
      <c r="BA1138" s="27"/>
      <c r="BB1138" s="27"/>
      <c r="BC1138" s="133"/>
      <c r="BD1138" s="27"/>
      <c r="BE1138" s="130"/>
    </row>
    <row r="1139" spans="1:57" s="25" customFormat="1">
      <c r="A1139" s="130"/>
      <c r="G1139" s="120"/>
      <c r="H1139" s="120"/>
      <c r="I1139" s="120"/>
      <c r="J1139" s="120"/>
      <c r="K1139" s="120"/>
      <c r="X1139" s="130"/>
      <c r="Y1139" s="130"/>
      <c r="Z1139" s="121"/>
      <c r="AA1139" s="121"/>
      <c r="AB1139" s="121"/>
      <c r="AC1139" s="121"/>
      <c r="AD1139" s="121"/>
      <c r="AE1139" s="121"/>
      <c r="AF1139" s="121"/>
      <c r="AG1139" s="121"/>
      <c r="AH1139" s="121"/>
      <c r="AI1139" s="121"/>
      <c r="AJ1139" s="121"/>
      <c r="AK1139" s="121"/>
      <c r="AL1139" s="121"/>
      <c r="AM1139" s="121"/>
      <c r="AN1139" s="121"/>
      <c r="AO1139" s="121"/>
      <c r="AP1139" s="121"/>
      <c r="AS1139" s="27"/>
      <c r="AT1139" s="27"/>
      <c r="AU1139" s="27"/>
      <c r="AV1139" s="27"/>
      <c r="AW1139" s="27"/>
      <c r="AX1139" s="27"/>
      <c r="AY1139" s="27"/>
      <c r="AZ1139" s="27"/>
      <c r="BA1139" s="27"/>
      <c r="BB1139" s="27"/>
      <c r="BC1139" s="133"/>
      <c r="BD1139" s="27"/>
      <c r="BE1139" s="130"/>
    </row>
    <row r="1140" spans="1:57" s="25" customFormat="1">
      <c r="A1140" s="130"/>
      <c r="G1140" s="120"/>
      <c r="H1140" s="120"/>
      <c r="I1140" s="120"/>
      <c r="J1140" s="120"/>
      <c r="K1140" s="120"/>
      <c r="X1140" s="130"/>
      <c r="Y1140" s="130"/>
      <c r="Z1140" s="121"/>
      <c r="AA1140" s="121"/>
      <c r="AB1140" s="121"/>
      <c r="AC1140" s="121"/>
      <c r="AD1140" s="121"/>
      <c r="AE1140" s="121"/>
      <c r="AF1140" s="121"/>
      <c r="AG1140" s="121"/>
      <c r="AH1140" s="121"/>
      <c r="AI1140" s="121"/>
      <c r="AJ1140" s="121"/>
      <c r="AK1140" s="121"/>
      <c r="AL1140" s="121"/>
      <c r="AM1140" s="121"/>
      <c r="AN1140" s="121"/>
      <c r="AO1140" s="121"/>
      <c r="AP1140" s="121"/>
      <c r="AS1140" s="27"/>
      <c r="AT1140" s="27"/>
      <c r="AU1140" s="27"/>
      <c r="AV1140" s="27"/>
      <c r="AW1140" s="27"/>
      <c r="AX1140" s="27"/>
      <c r="AY1140" s="27"/>
      <c r="AZ1140" s="27"/>
      <c r="BA1140" s="27"/>
      <c r="BB1140" s="27"/>
      <c r="BC1140" s="133"/>
      <c r="BD1140" s="27"/>
      <c r="BE1140" s="130"/>
    </row>
    <row r="1141" spans="1:57" s="25" customFormat="1">
      <c r="A1141" s="130"/>
      <c r="G1141" s="120"/>
      <c r="H1141" s="120"/>
      <c r="I1141" s="120"/>
      <c r="J1141" s="120"/>
      <c r="K1141" s="120"/>
      <c r="X1141" s="130"/>
      <c r="Y1141" s="130"/>
      <c r="Z1141" s="121"/>
      <c r="AA1141" s="121"/>
      <c r="AB1141" s="121"/>
      <c r="AC1141" s="121"/>
      <c r="AD1141" s="121"/>
      <c r="AE1141" s="121"/>
      <c r="AF1141" s="121"/>
      <c r="AG1141" s="121"/>
      <c r="AH1141" s="121"/>
      <c r="AI1141" s="121"/>
      <c r="AJ1141" s="121"/>
      <c r="AK1141" s="121"/>
      <c r="AL1141" s="121"/>
      <c r="AM1141" s="121"/>
      <c r="AN1141" s="121"/>
      <c r="AO1141" s="121"/>
      <c r="AP1141" s="121"/>
      <c r="AS1141" s="27"/>
      <c r="AT1141" s="27"/>
      <c r="AU1141" s="27"/>
      <c r="AV1141" s="27"/>
      <c r="AW1141" s="27"/>
      <c r="AX1141" s="27"/>
      <c r="AY1141" s="27"/>
      <c r="AZ1141" s="27"/>
      <c r="BA1141" s="27"/>
      <c r="BB1141" s="27"/>
      <c r="BC1141" s="133"/>
      <c r="BD1141" s="27"/>
      <c r="BE1141" s="130"/>
    </row>
    <row r="1142" spans="1:57" s="25" customFormat="1">
      <c r="A1142" s="130"/>
      <c r="G1142" s="120"/>
      <c r="H1142" s="120"/>
      <c r="I1142" s="120"/>
      <c r="J1142" s="120"/>
      <c r="K1142" s="120"/>
      <c r="X1142" s="130"/>
      <c r="Y1142" s="130"/>
      <c r="Z1142" s="121"/>
      <c r="AA1142" s="121"/>
      <c r="AB1142" s="121"/>
      <c r="AC1142" s="121"/>
      <c r="AD1142" s="121"/>
      <c r="AE1142" s="121"/>
      <c r="AF1142" s="121"/>
      <c r="AG1142" s="121"/>
      <c r="AH1142" s="121"/>
      <c r="AI1142" s="121"/>
      <c r="AJ1142" s="121"/>
      <c r="AK1142" s="121"/>
      <c r="AL1142" s="121"/>
      <c r="AM1142" s="121"/>
      <c r="AN1142" s="121"/>
      <c r="AO1142" s="121"/>
      <c r="AP1142" s="121"/>
      <c r="AS1142" s="27"/>
      <c r="AT1142" s="27"/>
      <c r="AU1142" s="27"/>
      <c r="AV1142" s="27"/>
      <c r="AW1142" s="27"/>
      <c r="AX1142" s="27"/>
      <c r="AY1142" s="27"/>
      <c r="AZ1142" s="27"/>
      <c r="BA1142" s="27"/>
      <c r="BB1142" s="27"/>
      <c r="BC1142" s="133"/>
      <c r="BD1142" s="27"/>
      <c r="BE1142" s="130"/>
    </row>
    <row r="1143" spans="1:57" s="25" customFormat="1">
      <c r="A1143" s="130"/>
      <c r="G1143" s="120"/>
      <c r="H1143" s="120"/>
      <c r="I1143" s="120"/>
      <c r="J1143" s="120"/>
      <c r="K1143" s="120"/>
      <c r="X1143" s="130"/>
      <c r="Y1143" s="130"/>
      <c r="Z1143" s="121"/>
      <c r="AA1143" s="121"/>
      <c r="AB1143" s="121"/>
      <c r="AC1143" s="121"/>
      <c r="AD1143" s="121"/>
      <c r="AE1143" s="121"/>
      <c r="AF1143" s="121"/>
      <c r="AG1143" s="121"/>
      <c r="AH1143" s="121"/>
      <c r="AI1143" s="121"/>
      <c r="AJ1143" s="121"/>
      <c r="AK1143" s="121"/>
      <c r="AL1143" s="121"/>
      <c r="AM1143" s="121"/>
      <c r="AN1143" s="121"/>
      <c r="AO1143" s="121"/>
      <c r="AP1143" s="121"/>
      <c r="AS1143" s="27"/>
      <c r="AT1143" s="27"/>
      <c r="AU1143" s="27"/>
      <c r="AV1143" s="27"/>
      <c r="AW1143" s="27"/>
      <c r="AX1143" s="27"/>
      <c r="AY1143" s="27"/>
      <c r="AZ1143" s="27"/>
      <c r="BA1143" s="27"/>
      <c r="BB1143" s="27"/>
      <c r="BC1143" s="133"/>
      <c r="BD1143" s="27"/>
      <c r="BE1143" s="130"/>
    </row>
    <row r="1144" spans="1:57" s="25" customFormat="1">
      <c r="A1144" s="130"/>
      <c r="G1144" s="120"/>
      <c r="H1144" s="120"/>
      <c r="I1144" s="120"/>
      <c r="J1144" s="120"/>
      <c r="K1144" s="120"/>
      <c r="X1144" s="130"/>
      <c r="Y1144" s="130"/>
      <c r="Z1144" s="121"/>
      <c r="AA1144" s="121"/>
      <c r="AB1144" s="121"/>
      <c r="AC1144" s="121"/>
      <c r="AD1144" s="121"/>
      <c r="AE1144" s="121"/>
      <c r="AF1144" s="121"/>
      <c r="AG1144" s="121"/>
      <c r="AH1144" s="121"/>
      <c r="AI1144" s="121"/>
      <c r="AJ1144" s="121"/>
      <c r="AK1144" s="121"/>
      <c r="AL1144" s="121"/>
      <c r="AM1144" s="121"/>
      <c r="AN1144" s="121"/>
      <c r="AO1144" s="121"/>
      <c r="AP1144" s="121"/>
      <c r="AS1144" s="27"/>
      <c r="AT1144" s="27"/>
      <c r="AU1144" s="27"/>
      <c r="AV1144" s="27"/>
      <c r="AW1144" s="27"/>
      <c r="AX1144" s="27"/>
      <c r="AY1144" s="27"/>
      <c r="AZ1144" s="27"/>
      <c r="BA1144" s="27"/>
      <c r="BB1144" s="27"/>
      <c r="BC1144" s="133"/>
      <c r="BD1144" s="27"/>
      <c r="BE1144" s="130"/>
    </row>
    <row r="1145" spans="1:57" s="25" customFormat="1">
      <c r="A1145" s="130"/>
      <c r="G1145" s="120"/>
      <c r="H1145" s="120"/>
      <c r="I1145" s="120"/>
      <c r="J1145" s="120"/>
      <c r="K1145" s="120"/>
      <c r="X1145" s="130"/>
      <c r="Y1145" s="130"/>
      <c r="Z1145" s="121"/>
      <c r="AA1145" s="121"/>
      <c r="AB1145" s="121"/>
      <c r="AC1145" s="121"/>
      <c r="AD1145" s="121"/>
      <c r="AE1145" s="121"/>
      <c r="AF1145" s="121"/>
      <c r="AG1145" s="121"/>
      <c r="AH1145" s="121"/>
      <c r="AI1145" s="121"/>
      <c r="AJ1145" s="121"/>
      <c r="AK1145" s="121"/>
      <c r="AL1145" s="121"/>
      <c r="AM1145" s="121"/>
      <c r="AN1145" s="121"/>
      <c r="AO1145" s="121"/>
      <c r="AP1145" s="121"/>
      <c r="AS1145" s="27"/>
      <c r="AT1145" s="27"/>
      <c r="AU1145" s="27"/>
      <c r="AV1145" s="27"/>
      <c r="AW1145" s="27"/>
      <c r="AX1145" s="27"/>
      <c r="AY1145" s="27"/>
      <c r="AZ1145" s="27"/>
      <c r="BA1145" s="27"/>
      <c r="BB1145" s="27"/>
      <c r="BC1145" s="133"/>
      <c r="BD1145" s="27"/>
      <c r="BE1145" s="130"/>
    </row>
    <row r="1146" spans="1:57" s="25" customFormat="1">
      <c r="A1146" s="130"/>
      <c r="G1146" s="120"/>
      <c r="H1146" s="120"/>
      <c r="I1146" s="120"/>
      <c r="J1146" s="120"/>
      <c r="K1146" s="120"/>
      <c r="X1146" s="130"/>
      <c r="Y1146" s="130"/>
      <c r="Z1146" s="121"/>
      <c r="AA1146" s="121"/>
      <c r="AB1146" s="121"/>
      <c r="AC1146" s="121"/>
      <c r="AD1146" s="121"/>
      <c r="AE1146" s="121"/>
      <c r="AF1146" s="121"/>
      <c r="AG1146" s="121"/>
      <c r="AH1146" s="121"/>
      <c r="AI1146" s="121"/>
      <c r="AJ1146" s="121"/>
      <c r="AK1146" s="121"/>
      <c r="AL1146" s="121"/>
      <c r="AM1146" s="121"/>
      <c r="AN1146" s="121"/>
      <c r="AO1146" s="121"/>
      <c r="AP1146" s="121"/>
      <c r="AS1146" s="27"/>
      <c r="AT1146" s="27"/>
      <c r="AU1146" s="27"/>
      <c r="AV1146" s="27"/>
      <c r="AW1146" s="27"/>
      <c r="AX1146" s="27"/>
      <c r="AY1146" s="27"/>
      <c r="AZ1146" s="27"/>
      <c r="BA1146" s="27"/>
      <c r="BB1146" s="27"/>
      <c r="BC1146" s="133"/>
      <c r="BD1146" s="27"/>
      <c r="BE1146" s="130"/>
    </row>
    <row r="1147" spans="1:57" s="25" customFormat="1">
      <c r="A1147" s="130"/>
      <c r="G1147" s="120"/>
      <c r="H1147" s="120"/>
      <c r="I1147" s="120"/>
      <c r="J1147" s="120"/>
      <c r="K1147" s="120"/>
      <c r="X1147" s="130"/>
      <c r="Y1147" s="130"/>
      <c r="Z1147" s="121"/>
      <c r="AA1147" s="121"/>
      <c r="AB1147" s="121"/>
      <c r="AC1147" s="121"/>
      <c r="AD1147" s="121"/>
      <c r="AE1147" s="121"/>
      <c r="AF1147" s="121"/>
      <c r="AG1147" s="121"/>
      <c r="AH1147" s="121"/>
      <c r="AI1147" s="121"/>
      <c r="AJ1147" s="121"/>
      <c r="AK1147" s="121"/>
      <c r="AL1147" s="121"/>
      <c r="AM1147" s="121"/>
      <c r="AN1147" s="121"/>
      <c r="AO1147" s="121"/>
      <c r="AP1147" s="121"/>
      <c r="AS1147" s="27"/>
      <c r="AT1147" s="27"/>
      <c r="AU1147" s="27"/>
      <c r="AV1147" s="27"/>
      <c r="AW1147" s="27"/>
      <c r="AX1147" s="27"/>
      <c r="AY1147" s="27"/>
      <c r="AZ1147" s="27"/>
      <c r="BA1147" s="27"/>
      <c r="BB1147" s="27"/>
      <c r="BC1147" s="133"/>
      <c r="BD1147" s="27"/>
      <c r="BE1147" s="130"/>
    </row>
    <row r="1148" spans="1:57" s="25" customFormat="1">
      <c r="A1148" s="130"/>
      <c r="G1148" s="120"/>
      <c r="H1148" s="120"/>
      <c r="I1148" s="120"/>
      <c r="J1148" s="120"/>
      <c r="K1148" s="120"/>
      <c r="X1148" s="130"/>
      <c r="Y1148" s="130"/>
      <c r="Z1148" s="121"/>
      <c r="AA1148" s="121"/>
      <c r="AB1148" s="121"/>
      <c r="AC1148" s="121"/>
      <c r="AD1148" s="121"/>
      <c r="AE1148" s="121"/>
      <c r="AF1148" s="121"/>
      <c r="AG1148" s="121"/>
      <c r="AH1148" s="121"/>
      <c r="AI1148" s="121"/>
      <c r="AJ1148" s="121"/>
      <c r="AK1148" s="121"/>
      <c r="AL1148" s="121"/>
      <c r="AM1148" s="121"/>
      <c r="AN1148" s="121"/>
      <c r="AO1148" s="121"/>
      <c r="AP1148" s="121"/>
      <c r="AS1148" s="27"/>
      <c r="AT1148" s="27"/>
      <c r="AU1148" s="27"/>
      <c r="AV1148" s="27"/>
      <c r="AW1148" s="27"/>
      <c r="AX1148" s="27"/>
      <c r="AY1148" s="27"/>
      <c r="AZ1148" s="27"/>
      <c r="BA1148" s="27"/>
      <c r="BB1148" s="27"/>
      <c r="BC1148" s="133"/>
      <c r="BD1148" s="27"/>
      <c r="BE1148" s="130"/>
    </row>
    <row r="1149" spans="1:57" s="25" customFormat="1">
      <c r="A1149" s="130"/>
      <c r="G1149" s="120"/>
      <c r="H1149" s="120"/>
      <c r="I1149" s="120"/>
      <c r="J1149" s="120"/>
      <c r="K1149" s="120"/>
      <c r="X1149" s="130"/>
      <c r="Y1149" s="130"/>
      <c r="Z1149" s="121"/>
      <c r="AA1149" s="121"/>
      <c r="AB1149" s="121"/>
      <c r="AC1149" s="121"/>
      <c r="AD1149" s="121"/>
      <c r="AE1149" s="121"/>
      <c r="AF1149" s="121"/>
      <c r="AG1149" s="121"/>
      <c r="AH1149" s="121"/>
      <c r="AI1149" s="121"/>
      <c r="AJ1149" s="121"/>
      <c r="AK1149" s="121"/>
      <c r="AL1149" s="121"/>
      <c r="AM1149" s="121"/>
      <c r="AN1149" s="121"/>
      <c r="AO1149" s="121"/>
      <c r="AP1149" s="121"/>
      <c r="AS1149" s="27"/>
      <c r="AT1149" s="27"/>
      <c r="AU1149" s="27"/>
      <c r="AV1149" s="27"/>
      <c r="AW1149" s="27"/>
      <c r="AX1149" s="27"/>
      <c r="AY1149" s="27"/>
      <c r="AZ1149" s="27"/>
      <c r="BA1149" s="27"/>
      <c r="BB1149" s="27"/>
      <c r="BC1149" s="133"/>
      <c r="BD1149" s="27"/>
      <c r="BE1149" s="130"/>
    </row>
    <row r="1150" spans="1:57" s="25" customFormat="1">
      <c r="A1150" s="130"/>
      <c r="G1150" s="120"/>
      <c r="H1150" s="120"/>
      <c r="I1150" s="120"/>
      <c r="J1150" s="120"/>
      <c r="K1150" s="120"/>
      <c r="X1150" s="130"/>
      <c r="Y1150" s="130"/>
      <c r="Z1150" s="121"/>
      <c r="AA1150" s="121"/>
      <c r="AB1150" s="121"/>
      <c r="AC1150" s="121"/>
      <c r="AD1150" s="121"/>
      <c r="AE1150" s="121"/>
      <c r="AF1150" s="121"/>
      <c r="AG1150" s="121"/>
      <c r="AH1150" s="121"/>
      <c r="AI1150" s="121"/>
      <c r="AJ1150" s="121"/>
      <c r="AK1150" s="121"/>
      <c r="AL1150" s="121"/>
      <c r="AM1150" s="121"/>
      <c r="AN1150" s="121"/>
      <c r="AO1150" s="121"/>
      <c r="AP1150" s="121"/>
      <c r="AS1150" s="27"/>
      <c r="AT1150" s="27"/>
      <c r="AU1150" s="27"/>
      <c r="AV1150" s="27"/>
      <c r="AW1150" s="27"/>
      <c r="AX1150" s="27"/>
      <c r="AY1150" s="27"/>
      <c r="AZ1150" s="27"/>
      <c r="BA1150" s="27"/>
      <c r="BB1150" s="27"/>
      <c r="BC1150" s="133"/>
      <c r="BD1150" s="27"/>
      <c r="BE1150" s="130"/>
    </row>
    <row r="1151" spans="1:57" s="25" customFormat="1">
      <c r="A1151" s="130"/>
      <c r="G1151" s="120"/>
      <c r="H1151" s="120"/>
      <c r="I1151" s="120"/>
      <c r="J1151" s="120"/>
      <c r="K1151" s="120"/>
      <c r="X1151" s="130"/>
      <c r="Y1151" s="130"/>
      <c r="Z1151" s="121"/>
      <c r="AA1151" s="121"/>
      <c r="AB1151" s="121"/>
      <c r="AC1151" s="121"/>
      <c r="AD1151" s="121"/>
      <c r="AE1151" s="121"/>
      <c r="AF1151" s="121"/>
      <c r="AG1151" s="121"/>
      <c r="AH1151" s="121"/>
      <c r="AI1151" s="121"/>
      <c r="AJ1151" s="121"/>
      <c r="AK1151" s="121"/>
      <c r="AL1151" s="121"/>
      <c r="AM1151" s="121"/>
      <c r="AN1151" s="121"/>
      <c r="AO1151" s="121"/>
      <c r="AP1151" s="121"/>
      <c r="AS1151" s="27"/>
      <c r="AT1151" s="27"/>
      <c r="AU1151" s="27"/>
      <c r="AV1151" s="27"/>
      <c r="AW1151" s="27"/>
      <c r="AX1151" s="27"/>
      <c r="AY1151" s="27"/>
      <c r="AZ1151" s="27"/>
      <c r="BA1151" s="27"/>
      <c r="BB1151" s="27"/>
      <c r="BC1151" s="133"/>
      <c r="BD1151" s="27"/>
      <c r="BE1151" s="130"/>
    </row>
    <row r="1152" spans="1:57" s="25" customFormat="1">
      <c r="A1152" s="130"/>
      <c r="G1152" s="120"/>
      <c r="H1152" s="120"/>
      <c r="I1152" s="120"/>
      <c r="J1152" s="120"/>
      <c r="K1152" s="120"/>
      <c r="X1152" s="130"/>
      <c r="Y1152" s="130"/>
      <c r="Z1152" s="121"/>
      <c r="AA1152" s="121"/>
      <c r="AB1152" s="121"/>
      <c r="AC1152" s="121"/>
      <c r="AD1152" s="121"/>
      <c r="AE1152" s="121"/>
      <c r="AF1152" s="121"/>
      <c r="AG1152" s="121"/>
      <c r="AH1152" s="121"/>
      <c r="AI1152" s="121"/>
      <c r="AJ1152" s="121"/>
      <c r="AK1152" s="121"/>
      <c r="AL1152" s="121"/>
      <c r="AM1152" s="121"/>
      <c r="AN1152" s="121"/>
      <c r="AO1152" s="121"/>
      <c r="AP1152" s="121"/>
      <c r="AS1152" s="27"/>
      <c r="AT1152" s="27"/>
      <c r="AU1152" s="27"/>
      <c r="AV1152" s="27"/>
      <c r="AW1152" s="27"/>
      <c r="AX1152" s="27"/>
      <c r="AY1152" s="27"/>
      <c r="AZ1152" s="27"/>
      <c r="BA1152" s="27"/>
      <c r="BB1152" s="27"/>
      <c r="BC1152" s="133"/>
      <c r="BD1152" s="27"/>
      <c r="BE1152" s="130"/>
    </row>
    <row r="1153" spans="1:57" s="25" customFormat="1">
      <c r="A1153" s="130"/>
      <c r="G1153" s="120"/>
      <c r="H1153" s="120"/>
      <c r="I1153" s="120"/>
      <c r="J1153" s="120"/>
      <c r="K1153" s="120"/>
      <c r="X1153" s="130"/>
      <c r="Y1153" s="130"/>
      <c r="Z1153" s="121"/>
      <c r="AA1153" s="121"/>
      <c r="AB1153" s="121"/>
      <c r="AC1153" s="121"/>
      <c r="AD1153" s="121"/>
      <c r="AE1153" s="121"/>
      <c r="AF1153" s="121"/>
      <c r="AG1153" s="121"/>
      <c r="AH1153" s="121"/>
      <c r="AI1153" s="121"/>
      <c r="AJ1153" s="121"/>
      <c r="AK1153" s="121"/>
      <c r="AL1153" s="121"/>
      <c r="AM1153" s="121"/>
      <c r="AN1153" s="121"/>
      <c r="AO1153" s="121"/>
      <c r="AP1153" s="121"/>
      <c r="AS1153" s="27"/>
      <c r="AT1153" s="27"/>
      <c r="AU1153" s="27"/>
      <c r="AV1153" s="27"/>
      <c r="AW1153" s="27"/>
      <c r="AX1153" s="27"/>
      <c r="AY1153" s="27"/>
      <c r="AZ1153" s="27"/>
      <c r="BA1153" s="27"/>
      <c r="BB1153" s="27"/>
      <c r="BC1153" s="133"/>
      <c r="BD1153" s="27"/>
      <c r="BE1153" s="130"/>
    </row>
    <row r="1154" spans="1:57" s="25" customFormat="1">
      <c r="A1154" s="130"/>
      <c r="G1154" s="120"/>
      <c r="H1154" s="120"/>
      <c r="I1154" s="120"/>
      <c r="J1154" s="120"/>
      <c r="K1154" s="120"/>
      <c r="X1154" s="130"/>
      <c r="Y1154" s="130"/>
      <c r="Z1154" s="121"/>
      <c r="AA1154" s="121"/>
      <c r="AB1154" s="121"/>
      <c r="AC1154" s="121"/>
      <c r="AD1154" s="121"/>
      <c r="AE1154" s="121"/>
      <c r="AF1154" s="121"/>
      <c r="AG1154" s="121"/>
      <c r="AH1154" s="121"/>
      <c r="AI1154" s="121"/>
      <c r="AJ1154" s="121"/>
      <c r="AK1154" s="121"/>
      <c r="AL1154" s="121"/>
      <c r="AM1154" s="121"/>
      <c r="AN1154" s="121"/>
      <c r="AO1154" s="121"/>
      <c r="AP1154" s="121"/>
      <c r="AS1154" s="27"/>
      <c r="AT1154" s="27"/>
      <c r="AU1154" s="27"/>
      <c r="AV1154" s="27"/>
      <c r="AW1154" s="27"/>
      <c r="AX1154" s="27"/>
      <c r="AY1154" s="27"/>
      <c r="AZ1154" s="27"/>
      <c r="BA1154" s="27"/>
      <c r="BB1154" s="27"/>
      <c r="BC1154" s="133"/>
      <c r="BD1154" s="27"/>
      <c r="BE1154" s="130"/>
    </row>
    <row r="1155" spans="1:57" s="25" customFormat="1">
      <c r="A1155" s="130"/>
      <c r="G1155" s="120"/>
      <c r="H1155" s="120"/>
      <c r="I1155" s="120"/>
      <c r="J1155" s="120"/>
      <c r="K1155" s="120"/>
      <c r="X1155" s="130"/>
      <c r="Y1155" s="130"/>
      <c r="Z1155" s="121"/>
      <c r="AA1155" s="121"/>
      <c r="AB1155" s="121"/>
      <c r="AC1155" s="121"/>
      <c r="AD1155" s="121"/>
      <c r="AE1155" s="121"/>
      <c r="AF1155" s="121"/>
      <c r="AG1155" s="121"/>
      <c r="AH1155" s="121"/>
      <c r="AI1155" s="121"/>
      <c r="AJ1155" s="121"/>
      <c r="AK1155" s="121"/>
      <c r="AL1155" s="121"/>
      <c r="AM1155" s="121"/>
      <c r="AN1155" s="121"/>
      <c r="AO1155" s="121"/>
      <c r="AP1155" s="121"/>
      <c r="AS1155" s="27"/>
      <c r="AT1155" s="27"/>
      <c r="AU1155" s="27"/>
      <c r="AV1155" s="27"/>
      <c r="AW1155" s="27"/>
      <c r="AX1155" s="27"/>
      <c r="AY1155" s="27"/>
      <c r="AZ1155" s="27"/>
      <c r="BA1155" s="27"/>
      <c r="BB1155" s="27"/>
      <c r="BC1155" s="133"/>
      <c r="BD1155" s="27"/>
      <c r="BE1155" s="130"/>
    </row>
    <row r="1156" spans="1:57" s="25" customFormat="1">
      <c r="A1156" s="130"/>
      <c r="G1156" s="120"/>
      <c r="H1156" s="120"/>
      <c r="I1156" s="120"/>
      <c r="J1156" s="120"/>
      <c r="K1156" s="120"/>
      <c r="X1156" s="130"/>
      <c r="Y1156" s="130"/>
      <c r="Z1156" s="121"/>
      <c r="AA1156" s="121"/>
      <c r="AB1156" s="121"/>
      <c r="AC1156" s="121"/>
      <c r="AD1156" s="121"/>
      <c r="AE1156" s="121"/>
      <c r="AF1156" s="121"/>
      <c r="AG1156" s="121"/>
      <c r="AH1156" s="121"/>
      <c r="AI1156" s="121"/>
      <c r="AJ1156" s="121"/>
      <c r="AK1156" s="121"/>
      <c r="AL1156" s="121"/>
      <c r="AM1156" s="121"/>
      <c r="AN1156" s="121"/>
      <c r="AO1156" s="121"/>
      <c r="AP1156" s="121"/>
      <c r="AS1156" s="27"/>
      <c r="AT1156" s="27"/>
      <c r="AU1156" s="27"/>
      <c r="AV1156" s="27"/>
      <c r="AW1156" s="27"/>
      <c r="AX1156" s="27"/>
      <c r="AY1156" s="27"/>
      <c r="AZ1156" s="27"/>
      <c r="BA1156" s="27"/>
      <c r="BB1156" s="27"/>
      <c r="BC1156" s="133"/>
      <c r="BD1156" s="27"/>
      <c r="BE1156" s="130"/>
    </row>
    <row r="1157" spans="1:57" s="25" customFormat="1">
      <c r="A1157" s="130"/>
      <c r="G1157" s="120"/>
      <c r="H1157" s="120"/>
      <c r="I1157" s="120"/>
      <c r="J1157" s="120"/>
      <c r="K1157" s="120"/>
      <c r="X1157" s="130"/>
      <c r="Y1157" s="130"/>
      <c r="Z1157" s="121"/>
      <c r="AA1157" s="121"/>
      <c r="AB1157" s="121"/>
      <c r="AC1157" s="121"/>
      <c r="AD1157" s="121"/>
      <c r="AE1157" s="121"/>
      <c r="AF1157" s="121"/>
      <c r="AG1157" s="121"/>
      <c r="AH1157" s="121"/>
      <c r="AI1157" s="121"/>
      <c r="AJ1157" s="121"/>
      <c r="AK1157" s="121"/>
      <c r="AL1157" s="121"/>
      <c r="AM1157" s="121"/>
      <c r="AN1157" s="121"/>
      <c r="AO1157" s="121"/>
      <c r="AP1157" s="121"/>
      <c r="AS1157" s="27"/>
      <c r="AT1157" s="27"/>
      <c r="AU1157" s="27"/>
      <c r="AV1157" s="27"/>
      <c r="AW1157" s="27"/>
      <c r="AX1157" s="27"/>
      <c r="AY1157" s="27"/>
      <c r="AZ1157" s="27"/>
      <c r="BA1157" s="27"/>
      <c r="BB1157" s="27"/>
      <c r="BC1157" s="133"/>
      <c r="BD1157" s="27"/>
      <c r="BE1157" s="130"/>
    </row>
    <row r="1158" spans="1:57" s="25" customFormat="1">
      <c r="A1158" s="130"/>
      <c r="G1158" s="120"/>
      <c r="H1158" s="120"/>
      <c r="I1158" s="120"/>
      <c r="J1158" s="120"/>
      <c r="K1158" s="120"/>
      <c r="X1158" s="130"/>
      <c r="Y1158" s="130"/>
      <c r="Z1158" s="121"/>
      <c r="AA1158" s="121"/>
      <c r="AB1158" s="121"/>
      <c r="AC1158" s="121"/>
      <c r="AD1158" s="121"/>
      <c r="AE1158" s="121"/>
      <c r="AF1158" s="121"/>
      <c r="AG1158" s="121"/>
      <c r="AH1158" s="121"/>
      <c r="AI1158" s="121"/>
      <c r="AJ1158" s="121"/>
      <c r="AK1158" s="121"/>
      <c r="AL1158" s="121"/>
      <c r="AM1158" s="121"/>
      <c r="AN1158" s="121"/>
      <c r="AO1158" s="121"/>
      <c r="AP1158" s="121"/>
      <c r="AS1158" s="27"/>
      <c r="AT1158" s="27"/>
      <c r="AU1158" s="27"/>
      <c r="AV1158" s="27"/>
      <c r="AW1158" s="27"/>
      <c r="AX1158" s="27"/>
      <c r="AY1158" s="27"/>
      <c r="AZ1158" s="27"/>
      <c r="BA1158" s="27"/>
      <c r="BB1158" s="27"/>
      <c r="BC1158" s="133"/>
      <c r="BD1158" s="27"/>
      <c r="BE1158" s="130"/>
    </row>
    <row r="1159" spans="1:57" s="25" customFormat="1">
      <c r="A1159" s="130"/>
      <c r="G1159" s="120"/>
      <c r="H1159" s="120"/>
      <c r="I1159" s="120"/>
      <c r="J1159" s="120"/>
      <c r="K1159" s="120"/>
      <c r="X1159" s="130"/>
      <c r="Y1159" s="130"/>
      <c r="Z1159" s="121"/>
      <c r="AA1159" s="121"/>
      <c r="AB1159" s="121"/>
      <c r="AC1159" s="121"/>
      <c r="AD1159" s="121"/>
      <c r="AE1159" s="121"/>
      <c r="AF1159" s="121"/>
      <c r="AG1159" s="121"/>
      <c r="AH1159" s="121"/>
      <c r="AI1159" s="121"/>
      <c r="AJ1159" s="121"/>
      <c r="AK1159" s="121"/>
      <c r="AL1159" s="121"/>
      <c r="AM1159" s="121"/>
      <c r="AN1159" s="121"/>
      <c r="AO1159" s="121"/>
      <c r="AP1159" s="121"/>
      <c r="AS1159" s="27"/>
      <c r="AT1159" s="27"/>
      <c r="AU1159" s="27"/>
      <c r="AV1159" s="27"/>
      <c r="AW1159" s="27"/>
      <c r="AX1159" s="27"/>
      <c r="AY1159" s="27"/>
      <c r="AZ1159" s="27"/>
      <c r="BA1159" s="27"/>
      <c r="BB1159" s="27"/>
      <c r="BC1159" s="133"/>
      <c r="BD1159" s="27"/>
      <c r="BE1159" s="130"/>
    </row>
    <row r="1160" spans="1:57" s="25" customFormat="1">
      <c r="A1160" s="130"/>
      <c r="G1160" s="120"/>
      <c r="H1160" s="120"/>
      <c r="I1160" s="120"/>
      <c r="J1160" s="120"/>
      <c r="K1160" s="120"/>
      <c r="X1160" s="130"/>
      <c r="Y1160" s="130"/>
      <c r="Z1160" s="121"/>
      <c r="AA1160" s="121"/>
      <c r="AB1160" s="121"/>
      <c r="AC1160" s="121"/>
      <c r="AD1160" s="121"/>
      <c r="AE1160" s="121"/>
      <c r="AF1160" s="121"/>
      <c r="AG1160" s="121"/>
      <c r="AH1160" s="121"/>
      <c r="AI1160" s="121"/>
      <c r="AJ1160" s="121"/>
      <c r="AK1160" s="121"/>
      <c r="AL1160" s="121"/>
      <c r="AM1160" s="121"/>
      <c r="AN1160" s="121"/>
      <c r="AO1160" s="121"/>
      <c r="AP1160" s="121"/>
      <c r="AS1160" s="27"/>
      <c r="AT1160" s="27"/>
      <c r="AU1160" s="27"/>
      <c r="AV1160" s="27"/>
      <c r="AW1160" s="27"/>
      <c r="AX1160" s="27"/>
      <c r="AY1160" s="27"/>
      <c r="AZ1160" s="27"/>
      <c r="BA1160" s="27"/>
      <c r="BB1160" s="27"/>
      <c r="BC1160" s="133"/>
      <c r="BD1160" s="27"/>
      <c r="BE1160" s="130"/>
    </row>
    <row r="1161" spans="1:57" s="25" customFormat="1">
      <c r="A1161" s="130"/>
      <c r="G1161" s="120"/>
      <c r="H1161" s="120"/>
      <c r="I1161" s="120"/>
      <c r="J1161" s="120"/>
      <c r="K1161" s="120"/>
      <c r="X1161" s="130"/>
      <c r="Y1161" s="130"/>
      <c r="Z1161" s="121"/>
      <c r="AA1161" s="121"/>
      <c r="AB1161" s="121"/>
      <c r="AC1161" s="121"/>
      <c r="AD1161" s="121"/>
      <c r="AE1161" s="121"/>
      <c r="AF1161" s="121"/>
      <c r="AG1161" s="121"/>
      <c r="AH1161" s="121"/>
      <c r="AI1161" s="121"/>
      <c r="AJ1161" s="121"/>
      <c r="AK1161" s="121"/>
      <c r="AL1161" s="121"/>
      <c r="AM1161" s="121"/>
      <c r="AN1161" s="121"/>
      <c r="AO1161" s="121"/>
      <c r="AP1161" s="121"/>
      <c r="AS1161" s="27"/>
      <c r="AT1161" s="27"/>
      <c r="AU1161" s="27"/>
      <c r="AV1161" s="27"/>
      <c r="AW1161" s="27"/>
      <c r="AX1161" s="27"/>
      <c r="AY1161" s="27"/>
      <c r="AZ1161" s="27"/>
      <c r="BA1161" s="27"/>
      <c r="BB1161" s="27"/>
      <c r="BC1161" s="133"/>
      <c r="BD1161" s="27"/>
      <c r="BE1161" s="130"/>
    </row>
    <row r="1162" spans="1:57" s="25" customFormat="1">
      <c r="A1162" s="130"/>
      <c r="G1162" s="120"/>
      <c r="H1162" s="120"/>
      <c r="I1162" s="120"/>
      <c r="J1162" s="120"/>
      <c r="K1162" s="120"/>
      <c r="X1162" s="130"/>
      <c r="Y1162" s="130"/>
      <c r="Z1162" s="121"/>
      <c r="AA1162" s="121"/>
      <c r="AB1162" s="121"/>
      <c r="AC1162" s="121"/>
      <c r="AD1162" s="121"/>
      <c r="AE1162" s="121"/>
      <c r="AF1162" s="121"/>
      <c r="AG1162" s="121"/>
      <c r="AH1162" s="121"/>
      <c r="AI1162" s="121"/>
      <c r="AJ1162" s="121"/>
      <c r="AK1162" s="121"/>
      <c r="AL1162" s="121"/>
      <c r="AM1162" s="121"/>
      <c r="AN1162" s="121"/>
      <c r="AO1162" s="121"/>
      <c r="AP1162" s="121"/>
      <c r="AS1162" s="27"/>
      <c r="AT1162" s="27"/>
      <c r="AU1162" s="27"/>
      <c r="AV1162" s="27"/>
      <c r="AW1162" s="27"/>
      <c r="AX1162" s="27"/>
      <c r="AY1162" s="27"/>
      <c r="AZ1162" s="27"/>
      <c r="BA1162" s="27"/>
      <c r="BB1162" s="27"/>
      <c r="BC1162" s="133"/>
      <c r="BD1162" s="27"/>
      <c r="BE1162" s="130"/>
    </row>
    <row r="1163" spans="1:57" s="25" customFormat="1">
      <c r="A1163" s="130"/>
      <c r="G1163" s="120"/>
      <c r="H1163" s="120"/>
      <c r="I1163" s="120"/>
      <c r="J1163" s="120"/>
      <c r="K1163" s="120"/>
      <c r="X1163" s="130"/>
      <c r="Y1163" s="130"/>
      <c r="Z1163" s="121"/>
      <c r="AA1163" s="121"/>
      <c r="AB1163" s="121"/>
      <c r="AC1163" s="121"/>
      <c r="AD1163" s="121"/>
      <c r="AE1163" s="121"/>
      <c r="AF1163" s="121"/>
      <c r="AG1163" s="121"/>
      <c r="AH1163" s="121"/>
      <c r="AI1163" s="121"/>
      <c r="AJ1163" s="121"/>
      <c r="AK1163" s="121"/>
      <c r="AL1163" s="121"/>
      <c r="AM1163" s="121"/>
      <c r="AN1163" s="121"/>
      <c r="AO1163" s="121"/>
      <c r="AP1163" s="121"/>
      <c r="AS1163" s="27"/>
      <c r="AT1163" s="27"/>
      <c r="AU1163" s="27"/>
      <c r="AV1163" s="27"/>
      <c r="AW1163" s="27"/>
      <c r="AX1163" s="27"/>
      <c r="AY1163" s="27"/>
      <c r="AZ1163" s="27"/>
      <c r="BA1163" s="27"/>
      <c r="BB1163" s="27"/>
      <c r="BC1163" s="133"/>
      <c r="BD1163" s="27"/>
      <c r="BE1163" s="130"/>
    </row>
    <row r="1164" spans="1:57" s="25" customFormat="1">
      <c r="A1164" s="130"/>
      <c r="G1164" s="120"/>
      <c r="H1164" s="120"/>
      <c r="I1164" s="120"/>
      <c r="J1164" s="120"/>
      <c r="K1164" s="120"/>
      <c r="X1164" s="130"/>
      <c r="Y1164" s="130"/>
      <c r="Z1164" s="121"/>
      <c r="AA1164" s="121"/>
      <c r="AB1164" s="121"/>
      <c r="AC1164" s="121"/>
      <c r="AD1164" s="121"/>
      <c r="AE1164" s="121"/>
      <c r="AF1164" s="121"/>
      <c r="AG1164" s="121"/>
      <c r="AH1164" s="121"/>
      <c r="AI1164" s="121"/>
      <c r="AJ1164" s="121"/>
      <c r="AK1164" s="121"/>
      <c r="AL1164" s="121"/>
      <c r="AM1164" s="121"/>
      <c r="AN1164" s="121"/>
      <c r="AO1164" s="121"/>
      <c r="AP1164" s="121"/>
      <c r="AS1164" s="27"/>
      <c r="AT1164" s="27"/>
      <c r="AU1164" s="27"/>
      <c r="AV1164" s="27"/>
      <c r="AW1164" s="27"/>
      <c r="AX1164" s="27"/>
      <c r="AY1164" s="27"/>
      <c r="AZ1164" s="27"/>
      <c r="BA1164" s="27"/>
      <c r="BB1164" s="27"/>
      <c r="BC1164" s="133"/>
      <c r="BD1164" s="27"/>
      <c r="BE1164" s="130"/>
    </row>
    <row r="1165" spans="1:57" s="25" customFormat="1">
      <c r="A1165" s="130"/>
      <c r="G1165" s="120"/>
      <c r="H1165" s="120"/>
      <c r="I1165" s="120"/>
      <c r="J1165" s="120"/>
      <c r="K1165" s="120"/>
      <c r="X1165" s="130"/>
      <c r="Y1165" s="130"/>
      <c r="Z1165" s="121"/>
      <c r="AA1165" s="121"/>
      <c r="AB1165" s="121"/>
      <c r="AC1165" s="121"/>
      <c r="AD1165" s="121"/>
      <c r="AE1165" s="121"/>
      <c r="AF1165" s="121"/>
      <c r="AG1165" s="121"/>
      <c r="AH1165" s="121"/>
      <c r="AI1165" s="121"/>
      <c r="AJ1165" s="121"/>
      <c r="AK1165" s="121"/>
      <c r="AL1165" s="121"/>
      <c r="AM1165" s="121"/>
      <c r="AN1165" s="121"/>
      <c r="AO1165" s="121"/>
      <c r="AP1165" s="121"/>
      <c r="AS1165" s="27"/>
      <c r="AT1165" s="27"/>
      <c r="AU1165" s="27"/>
      <c r="AV1165" s="27"/>
      <c r="AW1165" s="27"/>
      <c r="AX1165" s="27"/>
      <c r="AY1165" s="27"/>
      <c r="AZ1165" s="27"/>
      <c r="BA1165" s="27"/>
      <c r="BB1165" s="27"/>
      <c r="BC1165" s="133"/>
      <c r="BD1165" s="27"/>
      <c r="BE1165" s="130"/>
    </row>
    <row r="1166" spans="1:57">
      <c r="AX1166" s="27"/>
      <c r="AY1166" s="27"/>
    </row>
    <row r="1167" spans="1:57">
      <c r="AX1167" s="27"/>
      <c r="AY1167" s="27"/>
    </row>
    <row r="1168" spans="1:57">
      <c r="AX1168" s="27"/>
      <c r="AY1168" s="27"/>
    </row>
    <row r="1169" spans="50:51">
      <c r="AX1169" s="27"/>
      <c r="AY1169" s="27"/>
    </row>
  </sheetData>
  <protectedRanges>
    <protectedRange sqref="AQ1045:AU1264 AQ1032:AQ1033 AQ315:AQ322 AQ333:AQ340 AQ740:AQ883 AQ324:AQ331 AQ342:AQ349 AQ351:AQ358 AQ360:AQ411 AQ738 AQ1030 AQ413:AQ446 AQ448:AQ591 AQ593:AQ736 AQ885:AQ1028 AZ1045:BC1264 AQ266:AQ313 AW1045:AW1264 AO1035:AP1044 AQ1034:BC1034" name="Usage"/>
    <protectedRange sqref="BD1045:BD1264 BD740:BD883 BD738 BD1030 BD448:BD591 BD593:BD736 BD885:BD1028 BD1032:BD1034" name="Usage_1"/>
    <protectedRange sqref="AQ245:AQ263 AQ212:AQ213 AQ215:AQ226 AQ231:AQ240 AQ10:AQ26 AQ228:AQ229 AQ242:AQ243 AQ200:AQ207 AQ28:AQ33 AQ35:AQ40 AQ42:AQ55 AQ57:AQ68 AQ82:AQ102 AQ112:AQ135 AQ152:AQ163 AQ177:AQ198 AQ209:AQ210 AQ70:AQ80 AQ165:AQ175 AQ104:AQ110 AQ137:AQ150" name="Usage_2"/>
    <protectedRange sqref="AX1045:AY1268" name="Usage_3_1"/>
    <protectedRange sqref="BD266:BD271 BD302:BD307" name="Usage_1_1_5"/>
    <protectedRange sqref="BD272:BD277" name="Usage_1_1_1_1"/>
    <protectedRange sqref="BD278:BD283" name="Usage_1_1_2_1"/>
    <protectedRange sqref="BD284:BD289" name="Usage_1_1_3_1"/>
    <protectedRange sqref="BD290:BD295 BD298:BD301" name="Usage_1_1_4_1"/>
    <protectedRange sqref="BD315:BD322 BD324:BD331" name="Usage_1_2"/>
    <protectedRange sqref="BD351:BD356" name="Usage_1_3"/>
    <protectedRange sqref="BD368:BD371 BD408:BD411" name="Usage_1_4"/>
  </protectedRanges>
  <mergeCells count="89">
    <mergeCell ref="BE120:BE124"/>
    <mergeCell ref="BE131:BE135"/>
    <mergeCell ref="BE57:BE62"/>
    <mergeCell ref="BE70:BE80"/>
    <mergeCell ref="BE42:BE55"/>
    <mergeCell ref="BE101:BE102"/>
    <mergeCell ref="BE116:BE119"/>
    <mergeCell ref="D1:K1"/>
    <mergeCell ref="D2:L2"/>
    <mergeCell ref="D4:K4"/>
    <mergeCell ref="D5:K5"/>
    <mergeCell ref="A6:B7"/>
    <mergeCell ref="D6:E6"/>
    <mergeCell ref="G6:K6"/>
    <mergeCell ref="L6:P6"/>
    <mergeCell ref="A56:B56"/>
    <mergeCell ref="Q6:U6"/>
    <mergeCell ref="W6:Y6"/>
    <mergeCell ref="Z6:AB6"/>
    <mergeCell ref="AD6:AI6"/>
    <mergeCell ref="BE6:BE7"/>
    <mergeCell ref="A9:B9"/>
    <mergeCell ref="A27:B27"/>
    <mergeCell ref="A34:B34"/>
    <mergeCell ref="A41:B41"/>
    <mergeCell ref="AJ6:AP6"/>
    <mergeCell ref="AQ6:BB6"/>
    <mergeCell ref="BE19:BE22"/>
    <mergeCell ref="BE23:BE26"/>
    <mergeCell ref="BE28:BE33"/>
    <mergeCell ref="BE35:BE40"/>
    <mergeCell ref="A227:B227"/>
    <mergeCell ref="A69:B69"/>
    <mergeCell ref="A81:B81"/>
    <mergeCell ref="A103:B103"/>
    <mergeCell ref="A111:B111"/>
    <mergeCell ref="A136:B136"/>
    <mergeCell ref="A151:B151"/>
    <mergeCell ref="A164:B164"/>
    <mergeCell ref="A176:B176"/>
    <mergeCell ref="A199:B199"/>
    <mergeCell ref="A211:B211"/>
    <mergeCell ref="A214:B214"/>
    <mergeCell ref="A412:B412"/>
    <mergeCell ref="A230:B230"/>
    <mergeCell ref="A241:B241"/>
    <mergeCell ref="A244:B244"/>
    <mergeCell ref="A264:B264"/>
    <mergeCell ref="A265:B265"/>
    <mergeCell ref="A314:B314"/>
    <mergeCell ref="A323:B323"/>
    <mergeCell ref="A332:B332"/>
    <mergeCell ref="A341:B341"/>
    <mergeCell ref="A350:B350"/>
    <mergeCell ref="A359:B359"/>
    <mergeCell ref="A448:A591"/>
    <mergeCell ref="B448:B591"/>
    <mergeCell ref="BE448:BE591"/>
    <mergeCell ref="A593:A736"/>
    <mergeCell ref="B593:B736"/>
    <mergeCell ref="BE593:BE736"/>
    <mergeCell ref="A740:A883"/>
    <mergeCell ref="B740:B883"/>
    <mergeCell ref="BE740:BE883"/>
    <mergeCell ref="A885:A1028"/>
    <mergeCell ref="B885:B1028"/>
    <mergeCell ref="BE885:BE1028"/>
    <mergeCell ref="A1032:A1033"/>
    <mergeCell ref="B1032:B1033"/>
    <mergeCell ref="BE1032:BE1033"/>
    <mergeCell ref="I1035:P1035"/>
    <mergeCell ref="D1043:K1043"/>
    <mergeCell ref="BE141:BE142"/>
    <mergeCell ref="BE170:BE171"/>
    <mergeCell ref="BE172:BE173"/>
    <mergeCell ref="BE174:BE175"/>
    <mergeCell ref="BE179:BE180"/>
    <mergeCell ref="BE195:BE198"/>
    <mergeCell ref="BE245:BE246"/>
    <mergeCell ref="BE248:BE249"/>
    <mergeCell ref="BE254:BE255"/>
    <mergeCell ref="BE315:BE322"/>
    <mergeCell ref="BE368:BE371"/>
    <mergeCell ref="BE415:BE430"/>
    <mergeCell ref="BE324:BE331"/>
    <mergeCell ref="BE351:BE352"/>
    <mergeCell ref="BE353:BE354"/>
    <mergeCell ref="BE355:BE356"/>
    <mergeCell ref="BE408:BE411"/>
  </mergeCells>
  <conditionalFormatting sqref="AR323 AR350 AR1031 BD487:BD489 BD509:BD511 BD498:BD500 BD520:BD522 BD531:BD533 BD553:BD555 BD542:BD544 BD464:BD471 BD448:BD462 BD474:BD478 AR68 AR77:AR80 AR245:AR250 AR447 AR27 AR82:AR85 AR177:AR196 AR210 AR212:AR213 AR215:AR221 AR264:AR265 AR1045:AR1048576 AP1035:AP1040 AP1042:AP1044 AR1:AR7 AR104:AR108">
    <cfRule type="cellIs" dxfId="1863" priority="1963" operator="equal">
      <formula>"Not Assigned"</formula>
    </cfRule>
  </conditionalFormatting>
  <conditionalFormatting sqref="AP28:AP32 AD176:AF176 AD28:AF32 AD35:AF40 AD68:AF68 AD77:AF80 AE82:AF85 AJ152:AP162 AD103:AF103 AD136:AF136 AD209:AF210 AE192:AF196 AH29:AI32 AH36:AI40 AH103:AI103 AH82:AI82 AH77:AI80 AI68 AH176:AI176 AH244:AI244 AF152:AF161 AD151:AF151 AG151:AG162 AD199:AI199 AD212:AF213 AD215:AF226 AF137:AF142 AD231:AF240 AD244:AF250 AD253 AD256:AD263 AI28 AI35 AI83:AI85 AH83:AH96 AH136:AI138 AI139:AI142 AH139:AH150 AH151:AI153 AI154:AI161 AH154:AH163 AH209:AP210 AH212:AP213 AH215:AP226 AH228:AP229 AH231:AH240 AH245:AH263 AH101:AH102 AJ104:AP108 AD104:AI110 AD138:AD142 AD228:AF229 AI177:AP196 AK197:AK198">
    <cfRule type="cellIs" dxfId="1862" priority="1962" operator="equal">
      <formula>"INVALID"</formula>
    </cfRule>
  </conditionalFormatting>
  <conditionalFormatting sqref="BD479:BD486 BD564:BD568 BD490:BD497 BD501:BD508 BD512:BD519">
    <cfRule type="cellIs" dxfId="1861" priority="1961" operator="equal">
      <formula>"Not Assigned"</formula>
    </cfRule>
  </conditionalFormatting>
  <conditionalFormatting sqref="BD1032:BD1033">
    <cfRule type="cellIs" dxfId="1860" priority="1958" operator="equal">
      <formula>"Not Assigned"</formula>
    </cfRule>
  </conditionalFormatting>
  <conditionalFormatting sqref="AR28:AR32 AR35:AR40">
    <cfRule type="cellIs" dxfId="1859" priority="1956" operator="equal">
      <formula>"Not Assigned"</formula>
    </cfRule>
  </conditionalFormatting>
  <conditionalFormatting sqref="BD523:BD530 BD534:BD541 BD545:BD552 BD556:BD563">
    <cfRule type="cellIs" dxfId="1858" priority="1955" operator="equal">
      <formula>"Not Assigned"</formula>
    </cfRule>
  </conditionalFormatting>
  <conditionalFormatting sqref="BD463">
    <cfRule type="cellIs" dxfId="1857" priority="1954" operator="equal">
      <formula>"Not Assigned"</formula>
    </cfRule>
  </conditionalFormatting>
  <conditionalFormatting sqref="BD573:BD574">
    <cfRule type="cellIs" dxfId="1856" priority="1953" operator="equal">
      <formula>"Not Assigned"</formula>
    </cfRule>
  </conditionalFormatting>
  <conditionalFormatting sqref="BD571:BD572">
    <cfRule type="cellIs" dxfId="1855" priority="1952" operator="equal">
      <formula>"Not Assigned"</formula>
    </cfRule>
  </conditionalFormatting>
  <conditionalFormatting sqref="BD569:BD570">
    <cfRule type="cellIs" dxfId="1854" priority="1951" operator="equal">
      <formula>"Not Assigned"</formula>
    </cfRule>
  </conditionalFormatting>
  <conditionalFormatting sqref="BD577">
    <cfRule type="cellIs" dxfId="1853" priority="1950" operator="equal">
      <formula>"Not Assigned"</formula>
    </cfRule>
  </conditionalFormatting>
  <conditionalFormatting sqref="BD575:BD576">
    <cfRule type="cellIs" dxfId="1852" priority="1949" operator="equal">
      <formula>"Not Assigned"</formula>
    </cfRule>
  </conditionalFormatting>
  <conditionalFormatting sqref="AR314">
    <cfRule type="cellIs" dxfId="1851" priority="1945" operator="equal">
      <formula>"Not Assigned"</formula>
    </cfRule>
  </conditionalFormatting>
  <conditionalFormatting sqref="AR359">
    <cfRule type="cellIs" dxfId="1850" priority="1943" operator="equal">
      <formula>"Not Assigned"</formula>
    </cfRule>
  </conditionalFormatting>
  <conditionalFormatting sqref="AS137:AS142 AS245:AS250 AS153:AS161 AS231:AS240 AS114:AS122 AS23 AS82:AS85 AS209:AS210 AS128:AS135 AS149:AS150 AS163 AS177:AS198 AS212:AS213 AS215:AS226 AS228:AS229 AS242:AS243 AS28:AS33 AS35:AS40 AS50:AS55 AS68 AS77:AS80 AS104:AS108">
    <cfRule type="expression" dxfId="1849" priority="1931">
      <formula>EXACT(AF23, "INVALID")</formula>
    </cfRule>
  </conditionalFormatting>
  <conditionalFormatting sqref="AS152">
    <cfRule type="expression" dxfId="1848" priority="1930">
      <formula>EXACT(AF152, "INVALID")</formula>
    </cfRule>
  </conditionalFormatting>
  <conditionalFormatting sqref="AZ137:AZ142 AZ245:AZ250 AZ153:AZ161 AZ231:AZ240 AZ114:AZ122 AZ23 AZ82:AZ85 AZ210 AZ128:AZ135 AZ149:AZ150 AZ163 AZ212:AZ213 AZ215:AZ221 AZ228:AZ229 AZ242:AZ243 AZ28:AZ33 AZ35:AZ40 AZ50:AZ55 AZ77:AZ80 AZ67:AZ68 AZ259:AZ263 AZ177:AZ198 AZ104:AZ107">
    <cfRule type="expression" dxfId="1847" priority="1929">
      <formula>AND(NOT(ISBLANK(AZ23)), EXACT(AF23, "INVALID"))</formula>
    </cfRule>
  </conditionalFormatting>
  <conditionalFormatting sqref="BA137:BA142 BA245:BA250 BA153:BA161 BA231:BA240 BA114:BA122 BA23 BA82:BA85 BA210 BA128:BA135 BA149:BA150 BA163 BA177:BA198 BA212:BA213 BA215:BA221 BA228:BA229 BA242:BA243 BA28:BA33 BA35:BA40 BA50:BA55 BA77:BA80 BA67:BA68 BA259:BA263 BA104:BA107">
    <cfRule type="expression" dxfId="1846" priority="1928">
      <formula>AND(NOT(ISBLANK(BA23)), EXACT(AF23, "INVALID"))</formula>
    </cfRule>
  </conditionalFormatting>
  <conditionalFormatting sqref="AZ152">
    <cfRule type="expression" dxfId="1845" priority="1927">
      <formula>AND(NOT(ISBLANK(AZ152)), EXACT(AF152, "INVALID"))</formula>
    </cfRule>
  </conditionalFormatting>
  <conditionalFormatting sqref="BA152">
    <cfRule type="expression" dxfId="1844" priority="1926">
      <formula>AND(NOT(ISBLANK(BA152)), EXACT(AF152, "INVALID"))</formula>
    </cfRule>
  </conditionalFormatting>
  <conditionalFormatting sqref="AZ222:AZ226">
    <cfRule type="expression" dxfId="1843" priority="1925">
      <formula>AND(NOT(ISBLANK(AZ222)), EXACT(AF222, "INVALID"))</formula>
    </cfRule>
  </conditionalFormatting>
  <conditionalFormatting sqref="BA222:BA226">
    <cfRule type="expression" dxfId="1842" priority="1924">
      <formula>AND(NOT(ISBLANK(BA222)), EXACT(AF222, "INVALID"))</formula>
    </cfRule>
  </conditionalFormatting>
  <conditionalFormatting sqref="AR231:AR240 AR137:AR142 AR112:AR124 AR23 AR82:AR85 AR245:AR250 AR210 AR126:AR135 AR149:AR150 AR152:AR163 AR177:AR198 AR212:AR213 AR215:AR226 AR228:AR229 AR242:AR243 AR28:AR33 AR35:AR40 AR50:AR55 AR77:AR80 AR165:AR175 AR67:AR68 AR259:AR263 AR104:AR108">
    <cfRule type="expression" dxfId="1841" priority="1923">
      <formula>NOT($AL23)</formula>
    </cfRule>
  </conditionalFormatting>
  <conditionalFormatting sqref="AR137:AR142">
    <cfRule type="cellIs" dxfId="1840" priority="1922" operator="equal">
      <formula>"Not Assigned"</formula>
    </cfRule>
  </conditionalFormatting>
  <conditionalFormatting sqref="AR152:AR161">
    <cfRule type="cellIs" dxfId="1839" priority="1921" operator="equal">
      <formula>"Not Assigned"</formula>
    </cfRule>
  </conditionalFormatting>
  <conditionalFormatting sqref="AR222:AR226 AR231:AR240 AR228:AR229">
    <cfRule type="cellIs" dxfId="1838" priority="1920" operator="equal">
      <formula>"Not Assigned"</formula>
    </cfRule>
  </conditionalFormatting>
  <conditionalFormatting sqref="BD472:BD473">
    <cfRule type="cellIs" dxfId="1837" priority="1919" operator="equal">
      <formula>"Not Assigned"</formula>
    </cfRule>
  </conditionalFormatting>
  <conditionalFormatting sqref="AF162 AI162">
    <cfRule type="cellIs" dxfId="1836" priority="1918" operator="equal">
      <formula>"INVALID"</formula>
    </cfRule>
  </conditionalFormatting>
  <conditionalFormatting sqref="AQ114:AQ122 AQ231:AQ240 AQ298:AQ301 AQ384:AQ387 AQ265:AQ271 AQ137:AQ142 AQ112 AQ23 AQ274:AQ283 AQ286:AQ295 AQ210 AQ128:AQ135 AQ149:AQ150 AQ152:AQ163 AQ177:AQ198 AQ212:AQ213 AQ215:AQ226 AQ228:AQ229 AQ242:AQ243 AQ28:AQ33 AQ35:AQ40 AQ50:AQ55 AQ77:AQ80 AQ359:AQ379 AQ165:AQ175 AQ442:AQ736 AQ739:AQ1028 AQ1031:AQ1033 AQ1045:AQ1542 AQ314:AQ356 AQ67:AQ68 AQ412:AQ432 AQ104:AQ108">
    <cfRule type="expression" dxfId="1835" priority="1957" stopIfTrue="1">
      <formula>REPLACE($AQ23,8,LEN($AQ23),"")="unused_"</formula>
    </cfRule>
  </conditionalFormatting>
  <conditionalFormatting sqref="AF114:AF122 AI112:AI124 AD111:AF111 AH111:AI111 AD112:AD125 AF112 AH112:AH135">
    <cfRule type="cellIs" dxfId="1834" priority="1916" operator="equal">
      <formula>"INVALID"</formula>
    </cfRule>
  </conditionalFormatting>
  <conditionalFormatting sqref="AS112">
    <cfRule type="expression" dxfId="1833" priority="1915">
      <formula>EXACT(AF112, "INVALID")</formula>
    </cfRule>
  </conditionalFormatting>
  <conditionalFormatting sqref="AZ112">
    <cfRule type="expression" dxfId="1832" priority="1914">
      <formula>AND(NOT(ISBLANK(AZ112)), EXACT(AF112, "INVALID"))</formula>
    </cfRule>
  </conditionalFormatting>
  <conditionalFormatting sqref="BA112">
    <cfRule type="expression" dxfId="1831" priority="1913">
      <formula>AND(NOT(ISBLANK(BA112)), EXACT(AF112, "INVALID"))</formula>
    </cfRule>
  </conditionalFormatting>
  <conditionalFormatting sqref="AR112 AR114:AR122">
    <cfRule type="cellIs" dxfId="1830" priority="1912" operator="equal">
      <formula>"Not Assigned"</formula>
    </cfRule>
  </conditionalFormatting>
  <conditionalFormatting sqref="AQ113 AQ380:AQ383 AQ409:AQ411">
    <cfRule type="expression" dxfId="1829" priority="1910">
      <formula>RIGHT($AQ113, 1)="*"</formula>
    </cfRule>
    <cfRule type="expression" dxfId="1828" priority="1911" stopIfTrue="1">
      <formula>REPLACE($AQ113,8,LEN($AQ113),"")="unused_"</formula>
    </cfRule>
  </conditionalFormatting>
  <conditionalFormatting sqref="AF113 AI113">
    <cfRule type="cellIs" dxfId="1827" priority="1909" operator="equal">
      <formula>"INVALID"</formula>
    </cfRule>
  </conditionalFormatting>
  <conditionalFormatting sqref="AS113">
    <cfRule type="expression" dxfId="1826" priority="1908">
      <formula>EXACT(AF113, "INVALID")</formula>
    </cfRule>
  </conditionalFormatting>
  <conditionalFormatting sqref="AZ113">
    <cfRule type="expression" dxfId="1825" priority="1907">
      <formula>AND(NOT(ISBLANK(AZ113)), EXACT(AF113, "INVALID"))</formula>
    </cfRule>
  </conditionalFormatting>
  <conditionalFormatting sqref="BA113">
    <cfRule type="expression" dxfId="1824" priority="1906">
      <formula>AND(NOT(ISBLANK(BA113)), EXACT(AF113, "INVALID"))</formula>
    </cfRule>
  </conditionalFormatting>
  <conditionalFormatting sqref="AR113">
    <cfRule type="cellIs" dxfId="1823" priority="1905" operator="equal">
      <formula>"Not Assigned"</formula>
    </cfRule>
  </conditionalFormatting>
  <conditionalFormatting sqref="AQ123">
    <cfRule type="expression" dxfId="1822" priority="1903">
      <formula>RIGHT($AQ123, 1)="*"</formula>
    </cfRule>
    <cfRule type="expression" dxfId="1821" priority="1904" stopIfTrue="1">
      <formula>REPLACE($AQ123,8,LEN($AQ123),"")="unused_"</formula>
    </cfRule>
  </conditionalFormatting>
  <conditionalFormatting sqref="AF123 AI123">
    <cfRule type="cellIs" dxfId="1820" priority="1902" operator="equal">
      <formula>"INVALID"</formula>
    </cfRule>
  </conditionalFormatting>
  <conditionalFormatting sqref="AS123">
    <cfRule type="expression" dxfId="1819" priority="1901">
      <formula>EXACT(AF123, "INVALID")</formula>
    </cfRule>
  </conditionalFormatting>
  <conditionalFormatting sqref="AZ123">
    <cfRule type="expression" dxfId="1818" priority="1900">
      <formula>AND(NOT(ISBLANK(AZ123)), EXACT(AF123, "INVALID"))</formula>
    </cfRule>
  </conditionalFormatting>
  <conditionalFormatting sqref="BA123">
    <cfRule type="expression" dxfId="1817" priority="1899">
      <formula>AND(NOT(ISBLANK(BA123)), EXACT(AF123, "INVALID"))</formula>
    </cfRule>
  </conditionalFormatting>
  <conditionalFormatting sqref="AR123">
    <cfRule type="cellIs" dxfId="1816" priority="1898" operator="equal">
      <formula>"Not Assigned"</formula>
    </cfRule>
  </conditionalFormatting>
  <conditionalFormatting sqref="AQ124">
    <cfRule type="expression" dxfId="1815" priority="1896">
      <formula>RIGHT($AQ124, 1)="*"</formula>
    </cfRule>
    <cfRule type="expression" dxfId="1814" priority="1897" stopIfTrue="1">
      <formula>REPLACE($AQ124,8,LEN($AQ124),"")="unused_"</formula>
    </cfRule>
  </conditionalFormatting>
  <conditionalFormatting sqref="AF124 AI124">
    <cfRule type="cellIs" dxfId="1813" priority="1895" operator="equal">
      <formula>"INVALID"</formula>
    </cfRule>
  </conditionalFormatting>
  <conditionalFormatting sqref="AS124">
    <cfRule type="expression" dxfId="1812" priority="1894">
      <formula>EXACT(AF124, "INVALID")</formula>
    </cfRule>
  </conditionalFormatting>
  <conditionalFormatting sqref="AZ124">
    <cfRule type="expression" dxfId="1811" priority="1893">
      <formula>AND(NOT(ISBLANK(AZ124)), EXACT(AF124, "INVALID"))</formula>
    </cfRule>
  </conditionalFormatting>
  <conditionalFormatting sqref="BA124">
    <cfRule type="expression" dxfId="1810" priority="1892">
      <formula>AND(NOT(ISBLANK(BA124)), EXACT(AF124, "INVALID"))</formula>
    </cfRule>
  </conditionalFormatting>
  <conditionalFormatting sqref="AR124">
    <cfRule type="cellIs" dxfId="1809" priority="1891" operator="equal">
      <formula>"Not Assigned"</formula>
    </cfRule>
  </conditionalFormatting>
  <conditionalFormatting sqref="AF230 AH230:AI230">
    <cfRule type="cellIs" dxfId="1808" priority="1890" operator="equal">
      <formula>"INVALID"</formula>
    </cfRule>
  </conditionalFormatting>
  <conditionalFormatting sqref="AD242:AF242 AH242:AH243">
    <cfRule type="cellIs" dxfId="1807" priority="1889" operator="equal">
      <formula>"INVALID"</formula>
    </cfRule>
  </conditionalFormatting>
  <conditionalFormatting sqref="AR242">
    <cfRule type="cellIs" dxfId="1806" priority="1888" operator="equal">
      <formula>"Not Assigned"</formula>
    </cfRule>
  </conditionalFormatting>
  <conditionalFormatting sqref="AH241:AI241">
    <cfRule type="cellIs" dxfId="1805" priority="1887" operator="equal">
      <formula>"INVALID"</formula>
    </cfRule>
  </conditionalFormatting>
  <conditionalFormatting sqref="AQ296:AQ297">
    <cfRule type="expression" dxfId="1804" priority="1884">
      <formula>RIGHT($AQ296, 1)="*"</formula>
    </cfRule>
    <cfRule type="expression" dxfId="1803" priority="1885" stopIfTrue="1">
      <formula>REPLACE($AQ296,8,LEN($AQ296),"")="unused_"</formula>
    </cfRule>
  </conditionalFormatting>
  <conditionalFormatting sqref="AQ304:AQ307">
    <cfRule type="expression" dxfId="1802" priority="1881">
      <formula>RIGHT($AQ304, 1)="*"</formula>
    </cfRule>
    <cfRule type="expression" dxfId="1801" priority="1882" stopIfTrue="1">
      <formula>REPLACE($AQ304,8,LEN($AQ304),"")="unused_"</formula>
    </cfRule>
  </conditionalFormatting>
  <conditionalFormatting sqref="AQ302:AQ303">
    <cfRule type="expression" dxfId="1800" priority="1878">
      <formula>RIGHT($AQ302, 1)="*"</formula>
    </cfRule>
    <cfRule type="expression" dxfId="1799" priority="1879" stopIfTrue="1">
      <formula>REPLACE($AQ302,8,LEN($AQ302),"")="unused_"</formula>
    </cfRule>
  </conditionalFormatting>
  <conditionalFormatting sqref="AQ310:AQ313">
    <cfRule type="expression" dxfId="1798" priority="1875">
      <formula>RIGHT($AQ310, 1)="*"</formula>
    </cfRule>
    <cfRule type="expression" dxfId="1797" priority="1876" stopIfTrue="1">
      <formula>REPLACE($AQ310,8,LEN($AQ310),"")="unused_"</formula>
    </cfRule>
  </conditionalFormatting>
  <conditionalFormatting sqref="AQ308:AQ309">
    <cfRule type="expression" dxfId="1796" priority="1872">
      <formula>RIGHT($AQ308, 1)="*"</formula>
    </cfRule>
    <cfRule type="expression" dxfId="1795" priority="1873" stopIfTrue="1">
      <formula>REPLACE($AQ308,8,LEN($AQ308),"")="unused_"</formula>
    </cfRule>
  </conditionalFormatting>
  <conditionalFormatting sqref="BD584:BD588">
    <cfRule type="cellIs" dxfId="1794" priority="1869" operator="equal">
      <formula>"Not Assigned"</formula>
    </cfRule>
  </conditionalFormatting>
  <conditionalFormatting sqref="BD578:BD583">
    <cfRule type="cellIs" dxfId="1793" priority="1868" operator="equal">
      <formula>"Not Assigned"</formula>
    </cfRule>
  </conditionalFormatting>
  <conditionalFormatting sqref="BD589:BD591">
    <cfRule type="cellIs" dxfId="1792" priority="1867" operator="equal">
      <formula>"Not Assigned"</formula>
    </cfRule>
  </conditionalFormatting>
  <conditionalFormatting sqref="Q250">
    <cfRule type="cellIs" dxfId="1791" priority="1866" operator="equal">
      <formula>"INVALID"</formula>
    </cfRule>
  </conditionalFormatting>
  <conditionalFormatting sqref="R250">
    <cfRule type="cellIs" dxfId="1790" priority="1865" operator="equal">
      <formula>"INVALID"</formula>
    </cfRule>
  </conditionalFormatting>
  <conditionalFormatting sqref="S250">
    <cfRule type="cellIs" dxfId="1789" priority="1864" operator="equal">
      <formula>"INVALID"</formula>
    </cfRule>
  </conditionalFormatting>
  <conditionalFormatting sqref="T250">
    <cfRule type="cellIs" dxfId="1788" priority="1863" operator="equal">
      <formula>"INVALID"</formula>
    </cfRule>
  </conditionalFormatting>
  <conditionalFormatting sqref="U250:V250">
    <cfRule type="cellIs" dxfId="1787" priority="1862" operator="equal">
      <formula>"INVALID"</formula>
    </cfRule>
  </conditionalFormatting>
  <conditionalFormatting sqref="Q236:Q237">
    <cfRule type="cellIs" dxfId="1786" priority="1861" operator="equal">
      <formula>"INVALID"</formula>
    </cfRule>
  </conditionalFormatting>
  <conditionalFormatting sqref="R236:R237">
    <cfRule type="cellIs" dxfId="1785" priority="1860" operator="equal">
      <formula>"INVALID"</formula>
    </cfRule>
  </conditionalFormatting>
  <conditionalFormatting sqref="S236:S237">
    <cfRule type="cellIs" dxfId="1784" priority="1859" operator="equal">
      <formula>"INVALID"</formula>
    </cfRule>
  </conditionalFormatting>
  <conditionalFormatting sqref="T236:T237">
    <cfRule type="cellIs" dxfId="1783" priority="1858" operator="equal">
      <formula>"INVALID"</formula>
    </cfRule>
  </conditionalFormatting>
  <conditionalFormatting sqref="U236:V237">
    <cfRule type="cellIs" dxfId="1782" priority="1857" operator="equal">
      <formula>"INVALID"</formula>
    </cfRule>
  </conditionalFormatting>
  <conditionalFormatting sqref="Q238:Q239">
    <cfRule type="cellIs" dxfId="1781" priority="1856" operator="equal">
      <formula>"INVALID"</formula>
    </cfRule>
  </conditionalFormatting>
  <conditionalFormatting sqref="R238:R239">
    <cfRule type="cellIs" dxfId="1780" priority="1855" operator="equal">
      <formula>"INVALID"</formula>
    </cfRule>
  </conditionalFormatting>
  <conditionalFormatting sqref="S238:S239">
    <cfRule type="cellIs" dxfId="1779" priority="1854" operator="equal">
      <formula>"INVALID"</formula>
    </cfRule>
  </conditionalFormatting>
  <conditionalFormatting sqref="T238:T239">
    <cfRule type="cellIs" dxfId="1778" priority="1853" operator="equal">
      <formula>"INVALID"</formula>
    </cfRule>
  </conditionalFormatting>
  <conditionalFormatting sqref="U238:V239">
    <cfRule type="cellIs" dxfId="1777" priority="1852" operator="equal">
      <formula>"INVALID"</formula>
    </cfRule>
  </conditionalFormatting>
  <conditionalFormatting sqref="Q240">
    <cfRule type="cellIs" dxfId="1776" priority="1851" operator="equal">
      <formula>"INVALID"</formula>
    </cfRule>
  </conditionalFormatting>
  <conditionalFormatting sqref="R240">
    <cfRule type="cellIs" dxfId="1775" priority="1850" operator="equal">
      <formula>"INVALID"</formula>
    </cfRule>
  </conditionalFormatting>
  <conditionalFormatting sqref="S240">
    <cfRule type="cellIs" dxfId="1774" priority="1849" operator="equal">
      <formula>"INVALID"</formula>
    </cfRule>
  </conditionalFormatting>
  <conditionalFormatting sqref="T240">
    <cfRule type="cellIs" dxfId="1773" priority="1848" operator="equal">
      <formula>"INVALID"</formula>
    </cfRule>
  </conditionalFormatting>
  <conditionalFormatting sqref="U240:V240">
    <cfRule type="cellIs" dxfId="1772" priority="1847" operator="equal">
      <formula>"INVALID"</formula>
    </cfRule>
  </conditionalFormatting>
  <conditionalFormatting sqref="AR162">
    <cfRule type="cellIs" dxfId="1771" priority="1846" operator="equal">
      <formula>"Not Assigned"</formula>
    </cfRule>
  </conditionalFormatting>
  <conditionalFormatting sqref="AS162">
    <cfRule type="expression" dxfId="1770" priority="1845">
      <formula>EXACT(AF162, "INVALID")</formula>
    </cfRule>
  </conditionalFormatting>
  <conditionalFormatting sqref="AJ28:AJ32 AJ35:AJ40 AJ68 AJ77:AJ80 AJ231:AJ240 AJ242 AJ245:AJ250 AJ112:AJ124 AJ137:AJ142 AJ82:AJ85 AJ152:AO162 AJ209:AO210 AJ212:AO213 AJ215:AO226 AJ228:AO229 AJ104:AO108 AJ177:AO196 AK197:AK198">
    <cfRule type="cellIs" dxfId="1769" priority="1844" operator="equal">
      <formula>FALSE</formula>
    </cfRule>
  </conditionalFormatting>
  <conditionalFormatting sqref="AK28:AK32 AK35:AK40 AK68 AK77:AK80 AK231:AK240 AK242 AK245:AK250 AK137:AK142 AK112:AK124 AK82:AK85">
    <cfRule type="cellIs" dxfId="1768" priority="1843" operator="equal">
      <formula>FALSE</formula>
    </cfRule>
  </conditionalFormatting>
  <conditionalFormatting sqref="AL28:AL32 AL35:AL40 AL68 AL77:AL80 AL231:AL240 AL242 AL245:AL250 AL137:AL142 AL112:AL124 AL82:AL85">
    <cfRule type="cellIs" dxfId="1767" priority="1842" operator="equal">
      <formula>FALSE</formula>
    </cfRule>
  </conditionalFormatting>
  <conditionalFormatting sqref="AM28:AM32 AM35:AM40 AM68 AM77:AM80 AM231:AM240 AM242 AM245:AM250 AM137:AM142 AM112:AM124 AM82:AM85">
    <cfRule type="cellIs" dxfId="1766" priority="1841" operator="equal">
      <formula>FALSE</formula>
    </cfRule>
  </conditionalFormatting>
  <conditionalFormatting sqref="AN28:AN32 AN35:AN40 AN68 AN77:AN80 AN231:AN240 AN242 AN245:AN250 AN137:AN142 AN112:AN124 AN82:AN85">
    <cfRule type="cellIs" dxfId="1765" priority="1840" operator="equal">
      <formula>FALSE</formula>
    </cfRule>
  </conditionalFormatting>
  <conditionalFormatting sqref="AP35:AP40">
    <cfRule type="cellIs" dxfId="1764" priority="1839" operator="equal">
      <formula>"INVALID"</formula>
    </cfRule>
  </conditionalFormatting>
  <conditionalFormatting sqref="AJ35:AJ40">
    <cfRule type="cellIs" dxfId="1763" priority="1838" operator="equal">
      <formula>"INVALID"</formula>
    </cfRule>
  </conditionalFormatting>
  <conditionalFormatting sqref="AK35:AK40">
    <cfRule type="cellIs" dxfId="1762" priority="1837" operator="equal">
      <formula>"INVALID"</formula>
    </cfRule>
  </conditionalFormatting>
  <conditionalFormatting sqref="AL35:AM40">
    <cfRule type="cellIs" dxfId="1761" priority="1836" operator="equal">
      <formula>"INVALID"</formula>
    </cfRule>
  </conditionalFormatting>
  <conditionalFormatting sqref="AK35:AK40">
    <cfRule type="cellIs" dxfId="1760" priority="1835" operator="equal">
      <formula>"INVALID"</formula>
    </cfRule>
  </conditionalFormatting>
  <conditionalFormatting sqref="AL35:AL40">
    <cfRule type="cellIs" dxfId="1759" priority="1834" operator="equal">
      <formula>"INVALID"</formula>
    </cfRule>
  </conditionalFormatting>
  <conditionalFormatting sqref="AM35:AM40">
    <cfRule type="cellIs" dxfId="1758" priority="1833" operator="equal">
      <formula>"INVALID"</formula>
    </cfRule>
  </conditionalFormatting>
  <conditionalFormatting sqref="AN35:AN40">
    <cfRule type="cellIs" dxfId="1757" priority="1832" operator="equal">
      <formula>"INVALID"</formula>
    </cfRule>
  </conditionalFormatting>
  <conditionalFormatting sqref="AP68">
    <cfRule type="cellIs" dxfId="1756" priority="1831" operator="equal">
      <formula>"INVALID"</formula>
    </cfRule>
  </conditionalFormatting>
  <conditionalFormatting sqref="AJ68">
    <cfRule type="cellIs" dxfId="1755" priority="1830" operator="equal">
      <formula>"INVALID"</formula>
    </cfRule>
  </conditionalFormatting>
  <conditionalFormatting sqref="AK68">
    <cfRule type="cellIs" dxfId="1754" priority="1829" operator="equal">
      <formula>"INVALID"</formula>
    </cfRule>
  </conditionalFormatting>
  <conditionalFormatting sqref="AL68:AM68">
    <cfRule type="cellIs" dxfId="1753" priority="1828" operator="equal">
      <formula>"INVALID"</formula>
    </cfRule>
  </conditionalFormatting>
  <conditionalFormatting sqref="AK68">
    <cfRule type="cellIs" dxfId="1752" priority="1827" operator="equal">
      <formula>"INVALID"</formula>
    </cfRule>
  </conditionalFormatting>
  <conditionalFormatting sqref="AL68">
    <cfRule type="cellIs" dxfId="1751" priority="1826" operator="equal">
      <formula>"INVALID"</formula>
    </cfRule>
  </conditionalFormatting>
  <conditionalFormatting sqref="AM68">
    <cfRule type="cellIs" dxfId="1750" priority="1825" operator="equal">
      <formula>"INVALID"</formula>
    </cfRule>
  </conditionalFormatting>
  <conditionalFormatting sqref="AN68">
    <cfRule type="cellIs" dxfId="1749" priority="1824" operator="equal">
      <formula>"INVALID"</formula>
    </cfRule>
  </conditionalFormatting>
  <conditionalFormatting sqref="AP77:AP80 AP82:AP85">
    <cfRule type="cellIs" dxfId="1748" priority="1823" operator="equal">
      <formula>"INVALID"</formula>
    </cfRule>
  </conditionalFormatting>
  <conditionalFormatting sqref="AJ77:AJ80 AJ82:AJ85">
    <cfRule type="cellIs" dxfId="1747" priority="1822" operator="equal">
      <formula>"INVALID"</formula>
    </cfRule>
  </conditionalFormatting>
  <conditionalFormatting sqref="AK77:AK80 AK82:AK85">
    <cfRule type="cellIs" dxfId="1746" priority="1821" operator="equal">
      <formula>"INVALID"</formula>
    </cfRule>
  </conditionalFormatting>
  <conditionalFormatting sqref="AL77:AM80 AL82:AM85">
    <cfRule type="cellIs" dxfId="1745" priority="1820" operator="equal">
      <formula>"INVALID"</formula>
    </cfRule>
  </conditionalFormatting>
  <conditionalFormatting sqref="AK77:AK80 AK82:AK85">
    <cfRule type="cellIs" dxfId="1744" priority="1819" operator="equal">
      <formula>"INVALID"</formula>
    </cfRule>
  </conditionalFormatting>
  <conditionalFormatting sqref="AL77:AL80 AL82:AL85">
    <cfRule type="cellIs" dxfId="1743" priority="1818" operator="equal">
      <formula>"INVALID"</formula>
    </cfRule>
  </conditionalFormatting>
  <conditionalFormatting sqref="AM77:AM80 AM82:AM85">
    <cfRule type="cellIs" dxfId="1742" priority="1817" operator="equal">
      <formula>"INVALID"</formula>
    </cfRule>
  </conditionalFormatting>
  <conditionalFormatting sqref="AN77:AN80 AN82:AN85">
    <cfRule type="cellIs" dxfId="1741" priority="1816" operator="equal">
      <formula>"INVALID"</formula>
    </cfRule>
  </conditionalFormatting>
  <conditionalFormatting sqref="AP112:AP124">
    <cfRule type="cellIs" dxfId="1740" priority="1815" operator="equal">
      <formula>"INVALID"</formula>
    </cfRule>
  </conditionalFormatting>
  <conditionalFormatting sqref="AJ112:AJ124">
    <cfRule type="cellIs" dxfId="1739" priority="1814" operator="equal">
      <formula>"INVALID"</formula>
    </cfRule>
  </conditionalFormatting>
  <conditionalFormatting sqref="AK112:AK124">
    <cfRule type="cellIs" dxfId="1738" priority="1813" operator="equal">
      <formula>"INVALID"</formula>
    </cfRule>
  </conditionalFormatting>
  <conditionalFormatting sqref="AL112:AM124">
    <cfRule type="cellIs" dxfId="1737" priority="1812" operator="equal">
      <formula>"INVALID"</formula>
    </cfRule>
  </conditionalFormatting>
  <conditionalFormatting sqref="AK112:AK124">
    <cfRule type="cellIs" dxfId="1736" priority="1811" operator="equal">
      <formula>"INVALID"</formula>
    </cfRule>
  </conditionalFormatting>
  <conditionalFormatting sqref="AL112:AL124">
    <cfRule type="cellIs" dxfId="1735" priority="1810" operator="equal">
      <formula>"INVALID"</formula>
    </cfRule>
  </conditionalFormatting>
  <conditionalFormatting sqref="AM112:AM124">
    <cfRule type="cellIs" dxfId="1734" priority="1809" operator="equal">
      <formula>"INVALID"</formula>
    </cfRule>
  </conditionalFormatting>
  <conditionalFormatting sqref="AN112:AN124">
    <cfRule type="cellIs" dxfId="1733" priority="1808" operator="equal">
      <formula>"INVALID"</formula>
    </cfRule>
  </conditionalFormatting>
  <conditionalFormatting sqref="AP137:AP142">
    <cfRule type="cellIs" dxfId="1732" priority="1807" operator="equal">
      <formula>"INVALID"</formula>
    </cfRule>
  </conditionalFormatting>
  <conditionalFormatting sqref="AJ137:AJ142">
    <cfRule type="cellIs" dxfId="1731" priority="1806" operator="equal">
      <formula>"INVALID"</formula>
    </cfRule>
  </conditionalFormatting>
  <conditionalFormatting sqref="AK137:AK142">
    <cfRule type="cellIs" dxfId="1730" priority="1805" operator="equal">
      <formula>"INVALID"</formula>
    </cfRule>
  </conditionalFormatting>
  <conditionalFormatting sqref="AL137:AM142">
    <cfRule type="cellIs" dxfId="1729" priority="1804" operator="equal">
      <formula>"INVALID"</formula>
    </cfRule>
  </conditionalFormatting>
  <conditionalFormatting sqref="AK137:AK142">
    <cfRule type="cellIs" dxfId="1728" priority="1803" operator="equal">
      <formula>"INVALID"</formula>
    </cfRule>
  </conditionalFormatting>
  <conditionalFormatting sqref="AL137:AL142">
    <cfRule type="cellIs" dxfId="1727" priority="1802" operator="equal">
      <formula>"INVALID"</formula>
    </cfRule>
  </conditionalFormatting>
  <conditionalFormatting sqref="AM137:AM142">
    <cfRule type="cellIs" dxfId="1726" priority="1801" operator="equal">
      <formula>"INVALID"</formula>
    </cfRule>
  </conditionalFormatting>
  <conditionalFormatting sqref="AN137:AN142">
    <cfRule type="cellIs" dxfId="1725" priority="1800" operator="equal">
      <formula>"INVALID"</formula>
    </cfRule>
  </conditionalFormatting>
  <conditionalFormatting sqref="AP231:AP240">
    <cfRule type="cellIs" dxfId="1724" priority="1799" operator="equal">
      <formula>"INVALID"</formula>
    </cfRule>
  </conditionalFormatting>
  <conditionalFormatting sqref="AJ231:AJ240">
    <cfRule type="cellIs" dxfId="1723" priority="1798" operator="equal">
      <formula>"INVALID"</formula>
    </cfRule>
  </conditionalFormatting>
  <conditionalFormatting sqref="AK231:AK240">
    <cfRule type="cellIs" dxfId="1722" priority="1797" operator="equal">
      <formula>"INVALID"</formula>
    </cfRule>
  </conditionalFormatting>
  <conditionalFormatting sqref="AL231:AM240">
    <cfRule type="cellIs" dxfId="1721" priority="1796" operator="equal">
      <formula>"INVALID"</formula>
    </cfRule>
  </conditionalFormatting>
  <conditionalFormatting sqref="AK231:AK240">
    <cfRule type="cellIs" dxfId="1720" priority="1795" operator="equal">
      <formula>"INVALID"</formula>
    </cfRule>
  </conditionalFormatting>
  <conditionalFormatting sqref="AL231:AL240">
    <cfRule type="cellIs" dxfId="1719" priority="1794" operator="equal">
      <formula>"INVALID"</formula>
    </cfRule>
  </conditionalFormatting>
  <conditionalFormatting sqref="AM231:AM240">
    <cfRule type="cellIs" dxfId="1718" priority="1793" operator="equal">
      <formula>"INVALID"</formula>
    </cfRule>
  </conditionalFormatting>
  <conditionalFormatting sqref="AN231:AN240">
    <cfRule type="cellIs" dxfId="1717" priority="1792" operator="equal">
      <formula>"INVALID"</formula>
    </cfRule>
  </conditionalFormatting>
  <conditionalFormatting sqref="AP242">
    <cfRule type="cellIs" dxfId="1716" priority="1791" operator="equal">
      <formula>"INVALID"</formula>
    </cfRule>
  </conditionalFormatting>
  <conditionalFormatting sqref="AJ242">
    <cfRule type="cellIs" dxfId="1715" priority="1790" operator="equal">
      <formula>"INVALID"</formula>
    </cfRule>
  </conditionalFormatting>
  <conditionalFormatting sqref="AK242">
    <cfRule type="cellIs" dxfId="1714" priority="1789" operator="equal">
      <formula>"INVALID"</formula>
    </cfRule>
  </conditionalFormatting>
  <conditionalFormatting sqref="AL242:AM242">
    <cfRule type="cellIs" dxfId="1713" priority="1788" operator="equal">
      <formula>"INVALID"</formula>
    </cfRule>
  </conditionalFormatting>
  <conditionalFormatting sqref="AK242">
    <cfRule type="cellIs" dxfId="1712" priority="1787" operator="equal">
      <formula>"INVALID"</formula>
    </cfRule>
  </conditionalFormatting>
  <conditionalFormatting sqref="AL242">
    <cfRule type="cellIs" dxfId="1711" priority="1786" operator="equal">
      <formula>"INVALID"</formula>
    </cfRule>
  </conditionalFormatting>
  <conditionalFormatting sqref="AM242">
    <cfRule type="cellIs" dxfId="1710" priority="1785" operator="equal">
      <formula>"INVALID"</formula>
    </cfRule>
  </conditionalFormatting>
  <conditionalFormatting sqref="AN242">
    <cfRule type="cellIs" dxfId="1709" priority="1784" operator="equal">
      <formula>"INVALID"</formula>
    </cfRule>
  </conditionalFormatting>
  <conditionalFormatting sqref="AP245:AP250">
    <cfRule type="cellIs" dxfId="1708" priority="1783" operator="equal">
      <formula>"INVALID"</formula>
    </cfRule>
  </conditionalFormatting>
  <conditionalFormatting sqref="AJ245:AJ250">
    <cfRule type="cellIs" dxfId="1707" priority="1782" operator="equal">
      <formula>"INVALID"</formula>
    </cfRule>
  </conditionalFormatting>
  <conditionalFormatting sqref="AK245:AK250">
    <cfRule type="cellIs" dxfId="1706" priority="1781" operator="equal">
      <formula>"INVALID"</formula>
    </cfRule>
  </conditionalFormatting>
  <conditionalFormatting sqref="AL245:AM250">
    <cfRule type="cellIs" dxfId="1705" priority="1780" operator="equal">
      <formula>"INVALID"</formula>
    </cfRule>
  </conditionalFormatting>
  <conditionalFormatting sqref="AK245:AK250">
    <cfRule type="cellIs" dxfId="1704" priority="1779" operator="equal">
      <formula>"INVALID"</formula>
    </cfRule>
  </conditionalFormatting>
  <conditionalFormatting sqref="AL245:AL250">
    <cfRule type="cellIs" dxfId="1703" priority="1778" operator="equal">
      <formula>"INVALID"</formula>
    </cfRule>
  </conditionalFormatting>
  <conditionalFormatting sqref="AM245:AM250">
    <cfRule type="cellIs" dxfId="1702" priority="1777" operator="equal">
      <formula>"INVALID"</formula>
    </cfRule>
  </conditionalFormatting>
  <conditionalFormatting sqref="AN245:AN250">
    <cfRule type="cellIs" dxfId="1701" priority="1776" operator="equal">
      <formula>"INVALID"</formula>
    </cfRule>
  </conditionalFormatting>
  <conditionalFormatting sqref="AQ231:AQ240 AQ137:AQ142 AQ112:AQ124 AQ23 AQ210 AQ126:AQ135 AQ149:AQ150 AQ152:AQ163 AQ177:AQ198 AQ212:AQ213 AQ215:AQ226 AQ228:AQ229 AQ242:AQ243 AQ28:AQ33 AQ35:AQ40 AQ50:AQ55 AQ77:AQ80 AQ165:AQ175 AQ67:AQ68 AQ104:AQ108">
    <cfRule type="expression" dxfId="1700" priority="1775">
      <formula>NOT($AJ23)</formula>
    </cfRule>
    <cfRule type="expression" dxfId="1699" priority="1917">
      <formula>RIGHT($AQ23, 1)="*"</formula>
    </cfRule>
  </conditionalFormatting>
  <conditionalFormatting sqref="AZ231:BA240 AZ137:BA142 AZ112:BA124 AS23 AS82:AS85 AZ245:BA250 AZ210:BA210 AS10:AS21 AZ22:BA23 AS200:AS207 AZ26:BA26 AZ126:BA135 AS112:AS135 AZ149:BA150 AZ152:BA163 AS152:AS163 AS177:AS198 AS209:AS210 AS212:AS213 AZ212:BA213 AZ215:BA226 AS215:AS226 AS228:AS229 AZ228:BA229 AS231:AS240 AZ242:BA243 AS242:AS243 AZ28:BA33 AS28:AS33 AS35:AS40 AZ35:BA40 AZ50:BA55 AZ77:BA80 AS165:AS175 AZ165:BA175 AZ177:BA198 AS42:AS55 AS67:AS68 AZ57:BA68 AS70:AS80 AZ82:BA102 AZ259:BA263 AS245:AS263 AS104:AS110 AS137:AS150 AZ104:BA108">
    <cfRule type="expression" dxfId="1698" priority="1774">
      <formula>NOT($AN10)</formula>
    </cfRule>
  </conditionalFormatting>
  <conditionalFormatting sqref="AS231:AS240 AS137:AS142 AS112:AS124 AS23 AS82:AS85 AS245:AS250 AS209:AS210 AS126:AS135 AS149:AS150 AS152:AS163 AS177:AS198 AS212:AS213 AS215:AS226 AS228:AS229 AS242:AS243 AS28:AS33 AS35:AS40 AS50:AS55 AS77:AS80 AS165:AS175 AS67:AS68 AS259:AS263 AS104:AS108">
    <cfRule type="expression" dxfId="1697" priority="1773">
      <formula>NOT($AK23)</formula>
    </cfRule>
  </conditionalFormatting>
  <conditionalFormatting sqref="Q240">
    <cfRule type="cellIs" dxfId="1696" priority="1772" operator="equal">
      <formula>"INVALID"</formula>
    </cfRule>
  </conditionalFormatting>
  <conditionalFormatting sqref="R240">
    <cfRule type="cellIs" dxfId="1695" priority="1771" operator="equal">
      <formula>"INVALID"</formula>
    </cfRule>
  </conditionalFormatting>
  <conditionalFormatting sqref="S240">
    <cfRule type="cellIs" dxfId="1694" priority="1770" operator="equal">
      <formula>"INVALID"</formula>
    </cfRule>
  </conditionalFormatting>
  <conditionalFormatting sqref="T240">
    <cfRule type="cellIs" dxfId="1693" priority="1769" operator="equal">
      <formula>"INVALID"</formula>
    </cfRule>
  </conditionalFormatting>
  <conditionalFormatting sqref="U240:V240">
    <cfRule type="cellIs" dxfId="1692" priority="1768" operator="equal">
      <formula>"INVALID"</formula>
    </cfRule>
  </conditionalFormatting>
  <conditionalFormatting sqref="AD10:AF18 AH14:AI18 AI10:AI13">
    <cfRule type="cellIs" dxfId="1691" priority="1731" operator="equal">
      <formula>"INVALID"</formula>
    </cfRule>
  </conditionalFormatting>
  <conditionalFormatting sqref="AO28:AO32 AO35:AO40 AO68 AO77:AO80 AO231:AO240 AO242 AO245:AO250 AO137:AO142 AO112:AO124 AO82:AO85">
    <cfRule type="cellIs" dxfId="1690" priority="1767" operator="equal">
      <formula>FALSE</formula>
    </cfRule>
  </conditionalFormatting>
  <conditionalFormatting sqref="AO35:AO40">
    <cfRule type="cellIs" dxfId="1689" priority="1766" operator="equal">
      <formula>"INVALID"</formula>
    </cfRule>
  </conditionalFormatting>
  <conditionalFormatting sqref="AO35:AO40">
    <cfRule type="cellIs" dxfId="1688" priority="1765" operator="equal">
      <formula>"INVALID"</formula>
    </cfRule>
  </conditionalFormatting>
  <conditionalFormatting sqref="AO68">
    <cfRule type="cellIs" dxfId="1687" priority="1764" operator="equal">
      <formula>"INVALID"</formula>
    </cfRule>
  </conditionalFormatting>
  <conditionalFormatting sqref="AO68">
    <cfRule type="cellIs" dxfId="1686" priority="1763" operator="equal">
      <formula>"INVALID"</formula>
    </cfRule>
  </conditionalFormatting>
  <conditionalFormatting sqref="AO77:AO80 AO82:AO85">
    <cfRule type="cellIs" dxfId="1685" priority="1762" operator="equal">
      <formula>"INVALID"</formula>
    </cfRule>
  </conditionalFormatting>
  <conditionalFormatting sqref="AO77:AO80 AO82:AO85">
    <cfRule type="cellIs" dxfId="1684" priority="1761" operator="equal">
      <formula>"INVALID"</formula>
    </cfRule>
  </conditionalFormatting>
  <conditionalFormatting sqref="AO112:AO124">
    <cfRule type="cellIs" dxfId="1683" priority="1760" operator="equal">
      <formula>"INVALID"</formula>
    </cfRule>
  </conditionalFormatting>
  <conditionalFormatting sqref="AO112:AO124">
    <cfRule type="cellIs" dxfId="1682" priority="1759" operator="equal">
      <formula>"INVALID"</formula>
    </cfRule>
  </conditionalFormatting>
  <conditionalFormatting sqref="AO137:AO142">
    <cfRule type="cellIs" dxfId="1681" priority="1758" operator="equal">
      <formula>"INVALID"</formula>
    </cfRule>
  </conditionalFormatting>
  <conditionalFormatting sqref="AO137:AO142">
    <cfRule type="cellIs" dxfId="1680" priority="1757" operator="equal">
      <formula>"INVALID"</formula>
    </cfRule>
  </conditionalFormatting>
  <conditionalFormatting sqref="AO231:AO240">
    <cfRule type="cellIs" dxfId="1679" priority="1756" operator="equal">
      <formula>"INVALID"</formula>
    </cfRule>
  </conditionalFormatting>
  <conditionalFormatting sqref="AO231:AO240">
    <cfRule type="cellIs" dxfId="1678" priority="1755" operator="equal">
      <formula>"INVALID"</formula>
    </cfRule>
  </conditionalFormatting>
  <conditionalFormatting sqref="AO242">
    <cfRule type="cellIs" dxfId="1677" priority="1754" operator="equal">
      <formula>"INVALID"</formula>
    </cfRule>
  </conditionalFormatting>
  <conditionalFormatting sqref="AO242">
    <cfRule type="cellIs" dxfId="1676" priority="1753" operator="equal">
      <formula>"INVALID"</formula>
    </cfRule>
  </conditionalFormatting>
  <conditionalFormatting sqref="AO245:AO250">
    <cfRule type="cellIs" dxfId="1675" priority="1752" operator="equal">
      <formula>"INVALID"</formula>
    </cfRule>
  </conditionalFormatting>
  <conditionalFormatting sqref="AO245:AO250">
    <cfRule type="cellIs" dxfId="1674" priority="1751" operator="equal">
      <formula>"INVALID"</formula>
    </cfRule>
  </conditionalFormatting>
  <conditionalFormatting sqref="AD177:AF186 AH177:AH198">
    <cfRule type="cellIs" dxfId="1673" priority="1750" operator="equal">
      <formula>"INVALID"</formula>
    </cfRule>
  </conditionalFormatting>
  <conditionalFormatting sqref="AD187:AF187 AE188:AF191 AD188:AD198">
    <cfRule type="cellIs" dxfId="1672" priority="1749" operator="equal">
      <formula>"INVALID"</formula>
    </cfRule>
  </conditionalFormatting>
  <conditionalFormatting sqref="AH137 AH139 AH141 AH143 AH145 AH147 AH149">
    <cfRule type="cellIs" dxfId="1671" priority="1748" operator="equal">
      <formula>"INVALID"</formula>
    </cfRule>
  </conditionalFormatting>
  <conditionalFormatting sqref="AI112:AI124">
    <cfRule type="cellIs" dxfId="1670" priority="1747" operator="equal">
      <formula>"INVALID"</formula>
    </cfRule>
  </conditionalFormatting>
  <conditionalFormatting sqref="AI137:AI142">
    <cfRule type="cellIs" dxfId="1669" priority="1746" operator="equal">
      <formula>"INVALID"</formula>
    </cfRule>
  </conditionalFormatting>
  <conditionalFormatting sqref="AI137:AI142">
    <cfRule type="cellIs" dxfId="1668" priority="1745" operator="equal">
      <formula>"INVALID"</formula>
    </cfRule>
  </conditionalFormatting>
  <conditionalFormatting sqref="AI137:AI142">
    <cfRule type="cellIs" dxfId="1667" priority="1744" operator="equal">
      <formula>"INVALID"</formula>
    </cfRule>
  </conditionalFormatting>
  <conditionalFormatting sqref="AI231:AI240">
    <cfRule type="cellIs" dxfId="1666" priority="1743" operator="equal">
      <formula>"INVALID"</formula>
    </cfRule>
  </conditionalFormatting>
  <conditionalFormatting sqref="AI231:AI240">
    <cfRule type="cellIs" dxfId="1665" priority="1742" operator="equal">
      <formula>"INVALID"</formula>
    </cfRule>
  </conditionalFormatting>
  <conditionalFormatting sqref="AI231:AI240">
    <cfRule type="cellIs" dxfId="1664" priority="1741" operator="equal">
      <formula>"INVALID"</formula>
    </cfRule>
  </conditionalFormatting>
  <conditionalFormatting sqref="AI231:AI240">
    <cfRule type="cellIs" dxfId="1663" priority="1740" operator="equal">
      <formula>"INVALID"</formula>
    </cfRule>
  </conditionalFormatting>
  <conditionalFormatting sqref="AI242">
    <cfRule type="cellIs" dxfId="1662" priority="1739" operator="equal">
      <formula>"INVALID"</formula>
    </cfRule>
  </conditionalFormatting>
  <conditionalFormatting sqref="AI242">
    <cfRule type="cellIs" dxfId="1661" priority="1738" operator="equal">
      <formula>"INVALID"</formula>
    </cfRule>
  </conditionalFormatting>
  <conditionalFormatting sqref="AI242">
    <cfRule type="cellIs" dxfId="1660" priority="1737" operator="equal">
      <formula>"INVALID"</formula>
    </cfRule>
  </conditionalFormatting>
  <conditionalFormatting sqref="AI242">
    <cfRule type="cellIs" dxfId="1659" priority="1736" operator="equal">
      <formula>"INVALID"</formula>
    </cfRule>
  </conditionalFormatting>
  <conditionalFormatting sqref="AI245:AI250">
    <cfRule type="cellIs" dxfId="1658" priority="1735" operator="equal">
      <formula>"INVALID"</formula>
    </cfRule>
  </conditionalFormatting>
  <conditionalFormatting sqref="AI245:AI250">
    <cfRule type="cellIs" dxfId="1657" priority="1734" operator="equal">
      <formula>"INVALID"</formula>
    </cfRule>
  </conditionalFormatting>
  <conditionalFormatting sqref="AI245:AI250">
    <cfRule type="cellIs" dxfId="1656" priority="1733" operator="equal">
      <formula>"INVALID"</formula>
    </cfRule>
  </conditionalFormatting>
  <conditionalFormatting sqref="AI245:AI250">
    <cfRule type="cellIs" dxfId="1655" priority="1732" operator="equal">
      <formula>"INVALID"</formula>
    </cfRule>
  </conditionalFormatting>
  <conditionalFormatting sqref="AR10:AR18">
    <cfRule type="cellIs" dxfId="1654" priority="1729" operator="equal">
      <formula>"Not Assigned"</formula>
    </cfRule>
  </conditionalFormatting>
  <conditionalFormatting sqref="AS10:AS18">
    <cfRule type="expression" dxfId="1653" priority="1728">
      <formula>EXACT(AF10, "INVALID")</formula>
    </cfRule>
  </conditionalFormatting>
  <conditionalFormatting sqref="AZ10:AZ18">
    <cfRule type="expression" dxfId="1652" priority="1727">
      <formula>AND(NOT(ISBLANK(AZ10)), EXACT(AF10, "INVALID"))</formula>
    </cfRule>
  </conditionalFormatting>
  <conditionalFormatting sqref="BA10:BA18">
    <cfRule type="expression" dxfId="1651" priority="1726">
      <formula>AND(NOT(ISBLANK(BA10)), EXACT(AF10, "INVALID"))</formula>
    </cfRule>
  </conditionalFormatting>
  <conditionalFormatting sqref="AR10:AR18">
    <cfRule type="expression" dxfId="1650" priority="1725">
      <formula>NOT($AL10)</formula>
    </cfRule>
  </conditionalFormatting>
  <conditionalFormatting sqref="AQ10:AQ18">
    <cfRule type="expression" dxfId="1649" priority="1730" stopIfTrue="1">
      <formula>REPLACE($AQ10,8,LEN($AQ10),"")="unused_"</formula>
    </cfRule>
  </conditionalFormatting>
  <conditionalFormatting sqref="AJ10:AJ18">
    <cfRule type="cellIs" dxfId="1648" priority="1723" operator="equal">
      <formula>FALSE</formula>
    </cfRule>
  </conditionalFormatting>
  <conditionalFormatting sqref="AK10:AK18">
    <cfRule type="cellIs" dxfId="1647" priority="1722" operator="equal">
      <formula>FALSE</formula>
    </cfRule>
  </conditionalFormatting>
  <conditionalFormatting sqref="AL10:AL18">
    <cfRule type="cellIs" dxfId="1646" priority="1721" operator="equal">
      <formula>FALSE</formula>
    </cfRule>
  </conditionalFormatting>
  <conditionalFormatting sqref="AM10:AM18">
    <cfRule type="cellIs" dxfId="1645" priority="1720" operator="equal">
      <formula>FALSE</formula>
    </cfRule>
  </conditionalFormatting>
  <conditionalFormatting sqref="AN10:AN18">
    <cfRule type="cellIs" dxfId="1644" priority="1719" operator="equal">
      <formula>FALSE</formula>
    </cfRule>
  </conditionalFormatting>
  <conditionalFormatting sqref="AP10:AP18">
    <cfRule type="cellIs" dxfId="1643" priority="1718" operator="equal">
      <formula>"INVALID"</formula>
    </cfRule>
  </conditionalFormatting>
  <conditionalFormatting sqref="AJ10:AJ18">
    <cfRule type="cellIs" dxfId="1642" priority="1717" operator="equal">
      <formula>"INVALID"</formula>
    </cfRule>
  </conditionalFormatting>
  <conditionalFormatting sqref="AK10:AK18">
    <cfRule type="cellIs" dxfId="1641" priority="1716" operator="equal">
      <formula>"INVALID"</formula>
    </cfRule>
  </conditionalFormatting>
  <conditionalFormatting sqref="AL10:AM18">
    <cfRule type="cellIs" dxfId="1640" priority="1715" operator="equal">
      <formula>"INVALID"</formula>
    </cfRule>
  </conditionalFormatting>
  <conditionalFormatting sqref="AK10:AK18">
    <cfRule type="cellIs" dxfId="1639" priority="1714" operator="equal">
      <formula>"INVALID"</formula>
    </cfRule>
  </conditionalFormatting>
  <conditionalFormatting sqref="AL10:AL18">
    <cfRule type="cellIs" dxfId="1638" priority="1713" operator="equal">
      <formula>"INVALID"</formula>
    </cfRule>
  </conditionalFormatting>
  <conditionalFormatting sqref="AM10:AM18">
    <cfRule type="cellIs" dxfId="1637" priority="1712" operator="equal">
      <formula>"INVALID"</formula>
    </cfRule>
  </conditionalFormatting>
  <conditionalFormatting sqref="AN10:AN18">
    <cfRule type="cellIs" dxfId="1636" priority="1711" operator="equal">
      <formula>"INVALID"</formula>
    </cfRule>
  </conditionalFormatting>
  <conditionalFormatting sqref="AT175">
    <cfRule type="expression" dxfId="1635" priority="1645">
      <formula>NOT($AM175)</formula>
    </cfRule>
  </conditionalFormatting>
  <conditionalFormatting sqref="AQ10:AQ18">
    <cfRule type="expression" dxfId="1634" priority="1710">
      <formula>NOT($AJ10)</formula>
    </cfRule>
    <cfRule type="expression" dxfId="1633" priority="1724">
      <formula>RIGHT($AQ10, 1)="*"</formula>
    </cfRule>
  </conditionalFormatting>
  <conditionalFormatting sqref="AZ10:BA18">
    <cfRule type="expression" dxfId="1632" priority="1709">
      <formula>NOT($AN10)</formula>
    </cfRule>
  </conditionalFormatting>
  <conditionalFormatting sqref="AS10:AS18">
    <cfRule type="expression" dxfId="1631" priority="1708">
      <formula>NOT($AK10)</formula>
    </cfRule>
  </conditionalFormatting>
  <conditionalFormatting sqref="AO10:AO18">
    <cfRule type="cellIs" dxfId="1630" priority="1707" operator="equal">
      <formula>FALSE</formula>
    </cfRule>
  </conditionalFormatting>
  <conditionalFormatting sqref="AO10:AO18">
    <cfRule type="cellIs" dxfId="1629" priority="1706" operator="equal">
      <formula>"INVALID"</formula>
    </cfRule>
  </conditionalFormatting>
  <conditionalFormatting sqref="AO10:AO18">
    <cfRule type="cellIs" dxfId="1628" priority="1705" operator="equal">
      <formula>"INVALID"</formula>
    </cfRule>
  </conditionalFormatting>
  <conditionalFormatting sqref="AD19:AF21 AD23:AF23 AI23 AI19:AI21 AD24:AD25">
    <cfRule type="cellIs" dxfId="1627" priority="1704" operator="equal">
      <formula>"INVALID"</formula>
    </cfRule>
  </conditionalFormatting>
  <conditionalFormatting sqref="AR19:AR21 AR23">
    <cfRule type="cellIs" dxfId="1626" priority="1702" operator="equal">
      <formula>"Not Assigned"</formula>
    </cfRule>
  </conditionalFormatting>
  <conditionalFormatting sqref="AS19:AS21">
    <cfRule type="expression" dxfId="1625" priority="1701">
      <formula>EXACT(AF19, "INVALID")</formula>
    </cfRule>
  </conditionalFormatting>
  <conditionalFormatting sqref="AZ19:AZ21">
    <cfRule type="expression" dxfId="1624" priority="1700">
      <formula>AND(NOT(ISBLANK(AZ19)), EXACT(AF19, "INVALID"))</formula>
    </cfRule>
  </conditionalFormatting>
  <conditionalFormatting sqref="BA19:BA21">
    <cfRule type="expression" dxfId="1623" priority="1699">
      <formula>AND(NOT(ISBLANK(BA19)), EXACT(AF19, "INVALID"))</formula>
    </cfRule>
  </conditionalFormatting>
  <conditionalFormatting sqref="AR19:AR21">
    <cfRule type="expression" dxfId="1622" priority="1698">
      <formula>NOT($AL19)</formula>
    </cfRule>
  </conditionalFormatting>
  <conditionalFormatting sqref="AQ19:AQ21">
    <cfRule type="expression" dxfId="1621" priority="1703" stopIfTrue="1">
      <formula>REPLACE($AQ19,8,LEN($AQ19),"")="unused_"</formula>
    </cfRule>
  </conditionalFormatting>
  <conditionalFormatting sqref="AJ19:AJ21 AJ23">
    <cfRule type="cellIs" dxfId="1620" priority="1696" operator="equal">
      <formula>FALSE</formula>
    </cfRule>
  </conditionalFormatting>
  <conditionalFormatting sqref="AK19:AK21 AK23">
    <cfRule type="cellIs" dxfId="1619" priority="1695" operator="equal">
      <formula>FALSE</formula>
    </cfRule>
  </conditionalFormatting>
  <conditionalFormatting sqref="AL19:AL21 AL23">
    <cfRule type="cellIs" dxfId="1618" priority="1694" operator="equal">
      <formula>FALSE</formula>
    </cfRule>
  </conditionalFormatting>
  <conditionalFormatting sqref="AM19:AM21 AM23">
    <cfRule type="cellIs" dxfId="1617" priority="1693" operator="equal">
      <formula>FALSE</formula>
    </cfRule>
  </conditionalFormatting>
  <conditionalFormatting sqref="AN19:AN21 AN23">
    <cfRule type="cellIs" dxfId="1616" priority="1692" operator="equal">
      <formula>FALSE</formula>
    </cfRule>
  </conditionalFormatting>
  <conditionalFormatting sqref="AP19:AP21 AP23">
    <cfRule type="cellIs" dxfId="1615" priority="1691" operator="equal">
      <formula>"INVALID"</formula>
    </cfRule>
  </conditionalFormatting>
  <conditionalFormatting sqref="AJ19:AJ21 AJ23">
    <cfRule type="cellIs" dxfId="1614" priority="1690" operator="equal">
      <formula>"INVALID"</formula>
    </cfRule>
  </conditionalFormatting>
  <conditionalFormatting sqref="AK19:AK21 AK23">
    <cfRule type="cellIs" dxfId="1613" priority="1689" operator="equal">
      <formula>"INVALID"</formula>
    </cfRule>
  </conditionalFormatting>
  <conditionalFormatting sqref="AL19:AM21 AL23:AM23">
    <cfRule type="cellIs" dxfId="1612" priority="1688" operator="equal">
      <formula>"INVALID"</formula>
    </cfRule>
  </conditionalFormatting>
  <conditionalFormatting sqref="AK19:AK21 AK23">
    <cfRule type="cellIs" dxfId="1611" priority="1687" operator="equal">
      <formula>"INVALID"</formula>
    </cfRule>
  </conditionalFormatting>
  <conditionalFormatting sqref="AL19:AL21 AL23">
    <cfRule type="cellIs" dxfId="1610" priority="1686" operator="equal">
      <formula>"INVALID"</formula>
    </cfRule>
  </conditionalFormatting>
  <conditionalFormatting sqref="AM19:AM21 AM23">
    <cfRule type="cellIs" dxfId="1609" priority="1685" operator="equal">
      <formula>"INVALID"</formula>
    </cfRule>
  </conditionalFormatting>
  <conditionalFormatting sqref="AN19:AN21 AN23">
    <cfRule type="cellIs" dxfId="1608" priority="1684" operator="equal">
      <formula>"INVALID"</formula>
    </cfRule>
  </conditionalFormatting>
  <conditionalFormatting sqref="AQ19:AQ21">
    <cfRule type="expression" dxfId="1607" priority="1683">
      <formula>NOT($AJ19)</formula>
    </cfRule>
    <cfRule type="expression" dxfId="1606" priority="1697">
      <formula>RIGHT($AQ19, 1)="*"</formula>
    </cfRule>
  </conditionalFormatting>
  <conditionalFormatting sqref="AZ19:BA21">
    <cfRule type="expression" dxfId="1605" priority="1682">
      <formula>NOT($AN19)</formula>
    </cfRule>
  </conditionalFormatting>
  <conditionalFormatting sqref="AS19:AS21">
    <cfRule type="expression" dxfId="1604" priority="1681">
      <formula>NOT($AK19)</formula>
    </cfRule>
  </conditionalFormatting>
  <conditionalFormatting sqref="AO19:AO21 AO23">
    <cfRule type="cellIs" dxfId="1603" priority="1680" operator="equal">
      <formula>FALSE</formula>
    </cfRule>
  </conditionalFormatting>
  <conditionalFormatting sqref="AO19:AO21 AO23">
    <cfRule type="cellIs" dxfId="1602" priority="1679" operator="equal">
      <formula>"INVALID"</formula>
    </cfRule>
  </conditionalFormatting>
  <conditionalFormatting sqref="AO19:AO21 AO23">
    <cfRule type="cellIs" dxfId="1601" priority="1678" operator="equal">
      <formula>"INVALID"</formula>
    </cfRule>
  </conditionalFormatting>
  <conditionalFormatting sqref="AD22:AF22 AI22">
    <cfRule type="cellIs" dxfId="1600" priority="1677" operator="equal">
      <formula>"INVALID"</formula>
    </cfRule>
  </conditionalFormatting>
  <conditionalFormatting sqref="AR22">
    <cfRule type="cellIs" dxfId="1599" priority="1675" operator="equal">
      <formula>"Not Assigned"</formula>
    </cfRule>
  </conditionalFormatting>
  <conditionalFormatting sqref="AS22">
    <cfRule type="expression" dxfId="1598" priority="1674">
      <formula>EXACT(AF22, "INVALID")</formula>
    </cfRule>
  </conditionalFormatting>
  <conditionalFormatting sqref="AZ22">
    <cfRule type="expression" dxfId="1597" priority="1673">
      <formula>AND(NOT(ISBLANK(AZ22)), EXACT(AF22, "INVALID"))</formula>
    </cfRule>
  </conditionalFormatting>
  <conditionalFormatting sqref="BA22">
    <cfRule type="expression" dxfId="1596" priority="1672">
      <formula>AND(NOT(ISBLANK(BA22)), EXACT(AF22, "INVALID"))</formula>
    </cfRule>
  </conditionalFormatting>
  <conditionalFormatting sqref="AR22">
    <cfRule type="expression" dxfId="1595" priority="1671">
      <formula>NOT($AL22)</formula>
    </cfRule>
  </conditionalFormatting>
  <conditionalFormatting sqref="AQ22">
    <cfRule type="expression" dxfId="1594" priority="1676" stopIfTrue="1">
      <formula>REPLACE($AQ22,8,LEN($AQ22),"")="unused_"</formula>
    </cfRule>
  </conditionalFormatting>
  <conditionalFormatting sqref="AJ22">
    <cfRule type="cellIs" dxfId="1593" priority="1669" operator="equal">
      <formula>FALSE</formula>
    </cfRule>
  </conditionalFormatting>
  <conditionalFormatting sqref="AK22">
    <cfRule type="cellIs" dxfId="1592" priority="1668" operator="equal">
      <formula>FALSE</formula>
    </cfRule>
  </conditionalFormatting>
  <conditionalFormatting sqref="AL22">
    <cfRule type="cellIs" dxfId="1591" priority="1667" operator="equal">
      <formula>FALSE</formula>
    </cfRule>
  </conditionalFormatting>
  <conditionalFormatting sqref="AM22">
    <cfRule type="cellIs" dxfId="1590" priority="1666" operator="equal">
      <formula>FALSE</formula>
    </cfRule>
  </conditionalFormatting>
  <conditionalFormatting sqref="AN22">
    <cfRule type="cellIs" dxfId="1589" priority="1665" operator="equal">
      <formula>FALSE</formula>
    </cfRule>
  </conditionalFormatting>
  <conditionalFormatting sqref="AP22">
    <cfRule type="cellIs" dxfId="1588" priority="1664" operator="equal">
      <formula>"INVALID"</formula>
    </cfRule>
  </conditionalFormatting>
  <conditionalFormatting sqref="AJ22">
    <cfRule type="cellIs" dxfId="1587" priority="1663" operator="equal">
      <formula>"INVALID"</formula>
    </cfRule>
  </conditionalFormatting>
  <conditionalFormatting sqref="AK22">
    <cfRule type="cellIs" dxfId="1586" priority="1662" operator="equal">
      <formula>"INVALID"</formula>
    </cfRule>
  </conditionalFormatting>
  <conditionalFormatting sqref="AL22:AM22">
    <cfRule type="cellIs" dxfId="1585" priority="1661" operator="equal">
      <formula>"INVALID"</formula>
    </cfRule>
  </conditionalFormatting>
  <conditionalFormatting sqref="AK22">
    <cfRule type="cellIs" dxfId="1584" priority="1660" operator="equal">
      <formula>"INVALID"</formula>
    </cfRule>
  </conditionalFormatting>
  <conditionalFormatting sqref="AL22">
    <cfRule type="cellIs" dxfId="1583" priority="1659" operator="equal">
      <formula>"INVALID"</formula>
    </cfRule>
  </conditionalFormatting>
  <conditionalFormatting sqref="AM22">
    <cfRule type="cellIs" dxfId="1582" priority="1658" operator="equal">
      <formula>"INVALID"</formula>
    </cfRule>
  </conditionalFormatting>
  <conditionalFormatting sqref="AN22">
    <cfRule type="cellIs" dxfId="1581" priority="1657" operator="equal">
      <formula>"INVALID"</formula>
    </cfRule>
  </conditionalFormatting>
  <conditionalFormatting sqref="AQ22">
    <cfRule type="expression" dxfId="1580" priority="1656">
      <formula>NOT($AJ22)</formula>
    </cfRule>
    <cfRule type="expression" dxfId="1579" priority="1670">
      <formula>RIGHT($AQ22, 1)="*"</formula>
    </cfRule>
  </conditionalFormatting>
  <conditionalFormatting sqref="AS22">
    <cfRule type="expression" dxfId="1578" priority="1655">
      <formula>NOT($AN22)</formula>
    </cfRule>
  </conditionalFormatting>
  <conditionalFormatting sqref="AS22">
    <cfRule type="expression" dxfId="1577" priority="1654">
      <formula>NOT($AK22)</formula>
    </cfRule>
  </conditionalFormatting>
  <conditionalFormatting sqref="AO22">
    <cfRule type="cellIs" dxfId="1576" priority="1653" operator="equal">
      <formula>FALSE</formula>
    </cfRule>
  </conditionalFormatting>
  <conditionalFormatting sqref="AO22">
    <cfRule type="cellIs" dxfId="1575" priority="1652" operator="equal">
      <formula>"INVALID"</formula>
    </cfRule>
  </conditionalFormatting>
  <conditionalFormatting sqref="AO22">
    <cfRule type="cellIs" dxfId="1574" priority="1651" operator="equal">
      <formula>"INVALID"</formula>
    </cfRule>
  </conditionalFormatting>
  <conditionalFormatting sqref="AP33 AD33:AF33 AH33:AI33">
    <cfRule type="cellIs" dxfId="1573" priority="1650" operator="equal">
      <formula>"INVALID"</formula>
    </cfRule>
  </conditionalFormatting>
  <conditionalFormatting sqref="AR33">
    <cfRule type="cellIs" dxfId="1572" priority="1649" operator="equal">
      <formula>"Not Assigned"</formula>
    </cfRule>
  </conditionalFormatting>
  <conditionalFormatting sqref="AJ33">
    <cfRule type="cellIs" dxfId="1571" priority="1648" operator="equal">
      <formula>FALSE</formula>
    </cfRule>
  </conditionalFormatting>
  <conditionalFormatting sqref="AK33">
    <cfRule type="cellIs" dxfId="1570" priority="1647" operator="equal">
      <formula>FALSE</formula>
    </cfRule>
  </conditionalFormatting>
  <conditionalFormatting sqref="AL33">
    <cfRule type="cellIs" dxfId="1569" priority="1646" operator="equal">
      <formula>FALSE</formula>
    </cfRule>
  </conditionalFormatting>
  <conditionalFormatting sqref="AN33">
    <cfRule type="cellIs" dxfId="1568" priority="1644" operator="equal">
      <formula>FALSE</formula>
    </cfRule>
  </conditionalFormatting>
  <conditionalFormatting sqref="AO33">
    <cfRule type="cellIs" dxfId="1567" priority="1643" operator="equal">
      <formula>FALSE</formula>
    </cfRule>
  </conditionalFormatting>
  <conditionalFormatting sqref="AL125">
    <cfRule type="cellIs" dxfId="1566" priority="1630" operator="equal">
      <formula>FALSE</formula>
    </cfRule>
  </conditionalFormatting>
  <conditionalFormatting sqref="AM125">
    <cfRule type="cellIs" dxfId="1565" priority="1629" operator="equal">
      <formula>FALSE</formula>
    </cfRule>
  </conditionalFormatting>
  <conditionalFormatting sqref="AN125">
    <cfRule type="cellIs" dxfId="1564" priority="1628" operator="equal">
      <formula>FALSE</formula>
    </cfRule>
  </conditionalFormatting>
  <conditionalFormatting sqref="AK125">
    <cfRule type="cellIs" dxfId="1563" priority="1625" operator="equal">
      <formula>"INVALID"</formula>
    </cfRule>
  </conditionalFormatting>
  <conditionalFormatting sqref="AL125:AM125">
    <cfRule type="cellIs" dxfId="1562" priority="1624" operator="equal">
      <formula>"INVALID"</formula>
    </cfRule>
  </conditionalFormatting>
  <conditionalFormatting sqref="AK125">
    <cfRule type="cellIs" dxfId="1561" priority="1623" operator="equal">
      <formula>"INVALID"</formula>
    </cfRule>
  </conditionalFormatting>
  <conditionalFormatting sqref="AL125">
    <cfRule type="cellIs" dxfId="1560" priority="1622" operator="equal">
      <formula>"INVALID"</formula>
    </cfRule>
  </conditionalFormatting>
  <conditionalFormatting sqref="AM125">
    <cfRule type="cellIs" dxfId="1559" priority="1621" operator="equal">
      <formula>"INVALID"</formula>
    </cfRule>
  </conditionalFormatting>
  <conditionalFormatting sqref="AN125">
    <cfRule type="cellIs" dxfId="1558" priority="1620" operator="equal">
      <formula>"INVALID"</formula>
    </cfRule>
  </conditionalFormatting>
  <conditionalFormatting sqref="AI125">
    <cfRule type="cellIs" dxfId="1557" priority="1613" operator="equal">
      <formula>"INVALID"</formula>
    </cfRule>
  </conditionalFormatting>
  <conditionalFormatting sqref="AR125">
    <cfRule type="expression" dxfId="1556" priority="1642">
      <formula>NOT($AL125)</formula>
    </cfRule>
  </conditionalFormatting>
  <conditionalFormatting sqref="AI125">
    <cfRule type="cellIs" dxfId="1555" priority="1640" operator="equal">
      <formula>"INVALID"</formula>
    </cfRule>
  </conditionalFormatting>
  <conditionalFormatting sqref="AQ125">
    <cfRule type="expression" dxfId="1554" priority="1638">
      <formula>RIGHT($AQ125, 1)="*"</formula>
    </cfRule>
    <cfRule type="expression" dxfId="1553" priority="1639" stopIfTrue="1">
      <formula>REPLACE($AQ125,8,LEN($AQ125),"")="unused_"</formula>
    </cfRule>
  </conditionalFormatting>
  <conditionalFormatting sqref="AF125 AI125">
    <cfRule type="cellIs" dxfId="1552" priority="1637" operator="equal">
      <formula>"INVALID"</formula>
    </cfRule>
  </conditionalFormatting>
  <conditionalFormatting sqref="AS125">
    <cfRule type="expression" dxfId="1551" priority="1636">
      <formula>EXACT(AF125, "INVALID")</formula>
    </cfRule>
  </conditionalFormatting>
  <conditionalFormatting sqref="AZ125">
    <cfRule type="expression" dxfId="1550" priority="1635">
      <formula>AND(NOT(ISBLANK(AZ125)), EXACT(AF125, "INVALID"))</formula>
    </cfRule>
  </conditionalFormatting>
  <conditionalFormatting sqref="BA125">
    <cfRule type="expression" dxfId="1549" priority="1634">
      <formula>AND(NOT(ISBLANK(BA125)), EXACT(AF125, "INVALID"))</formula>
    </cfRule>
  </conditionalFormatting>
  <conditionalFormatting sqref="AR125">
    <cfRule type="cellIs" dxfId="1548" priority="1633" operator="equal">
      <formula>"Not Assigned"</formula>
    </cfRule>
  </conditionalFormatting>
  <conditionalFormatting sqref="AJ125">
    <cfRule type="cellIs" dxfId="1547" priority="1632" operator="equal">
      <formula>FALSE</formula>
    </cfRule>
  </conditionalFormatting>
  <conditionalFormatting sqref="AK125">
    <cfRule type="cellIs" dxfId="1546" priority="1631" operator="equal">
      <formula>FALSE</formula>
    </cfRule>
  </conditionalFormatting>
  <conditionalFormatting sqref="AP125">
    <cfRule type="cellIs" dxfId="1545" priority="1627" operator="equal">
      <formula>"INVALID"</formula>
    </cfRule>
  </conditionalFormatting>
  <conditionalFormatting sqref="AJ125">
    <cfRule type="cellIs" dxfId="1544" priority="1626" operator="equal">
      <formula>"INVALID"</formula>
    </cfRule>
  </conditionalFormatting>
  <conditionalFormatting sqref="AQ125">
    <cfRule type="expression" dxfId="1543" priority="1619">
      <formula>NOT($AJ125)</formula>
    </cfRule>
    <cfRule type="expression" dxfId="1542" priority="1641">
      <formula>RIGHT($AQ125, 1)="*"</formula>
    </cfRule>
  </conditionalFormatting>
  <conditionalFormatting sqref="AZ125:BA125">
    <cfRule type="expression" dxfId="1541" priority="1618">
      <formula>NOT($AN125)</formula>
    </cfRule>
  </conditionalFormatting>
  <conditionalFormatting sqref="AS125">
    <cfRule type="expression" dxfId="1540" priority="1617">
      <formula>NOT($AK125)</formula>
    </cfRule>
  </conditionalFormatting>
  <conditionalFormatting sqref="AO125">
    <cfRule type="cellIs" dxfId="1539" priority="1616" operator="equal">
      <formula>FALSE</formula>
    </cfRule>
  </conditionalFormatting>
  <conditionalFormatting sqref="AO125">
    <cfRule type="cellIs" dxfId="1538" priority="1615" operator="equal">
      <formula>"INVALID"</formula>
    </cfRule>
  </conditionalFormatting>
  <conditionalFormatting sqref="AO125">
    <cfRule type="cellIs" dxfId="1537" priority="1614" operator="equal">
      <formula>"INVALID"</formula>
    </cfRule>
  </conditionalFormatting>
  <conditionalFormatting sqref="AD200:AF207">
    <cfRule type="cellIs" dxfId="1536" priority="1612" operator="equal">
      <formula>"INVALID"</formula>
    </cfRule>
  </conditionalFormatting>
  <conditionalFormatting sqref="AS200:AS207">
    <cfRule type="expression" dxfId="1535" priority="1610">
      <formula>EXACT(AF200, "INVALID")</formula>
    </cfRule>
  </conditionalFormatting>
  <conditionalFormatting sqref="AZ200:AZ207">
    <cfRule type="expression" dxfId="1534" priority="1609">
      <formula>AND(NOT(ISBLANK(AZ200)), EXACT(AF200, "INVALID"))</formula>
    </cfRule>
  </conditionalFormatting>
  <conditionalFormatting sqref="BA200:BA207">
    <cfRule type="expression" dxfId="1533" priority="1608">
      <formula>AND(NOT(ISBLANK(BA200)), EXACT(AF200, "INVALID"))</formula>
    </cfRule>
  </conditionalFormatting>
  <conditionalFormatting sqref="AR200:AR207">
    <cfRule type="expression" dxfId="1532" priority="1607">
      <formula>NOT($AL200)</formula>
    </cfRule>
  </conditionalFormatting>
  <conditionalFormatting sqref="AR200:AR207">
    <cfRule type="cellIs" dxfId="1531" priority="1606" operator="equal">
      <formula>"Not Assigned"</formula>
    </cfRule>
  </conditionalFormatting>
  <conditionalFormatting sqref="AQ200:AQ207">
    <cfRule type="expression" dxfId="1530" priority="1611" stopIfTrue="1">
      <formula>REPLACE($AQ200,8,LEN($AQ200),"")="unused_"</formula>
    </cfRule>
  </conditionalFormatting>
  <conditionalFormatting sqref="AJ200:AJ207">
    <cfRule type="cellIs" dxfId="1529" priority="1604" operator="equal">
      <formula>FALSE</formula>
    </cfRule>
  </conditionalFormatting>
  <conditionalFormatting sqref="AK200:AK207">
    <cfRule type="cellIs" dxfId="1528" priority="1603" operator="equal">
      <formula>FALSE</formula>
    </cfRule>
  </conditionalFormatting>
  <conditionalFormatting sqref="AL200:AL207">
    <cfRule type="cellIs" dxfId="1527" priority="1602" operator="equal">
      <formula>FALSE</formula>
    </cfRule>
  </conditionalFormatting>
  <conditionalFormatting sqref="AM200:AM207">
    <cfRule type="cellIs" dxfId="1526" priority="1601" operator="equal">
      <formula>FALSE</formula>
    </cfRule>
  </conditionalFormatting>
  <conditionalFormatting sqref="AN200:AN207">
    <cfRule type="cellIs" dxfId="1525" priority="1600" operator="equal">
      <formula>FALSE</formula>
    </cfRule>
  </conditionalFormatting>
  <conditionalFormatting sqref="AP200:AP207">
    <cfRule type="cellIs" dxfId="1524" priority="1599" operator="equal">
      <formula>"INVALID"</formula>
    </cfRule>
  </conditionalFormatting>
  <conditionalFormatting sqref="AJ200:AJ207">
    <cfRule type="cellIs" dxfId="1523" priority="1598" operator="equal">
      <formula>"INVALID"</formula>
    </cfRule>
  </conditionalFormatting>
  <conditionalFormatting sqref="AK200:AK207">
    <cfRule type="cellIs" dxfId="1522" priority="1597" operator="equal">
      <formula>"INVALID"</formula>
    </cfRule>
  </conditionalFormatting>
  <conditionalFormatting sqref="AL200:AM207">
    <cfRule type="cellIs" dxfId="1521" priority="1596" operator="equal">
      <formula>"INVALID"</formula>
    </cfRule>
  </conditionalFormatting>
  <conditionalFormatting sqref="AK200:AK207">
    <cfRule type="cellIs" dxfId="1520" priority="1595" operator="equal">
      <formula>"INVALID"</formula>
    </cfRule>
  </conditionalFormatting>
  <conditionalFormatting sqref="AL200:AL207">
    <cfRule type="cellIs" dxfId="1519" priority="1594" operator="equal">
      <formula>"INVALID"</formula>
    </cfRule>
  </conditionalFormatting>
  <conditionalFormatting sqref="AM200:AM207">
    <cfRule type="cellIs" dxfId="1518" priority="1593" operator="equal">
      <formula>"INVALID"</formula>
    </cfRule>
  </conditionalFormatting>
  <conditionalFormatting sqref="AN200:AN207">
    <cfRule type="cellIs" dxfId="1517" priority="1592" operator="equal">
      <formula>"INVALID"</formula>
    </cfRule>
  </conditionalFormatting>
  <conditionalFormatting sqref="AQ200:AQ207">
    <cfRule type="expression" dxfId="1516" priority="1591">
      <formula>NOT($AJ200)</formula>
    </cfRule>
    <cfRule type="expression" dxfId="1515" priority="1605">
      <formula>RIGHT($AQ200, 1)="*"</formula>
    </cfRule>
  </conditionalFormatting>
  <conditionalFormatting sqref="AZ200:BA207">
    <cfRule type="expression" dxfId="1514" priority="1590">
      <formula>NOT($AN200)</formula>
    </cfRule>
  </conditionalFormatting>
  <conditionalFormatting sqref="AS200:AS207">
    <cfRule type="expression" dxfId="1513" priority="1589">
      <formula>NOT($AK200)</formula>
    </cfRule>
  </conditionalFormatting>
  <conditionalFormatting sqref="AO200:AO207">
    <cfRule type="cellIs" dxfId="1512" priority="1588" operator="equal">
      <formula>FALSE</formula>
    </cfRule>
  </conditionalFormatting>
  <conditionalFormatting sqref="AO200:AO207">
    <cfRule type="cellIs" dxfId="1511" priority="1587" operator="equal">
      <formula>"INVALID"</formula>
    </cfRule>
  </conditionalFormatting>
  <conditionalFormatting sqref="AO200:AO207">
    <cfRule type="cellIs" dxfId="1510" priority="1586" operator="equal">
      <formula>"INVALID"</formula>
    </cfRule>
  </conditionalFormatting>
  <conditionalFormatting sqref="AI200:AI207">
    <cfRule type="cellIs" dxfId="1509" priority="1585" operator="equal">
      <formula>"INVALID"</formula>
    </cfRule>
  </conditionalFormatting>
  <conditionalFormatting sqref="AI200:AI207">
    <cfRule type="cellIs" dxfId="1508" priority="1584" operator="equal">
      <formula>"INVALID"</formula>
    </cfRule>
  </conditionalFormatting>
  <conditionalFormatting sqref="AI200:AI207">
    <cfRule type="cellIs" dxfId="1507" priority="1583" operator="equal">
      <formula>"INVALID"</formula>
    </cfRule>
  </conditionalFormatting>
  <conditionalFormatting sqref="AI200:AI207">
    <cfRule type="cellIs" dxfId="1506" priority="1582" operator="equal">
      <formula>"INVALID"</formula>
    </cfRule>
  </conditionalFormatting>
  <conditionalFormatting sqref="AD243:AF243">
    <cfRule type="cellIs" dxfId="1505" priority="1581" operator="equal">
      <formula>"INVALID"</formula>
    </cfRule>
  </conditionalFormatting>
  <conditionalFormatting sqref="AR243">
    <cfRule type="cellIs" dxfId="1504" priority="1580" operator="equal">
      <formula>"Not Assigned"</formula>
    </cfRule>
  </conditionalFormatting>
  <conditionalFormatting sqref="AJ243">
    <cfRule type="cellIs" dxfId="1503" priority="1579" operator="equal">
      <formula>FALSE</formula>
    </cfRule>
  </conditionalFormatting>
  <conditionalFormatting sqref="AK243">
    <cfRule type="cellIs" dxfId="1502" priority="1578" operator="equal">
      <formula>FALSE</formula>
    </cfRule>
  </conditionalFormatting>
  <conditionalFormatting sqref="AL243">
    <cfRule type="cellIs" dxfId="1501" priority="1577" operator="equal">
      <formula>FALSE</formula>
    </cfRule>
  </conditionalFormatting>
  <conditionalFormatting sqref="AM243">
    <cfRule type="cellIs" dxfId="1500" priority="1576" operator="equal">
      <formula>FALSE</formula>
    </cfRule>
  </conditionalFormatting>
  <conditionalFormatting sqref="AN243">
    <cfRule type="cellIs" dxfId="1499" priority="1575" operator="equal">
      <formula>FALSE</formula>
    </cfRule>
  </conditionalFormatting>
  <conditionalFormatting sqref="AP243">
    <cfRule type="cellIs" dxfId="1498" priority="1574" operator="equal">
      <formula>"INVALID"</formula>
    </cfRule>
  </conditionalFormatting>
  <conditionalFormatting sqref="AJ243">
    <cfRule type="cellIs" dxfId="1497" priority="1573" operator="equal">
      <formula>"INVALID"</formula>
    </cfRule>
  </conditionalFormatting>
  <conditionalFormatting sqref="AK243">
    <cfRule type="cellIs" dxfId="1496" priority="1572" operator="equal">
      <formula>"INVALID"</formula>
    </cfRule>
  </conditionalFormatting>
  <conditionalFormatting sqref="AL243:AM243">
    <cfRule type="cellIs" dxfId="1495" priority="1571" operator="equal">
      <formula>"INVALID"</formula>
    </cfRule>
  </conditionalFormatting>
  <conditionalFormatting sqref="AK243">
    <cfRule type="cellIs" dxfId="1494" priority="1570" operator="equal">
      <formula>"INVALID"</formula>
    </cfRule>
  </conditionalFormatting>
  <conditionalFormatting sqref="AL243">
    <cfRule type="cellIs" dxfId="1493" priority="1569" operator="equal">
      <formula>"INVALID"</formula>
    </cfRule>
  </conditionalFormatting>
  <conditionalFormatting sqref="AM243">
    <cfRule type="cellIs" dxfId="1492" priority="1568" operator="equal">
      <formula>"INVALID"</formula>
    </cfRule>
  </conditionalFormatting>
  <conditionalFormatting sqref="AN243">
    <cfRule type="cellIs" dxfId="1491" priority="1567" operator="equal">
      <formula>"INVALID"</formula>
    </cfRule>
  </conditionalFormatting>
  <conditionalFormatting sqref="AO243">
    <cfRule type="cellIs" dxfId="1490" priority="1566" operator="equal">
      <formula>FALSE</formula>
    </cfRule>
  </conditionalFormatting>
  <conditionalFormatting sqref="AO243">
    <cfRule type="cellIs" dxfId="1489" priority="1565" operator="equal">
      <formula>"INVALID"</formula>
    </cfRule>
  </conditionalFormatting>
  <conditionalFormatting sqref="AO243">
    <cfRule type="cellIs" dxfId="1488" priority="1564" operator="equal">
      <formula>"INVALID"</formula>
    </cfRule>
  </conditionalFormatting>
  <conditionalFormatting sqref="AI243">
    <cfRule type="cellIs" dxfId="1487" priority="1563" operator="equal">
      <formula>"INVALID"</formula>
    </cfRule>
  </conditionalFormatting>
  <conditionalFormatting sqref="AI243">
    <cfRule type="cellIs" dxfId="1486" priority="1562" operator="equal">
      <formula>"INVALID"</formula>
    </cfRule>
  </conditionalFormatting>
  <conditionalFormatting sqref="AI243">
    <cfRule type="cellIs" dxfId="1485" priority="1561" operator="equal">
      <formula>"INVALID"</formula>
    </cfRule>
  </conditionalFormatting>
  <conditionalFormatting sqref="AI243">
    <cfRule type="cellIs" dxfId="1484" priority="1560" operator="equal">
      <formula>"INVALID"</formula>
    </cfRule>
  </conditionalFormatting>
  <conditionalFormatting sqref="AQ272:AQ273">
    <cfRule type="expression" dxfId="1483" priority="1558" stopIfTrue="1">
      <formula>REPLACE($AQ272,8,LEN($AQ272),"")="unused_"</formula>
    </cfRule>
  </conditionalFormatting>
  <conditionalFormatting sqref="AQ284:AQ285">
    <cfRule type="expression" dxfId="1482" priority="1557" stopIfTrue="1">
      <formula>REPLACE($AQ284,8,LEN($AQ284),"")="unused_"</formula>
    </cfRule>
  </conditionalFormatting>
  <conditionalFormatting sqref="AQ388">
    <cfRule type="expression" dxfId="1481" priority="1555" stopIfTrue="1">
      <formula>REPLACE($AQ388,8,LEN($AQ388),"")="unused_"</formula>
    </cfRule>
  </conditionalFormatting>
  <conditionalFormatting sqref="BD632:BD634 BD654:BD656 BD643:BD645 BD665:BD667 BD676:BD678 BD698:BD700 BD687:BD689 BD609:BD616 BD593:BD607 BD619:BD623 AR592">
    <cfRule type="cellIs" dxfId="1480" priority="1553" operator="equal">
      <formula>"Not Assigned"</formula>
    </cfRule>
  </conditionalFormatting>
  <conditionalFormatting sqref="BD624:BD631 BD709:BD713 BD635:BD642 BD646:BD653 BD657:BD664">
    <cfRule type="cellIs" dxfId="1479" priority="1552" operator="equal">
      <formula>"Not Assigned"</formula>
    </cfRule>
  </conditionalFormatting>
  <conditionalFormatting sqref="BD668:BD675 BD679:BD686 BD690:BD697 BD701:BD708">
    <cfRule type="cellIs" dxfId="1478" priority="1551" operator="equal">
      <formula>"Not Assigned"</formula>
    </cfRule>
  </conditionalFormatting>
  <conditionalFormatting sqref="BD608">
    <cfRule type="cellIs" dxfId="1477" priority="1550" operator="equal">
      <formula>"Not Assigned"</formula>
    </cfRule>
  </conditionalFormatting>
  <conditionalFormatting sqref="BD718:BD719">
    <cfRule type="cellIs" dxfId="1476" priority="1549" operator="equal">
      <formula>"Not Assigned"</formula>
    </cfRule>
  </conditionalFormatting>
  <conditionalFormatting sqref="BD716:BD717">
    <cfRule type="cellIs" dxfId="1475" priority="1548" operator="equal">
      <formula>"Not Assigned"</formula>
    </cfRule>
  </conditionalFormatting>
  <conditionalFormatting sqref="BD714:BD715">
    <cfRule type="cellIs" dxfId="1474" priority="1547" operator="equal">
      <formula>"Not Assigned"</formula>
    </cfRule>
  </conditionalFormatting>
  <conditionalFormatting sqref="BD722">
    <cfRule type="cellIs" dxfId="1473" priority="1546" operator="equal">
      <formula>"Not Assigned"</formula>
    </cfRule>
  </conditionalFormatting>
  <conditionalFormatting sqref="BD720:BD721">
    <cfRule type="cellIs" dxfId="1472" priority="1545" operator="equal">
      <formula>"Not Assigned"</formula>
    </cfRule>
  </conditionalFormatting>
  <conditionalFormatting sqref="BD617:BD618">
    <cfRule type="cellIs" dxfId="1471" priority="1544" operator="equal">
      <formula>"Not Assigned"</formula>
    </cfRule>
  </conditionalFormatting>
  <conditionalFormatting sqref="BD729:BD733">
    <cfRule type="cellIs" dxfId="1470" priority="1543" operator="equal">
      <formula>"Not Assigned"</formula>
    </cfRule>
  </conditionalFormatting>
  <conditionalFormatting sqref="BD723:BD728">
    <cfRule type="cellIs" dxfId="1469" priority="1542" operator="equal">
      <formula>"Not Assigned"</formula>
    </cfRule>
  </conditionalFormatting>
  <conditionalFormatting sqref="BD734:BD736">
    <cfRule type="cellIs" dxfId="1468" priority="1541" operator="equal">
      <formula>"Not Assigned"</formula>
    </cfRule>
  </conditionalFormatting>
  <conditionalFormatting sqref="AQ82:AQ85">
    <cfRule type="expression" dxfId="1467" priority="1540" stopIfTrue="1">
      <formula>REPLACE($AQ82,8,LEN($AQ82),"")="unused_"</formula>
    </cfRule>
  </conditionalFormatting>
  <conditionalFormatting sqref="AQ82:AQ85">
    <cfRule type="expression" dxfId="1466" priority="1538">
      <formula>NOT($AJ82)</formula>
    </cfRule>
    <cfRule type="expression" dxfId="1465" priority="1539">
      <formula>RIGHT($AQ82, 1)="*"</formula>
    </cfRule>
  </conditionalFormatting>
  <conditionalFormatting sqref="AQ245">
    <cfRule type="expression" dxfId="1464" priority="1537" stopIfTrue="1">
      <formula>REPLACE($AQ245,8,LEN($AQ245),"")="unused_"</formula>
    </cfRule>
  </conditionalFormatting>
  <conditionalFormatting sqref="AQ245">
    <cfRule type="expression" dxfId="1463" priority="1535">
      <formula>NOT($AJ245)</formula>
    </cfRule>
    <cfRule type="expression" dxfId="1462" priority="1536">
      <formula>RIGHT($AQ245, 1)="*"</formula>
    </cfRule>
  </conditionalFormatting>
  <conditionalFormatting sqref="AQ246:AQ250">
    <cfRule type="expression" dxfId="1461" priority="1534" stopIfTrue="1">
      <formula>REPLACE($AQ246,8,LEN($AQ246),"")="unused_"</formula>
    </cfRule>
  </conditionalFormatting>
  <conditionalFormatting sqref="AQ246:AQ250">
    <cfRule type="expression" dxfId="1460" priority="1532">
      <formula>NOT($AJ246)</formula>
    </cfRule>
    <cfRule type="expression" dxfId="1459" priority="1533">
      <formula>RIGHT($AQ246, 1)="*"</formula>
    </cfRule>
  </conditionalFormatting>
  <conditionalFormatting sqref="AQ264">
    <cfRule type="expression" dxfId="1458" priority="1531" stopIfTrue="1">
      <formula>REPLACE($AQ264,8,LEN($AQ264),"")="unused_"</formula>
    </cfRule>
  </conditionalFormatting>
  <conditionalFormatting sqref="AT247">
    <cfRule type="expression" dxfId="1457" priority="1530">
      <formula>NOT($AM247)</formula>
    </cfRule>
  </conditionalFormatting>
  <conditionalFormatting sqref="AT250">
    <cfRule type="expression" dxfId="1456" priority="1529">
      <formula>NOT($AM250)</formula>
    </cfRule>
  </conditionalFormatting>
  <conditionalFormatting sqref="AZ209">
    <cfRule type="expression" dxfId="1455" priority="1528">
      <formula>AND(NOT(ISBLANK(AZ209)), EXACT(AF209, "INVALID"))</formula>
    </cfRule>
  </conditionalFormatting>
  <conditionalFormatting sqref="BA209">
    <cfRule type="expression" dxfId="1454" priority="1527">
      <formula>AND(NOT(ISBLANK(BA209)), EXACT(AF209, "INVALID"))</formula>
    </cfRule>
  </conditionalFormatting>
  <conditionalFormatting sqref="AT139:AT140">
    <cfRule type="expression" dxfId="1453" priority="1522">
      <formula>NOT($AM139)</formula>
    </cfRule>
  </conditionalFormatting>
  <conditionalFormatting sqref="AZ209:BA209">
    <cfRule type="expression" dxfId="1452" priority="1526">
      <formula>NOT($AN209)</formula>
    </cfRule>
  </conditionalFormatting>
  <conditionalFormatting sqref="AT15:AT16">
    <cfRule type="expression" dxfId="1451" priority="1525">
      <formula>NOT($AM15)</formula>
    </cfRule>
  </conditionalFormatting>
  <conditionalFormatting sqref="AT18">
    <cfRule type="expression" dxfId="1450" priority="1524">
      <formula>NOT($AM17)</formula>
    </cfRule>
  </conditionalFormatting>
  <conditionalFormatting sqref="AT124">
    <cfRule type="expression" dxfId="1449" priority="1523">
      <formula>NOT($AM124)</formula>
    </cfRule>
  </conditionalFormatting>
  <conditionalFormatting sqref="AT155">
    <cfRule type="expression" dxfId="1448" priority="1521">
      <formula>NOT($AM155)</formula>
    </cfRule>
  </conditionalFormatting>
  <conditionalFormatting sqref="AT180:AT183">
    <cfRule type="expression" dxfId="1447" priority="1520">
      <formula>NOT($AM180)</formula>
    </cfRule>
  </conditionalFormatting>
  <conditionalFormatting sqref="AT185:AT188">
    <cfRule type="expression" dxfId="1446" priority="1519">
      <formula>NOT($AM185)</formula>
    </cfRule>
  </conditionalFormatting>
  <conditionalFormatting sqref="AT217">
    <cfRule type="expression" dxfId="1445" priority="1518">
      <formula>NOT($AM217)</formula>
    </cfRule>
  </conditionalFormatting>
  <conditionalFormatting sqref="AT219">
    <cfRule type="expression" dxfId="1444" priority="1517">
      <formula>NOT($AM219)</formula>
    </cfRule>
  </conditionalFormatting>
  <conditionalFormatting sqref="AT221">
    <cfRule type="expression" dxfId="1443" priority="1516">
      <formula>NOT($AM221)</formula>
    </cfRule>
  </conditionalFormatting>
  <conditionalFormatting sqref="AT223">
    <cfRule type="expression" dxfId="1442" priority="1515">
      <formula>NOT($AM223)</formula>
    </cfRule>
  </conditionalFormatting>
  <conditionalFormatting sqref="AR209">
    <cfRule type="expression" dxfId="1441" priority="1513">
      <formula>NOT($AL209)</formula>
    </cfRule>
  </conditionalFormatting>
  <conditionalFormatting sqref="AR209">
    <cfRule type="cellIs" dxfId="1440" priority="1512" operator="equal">
      <formula>"Not Assigned"</formula>
    </cfRule>
  </conditionalFormatting>
  <conditionalFormatting sqref="AQ209">
    <cfRule type="expression" dxfId="1439" priority="1514" stopIfTrue="1">
      <formula>REPLACE($AQ209,8,LEN($AQ209),"")="unused_"</formula>
    </cfRule>
  </conditionalFormatting>
  <conditionalFormatting sqref="AQ209">
    <cfRule type="expression" dxfId="1438" priority="1510">
      <formula>NOT($AJ209)</formula>
    </cfRule>
    <cfRule type="expression" dxfId="1437" priority="1511">
      <formula>RIGHT($AQ209, 1)="*"</formula>
    </cfRule>
  </conditionalFormatting>
  <conditionalFormatting sqref="AF162 AI162">
    <cfRule type="cellIs" dxfId="1436" priority="1509" operator="equal">
      <formula>"INVALID"</formula>
    </cfRule>
  </conditionalFormatting>
  <conditionalFormatting sqref="AF241">
    <cfRule type="cellIs" dxfId="1435" priority="1508" operator="equal">
      <formula>"INVALID"</formula>
    </cfRule>
  </conditionalFormatting>
  <conditionalFormatting sqref="AX228:AX229 AX169:AX171">
    <cfRule type="expression" dxfId="1434" priority="1507">
      <formula>NOT($AO169)</formula>
    </cfRule>
  </conditionalFormatting>
  <conditionalFormatting sqref="AX218">
    <cfRule type="expression" dxfId="1433" priority="1506">
      <formula>NOT($AO218)</formula>
    </cfRule>
  </conditionalFormatting>
  <conditionalFormatting sqref="AX219">
    <cfRule type="expression" dxfId="1432" priority="1505">
      <formula>NOT($AO219)</formula>
    </cfRule>
  </conditionalFormatting>
  <conditionalFormatting sqref="AX220">
    <cfRule type="expression" dxfId="1431" priority="1504">
      <formula>NOT($AO220)</formula>
    </cfRule>
  </conditionalFormatting>
  <conditionalFormatting sqref="AX221">
    <cfRule type="expression" dxfId="1430" priority="1503">
      <formula>NOT($AO221)</formula>
    </cfRule>
  </conditionalFormatting>
  <conditionalFormatting sqref="AX222">
    <cfRule type="expression" dxfId="1429" priority="1502">
      <formula>NOT($AO222)</formula>
    </cfRule>
  </conditionalFormatting>
  <conditionalFormatting sqref="AX223">
    <cfRule type="expression" dxfId="1428" priority="1501">
      <formula>NOT($AO223)</formula>
    </cfRule>
  </conditionalFormatting>
  <conditionalFormatting sqref="AX247">
    <cfRule type="expression" dxfId="1427" priority="1500">
      <formula>NOT($AO247)</formula>
    </cfRule>
  </conditionalFormatting>
  <conditionalFormatting sqref="AX250">
    <cfRule type="expression" dxfId="1426" priority="1499">
      <formula>NOT($AO250)</formula>
    </cfRule>
  </conditionalFormatting>
  <conditionalFormatting sqref="AR8">
    <cfRule type="cellIs" dxfId="1425" priority="1498" operator="equal">
      <formula>"Not Assigned"</formula>
    </cfRule>
  </conditionalFormatting>
  <conditionalFormatting sqref="AQ8">
    <cfRule type="expression" dxfId="1424" priority="1497" stopIfTrue="1">
      <formula>REPLACE($AQ8,8,LEN($AQ8),"")="unused_"</formula>
    </cfRule>
  </conditionalFormatting>
  <conditionalFormatting sqref="Q231:Q235">
    <cfRule type="cellIs" dxfId="1423" priority="1496" operator="equal">
      <formula>"INVALID"</formula>
    </cfRule>
  </conditionalFormatting>
  <conditionalFormatting sqref="R231:R235">
    <cfRule type="cellIs" dxfId="1422" priority="1495" operator="equal">
      <formula>"INVALID"</formula>
    </cfRule>
  </conditionalFormatting>
  <conditionalFormatting sqref="S231:S235">
    <cfRule type="cellIs" dxfId="1421" priority="1494" operator="equal">
      <formula>"INVALID"</formula>
    </cfRule>
  </conditionalFormatting>
  <conditionalFormatting sqref="T231:T235">
    <cfRule type="cellIs" dxfId="1420" priority="1493" operator="equal">
      <formula>"INVALID"</formula>
    </cfRule>
  </conditionalFormatting>
  <conditionalFormatting sqref="U235:V235 U231:U234">
    <cfRule type="cellIs" dxfId="1419" priority="1492" operator="equal">
      <formula>"INVALID"</formula>
    </cfRule>
  </conditionalFormatting>
  <conditionalFormatting sqref="Q225">
    <cfRule type="cellIs" dxfId="1418" priority="1491" operator="equal">
      <formula>"INVALID"</formula>
    </cfRule>
  </conditionalFormatting>
  <conditionalFormatting sqref="R225">
    <cfRule type="cellIs" dxfId="1417" priority="1490" operator="equal">
      <formula>"INVALID"</formula>
    </cfRule>
  </conditionalFormatting>
  <conditionalFormatting sqref="S225">
    <cfRule type="cellIs" dxfId="1416" priority="1489" operator="equal">
      <formula>"INVALID"</formula>
    </cfRule>
  </conditionalFormatting>
  <conditionalFormatting sqref="T225">
    <cfRule type="cellIs" dxfId="1415" priority="1488" operator="equal">
      <formula>"INVALID"</formula>
    </cfRule>
  </conditionalFormatting>
  <conditionalFormatting sqref="U225">
    <cfRule type="cellIs" dxfId="1414" priority="1487" operator="equal">
      <formula>"INVALID"</formula>
    </cfRule>
  </conditionalFormatting>
  <conditionalFormatting sqref="V196">
    <cfRule type="cellIs" dxfId="1413" priority="1486" operator="equal">
      <formula>"INVALID"</formula>
    </cfRule>
  </conditionalFormatting>
  <conditionalFormatting sqref="V194">
    <cfRule type="cellIs" dxfId="1412" priority="1485" operator="equal">
      <formula>"INVALID"</formula>
    </cfRule>
  </conditionalFormatting>
  <conditionalFormatting sqref="V189">
    <cfRule type="cellIs" dxfId="1411" priority="1484" operator="equal">
      <formula>"INVALID"</formula>
    </cfRule>
  </conditionalFormatting>
  <conditionalFormatting sqref="V188">
    <cfRule type="cellIs" dxfId="1410" priority="1483" operator="equal">
      <formula>"INVALID"</formula>
    </cfRule>
  </conditionalFormatting>
  <conditionalFormatting sqref="Q245">
    <cfRule type="cellIs" dxfId="1409" priority="1482" operator="equal">
      <formula>"INVALID"</formula>
    </cfRule>
  </conditionalFormatting>
  <conditionalFormatting sqref="R245">
    <cfRule type="cellIs" dxfId="1408" priority="1481" operator="equal">
      <formula>"INVALID"</formula>
    </cfRule>
  </conditionalFormatting>
  <conditionalFormatting sqref="S245">
    <cfRule type="cellIs" dxfId="1407" priority="1480" operator="equal">
      <formula>"INVALID"</formula>
    </cfRule>
  </conditionalFormatting>
  <conditionalFormatting sqref="T245">
    <cfRule type="cellIs" dxfId="1406" priority="1479" operator="equal">
      <formula>"INVALID"</formula>
    </cfRule>
  </conditionalFormatting>
  <conditionalFormatting sqref="U245:V245 V246:V250">
    <cfRule type="cellIs" dxfId="1405" priority="1478" operator="equal">
      <formula>"INVALID"</formula>
    </cfRule>
  </conditionalFormatting>
  <conditionalFormatting sqref="Q246">
    <cfRule type="cellIs" dxfId="1404" priority="1477" operator="equal">
      <formula>"INVALID"</formula>
    </cfRule>
  </conditionalFormatting>
  <conditionalFormatting sqref="R246">
    <cfRule type="cellIs" dxfId="1403" priority="1476" operator="equal">
      <formula>"INVALID"</formula>
    </cfRule>
  </conditionalFormatting>
  <conditionalFormatting sqref="S246">
    <cfRule type="cellIs" dxfId="1402" priority="1475" operator="equal">
      <formula>"INVALID"</formula>
    </cfRule>
  </conditionalFormatting>
  <conditionalFormatting sqref="T246">
    <cfRule type="cellIs" dxfId="1401" priority="1474" operator="equal">
      <formula>"INVALID"</formula>
    </cfRule>
  </conditionalFormatting>
  <conditionalFormatting sqref="U246:V246">
    <cfRule type="cellIs" dxfId="1400" priority="1473" operator="equal">
      <formula>"INVALID"</formula>
    </cfRule>
  </conditionalFormatting>
  <conditionalFormatting sqref="Q248">
    <cfRule type="cellIs" dxfId="1399" priority="1472" operator="equal">
      <formula>"INVALID"</formula>
    </cfRule>
  </conditionalFormatting>
  <conditionalFormatting sqref="R248">
    <cfRule type="cellIs" dxfId="1398" priority="1471" operator="equal">
      <formula>"INVALID"</formula>
    </cfRule>
  </conditionalFormatting>
  <conditionalFormatting sqref="S248">
    <cfRule type="cellIs" dxfId="1397" priority="1470" operator="equal">
      <formula>"INVALID"</formula>
    </cfRule>
  </conditionalFormatting>
  <conditionalFormatting sqref="T248">
    <cfRule type="cellIs" dxfId="1396" priority="1469" operator="equal">
      <formula>"INVALID"</formula>
    </cfRule>
  </conditionalFormatting>
  <conditionalFormatting sqref="U248:V248">
    <cfRule type="cellIs" dxfId="1395" priority="1468" operator="equal">
      <formula>"INVALID"</formula>
    </cfRule>
  </conditionalFormatting>
  <conditionalFormatting sqref="Q249">
    <cfRule type="cellIs" dxfId="1394" priority="1467" operator="equal">
      <formula>"INVALID"</formula>
    </cfRule>
  </conditionalFormatting>
  <conditionalFormatting sqref="R249">
    <cfRule type="cellIs" dxfId="1393" priority="1466" operator="equal">
      <formula>"INVALID"</formula>
    </cfRule>
  </conditionalFormatting>
  <conditionalFormatting sqref="S249">
    <cfRule type="cellIs" dxfId="1392" priority="1465" operator="equal">
      <formula>"INVALID"</formula>
    </cfRule>
  </conditionalFormatting>
  <conditionalFormatting sqref="T249">
    <cfRule type="cellIs" dxfId="1391" priority="1464" operator="equal">
      <formula>"INVALID"</formula>
    </cfRule>
  </conditionalFormatting>
  <conditionalFormatting sqref="U249:V249">
    <cfRule type="cellIs" dxfId="1390" priority="1463" operator="equal">
      <formula>"INVALID"</formula>
    </cfRule>
  </conditionalFormatting>
  <conditionalFormatting sqref="AD225">
    <cfRule type="cellIs" dxfId="1389" priority="1462" operator="equal">
      <formula>"INVALID"</formula>
    </cfRule>
  </conditionalFormatting>
  <conditionalFormatting sqref="AD225">
    <cfRule type="cellIs" dxfId="1388" priority="1461" operator="equal">
      <formula>"INVALID"</formula>
    </cfRule>
  </conditionalFormatting>
  <conditionalFormatting sqref="AD235">
    <cfRule type="cellIs" dxfId="1387" priority="1460" operator="equal">
      <formula>"INVALID"</formula>
    </cfRule>
  </conditionalFormatting>
  <conditionalFormatting sqref="AD235">
    <cfRule type="cellIs" dxfId="1386" priority="1459" operator="equal">
      <formula>"INVALID"</formula>
    </cfRule>
  </conditionalFormatting>
  <conditionalFormatting sqref="AD112:AD125">
    <cfRule type="cellIs" dxfId="1385" priority="1458" operator="equal">
      <formula>"INVALID"</formula>
    </cfRule>
  </conditionalFormatting>
  <conditionalFormatting sqref="AR86:AR87">
    <cfRule type="cellIs" dxfId="1384" priority="1457" operator="equal">
      <formula>"Not Assigned"</formula>
    </cfRule>
  </conditionalFormatting>
  <conditionalFormatting sqref="AE86:AF87 AI86:AI87">
    <cfRule type="cellIs" dxfId="1383" priority="1456" operator="equal">
      <formula>"INVALID"</formula>
    </cfRule>
  </conditionalFormatting>
  <conditionalFormatting sqref="AS86:AS87">
    <cfRule type="expression" dxfId="1382" priority="1455">
      <formula>EXACT(AF86, "INVALID")</formula>
    </cfRule>
  </conditionalFormatting>
  <conditionalFormatting sqref="AZ86:AZ87">
    <cfRule type="expression" dxfId="1381" priority="1454">
      <formula>AND(NOT(ISBLANK(AZ86)), EXACT(AF86, "INVALID"))</formula>
    </cfRule>
  </conditionalFormatting>
  <conditionalFormatting sqref="BA86:BA87">
    <cfRule type="expression" dxfId="1380" priority="1453">
      <formula>AND(NOT(ISBLANK(BA86)), EXACT(AF86, "INVALID"))</formula>
    </cfRule>
  </conditionalFormatting>
  <conditionalFormatting sqref="AR86:AR87">
    <cfRule type="expression" dxfId="1379" priority="1452">
      <formula>NOT($AL86)</formula>
    </cfRule>
  </conditionalFormatting>
  <conditionalFormatting sqref="AJ86:AJ87">
    <cfRule type="cellIs" dxfId="1378" priority="1451" operator="equal">
      <formula>FALSE</formula>
    </cfRule>
  </conditionalFormatting>
  <conditionalFormatting sqref="AK86:AK87">
    <cfRule type="cellIs" dxfId="1377" priority="1450" operator="equal">
      <formula>FALSE</formula>
    </cfRule>
  </conditionalFormatting>
  <conditionalFormatting sqref="AL86:AL87">
    <cfRule type="cellIs" dxfId="1376" priority="1449" operator="equal">
      <formula>FALSE</formula>
    </cfRule>
  </conditionalFormatting>
  <conditionalFormatting sqref="AM86:AM87">
    <cfRule type="cellIs" dxfId="1375" priority="1448" operator="equal">
      <formula>FALSE</formula>
    </cfRule>
  </conditionalFormatting>
  <conditionalFormatting sqref="AN86:AN87">
    <cfRule type="cellIs" dxfId="1374" priority="1447" operator="equal">
      <formula>FALSE</formula>
    </cfRule>
  </conditionalFormatting>
  <conditionalFormatting sqref="AP86:AP87">
    <cfRule type="cellIs" dxfId="1373" priority="1446" operator="equal">
      <formula>"INVALID"</formula>
    </cfRule>
  </conditionalFormatting>
  <conditionalFormatting sqref="AJ86:AJ87">
    <cfRule type="cellIs" dxfId="1372" priority="1445" operator="equal">
      <formula>"INVALID"</formula>
    </cfRule>
  </conditionalFormatting>
  <conditionalFormatting sqref="AK86:AK87">
    <cfRule type="cellIs" dxfId="1371" priority="1444" operator="equal">
      <formula>"INVALID"</formula>
    </cfRule>
  </conditionalFormatting>
  <conditionalFormatting sqref="AL86:AM87">
    <cfRule type="cellIs" dxfId="1370" priority="1443" operator="equal">
      <formula>"INVALID"</formula>
    </cfRule>
  </conditionalFormatting>
  <conditionalFormatting sqref="AK86:AK87">
    <cfRule type="cellIs" dxfId="1369" priority="1442" operator="equal">
      <formula>"INVALID"</formula>
    </cfRule>
  </conditionalFormatting>
  <conditionalFormatting sqref="AL86:AL87">
    <cfRule type="cellIs" dxfId="1368" priority="1441" operator="equal">
      <formula>"INVALID"</formula>
    </cfRule>
  </conditionalFormatting>
  <conditionalFormatting sqref="AM86:AM87">
    <cfRule type="cellIs" dxfId="1367" priority="1440" operator="equal">
      <formula>"INVALID"</formula>
    </cfRule>
  </conditionalFormatting>
  <conditionalFormatting sqref="AN86:AN87">
    <cfRule type="cellIs" dxfId="1366" priority="1439" operator="equal">
      <formula>"INVALID"</formula>
    </cfRule>
  </conditionalFormatting>
  <conditionalFormatting sqref="AS86:AS87">
    <cfRule type="expression" dxfId="1365" priority="1438">
      <formula>NOT($AN86)</formula>
    </cfRule>
  </conditionalFormatting>
  <conditionalFormatting sqref="AS86:AS87">
    <cfRule type="expression" dxfId="1364" priority="1437">
      <formula>NOT($AK86)</formula>
    </cfRule>
  </conditionalFormatting>
  <conditionalFormatting sqref="AO86:AO87">
    <cfRule type="cellIs" dxfId="1363" priority="1436" operator="equal">
      <formula>FALSE</formula>
    </cfRule>
  </conditionalFormatting>
  <conditionalFormatting sqref="AO86:AO87">
    <cfRule type="cellIs" dxfId="1362" priority="1435" operator="equal">
      <formula>"INVALID"</formula>
    </cfRule>
  </conditionalFormatting>
  <conditionalFormatting sqref="AO86:AO87">
    <cfRule type="cellIs" dxfId="1361" priority="1434" operator="equal">
      <formula>"INVALID"</formula>
    </cfRule>
  </conditionalFormatting>
  <conditionalFormatting sqref="AQ86:AQ87">
    <cfRule type="expression" dxfId="1360" priority="1433" stopIfTrue="1">
      <formula>REPLACE($AQ86,8,LEN($AQ86),"")="unused_"</formula>
    </cfRule>
  </conditionalFormatting>
  <conditionalFormatting sqref="AQ86:AQ87">
    <cfRule type="expression" dxfId="1359" priority="1431">
      <formula>NOT($AJ86)</formula>
    </cfRule>
    <cfRule type="expression" dxfId="1358" priority="1432">
      <formula>RIGHT($AQ86, 1)="*"</formula>
    </cfRule>
  </conditionalFormatting>
  <conditionalFormatting sqref="V266:V313">
    <cfRule type="cellIs" dxfId="1357" priority="1430" operator="equal">
      <formula>"INVALID"</formula>
    </cfRule>
  </conditionalFormatting>
  <conditionalFormatting sqref="V266:V313">
    <cfRule type="cellIs" dxfId="1356" priority="1429" operator="equal">
      <formula>"INVALID"</formula>
    </cfRule>
  </conditionalFormatting>
  <conditionalFormatting sqref="V315:V322">
    <cfRule type="cellIs" dxfId="1355" priority="1428" operator="equal">
      <formula>"INVALID"</formula>
    </cfRule>
  </conditionalFormatting>
  <conditionalFormatting sqref="V315:V322">
    <cfRule type="cellIs" dxfId="1354" priority="1427" operator="equal">
      <formula>"INVALID"</formula>
    </cfRule>
  </conditionalFormatting>
  <conditionalFormatting sqref="V324:V331">
    <cfRule type="cellIs" dxfId="1353" priority="1426" operator="equal">
      <formula>"INVALID"</formula>
    </cfRule>
  </conditionalFormatting>
  <conditionalFormatting sqref="V324:V331">
    <cfRule type="cellIs" dxfId="1352" priority="1425" operator="equal">
      <formula>"INVALID"</formula>
    </cfRule>
  </conditionalFormatting>
  <conditionalFormatting sqref="V351:V356">
    <cfRule type="cellIs" dxfId="1351" priority="1424" operator="equal">
      <formula>"INVALID"</formula>
    </cfRule>
  </conditionalFormatting>
  <conditionalFormatting sqref="V351:V356">
    <cfRule type="cellIs" dxfId="1350" priority="1423" operator="equal">
      <formula>"INVALID"</formula>
    </cfRule>
  </conditionalFormatting>
  <conditionalFormatting sqref="V360:V388">
    <cfRule type="cellIs" dxfId="1349" priority="1422" operator="equal">
      <formula>"INVALID"</formula>
    </cfRule>
  </conditionalFormatting>
  <conditionalFormatting sqref="V360:V388">
    <cfRule type="cellIs" dxfId="1348" priority="1421" operator="equal">
      <formula>"INVALID"</formula>
    </cfRule>
  </conditionalFormatting>
  <conditionalFormatting sqref="V448:V591">
    <cfRule type="cellIs" dxfId="1347" priority="1420" operator="equal">
      <formula>"INVALID"</formula>
    </cfRule>
  </conditionalFormatting>
  <conditionalFormatting sqref="V448:V591">
    <cfRule type="cellIs" dxfId="1346" priority="1419" operator="equal">
      <formula>"INVALID"</formula>
    </cfRule>
  </conditionalFormatting>
  <conditionalFormatting sqref="V593:V736">
    <cfRule type="cellIs" dxfId="1345" priority="1418" operator="equal">
      <formula>"INVALID"</formula>
    </cfRule>
  </conditionalFormatting>
  <conditionalFormatting sqref="V593:V736">
    <cfRule type="cellIs" dxfId="1344" priority="1417" operator="equal">
      <formula>"INVALID"</formula>
    </cfRule>
  </conditionalFormatting>
  <conditionalFormatting sqref="AG209:AG210 AG244:AG250 AG28:AG33 AG35:AG40 AG68 AG77:AG80 AG82:AG87 AG136:AG142 AG176:AG196 AG231:AG240 AG103 AG212:AG213 AG215:AG226 AG228:AG229">
    <cfRule type="cellIs" dxfId="1343" priority="1416" operator="equal">
      <formula>"INVALID"</formula>
    </cfRule>
  </conditionalFormatting>
  <conditionalFormatting sqref="AG162">
    <cfRule type="cellIs" dxfId="1342" priority="1415" operator="equal">
      <formula>"INVALID"</formula>
    </cfRule>
  </conditionalFormatting>
  <conditionalFormatting sqref="AG111:AG125">
    <cfRule type="cellIs" dxfId="1341" priority="1414" operator="equal">
      <formula>"INVALID"</formula>
    </cfRule>
  </conditionalFormatting>
  <conditionalFormatting sqref="AG113">
    <cfRule type="cellIs" dxfId="1340" priority="1413" operator="equal">
      <formula>"INVALID"</formula>
    </cfRule>
  </conditionalFormatting>
  <conditionalFormatting sqref="AG123">
    <cfRule type="cellIs" dxfId="1339" priority="1412" operator="equal">
      <formula>"INVALID"</formula>
    </cfRule>
  </conditionalFormatting>
  <conditionalFormatting sqref="AG124">
    <cfRule type="cellIs" dxfId="1338" priority="1411" operator="equal">
      <formula>"INVALID"</formula>
    </cfRule>
  </conditionalFormatting>
  <conditionalFormatting sqref="AG230">
    <cfRule type="cellIs" dxfId="1337" priority="1410" operator="equal">
      <formula>"INVALID"</formula>
    </cfRule>
  </conditionalFormatting>
  <conditionalFormatting sqref="AG242:AG243">
    <cfRule type="cellIs" dxfId="1336" priority="1409" operator="equal">
      <formula>"INVALID"</formula>
    </cfRule>
  </conditionalFormatting>
  <conditionalFormatting sqref="AG241">
    <cfRule type="cellIs" dxfId="1335" priority="1408" operator="equal">
      <formula>"INVALID"</formula>
    </cfRule>
  </conditionalFormatting>
  <conditionalFormatting sqref="AG137:AG142">
    <cfRule type="cellIs" dxfId="1334" priority="1405" operator="equal">
      <formula>"INVALID"</formula>
    </cfRule>
  </conditionalFormatting>
  <conditionalFormatting sqref="AG231:AG240">
    <cfRule type="cellIs" dxfId="1333" priority="1404" operator="equal">
      <formula>"INVALID"</formula>
    </cfRule>
  </conditionalFormatting>
  <conditionalFormatting sqref="AG231:AG240">
    <cfRule type="cellIs" dxfId="1332" priority="1403" operator="equal">
      <formula>"INVALID"</formula>
    </cfRule>
  </conditionalFormatting>
  <conditionalFormatting sqref="AG11:AG12 AG14:AG18 AG20:AG21">
    <cfRule type="cellIs" dxfId="1331" priority="1391" operator="equal">
      <formula>"INVALID"</formula>
    </cfRule>
  </conditionalFormatting>
  <conditionalFormatting sqref="AG112:AG125">
    <cfRule type="cellIs" dxfId="1330" priority="1407" operator="equal">
      <formula>"INVALID"</formula>
    </cfRule>
  </conditionalFormatting>
  <conditionalFormatting sqref="AG137:AG142">
    <cfRule type="cellIs" dxfId="1329" priority="1406" operator="equal">
      <formula>"INVALID"</formula>
    </cfRule>
  </conditionalFormatting>
  <conditionalFormatting sqref="AG242:AG243">
    <cfRule type="cellIs" dxfId="1328" priority="1402" operator="equal">
      <formula>"INVALID"</formula>
    </cfRule>
  </conditionalFormatting>
  <conditionalFormatting sqref="AG242:AG243">
    <cfRule type="cellIs" dxfId="1327" priority="1401" operator="equal">
      <formula>"INVALID"</formula>
    </cfRule>
  </conditionalFormatting>
  <conditionalFormatting sqref="AG242:AG243">
    <cfRule type="cellIs" dxfId="1326" priority="1400" operator="equal">
      <formula>"INVALID"</formula>
    </cfRule>
  </conditionalFormatting>
  <conditionalFormatting sqref="AG245:AG250">
    <cfRule type="cellIs" dxfId="1325" priority="1399" operator="equal">
      <formula>"INVALID"</formula>
    </cfRule>
  </conditionalFormatting>
  <conditionalFormatting sqref="AG245:AG250">
    <cfRule type="cellIs" dxfId="1324" priority="1398" operator="equal">
      <formula>"INVALID"</formula>
    </cfRule>
  </conditionalFormatting>
  <conditionalFormatting sqref="AG245:AG250">
    <cfRule type="cellIs" dxfId="1323" priority="1397" operator="equal">
      <formula>"INVALID"</formula>
    </cfRule>
  </conditionalFormatting>
  <conditionalFormatting sqref="AG245:AG250">
    <cfRule type="cellIs" dxfId="1322" priority="1396" operator="equal">
      <formula>"INVALID"</formula>
    </cfRule>
  </conditionalFormatting>
  <conditionalFormatting sqref="AG245:AG250">
    <cfRule type="cellIs" dxfId="1321" priority="1395" operator="equal">
      <formula>"INVALID"</formula>
    </cfRule>
  </conditionalFormatting>
  <conditionalFormatting sqref="AG245:AG250">
    <cfRule type="cellIs" dxfId="1320" priority="1394" operator="equal">
      <formula>"INVALID"</formula>
    </cfRule>
  </conditionalFormatting>
  <conditionalFormatting sqref="AG245:AG250">
    <cfRule type="cellIs" dxfId="1319" priority="1393" operator="equal">
      <formula>"INVALID"</formula>
    </cfRule>
  </conditionalFormatting>
  <conditionalFormatting sqref="AG187:AG191">
    <cfRule type="cellIs" dxfId="1318" priority="1392" operator="equal">
      <formula>"INVALID"</formula>
    </cfRule>
  </conditionalFormatting>
  <conditionalFormatting sqref="AG20:AG21">
    <cfRule type="cellIs" dxfId="1317" priority="1390" operator="equal">
      <formula>"INVALID"</formula>
    </cfRule>
  </conditionalFormatting>
  <conditionalFormatting sqref="AG33">
    <cfRule type="cellIs" dxfId="1316" priority="1389" operator="equal">
      <formula>"INVALID"</formula>
    </cfRule>
  </conditionalFormatting>
  <conditionalFormatting sqref="AG125">
    <cfRule type="cellIs" dxfId="1315" priority="1386" operator="equal">
      <formula>"INVALID"</formula>
    </cfRule>
  </conditionalFormatting>
  <conditionalFormatting sqref="AG125">
    <cfRule type="cellIs" dxfId="1314" priority="1388" operator="equal">
      <formula>"INVALID"</formula>
    </cfRule>
  </conditionalFormatting>
  <conditionalFormatting sqref="AG125">
    <cfRule type="cellIs" dxfId="1313" priority="1387" operator="equal">
      <formula>"INVALID"</formula>
    </cfRule>
  </conditionalFormatting>
  <conditionalFormatting sqref="AG209:AG210 AG212:AG213 AG215:AG221">
    <cfRule type="cellIs" dxfId="1312" priority="1385" operator="equal">
      <formula>"INVALID"</formula>
    </cfRule>
  </conditionalFormatting>
  <conditionalFormatting sqref="AG201:AG202 AG209:AG210 AG212:AG213 AG215:AG226 AG228:AG229 AG205:AG206">
    <cfRule type="cellIs" dxfId="1311" priority="1384" operator="equal">
      <formula>"INVALID"</formula>
    </cfRule>
  </conditionalFormatting>
  <conditionalFormatting sqref="AG201:AG202 AG209:AG210 AG212:AG213 AG215:AG226 AG228:AG229 AG205:AG206">
    <cfRule type="cellIs" dxfId="1310" priority="1383" operator="equal">
      <formula>"INVALID"</formula>
    </cfRule>
  </conditionalFormatting>
  <conditionalFormatting sqref="AG201:AG202 AG209:AG210 AG212:AG213 AG215:AG226 AG228:AG229 AG205:AG206">
    <cfRule type="cellIs" dxfId="1309" priority="1382" operator="equal">
      <formula>"INVALID"</formula>
    </cfRule>
  </conditionalFormatting>
  <conditionalFormatting sqref="AG243">
    <cfRule type="cellIs" dxfId="1308" priority="1381" operator="equal">
      <formula>"INVALID"</formula>
    </cfRule>
  </conditionalFormatting>
  <conditionalFormatting sqref="AG243">
    <cfRule type="cellIs" dxfId="1307" priority="1380" operator="equal">
      <formula>"INVALID"</formula>
    </cfRule>
  </conditionalFormatting>
  <conditionalFormatting sqref="AG243">
    <cfRule type="cellIs" dxfId="1306" priority="1379" operator="equal">
      <formula>"INVALID"</formula>
    </cfRule>
  </conditionalFormatting>
  <conditionalFormatting sqref="AG243">
    <cfRule type="cellIs" dxfId="1305" priority="1378" operator="equal">
      <formula>"INVALID"</formula>
    </cfRule>
  </conditionalFormatting>
  <conditionalFormatting sqref="AG162">
    <cfRule type="cellIs" dxfId="1304" priority="1377" operator="equal">
      <formula>"INVALID"</formula>
    </cfRule>
  </conditionalFormatting>
  <conditionalFormatting sqref="AG86:AG87">
    <cfRule type="cellIs" dxfId="1303" priority="1376" operator="equal">
      <formula>"INVALID"</formula>
    </cfRule>
  </conditionalFormatting>
  <conditionalFormatting sqref="AG28:AG33">
    <cfRule type="cellIs" dxfId="1302" priority="1375" operator="equal">
      <formula>"INVALID"</formula>
    </cfRule>
  </conditionalFormatting>
  <conditionalFormatting sqref="AG28:AG33">
    <cfRule type="cellIs" dxfId="1301" priority="1374" operator="equal">
      <formula>"INVALID"</formula>
    </cfRule>
  </conditionalFormatting>
  <conditionalFormatting sqref="AG35:AG40">
    <cfRule type="cellIs" dxfId="1300" priority="1373" operator="equal">
      <formula>"INVALID"</formula>
    </cfRule>
  </conditionalFormatting>
  <conditionalFormatting sqref="AG35:AG40">
    <cfRule type="cellIs" dxfId="1299" priority="1372" operator="equal">
      <formula>"INVALID"</formula>
    </cfRule>
  </conditionalFormatting>
  <conditionalFormatting sqref="AG35:AG40">
    <cfRule type="cellIs" dxfId="1298" priority="1371" operator="equal">
      <formula>"INVALID"</formula>
    </cfRule>
  </conditionalFormatting>
  <conditionalFormatting sqref="AG68">
    <cfRule type="cellIs" dxfId="1297" priority="1370" operator="equal">
      <formula>"INVALID"</formula>
    </cfRule>
  </conditionalFormatting>
  <conditionalFormatting sqref="AG68">
    <cfRule type="cellIs" dxfId="1296" priority="1369" operator="equal">
      <formula>"INVALID"</formula>
    </cfRule>
  </conditionalFormatting>
  <conditionalFormatting sqref="AG68">
    <cfRule type="cellIs" dxfId="1295" priority="1368" operator="equal">
      <formula>"INVALID"</formula>
    </cfRule>
  </conditionalFormatting>
  <conditionalFormatting sqref="AG77:AG80">
    <cfRule type="cellIs" dxfId="1294" priority="1367" operator="equal">
      <formula>"INVALID"</formula>
    </cfRule>
  </conditionalFormatting>
  <conditionalFormatting sqref="AG77:AG80">
    <cfRule type="cellIs" dxfId="1293" priority="1366" operator="equal">
      <formula>"INVALID"</formula>
    </cfRule>
  </conditionalFormatting>
  <conditionalFormatting sqref="AG77:AG80">
    <cfRule type="cellIs" dxfId="1292" priority="1365" operator="equal">
      <formula>"INVALID"</formula>
    </cfRule>
  </conditionalFormatting>
  <conditionalFormatting sqref="AG82:AG87">
    <cfRule type="cellIs" dxfId="1291" priority="1364" operator="equal">
      <formula>"INVALID"</formula>
    </cfRule>
  </conditionalFormatting>
  <conditionalFormatting sqref="AG82:AG87">
    <cfRule type="cellIs" dxfId="1290" priority="1363" operator="equal">
      <formula>"INVALID"</formula>
    </cfRule>
  </conditionalFormatting>
  <conditionalFormatting sqref="AG82:AG87">
    <cfRule type="cellIs" dxfId="1289" priority="1362" operator="equal">
      <formula>"INVALID"</formula>
    </cfRule>
  </conditionalFormatting>
  <conditionalFormatting sqref="AG112:AG125">
    <cfRule type="cellIs" dxfId="1288" priority="1361" operator="equal">
      <formula>"INVALID"</formula>
    </cfRule>
  </conditionalFormatting>
  <conditionalFormatting sqref="AG112:AG125">
    <cfRule type="cellIs" dxfId="1287" priority="1360" operator="equal">
      <formula>"INVALID"</formula>
    </cfRule>
  </conditionalFormatting>
  <conditionalFormatting sqref="AG112:AG125">
    <cfRule type="cellIs" dxfId="1286" priority="1359" operator="equal">
      <formula>"INVALID"</formula>
    </cfRule>
  </conditionalFormatting>
  <conditionalFormatting sqref="AG112:AG125">
    <cfRule type="cellIs" dxfId="1285" priority="1358" operator="equal">
      <formula>"INVALID"</formula>
    </cfRule>
  </conditionalFormatting>
  <conditionalFormatting sqref="AG112:AG125">
    <cfRule type="cellIs" dxfId="1284" priority="1357" operator="equal">
      <formula>"INVALID"</formula>
    </cfRule>
  </conditionalFormatting>
  <conditionalFormatting sqref="AG137:AG142">
    <cfRule type="cellIs" dxfId="1283" priority="1356" operator="equal">
      <formula>"INVALID"</formula>
    </cfRule>
  </conditionalFormatting>
  <conditionalFormatting sqref="AG137:AG142">
    <cfRule type="cellIs" dxfId="1282" priority="1355" operator="equal">
      <formula>"INVALID"</formula>
    </cfRule>
  </conditionalFormatting>
  <conditionalFormatting sqref="AG137:AG142">
    <cfRule type="cellIs" dxfId="1281" priority="1352" operator="equal">
      <formula>"INVALID"</formula>
    </cfRule>
  </conditionalFormatting>
  <conditionalFormatting sqref="AG137:AG142">
    <cfRule type="cellIs" dxfId="1280" priority="1354" operator="equal">
      <formula>"INVALID"</formula>
    </cfRule>
  </conditionalFormatting>
  <conditionalFormatting sqref="AG137:AG142">
    <cfRule type="cellIs" dxfId="1279" priority="1353" operator="equal">
      <formula>"INVALID"</formula>
    </cfRule>
  </conditionalFormatting>
  <conditionalFormatting sqref="AG137:AG142">
    <cfRule type="cellIs" dxfId="1278" priority="1351" operator="equal">
      <formula>"INVALID"</formula>
    </cfRule>
  </conditionalFormatting>
  <conditionalFormatting sqref="AG137:AG142">
    <cfRule type="cellIs" dxfId="1277" priority="1350" operator="equal">
      <formula>"INVALID"</formula>
    </cfRule>
  </conditionalFormatting>
  <conditionalFormatting sqref="AG137:AG142">
    <cfRule type="cellIs" dxfId="1276" priority="1349" operator="equal">
      <formula>"INVALID"</formula>
    </cfRule>
  </conditionalFormatting>
  <conditionalFormatting sqref="AG137:AG142">
    <cfRule type="cellIs" dxfId="1275" priority="1348" operator="equal">
      <formula>"INVALID"</formula>
    </cfRule>
  </conditionalFormatting>
  <conditionalFormatting sqref="AG137:AG142">
    <cfRule type="cellIs" dxfId="1274" priority="1347" operator="equal">
      <formula>"INVALID"</formula>
    </cfRule>
  </conditionalFormatting>
  <conditionalFormatting sqref="AG152:AG162">
    <cfRule type="cellIs" dxfId="1273" priority="1345" operator="equal">
      <formula>"INVALID"</formula>
    </cfRule>
  </conditionalFormatting>
  <conditionalFormatting sqref="AG152:AG162">
    <cfRule type="cellIs" dxfId="1272" priority="1346" operator="equal">
      <formula>"INVALID"</formula>
    </cfRule>
  </conditionalFormatting>
  <conditionalFormatting sqref="AG152:AG162">
    <cfRule type="cellIs" dxfId="1271" priority="1344" operator="equal">
      <formula>"INVALID"</formula>
    </cfRule>
  </conditionalFormatting>
  <conditionalFormatting sqref="AG152:AG162">
    <cfRule type="cellIs" dxfId="1270" priority="1343" operator="equal">
      <formula>"INVALID"</formula>
    </cfRule>
  </conditionalFormatting>
  <conditionalFormatting sqref="AG152:AG162">
    <cfRule type="cellIs" dxfId="1269" priority="1340" operator="equal">
      <formula>"INVALID"</formula>
    </cfRule>
  </conditionalFormatting>
  <conditionalFormatting sqref="AG152:AG162">
    <cfRule type="cellIs" dxfId="1268" priority="1342" operator="equal">
      <formula>"INVALID"</formula>
    </cfRule>
  </conditionalFormatting>
  <conditionalFormatting sqref="AG152:AG162">
    <cfRule type="cellIs" dxfId="1267" priority="1341" operator="equal">
      <formula>"INVALID"</formula>
    </cfRule>
  </conditionalFormatting>
  <conditionalFormatting sqref="AG152:AG162">
    <cfRule type="cellIs" dxfId="1266" priority="1339" operator="equal">
      <formula>"INVALID"</formula>
    </cfRule>
  </conditionalFormatting>
  <conditionalFormatting sqref="AG152:AG162">
    <cfRule type="cellIs" dxfId="1265" priority="1338" operator="equal">
      <formula>"INVALID"</formula>
    </cfRule>
  </conditionalFormatting>
  <conditionalFormatting sqref="AG152:AG162">
    <cfRule type="cellIs" dxfId="1264" priority="1337" operator="equal">
      <formula>"INVALID"</formula>
    </cfRule>
  </conditionalFormatting>
  <conditionalFormatting sqref="AG152:AG162">
    <cfRule type="cellIs" dxfId="1263" priority="1336" operator="equal">
      <formula>"INVALID"</formula>
    </cfRule>
  </conditionalFormatting>
  <conditionalFormatting sqref="AG152:AG162">
    <cfRule type="cellIs" dxfId="1262" priority="1335" operator="equal">
      <formula>"INVALID"</formula>
    </cfRule>
  </conditionalFormatting>
  <conditionalFormatting sqref="AG177:AG196">
    <cfRule type="cellIs" dxfId="1261" priority="1334" operator="equal">
      <formula>"INVALID"</formula>
    </cfRule>
  </conditionalFormatting>
  <conditionalFormatting sqref="AG177:AG196">
    <cfRule type="cellIs" dxfId="1260" priority="1333" operator="equal">
      <formula>"INVALID"</formula>
    </cfRule>
  </conditionalFormatting>
  <conditionalFormatting sqref="AG177:AG196">
    <cfRule type="cellIs" dxfId="1259" priority="1331" operator="equal">
      <formula>"INVALID"</formula>
    </cfRule>
  </conditionalFormatting>
  <conditionalFormatting sqref="AG177:AG196">
    <cfRule type="cellIs" dxfId="1258" priority="1332" operator="equal">
      <formula>"INVALID"</formula>
    </cfRule>
  </conditionalFormatting>
  <conditionalFormatting sqref="AG177:AG196">
    <cfRule type="cellIs" dxfId="1257" priority="1330" operator="equal">
      <formula>"INVALID"</formula>
    </cfRule>
  </conditionalFormatting>
  <conditionalFormatting sqref="AG177:AG196">
    <cfRule type="cellIs" dxfId="1256" priority="1329" operator="equal">
      <formula>"INVALID"</formula>
    </cfRule>
  </conditionalFormatting>
  <conditionalFormatting sqref="AG177:AG196">
    <cfRule type="cellIs" dxfId="1255" priority="1326" operator="equal">
      <formula>"INVALID"</formula>
    </cfRule>
  </conditionalFormatting>
  <conditionalFormatting sqref="AG177:AG196">
    <cfRule type="cellIs" dxfId="1254" priority="1328" operator="equal">
      <formula>"INVALID"</formula>
    </cfRule>
  </conditionalFormatting>
  <conditionalFormatting sqref="AG177:AG196">
    <cfRule type="cellIs" dxfId="1253" priority="1327" operator="equal">
      <formula>"INVALID"</formula>
    </cfRule>
  </conditionalFormatting>
  <conditionalFormatting sqref="AG177:AG196">
    <cfRule type="cellIs" dxfId="1252" priority="1325" operator="equal">
      <formula>"INVALID"</formula>
    </cfRule>
  </conditionalFormatting>
  <conditionalFormatting sqref="AG177:AG196">
    <cfRule type="cellIs" dxfId="1251" priority="1324" operator="equal">
      <formula>"INVALID"</formula>
    </cfRule>
  </conditionalFormatting>
  <conditionalFormatting sqref="AG177:AG196">
    <cfRule type="cellIs" dxfId="1250" priority="1323" operator="equal">
      <formula>"INVALID"</formula>
    </cfRule>
  </conditionalFormatting>
  <conditionalFormatting sqref="AG177:AG196">
    <cfRule type="cellIs" dxfId="1249" priority="1322" operator="equal">
      <formula>"INVALID"</formula>
    </cfRule>
  </conditionalFormatting>
  <conditionalFormatting sqref="AG177:AG196">
    <cfRule type="cellIs" dxfId="1248" priority="1321" operator="equal">
      <formula>"INVALID"</formula>
    </cfRule>
  </conditionalFormatting>
  <conditionalFormatting sqref="AG201:AG202 AG209:AG210 AG212:AG213 AG215:AG226 AG228:AG229 AG205:AG206">
    <cfRule type="cellIs" dxfId="1247" priority="1320" operator="equal">
      <formula>"INVALID"</formula>
    </cfRule>
  </conditionalFormatting>
  <conditionalFormatting sqref="AG201:AG202 AG209:AG210 AG212:AG213 AG215:AG226 AG228:AG229 AG205:AG206">
    <cfRule type="cellIs" dxfId="1246" priority="1319" operator="equal">
      <formula>"INVALID"</formula>
    </cfRule>
  </conditionalFormatting>
  <conditionalFormatting sqref="AG201:AG202 AG209:AG210 AG212:AG213 AG215:AG226 AG228:AG229 AG205:AG206">
    <cfRule type="cellIs" dxfId="1245" priority="1318" operator="equal">
      <formula>"INVALID"</formula>
    </cfRule>
  </conditionalFormatting>
  <conditionalFormatting sqref="AG201:AG202 AG209:AG210 AG212:AG213 AG215:AG226 AG228:AG229 AG205:AG206">
    <cfRule type="cellIs" dxfId="1244" priority="1316" operator="equal">
      <formula>"INVALID"</formula>
    </cfRule>
  </conditionalFormatting>
  <conditionalFormatting sqref="AG201:AG202 AG209:AG210 AG212:AG213 AG215:AG226 AG228:AG229 AG205:AG206">
    <cfRule type="cellIs" dxfId="1243" priority="1317" operator="equal">
      <formula>"INVALID"</formula>
    </cfRule>
  </conditionalFormatting>
  <conditionalFormatting sqref="AG201:AG202 AG209:AG210 AG212:AG213 AG215:AG226 AG228:AG229 AG205:AG206">
    <cfRule type="cellIs" dxfId="1242" priority="1315" operator="equal">
      <formula>"INVALID"</formula>
    </cfRule>
  </conditionalFormatting>
  <conditionalFormatting sqref="AG201:AG202 AG209:AG210 AG212:AG213 AG215:AG226 AG228:AG229 AG205:AG206">
    <cfRule type="cellIs" dxfId="1241" priority="1314" operator="equal">
      <formula>"INVALID"</formula>
    </cfRule>
  </conditionalFormatting>
  <conditionalFormatting sqref="AG201:AG202 AG209:AG210 AG212:AG213 AG215:AG226 AG228:AG229 AG205:AG206">
    <cfRule type="cellIs" dxfId="1240" priority="1311" operator="equal">
      <formula>"INVALID"</formula>
    </cfRule>
  </conditionalFormatting>
  <conditionalFormatting sqref="AG201:AG202 AG209:AG210 AG212:AG213 AG215:AG226 AG228:AG229 AG205:AG206">
    <cfRule type="cellIs" dxfId="1239" priority="1313" operator="equal">
      <formula>"INVALID"</formula>
    </cfRule>
  </conditionalFormatting>
  <conditionalFormatting sqref="AG201:AG202 AG209:AG210 AG212:AG213 AG215:AG226 AG228:AG229 AG205:AG206">
    <cfRule type="cellIs" dxfId="1238" priority="1312" operator="equal">
      <formula>"INVALID"</formula>
    </cfRule>
  </conditionalFormatting>
  <conditionalFormatting sqref="AG201:AG202 AG209:AG210 AG212:AG213 AG215:AG226 AG228:AG229 AG205:AG206">
    <cfRule type="cellIs" dxfId="1237" priority="1310" operator="equal">
      <formula>"INVALID"</formula>
    </cfRule>
  </conditionalFormatting>
  <conditionalFormatting sqref="AG201:AG202 AG209:AG210 AG212:AG213 AG215:AG226 AG228:AG229 AG205:AG206">
    <cfRule type="cellIs" dxfId="1236" priority="1309" operator="equal">
      <formula>"INVALID"</formula>
    </cfRule>
  </conditionalFormatting>
  <conditionalFormatting sqref="AG201:AG202 AG209:AG210 AG212:AG213 AG215:AG226 AG228:AG229 AG205:AG206">
    <cfRule type="cellIs" dxfId="1235" priority="1308" operator="equal">
      <formula>"INVALID"</formula>
    </cfRule>
  </conditionalFormatting>
  <conditionalFormatting sqref="AG201:AG202 AG209:AG210 AG212:AG213 AG215:AG226 AG228:AG229 AG205:AG206">
    <cfRule type="cellIs" dxfId="1234" priority="1307" operator="equal">
      <formula>"INVALID"</formula>
    </cfRule>
  </conditionalFormatting>
  <conditionalFormatting sqref="AG201:AG202 AG209:AG210 AG212:AG213 AG215:AG226 AG228:AG229 AG205:AG206">
    <cfRule type="cellIs" dxfId="1233" priority="1306" operator="equal">
      <formula>"INVALID"</formula>
    </cfRule>
  </conditionalFormatting>
  <conditionalFormatting sqref="AG231:AG240">
    <cfRule type="cellIs" dxfId="1232" priority="1305" operator="equal">
      <formula>"INVALID"</formula>
    </cfRule>
  </conditionalFormatting>
  <conditionalFormatting sqref="AG231:AG240">
    <cfRule type="cellIs" dxfId="1231" priority="1304" operator="equal">
      <formula>"INVALID"</formula>
    </cfRule>
  </conditionalFormatting>
  <conditionalFormatting sqref="AG231:AG240">
    <cfRule type="cellIs" dxfId="1230" priority="1303" operator="equal">
      <formula>"INVALID"</formula>
    </cfRule>
  </conditionalFormatting>
  <conditionalFormatting sqref="AG231:AG240">
    <cfRule type="cellIs" dxfId="1229" priority="1302" operator="equal">
      <formula>"INVALID"</formula>
    </cfRule>
  </conditionalFormatting>
  <conditionalFormatting sqref="AG231:AG240">
    <cfRule type="cellIs" dxfId="1228" priority="1301" operator="equal">
      <formula>"INVALID"</formula>
    </cfRule>
  </conditionalFormatting>
  <conditionalFormatting sqref="AG231:AG240">
    <cfRule type="cellIs" dxfId="1227" priority="1300" operator="equal">
      <formula>"INVALID"</formula>
    </cfRule>
  </conditionalFormatting>
  <conditionalFormatting sqref="AG231:AG240">
    <cfRule type="cellIs" dxfId="1226" priority="1298" operator="equal">
      <formula>"INVALID"</formula>
    </cfRule>
  </conditionalFormatting>
  <conditionalFormatting sqref="AG231:AG240">
    <cfRule type="cellIs" dxfId="1225" priority="1299" operator="equal">
      <formula>"INVALID"</formula>
    </cfRule>
  </conditionalFormatting>
  <conditionalFormatting sqref="AG231:AG240">
    <cfRule type="cellIs" dxfId="1224" priority="1297" operator="equal">
      <formula>"INVALID"</formula>
    </cfRule>
  </conditionalFormatting>
  <conditionalFormatting sqref="AG231:AG240">
    <cfRule type="cellIs" dxfId="1223" priority="1296" operator="equal">
      <formula>"INVALID"</formula>
    </cfRule>
  </conditionalFormatting>
  <conditionalFormatting sqref="AG231:AG240">
    <cfRule type="cellIs" dxfId="1222" priority="1293" operator="equal">
      <formula>"INVALID"</formula>
    </cfRule>
  </conditionalFormatting>
  <conditionalFormatting sqref="AG231:AG240">
    <cfRule type="cellIs" dxfId="1221" priority="1295" operator="equal">
      <formula>"INVALID"</formula>
    </cfRule>
  </conditionalFormatting>
  <conditionalFormatting sqref="AG231:AG240">
    <cfRule type="cellIs" dxfId="1220" priority="1294" operator="equal">
      <formula>"INVALID"</formula>
    </cfRule>
  </conditionalFormatting>
  <conditionalFormatting sqref="AG231:AG240">
    <cfRule type="cellIs" dxfId="1219" priority="1292" operator="equal">
      <formula>"INVALID"</formula>
    </cfRule>
  </conditionalFormatting>
  <conditionalFormatting sqref="AG231:AG240">
    <cfRule type="cellIs" dxfId="1218" priority="1291" operator="equal">
      <formula>"INVALID"</formula>
    </cfRule>
  </conditionalFormatting>
  <conditionalFormatting sqref="AG231:AG240">
    <cfRule type="cellIs" dxfId="1217" priority="1290" operator="equal">
      <formula>"INVALID"</formula>
    </cfRule>
  </conditionalFormatting>
  <conditionalFormatting sqref="AG231:AG240">
    <cfRule type="cellIs" dxfId="1216" priority="1289" operator="equal">
      <formula>"INVALID"</formula>
    </cfRule>
  </conditionalFormatting>
  <conditionalFormatting sqref="AG231:AG240">
    <cfRule type="cellIs" dxfId="1215" priority="1288" operator="equal">
      <formula>"INVALID"</formula>
    </cfRule>
  </conditionalFormatting>
  <conditionalFormatting sqref="AG242:AG243">
    <cfRule type="cellIs" dxfId="1214" priority="1287" operator="equal">
      <formula>"INVALID"</formula>
    </cfRule>
  </conditionalFormatting>
  <conditionalFormatting sqref="AG242:AG243">
    <cfRule type="cellIs" dxfId="1213" priority="1286" operator="equal">
      <formula>"INVALID"</formula>
    </cfRule>
  </conditionalFormatting>
  <conditionalFormatting sqref="AG242:AG243">
    <cfRule type="cellIs" dxfId="1212" priority="1285" operator="equal">
      <formula>"INVALID"</formula>
    </cfRule>
  </conditionalFormatting>
  <conditionalFormatting sqref="AG242:AG243">
    <cfRule type="cellIs" dxfId="1211" priority="1284" operator="equal">
      <formula>"INVALID"</formula>
    </cfRule>
  </conditionalFormatting>
  <conditionalFormatting sqref="AG242:AG243">
    <cfRule type="cellIs" dxfId="1210" priority="1283" operator="equal">
      <formula>"INVALID"</formula>
    </cfRule>
  </conditionalFormatting>
  <conditionalFormatting sqref="AG242:AG243">
    <cfRule type="cellIs" dxfId="1209" priority="1282" operator="equal">
      <formula>"INVALID"</formula>
    </cfRule>
  </conditionalFormatting>
  <conditionalFormatting sqref="AG242:AG243">
    <cfRule type="cellIs" dxfId="1208" priority="1281" operator="equal">
      <formula>"INVALID"</formula>
    </cfRule>
  </conditionalFormatting>
  <conditionalFormatting sqref="AG242:AG243">
    <cfRule type="cellIs" dxfId="1207" priority="1280" operator="equal">
      <formula>"INVALID"</formula>
    </cfRule>
  </conditionalFormatting>
  <conditionalFormatting sqref="AG242:AG243">
    <cfRule type="cellIs" dxfId="1206" priority="1279" operator="equal">
      <formula>"INVALID"</formula>
    </cfRule>
  </conditionalFormatting>
  <conditionalFormatting sqref="AG242:AG243">
    <cfRule type="cellIs" dxfId="1205" priority="1278" operator="equal">
      <formula>"INVALID"</formula>
    </cfRule>
  </conditionalFormatting>
  <conditionalFormatting sqref="AG242:AG243">
    <cfRule type="cellIs" dxfId="1204" priority="1277" operator="equal">
      <formula>"INVALID"</formula>
    </cfRule>
  </conditionalFormatting>
  <conditionalFormatting sqref="AG242:AG243">
    <cfRule type="cellIs" dxfId="1203" priority="1276" operator="equal">
      <formula>"INVALID"</formula>
    </cfRule>
  </conditionalFormatting>
  <conditionalFormatting sqref="AG242:AG243">
    <cfRule type="cellIs" dxfId="1202" priority="1274" operator="equal">
      <formula>"INVALID"</formula>
    </cfRule>
  </conditionalFormatting>
  <conditionalFormatting sqref="AG242:AG243">
    <cfRule type="cellIs" dxfId="1201" priority="1275" operator="equal">
      <formula>"INVALID"</formula>
    </cfRule>
  </conditionalFormatting>
  <conditionalFormatting sqref="AG242:AG243">
    <cfRule type="cellIs" dxfId="1200" priority="1273" operator="equal">
      <formula>"INVALID"</formula>
    </cfRule>
  </conditionalFormatting>
  <conditionalFormatting sqref="AG242:AG243">
    <cfRule type="cellIs" dxfId="1199" priority="1272" operator="equal">
      <formula>"INVALID"</formula>
    </cfRule>
  </conditionalFormatting>
  <conditionalFormatting sqref="AG242:AG243">
    <cfRule type="cellIs" dxfId="1198" priority="1269" operator="equal">
      <formula>"INVALID"</formula>
    </cfRule>
  </conditionalFormatting>
  <conditionalFormatting sqref="AG242:AG243">
    <cfRule type="cellIs" dxfId="1197" priority="1271" operator="equal">
      <formula>"INVALID"</formula>
    </cfRule>
  </conditionalFormatting>
  <conditionalFormatting sqref="AG242:AG243">
    <cfRule type="cellIs" dxfId="1196" priority="1270" operator="equal">
      <formula>"INVALID"</formula>
    </cfRule>
  </conditionalFormatting>
  <conditionalFormatting sqref="AG242:AG243">
    <cfRule type="cellIs" dxfId="1195" priority="1268" operator="equal">
      <formula>"INVALID"</formula>
    </cfRule>
  </conditionalFormatting>
  <conditionalFormatting sqref="AG242:AG243">
    <cfRule type="cellIs" dxfId="1194" priority="1267" operator="equal">
      <formula>"INVALID"</formula>
    </cfRule>
  </conditionalFormatting>
  <conditionalFormatting sqref="AG242:AG243">
    <cfRule type="cellIs" dxfId="1193" priority="1266" operator="equal">
      <formula>"INVALID"</formula>
    </cfRule>
  </conditionalFormatting>
  <conditionalFormatting sqref="AG242:AG243">
    <cfRule type="cellIs" dxfId="1192" priority="1265" operator="equal">
      <formula>"INVALID"</formula>
    </cfRule>
  </conditionalFormatting>
  <conditionalFormatting sqref="AG242:AG243">
    <cfRule type="cellIs" dxfId="1191" priority="1264" operator="equal">
      <formula>"INVALID"</formula>
    </cfRule>
  </conditionalFormatting>
  <conditionalFormatting sqref="AG245:AG250">
    <cfRule type="cellIs" dxfId="1190" priority="1263" operator="equal">
      <formula>"INVALID"</formula>
    </cfRule>
  </conditionalFormatting>
  <conditionalFormatting sqref="AG245:AG250">
    <cfRule type="cellIs" dxfId="1189" priority="1262" operator="equal">
      <formula>"INVALID"</formula>
    </cfRule>
  </conditionalFormatting>
  <conditionalFormatting sqref="AG245:AG250">
    <cfRule type="cellIs" dxfId="1188" priority="1261" operator="equal">
      <formula>"INVALID"</formula>
    </cfRule>
  </conditionalFormatting>
  <conditionalFormatting sqref="AG245:AG250">
    <cfRule type="cellIs" dxfId="1187" priority="1260" operator="equal">
      <formula>"INVALID"</formula>
    </cfRule>
  </conditionalFormatting>
  <conditionalFormatting sqref="AG245:AG250">
    <cfRule type="cellIs" dxfId="1186" priority="1259" operator="equal">
      <formula>"INVALID"</formula>
    </cfRule>
  </conditionalFormatting>
  <conditionalFormatting sqref="AG245:AG250">
    <cfRule type="cellIs" dxfId="1185" priority="1258" operator="equal">
      <formula>"INVALID"</formula>
    </cfRule>
  </conditionalFormatting>
  <conditionalFormatting sqref="AG245:AG250">
    <cfRule type="cellIs" dxfId="1184" priority="1257" operator="equal">
      <formula>"INVALID"</formula>
    </cfRule>
  </conditionalFormatting>
  <conditionalFormatting sqref="AG245:AG250">
    <cfRule type="cellIs" dxfId="1183" priority="1256" operator="equal">
      <formula>"INVALID"</formula>
    </cfRule>
  </conditionalFormatting>
  <conditionalFormatting sqref="AG245:AG250">
    <cfRule type="cellIs" dxfId="1182" priority="1255" operator="equal">
      <formula>"INVALID"</formula>
    </cfRule>
  </conditionalFormatting>
  <conditionalFormatting sqref="AG245:AG250">
    <cfRule type="cellIs" dxfId="1181" priority="1254" operator="equal">
      <formula>"INVALID"</formula>
    </cfRule>
  </conditionalFormatting>
  <conditionalFormatting sqref="AG245:AG250">
    <cfRule type="cellIs" dxfId="1180" priority="1253" operator="equal">
      <formula>"INVALID"</formula>
    </cfRule>
  </conditionalFormatting>
  <conditionalFormatting sqref="AG245:AG250">
    <cfRule type="cellIs" dxfId="1179" priority="1252" operator="equal">
      <formula>"INVALID"</formula>
    </cfRule>
  </conditionalFormatting>
  <conditionalFormatting sqref="AG245:AG250">
    <cfRule type="cellIs" dxfId="1178" priority="1251" operator="equal">
      <formula>"INVALID"</formula>
    </cfRule>
  </conditionalFormatting>
  <conditionalFormatting sqref="AG245:AG250">
    <cfRule type="cellIs" dxfId="1177" priority="1250" operator="equal">
      <formula>"INVALID"</formula>
    </cfRule>
  </conditionalFormatting>
  <conditionalFormatting sqref="AG245:AG250">
    <cfRule type="cellIs" dxfId="1176" priority="1249" operator="equal">
      <formula>"INVALID"</formula>
    </cfRule>
  </conditionalFormatting>
  <conditionalFormatting sqref="AG245:AG250">
    <cfRule type="cellIs" dxfId="1175" priority="1248" operator="equal">
      <formula>"INVALID"</formula>
    </cfRule>
  </conditionalFormatting>
  <conditionalFormatting sqref="AG245:AG250">
    <cfRule type="cellIs" dxfId="1174" priority="1247" operator="equal">
      <formula>"INVALID"</formula>
    </cfRule>
  </conditionalFormatting>
  <conditionalFormatting sqref="AG245:AG250">
    <cfRule type="cellIs" dxfId="1173" priority="1246" operator="equal">
      <formula>"INVALID"</formula>
    </cfRule>
  </conditionalFormatting>
  <conditionalFormatting sqref="AG245:AG250">
    <cfRule type="cellIs" dxfId="1172" priority="1245" operator="equal">
      <formula>"INVALID"</formula>
    </cfRule>
  </conditionalFormatting>
  <conditionalFormatting sqref="AG245:AG250">
    <cfRule type="cellIs" dxfId="1171" priority="1244" operator="equal">
      <formula>"INVALID"</formula>
    </cfRule>
  </conditionalFormatting>
  <conditionalFormatting sqref="AG245:AG250">
    <cfRule type="cellIs" dxfId="1170" priority="1243" operator="equal">
      <formula>"INVALID"</formula>
    </cfRule>
  </conditionalFormatting>
  <conditionalFormatting sqref="AG245:AG250">
    <cfRule type="cellIs" dxfId="1169" priority="1242" operator="equal">
      <formula>"INVALID"</formula>
    </cfRule>
  </conditionalFormatting>
  <conditionalFormatting sqref="AG245:AG250">
    <cfRule type="cellIs" dxfId="1168" priority="1241" operator="equal">
      <formula>"INVALID"</formula>
    </cfRule>
  </conditionalFormatting>
  <conditionalFormatting sqref="AG245:AG250">
    <cfRule type="cellIs" dxfId="1167" priority="1240" operator="equal">
      <formula>"INVALID"</formula>
    </cfRule>
  </conditionalFormatting>
  <conditionalFormatting sqref="AG245:AG250">
    <cfRule type="cellIs" dxfId="1166" priority="1239" operator="equal">
      <formula>"INVALID"</formula>
    </cfRule>
  </conditionalFormatting>
  <conditionalFormatting sqref="AG245:AG250">
    <cfRule type="cellIs" dxfId="1165" priority="1238" operator="equal">
      <formula>"INVALID"</formula>
    </cfRule>
  </conditionalFormatting>
  <conditionalFormatting sqref="AG245:AG250">
    <cfRule type="cellIs" dxfId="1164" priority="1237" operator="equal">
      <formula>"INVALID"</formula>
    </cfRule>
  </conditionalFormatting>
  <conditionalFormatting sqref="AG245:AG250">
    <cfRule type="cellIs" dxfId="1163" priority="1236" operator="equal">
      <formula>"INVALID"</formula>
    </cfRule>
  </conditionalFormatting>
  <conditionalFormatting sqref="AG245:AG250">
    <cfRule type="cellIs" dxfId="1162" priority="1234" operator="equal">
      <formula>"INVALID"</formula>
    </cfRule>
  </conditionalFormatting>
  <conditionalFormatting sqref="AG245:AG250">
    <cfRule type="cellIs" dxfId="1161" priority="1235" operator="equal">
      <formula>"INVALID"</formula>
    </cfRule>
  </conditionalFormatting>
  <conditionalFormatting sqref="AG245:AG250">
    <cfRule type="cellIs" dxfId="1160" priority="1233" operator="equal">
      <formula>"INVALID"</formula>
    </cfRule>
  </conditionalFormatting>
  <conditionalFormatting sqref="AG245:AG250">
    <cfRule type="cellIs" dxfId="1159" priority="1232" operator="equal">
      <formula>"INVALID"</formula>
    </cfRule>
  </conditionalFormatting>
  <conditionalFormatting sqref="AG245:AG250">
    <cfRule type="cellIs" dxfId="1158" priority="1229" operator="equal">
      <formula>"INVALID"</formula>
    </cfRule>
  </conditionalFormatting>
  <conditionalFormatting sqref="AG245:AG250">
    <cfRule type="cellIs" dxfId="1157" priority="1231" operator="equal">
      <formula>"INVALID"</formula>
    </cfRule>
  </conditionalFormatting>
  <conditionalFormatting sqref="AG245:AG250">
    <cfRule type="cellIs" dxfId="1156" priority="1230" operator="equal">
      <formula>"INVALID"</formula>
    </cfRule>
  </conditionalFormatting>
  <conditionalFormatting sqref="AG245:AG250">
    <cfRule type="cellIs" dxfId="1155" priority="1228" operator="equal">
      <formula>"INVALID"</formula>
    </cfRule>
  </conditionalFormatting>
  <conditionalFormatting sqref="AG245:AG250">
    <cfRule type="cellIs" dxfId="1154" priority="1227" operator="equal">
      <formula>"INVALID"</formula>
    </cfRule>
  </conditionalFormatting>
  <conditionalFormatting sqref="AG245:AG250">
    <cfRule type="cellIs" dxfId="1153" priority="1226" operator="equal">
      <formula>"INVALID"</formula>
    </cfRule>
  </conditionalFormatting>
  <conditionalFormatting sqref="AG245:AG250">
    <cfRule type="cellIs" dxfId="1152" priority="1225" operator="equal">
      <formula>"INVALID"</formula>
    </cfRule>
  </conditionalFormatting>
  <conditionalFormatting sqref="AG245:AG250">
    <cfRule type="cellIs" dxfId="1151" priority="1224" operator="equal">
      <formula>"INVALID"</formula>
    </cfRule>
  </conditionalFormatting>
  <conditionalFormatting sqref="AD152:AD162">
    <cfRule type="cellIs" dxfId="1150" priority="1223" operator="equal">
      <formula>"INVALID"</formula>
    </cfRule>
  </conditionalFormatting>
  <conditionalFormatting sqref="AX215:AX217">
    <cfRule type="expression" dxfId="1149" priority="1222">
      <formula>NOT($AO215)</formula>
    </cfRule>
  </conditionalFormatting>
  <conditionalFormatting sqref="AX224:AX226">
    <cfRule type="expression" dxfId="1148" priority="1221">
      <formula>NOT($AO224)</formula>
    </cfRule>
  </conditionalFormatting>
  <conditionalFormatting sqref="AS24:AS25">
    <cfRule type="expression" dxfId="1147" priority="1220">
      <formula>NOT($AN24)</formula>
    </cfRule>
  </conditionalFormatting>
  <conditionalFormatting sqref="AE24:AF25 AI24:AI25">
    <cfRule type="cellIs" dxfId="1146" priority="1219" operator="equal">
      <formula>"INVALID"</formula>
    </cfRule>
  </conditionalFormatting>
  <conditionalFormatting sqref="AR24:AR25">
    <cfRule type="cellIs" dxfId="1145" priority="1217" operator="equal">
      <formula>"Not Assigned"</formula>
    </cfRule>
  </conditionalFormatting>
  <conditionalFormatting sqref="AS24:AS25">
    <cfRule type="expression" dxfId="1144" priority="1216">
      <formula>EXACT(AF24, "INVALID")</formula>
    </cfRule>
  </conditionalFormatting>
  <conditionalFormatting sqref="AZ24:AZ25">
    <cfRule type="expression" dxfId="1143" priority="1215">
      <formula>AND(NOT(ISBLANK(AZ24)), EXACT(AF24, "INVALID"))</formula>
    </cfRule>
  </conditionalFormatting>
  <conditionalFormatting sqref="BA24:BA25">
    <cfRule type="expression" dxfId="1142" priority="1214">
      <formula>AND(NOT(ISBLANK(BA24)), EXACT(AF24, "INVALID"))</formula>
    </cfRule>
  </conditionalFormatting>
  <conditionalFormatting sqref="AR24:AR25">
    <cfRule type="expression" dxfId="1141" priority="1213">
      <formula>NOT($AL24)</formula>
    </cfRule>
  </conditionalFormatting>
  <conditionalFormatting sqref="AQ24:AQ25">
    <cfRule type="expression" dxfId="1140" priority="1218" stopIfTrue="1">
      <formula>REPLACE($AQ24,8,LEN($AQ24),"")="unused_"</formula>
    </cfRule>
  </conditionalFormatting>
  <conditionalFormatting sqref="AJ24:AJ25">
    <cfRule type="cellIs" dxfId="1139" priority="1211" operator="equal">
      <formula>FALSE</formula>
    </cfRule>
  </conditionalFormatting>
  <conditionalFormatting sqref="AK24:AK25">
    <cfRule type="cellIs" dxfId="1138" priority="1210" operator="equal">
      <formula>FALSE</formula>
    </cfRule>
  </conditionalFormatting>
  <conditionalFormatting sqref="AL24:AL25">
    <cfRule type="cellIs" dxfId="1137" priority="1209" operator="equal">
      <formula>FALSE</formula>
    </cfRule>
  </conditionalFormatting>
  <conditionalFormatting sqref="AM24:AM25">
    <cfRule type="cellIs" dxfId="1136" priority="1208" operator="equal">
      <formula>FALSE</formula>
    </cfRule>
  </conditionalFormatting>
  <conditionalFormatting sqref="AN24:AN25">
    <cfRule type="cellIs" dxfId="1135" priority="1207" operator="equal">
      <formula>FALSE</formula>
    </cfRule>
  </conditionalFormatting>
  <conditionalFormatting sqref="AP24:AP25">
    <cfRule type="cellIs" dxfId="1134" priority="1206" operator="equal">
      <formula>"INVALID"</formula>
    </cfRule>
  </conditionalFormatting>
  <conditionalFormatting sqref="AJ24:AJ25">
    <cfRule type="cellIs" dxfId="1133" priority="1205" operator="equal">
      <formula>"INVALID"</formula>
    </cfRule>
  </conditionalFormatting>
  <conditionalFormatting sqref="AK24:AK25">
    <cfRule type="cellIs" dxfId="1132" priority="1204" operator="equal">
      <formula>"INVALID"</formula>
    </cfRule>
  </conditionalFormatting>
  <conditionalFormatting sqref="AL24:AM25">
    <cfRule type="cellIs" dxfId="1131" priority="1203" operator="equal">
      <formula>"INVALID"</formula>
    </cfRule>
  </conditionalFormatting>
  <conditionalFormatting sqref="AK24:AK25">
    <cfRule type="cellIs" dxfId="1130" priority="1202" operator="equal">
      <formula>"INVALID"</formula>
    </cfRule>
  </conditionalFormatting>
  <conditionalFormatting sqref="AL24:AL25">
    <cfRule type="cellIs" dxfId="1129" priority="1201" operator="equal">
      <formula>"INVALID"</formula>
    </cfRule>
  </conditionalFormatting>
  <conditionalFormatting sqref="AM24:AM25">
    <cfRule type="cellIs" dxfId="1128" priority="1200" operator="equal">
      <formula>"INVALID"</formula>
    </cfRule>
  </conditionalFormatting>
  <conditionalFormatting sqref="AN24:AN25">
    <cfRule type="cellIs" dxfId="1127" priority="1199" operator="equal">
      <formula>"INVALID"</formula>
    </cfRule>
  </conditionalFormatting>
  <conditionalFormatting sqref="AQ24:AQ25">
    <cfRule type="expression" dxfId="1126" priority="1198">
      <formula>NOT($AJ24)</formula>
    </cfRule>
    <cfRule type="expression" dxfId="1125" priority="1212">
      <formula>RIGHT($AQ24, 1)="*"</formula>
    </cfRule>
  </conditionalFormatting>
  <conditionalFormatting sqref="AZ24:BA25">
    <cfRule type="expression" dxfId="1124" priority="1197">
      <formula>NOT($AN24)</formula>
    </cfRule>
  </conditionalFormatting>
  <conditionalFormatting sqref="AS24:AS25">
    <cfRule type="expression" dxfId="1123" priority="1196">
      <formula>NOT($AK24)</formula>
    </cfRule>
  </conditionalFormatting>
  <conditionalFormatting sqref="AO24:AO25">
    <cfRule type="cellIs" dxfId="1122" priority="1195" operator="equal">
      <formula>FALSE</formula>
    </cfRule>
  </conditionalFormatting>
  <conditionalFormatting sqref="AO24:AO25">
    <cfRule type="cellIs" dxfId="1121" priority="1194" operator="equal">
      <formula>"INVALID"</formula>
    </cfRule>
  </conditionalFormatting>
  <conditionalFormatting sqref="AO24:AO25">
    <cfRule type="cellIs" dxfId="1120" priority="1193" operator="equal">
      <formula>"INVALID"</formula>
    </cfRule>
  </conditionalFormatting>
  <conditionalFormatting sqref="AD26:AF26 AI26">
    <cfRule type="cellIs" dxfId="1119" priority="1192" operator="equal">
      <formula>"INVALID"</formula>
    </cfRule>
  </conditionalFormatting>
  <conditionalFormatting sqref="AR26">
    <cfRule type="cellIs" dxfId="1118" priority="1190" operator="equal">
      <formula>"Not Assigned"</formula>
    </cfRule>
  </conditionalFormatting>
  <conditionalFormatting sqref="AS26">
    <cfRule type="expression" dxfId="1117" priority="1189">
      <formula>EXACT(AF26, "INVALID")</formula>
    </cfRule>
  </conditionalFormatting>
  <conditionalFormatting sqref="AZ26">
    <cfRule type="expression" dxfId="1116" priority="1188">
      <formula>AND(NOT(ISBLANK(AZ26)), EXACT(AF26, "INVALID"))</formula>
    </cfRule>
  </conditionalFormatting>
  <conditionalFormatting sqref="BA26">
    <cfRule type="expression" dxfId="1115" priority="1187">
      <formula>AND(NOT(ISBLANK(BA26)), EXACT(AF26, "INVALID"))</formula>
    </cfRule>
  </conditionalFormatting>
  <conditionalFormatting sqref="AR26">
    <cfRule type="expression" dxfId="1114" priority="1186">
      <formula>NOT($AL26)</formula>
    </cfRule>
  </conditionalFormatting>
  <conditionalFormatting sqref="AQ26">
    <cfRule type="expression" dxfId="1113" priority="1191" stopIfTrue="1">
      <formula>REPLACE($AQ26,8,LEN($AQ26),"")="unused_"</formula>
    </cfRule>
  </conditionalFormatting>
  <conditionalFormatting sqref="AJ26">
    <cfRule type="cellIs" dxfId="1112" priority="1184" operator="equal">
      <formula>FALSE</formula>
    </cfRule>
  </conditionalFormatting>
  <conditionalFormatting sqref="AK26">
    <cfRule type="cellIs" dxfId="1111" priority="1183" operator="equal">
      <formula>FALSE</formula>
    </cfRule>
  </conditionalFormatting>
  <conditionalFormatting sqref="AL26">
    <cfRule type="cellIs" dxfId="1110" priority="1182" operator="equal">
      <formula>FALSE</formula>
    </cfRule>
  </conditionalFormatting>
  <conditionalFormatting sqref="AM26">
    <cfRule type="cellIs" dxfId="1109" priority="1181" operator="equal">
      <formula>FALSE</formula>
    </cfRule>
  </conditionalFormatting>
  <conditionalFormatting sqref="AN26">
    <cfRule type="cellIs" dxfId="1108" priority="1180" operator="equal">
      <formula>FALSE</formula>
    </cfRule>
  </conditionalFormatting>
  <conditionalFormatting sqref="AP26">
    <cfRule type="cellIs" dxfId="1107" priority="1179" operator="equal">
      <formula>"INVALID"</formula>
    </cfRule>
  </conditionalFormatting>
  <conditionalFormatting sqref="AJ26">
    <cfRule type="cellIs" dxfId="1106" priority="1178" operator="equal">
      <formula>"INVALID"</formula>
    </cfRule>
  </conditionalFormatting>
  <conditionalFormatting sqref="AK26">
    <cfRule type="cellIs" dxfId="1105" priority="1177" operator="equal">
      <formula>"INVALID"</formula>
    </cfRule>
  </conditionalFormatting>
  <conditionalFormatting sqref="AL26:AM26">
    <cfRule type="cellIs" dxfId="1104" priority="1176" operator="equal">
      <formula>"INVALID"</formula>
    </cfRule>
  </conditionalFormatting>
  <conditionalFormatting sqref="AK26">
    <cfRule type="cellIs" dxfId="1103" priority="1175" operator="equal">
      <formula>"INVALID"</formula>
    </cfRule>
  </conditionalFormatting>
  <conditionalFormatting sqref="AL26">
    <cfRule type="cellIs" dxfId="1102" priority="1174" operator="equal">
      <formula>"INVALID"</formula>
    </cfRule>
  </conditionalFormatting>
  <conditionalFormatting sqref="AM26">
    <cfRule type="cellIs" dxfId="1101" priority="1173" operator="equal">
      <formula>"INVALID"</formula>
    </cfRule>
  </conditionalFormatting>
  <conditionalFormatting sqref="AN26">
    <cfRule type="cellIs" dxfId="1100" priority="1172" operator="equal">
      <formula>"INVALID"</formula>
    </cfRule>
  </conditionalFormatting>
  <conditionalFormatting sqref="AQ26">
    <cfRule type="expression" dxfId="1099" priority="1171">
      <formula>NOT($AJ26)</formula>
    </cfRule>
    <cfRule type="expression" dxfId="1098" priority="1185">
      <formula>RIGHT($AQ26, 1)="*"</formula>
    </cfRule>
  </conditionalFormatting>
  <conditionalFormatting sqref="AS26">
    <cfRule type="expression" dxfId="1097" priority="1170">
      <formula>NOT($AN26)</formula>
    </cfRule>
  </conditionalFormatting>
  <conditionalFormatting sqref="AS26">
    <cfRule type="expression" dxfId="1096" priority="1169">
      <formula>NOT($AK26)</formula>
    </cfRule>
  </conditionalFormatting>
  <conditionalFormatting sqref="AO26">
    <cfRule type="cellIs" dxfId="1095" priority="1168" operator="equal">
      <formula>FALSE</formula>
    </cfRule>
  </conditionalFormatting>
  <conditionalFormatting sqref="AO26">
    <cfRule type="cellIs" dxfId="1094" priority="1167" operator="equal">
      <formula>"INVALID"</formula>
    </cfRule>
  </conditionalFormatting>
  <conditionalFormatting sqref="AO26">
    <cfRule type="cellIs" dxfId="1093" priority="1166" operator="equal">
      <formula>"INVALID"</formula>
    </cfRule>
  </conditionalFormatting>
  <conditionalFormatting sqref="AG24:AG25">
    <cfRule type="cellIs" dxfId="1092" priority="1165" operator="equal">
      <formula>"INVALID"</formula>
    </cfRule>
  </conditionalFormatting>
  <conditionalFormatting sqref="AG24:AG25">
    <cfRule type="cellIs" dxfId="1091" priority="1164" operator="equal">
      <formula>"INVALID"</formula>
    </cfRule>
  </conditionalFormatting>
  <conditionalFormatting sqref="C35:C40">
    <cfRule type="expression" dxfId="1090" priority="1163" stopIfTrue="1">
      <formula>AND(LEN($D35),NOT(LEN(#REF!)))</formula>
    </cfRule>
  </conditionalFormatting>
  <conditionalFormatting sqref="AR42:AR49">
    <cfRule type="cellIs" dxfId="1089" priority="1162" operator="equal">
      <formula>"Not Assigned"</formula>
    </cfRule>
  </conditionalFormatting>
  <conditionalFormatting sqref="AD42:AF49 AH42:AI49">
    <cfRule type="cellIs" dxfId="1088" priority="1161" operator="equal">
      <formula>"INVALID"</formula>
    </cfRule>
  </conditionalFormatting>
  <conditionalFormatting sqref="AS42:AS49">
    <cfRule type="expression" dxfId="1087" priority="1159">
      <formula>EXACT(AF42, "INVALID")</formula>
    </cfRule>
  </conditionalFormatting>
  <conditionalFormatting sqref="AZ42:AZ49">
    <cfRule type="expression" dxfId="1086" priority="1158">
      <formula>AND(NOT(ISBLANK(AZ42)), EXACT(AF42, "INVALID"))</formula>
    </cfRule>
  </conditionalFormatting>
  <conditionalFormatting sqref="BA42:BA49">
    <cfRule type="expression" dxfId="1085" priority="1157">
      <formula>AND(NOT(ISBLANK(BA42)), EXACT(AF42, "INVALID"))</formula>
    </cfRule>
  </conditionalFormatting>
  <conditionalFormatting sqref="AR42:AR49">
    <cfRule type="expression" dxfId="1084" priority="1156">
      <formula>NOT($AL42)</formula>
    </cfRule>
  </conditionalFormatting>
  <conditionalFormatting sqref="AQ42:AQ49">
    <cfRule type="expression" dxfId="1083" priority="1160" stopIfTrue="1">
      <formula>REPLACE($AQ42,8,LEN($AQ42),"")="unused_"</formula>
    </cfRule>
  </conditionalFormatting>
  <conditionalFormatting sqref="AJ42:AJ49">
    <cfRule type="cellIs" dxfId="1082" priority="1154" operator="equal">
      <formula>FALSE</formula>
    </cfRule>
  </conditionalFormatting>
  <conditionalFormatting sqref="AK42:AK49">
    <cfRule type="cellIs" dxfId="1081" priority="1153" operator="equal">
      <formula>FALSE</formula>
    </cfRule>
  </conditionalFormatting>
  <conditionalFormatting sqref="AL42:AL49">
    <cfRule type="cellIs" dxfId="1080" priority="1152" operator="equal">
      <formula>FALSE</formula>
    </cfRule>
  </conditionalFormatting>
  <conditionalFormatting sqref="AM42:AM49">
    <cfRule type="cellIs" dxfId="1079" priority="1151" operator="equal">
      <formula>FALSE</formula>
    </cfRule>
  </conditionalFormatting>
  <conditionalFormatting sqref="AN42:AN49">
    <cfRule type="cellIs" dxfId="1078" priority="1150" operator="equal">
      <formula>FALSE</formula>
    </cfRule>
  </conditionalFormatting>
  <conditionalFormatting sqref="AP42:AP49">
    <cfRule type="cellIs" dxfId="1077" priority="1149" operator="equal">
      <formula>"INVALID"</formula>
    </cfRule>
  </conditionalFormatting>
  <conditionalFormatting sqref="AJ42:AJ49">
    <cfRule type="cellIs" dxfId="1076" priority="1148" operator="equal">
      <formula>"INVALID"</formula>
    </cfRule>
  </conditionalFormatting>
  <conditionalFormatting sqref="AK42:AK49">
    <cfRule type="cellIs" dxfId="1075" priority="1147" operator="equal">
      <formula>"INVALID"</formula>
    </cfRule>
  </conditionalFormatting>
  <conditionalFormatting sqref="AL42:AM49">
    <cfRule type="cellIs" dxfId="1074" priority="1146" operator="equal">
      <formula>"INVALID"</formula>
    </cfRule>
  </conditionalFormatting>
  <conditionalFormatting sqref="AK42:AK49">
    <cfRule type="cellIs" dxfId="1073" priority="1145" operator="equal">
      <formula>"INVALID"</formula>
    </cfRule>
  </conditionalFormatting>
  <conditionalFormatting sqref="AL42:AL49">
    <cfRule type="cellIs" dxfId="1072" priority="1144" operator="equal">
      <formula>"INVALID"</formula>
    </cfRule>
  </conditionalFormatting>
  <conditionalFormatting sqref="AM42:AM49">
    <cfRule type="cellIs" dxfId="1071" priority="1143" operator="equal">
      <formula>"INVALID"</formula>
    </cfRule>
  </conditionalFormatting>
  <conditionalFormatting sqref="AN42:AN49">
    <cfRule type="cellIs" dxfId="1070" priority="1142" operator="equal">
      <formula>"INVALID"</formula>
    </cfRule>
  </conditionalFormatting>
  <conditionalFormatting sqref="AQ42:AQ49">
    <cfRule type="expression" dxfId="1069" priority="1141">
      <formula>NOT($AJ42)</formula>
    </cfRule>
    <cfRule type="expression" dxfId="1068" priority="1155">
      <formula>RIGHT($AQ42, 1)="*"</formula>
    </cfRule>
  </conditionalFormatting>
  <conditionalFormatting sqref="AZ42:BA49">
    <cfRule type="expression" dxfId="1067" priority="1140">
      <formula>NOT($AN42)</formula>
    </cfRule>
  </conditionalFormatting>
  <conditionalFormatting sqref="AS42:AS49">
    <cfRule type="expression" dxfId="1066" priority="1139">
      <formula>NOT($AK42)</formula>
    </cfRule>
  </conditionalFormatting>
  <conditionalFormatting sqref="AO42:AO49">
    <cfRule type="cellIs" dxfId="1065" priority="1138" operator="equal">
      <formula>FALSE</formula>
    </cfRule>
  </conditionalFormatting>
  <conditionalFormatting sqref="AO42:AO49">
    <cfRule type="cellIs" dxfId="1064" priority="1137" operator="equal">
      <formula>"INVALID"</formula>
    </cfRule>
  </conditionalFormatting>
  <conditionalFormatting sqref="AO42:AO49">
    <cfRule type="cellIs" dxfId="1063" priority="1136" operator="equal">
      <formula>"INVALID"</formula>
    </cfRule>
  </conditionalFormatting>
  <conditionalFormatting sqref="AG42:AG49">
    <cfRule type="cellIs" dxfId="1062" priority="1135" operator="equal">
      <formula>"INVALID"</formula>
    </cfRule>
  </conditionalFormatting>
  <conditionalFormatting sqref="AG42:AG49">
    <cfRule type="cellIs" dxfId="1061" priority="1134" operator="equal">
      <formula>"INVALID"</formula>
    </cfRule>
  </conditionalFormatting>
  <conditionalFormatting sqref="AG42:AG49">
    <cfRule type="cellIs" dxfId="1060" priority="1133" operator="equal">
      <formula>"INVALID"</formula>
    </cfRule>
  </conditionalFormatting>
  <conditionalFormatting sqref="AG42:AG49">
    <cfRule type="cellIs" dxfId="1059" priority="1132" operator="equal">
      <formula>"INVALID"</formula>
    </cfRule>
  </conditionalFormatting>
  <conditionalFormatting sqref="AR50:AR55">
    <cfRule type="cellIs" dxfId="1058" priority="1131" operator="equal">
      <formula>"Not Assigned"</formula>
    </cfRule>
  </conditionalFormatting>
  <conditionalFormatting sqref="AD50:AF55 AH50:AI55">
    <cfRule type="cellIs" dxfId="1057" priority="1130" operator="equal">
      <formula>"INVALID"</formula>
    </cfRule>
  </conditionalFormatting>
  <conditionalFormatting sqref="AJ50:AJ55">
    <cfRule type="cellIs" dxfId="1056" priority="1129" operator="equal">
      <formula>FALSE</formula>
    </cfRule>
  </conditionalFormatting>
  <conditionalFormatting sqref="AK50:AK55">
    <cfRule type="cellIs" dxfId="1055" priority="1128" operator="equal">
      <formula>FALSE</formula>
    </cfRule>
  </conditionalFormatting>
  <conditionalFormatting sqref="AL50:AL55">
    <cfRule type="cellIs" dxfId="1054" priority="1127" operator="equal">
      <formula>FALSE</formula>
    </cfRule>
  </conditionalFormatting>
  <conditionalFormatting sqref="AM50:AM55">
    <cfRule type="cellIs" dxfId="1053" priority="1126" operator="equal">
      <formula>FALSE</formula>
    </cfRule>
  </conditionalFormatting>
  <conditionalFormatting sqref="AN50:AN55">
    <cfRule type="cellIs" dxfId="1052" priority="1125" operator="equal">
      <formula>FALSE</formula>
    </cfRule>
  </conditionalFormatting>
  <conditionalFormatting sqref="AP50:AP55">
    <cfRule type="cellIs" dxfId="1051" priority="1124" operator="equal">
      <formula>"INVALID"</formula>
    </cfRule>
  </conditionalFormatting>
  <conditionalFormatting sqref="AJ50:AJ55">
    <cfRule type="cellIs" dxfId="1050" priority="1123" operator="equal">
      <formula>"INVALID"</formula>
    </cfRule>
  </conditionalFormatting>
  <conditionalFormatting sqref="AK50:AK55">
    <cfRule type="cellIs" dxfId="1049" priority="1122" operator="equal">
      <formula>"INVALID"</formula>
    </cfRule>
  </conditionalFormatting>
  <conditionalFormatting sqref="AL50:AM55">
    <cfRule type="cellIs" dxfId="1048" priority="1121" operator="equal">
      <formula>"INVALID"</formula>
    </cfRule>
  </conditionalFormatting>
  <conditionalFormatting sqref="AK50:AK55">
    <cfRule type="cellIs" dxfId="1047" priority="1120" operator="equal">
      <formula>"INVALID"</formula>
    </cfRule>
  </conditionalFormatting>
  <conditionalFormatting sqref="AL50:AL55">
    <cfRule type="cellIs" dxfId="1046" priority="1119" operator="equal">
      <formula>"INVALID"</formula>
    </cfRule>
  </conditionalFormatting>
  <conditionalFormatting sqref="AM50:AM55">
    <cfRule type="cellIs" dxfId="1045" priority="1118" operator="equal">
      <formula>"INVALID"</formula>
    </cfRule>
  </conditionalFormatting>
  <conditionalFormatting sqref="AN50:AN55">
    <cfRule type="cellIs" dxfId="1044" priority="1117" operator="equal">
      <formula>"INVALID"</formula>
    </cfRule>
  </conditionalFormatting>
  <conditionalFormatting sqref="AO50:AO55">
    <cfRule type="cellIs" dxfId="1043" priority="1116" operator="equal">
      <formula>FALSE</formula>
    </cfRule>
  </conditionalFormatting>
  <conditionalFormatting sqref="AO50:AO55">
    <cfRule type="cellIs" dxfId="1042" priority="1115" operator="equal">
      <formula>"INVALID"</formula>
    </cfRule>
  </conditionalFormatting>
  <conditionalFormatting sqref="AO50:AO55">
    <cfRule type="cellIs" dxfId="1041" priority="1114" operator="equal">
      <formula>"INVALID"</formula>
    </cfRule>
  </conditionalFormatting>
  <conditionalFormatting sqref="AT54">
    <cfRule type="expression" dxfId="1040" priority="1113">
      <formula>NOT($AM54)</formula>
    </cfRule>
  </conditionalFormatting>
  <conditionalFormatting sqref="AG50:AG55">
    <cfRule type="cellIs" dxfId="1039" priority="1112" operator="equal">
      <formula>"INVALID"</formula>
    </cfRule>
  </conditionalFormatting>
  <conditionalFormatting sqref="AG50:AG55">
    <cfRule type="cellIs" dxfId="1038" priority="1111" operator="equal">
      <formula>"INVALID"</formula>
    </cfRule>
  </conditionalFormatting>
  <conditionalFormatting sqref="AG50:AG55">
    <cfRule type="cellIs" dxfId="1037" priority="1110" operator="equal">
      <formula>"INVALID"</formula>
    </cfRule>
  </conditionalFormatting>
  <conditionalFormatting sqref="AG50:AG55">
    <cfRule type="cellIs" dxfId="1036" priority="1109" operator="equal">
      <formula>"INVALID"</formula>
    </cfRule>
  </conditionalFormatting>
  <conditionalFormatting sqref="AR57:AR65 AR67">
    <cfRule type="cellIs" dxfId="1035" priority="1108" operator="equal">
      <formula>"Not Assigned"</formula>
    </cfRule>
  </conditionalFormatting>
  <conditionalFormatting sqref="AD57:AF65 AD67:AF67 AI67 AH57:AI57 AI58:AI65 AH58:AH68">
    <cfRule type="cellIs" dxfId="1034" priority="1107" operator="equal">
      <formula>"INVALID"</formula>
    </cfRule>
  </conditionalFormatting>
  <conditionalFormatting sqref="AS57:AS65 AS67">
    <cfRule type="expression" dxfId="1033" priority="1105">
      <formula>EXACT(AF57, "INVALID")</formula>
    </cfRule>
  </conditionalFormatting>
  <conditionalFormatting sqref="AZ57:AZ65">
    <cfRule type="expression" dxfId="1032" priority="1104">
      <formula>AND(NOT(ISBLANK(AZ57)), EXACT(AF57, "INVALID"))</formula>
    </cfRule>
  </conditionalFormatting>
  <conditionalFormatting sqref="BA57:BA65">
    <cfRule type="expression" dxfId="1031" priority="1103">
      <formula>AND(NOT(ISBLANK(BA57)), EXACT(AF57, "INVALID"))</formula>
    </cfRule>
  </conditionalFormatting>
  <conditionalFormatting sqref="AR57:AR65">
    <cfRule type="expression" dxfId="1030" priority="1102">
      <formula>NOT($AL57)</formula>
    </cfRule>
  </conditionalFormatting>
  <conditionalFormatting sqref="AQ57:AQ65">
    <cfRule type="expression" dxfId="1029" priority="1106" stopIfTrue="1">
      <formula>REPLACE($AQ57,8,LEN($AQ57),"")="unused_"</formula>
    </cfRule>
  </conditionalFormatting>
  <conditionalFormatting sqref="AJ57:AJ65 AJ67">
    <cfRule type="cellIs" dxfId="1028" priority="1100" operator="equal">
      <formula>FALSE</formula>
    </cfRule>
  </conditionalFormatting>
  <conditionalFormatting sqref="AK57:AK65 AK67">
    <cfRule type="cellIs" dxfId="1027" priority="1099" operator="equal">
      <formula>FALSE</formula>
    </cfRule>
  </conditionalFormatting>
  <conditionalFormatting sqref="AL57:AL65 AL67">
    <cfRule type="cellIs" dxfId="1026" priority="1098" operator="equal">
      <formula>FALSE</formula>
    </cfRule>
  </conditionalFormatting>
  <conditionalFormatting sqref="AM57:AM65 AM67">
    <cfRule type="cellIs" dxfId="1025" priority="1097" operator="equal">
      <formula>FALSE</formula>
    </cfRule>
  </conditionalFormatting>
  <conditionalFormatting sqref="AN57:AN65 AN67">
    <cfRule type="cellIs" dxfId="1024" priority="1096" operator="equal">
      <formula>FALSE</formula>
    </cfRule>
  </conditionalFormatting>
  <conditionalFormatting sqref="AP57:AP65 AP67">
    <cfRule type="cellIs" dxfId="1023" priority="1095" operator="equal">
      <formula>"INVALID"</formula>
    </cfRule>
  </conditionalFormatting>
  <conditionalFormatting sqref="AJ57:AJ65 AJ67">
    <cfRule type="cellIs" dxfId="1022" priority="1094" operator="equal">
      <formula>"INVALID"</formula>
    </cfRule>
  </conditionalFormatting>
  <conditionalFormatting sqref="AK57:AK65 AK67">
    <cfRule type="cellIs" dxfId="1021" priority="1093" operator="equal">
      <formula>"INVALID"</formula>
    </cfRule>
  </conditionalFormatting>
  <conditionalFormatting sqref="AL57:AM65 AL67:AM67">
    <cfRule type="cellIs" dxfId="1020" priority="1092" operator="equal">
      <formula>"INVALID"</formula>
    </cfRule>
  </conditionalFormatting>
  <conditionalFormatting sqref="AK57:AK65 AK67">
    <cfRule type="cellIs" dxfId="1019" priority="1091" operator="equal">
      <formula>"INVALID"</formula>
    </cfRule>
  </conditionalFormatting>
  <conditionalFormatting sqref="AL57:AL65 AL67">
    <cfRule type="cellIs" dxfId="1018" priority="1090" operator="equal">
      <formula>"INVALID"</formula>
    </cfRule>
  </conditionalFormatting>
  <conditionalFormatting sqref="AM57:AM65 AM67">
    <cfRule type="cellIs" dxfId="1017" priority="1089" operator="equal">
      <formula>"INVALID"</formula>
    </cfRule>
  </conditionalFormatting>
  <conditionalFormatting sqref="AN57:AN65 AN67">
    <cfRule type="cellIs" dxfId="1016" priority="1088" operator="equal">
      <formula>"INVALID"</formula>
    </cfRule>
  </conditionalFormatting>
  <conditionalFormatting sqref="AQ57:AQ65">
    <cfRule type="expression" dxfId="1015" priority="1087">
      <formula>NOT($AJ57)</formula>
    </cfRule>
    <cfRule type="expression" dxfId="1014" priority="1101">
      <formula>RIGHT($AQ57, 1)="*"</formula>
    </cfRule>
  </conditionalFormatting>
  <conditionalFormatting sqref="AS57:AS65">
    <cfRule type="expression" dxfId="1013" priority="1086">
      <formula>NOT($AN57)</formula>
    </cfRule>
  </conditionalFormatting>
  <conditionalFormatting sqref="AS57:AS65">
    <cfRule type="expression" dxfId="1012" priority="1085">
      <formula>NOT($AK57)</formula>
    </cfRule>
  </conditionalFormatting>
  <conditionalFormatting sqref="AO57:AO65 AO67">
    <cfRule type="cellIs" dxfId="1011" priority="1084" operator="equal">
      <formula>FALSE</formula>
    </cfRule>
  </conditionalFormatting>
  <conditionalFormatting sqref="AO57:AO65 AO67">
    <cfRule type="cellIs" dxfId="1010" priority="1083" operator="equal">
      <formula>"INVALID"</formula>
    </cfRule>
  </conditionalFormatting>
  <conditionalFormatting sqref="AO57:AO65 AO67">
    <cfRule type="cellIs" dxfId="1009" priority="1082" operator="equal">
      <formula>"INVALID"</formula>
    </cfRule>
  </conditionalFormatting>
  <conditionalFormatting sqref="AR66">
    <cfRule type="cellIs" dxfId="1008" priority="1081" operator="equal">
      <formula>"Not Assigned"</formula>
    </cfRule>
  </conditionalFormatting>
  <conditionalFormatting sqref="AD66:AF66 AI66">
    <cfRule type="cellIs" dxfId="1007" priority="1080" operator="equal">
      <formula>"INVALID"</formula>
    </cfRule>
  </conditionalFormatting>
  <conditionalFormatting sqref="AS66">
    <cfRule type="expression" dxfId="1006" priority="1078">
      <formula>EXACT(AF66, "INVALID")</formula>
    </cfRule>
  </conditionalFormatting>
  <conditionalFormatting sqref="AZ66">
    <cfRule type="expression" dxfId="1005" priority="1077">
      <formula>AND(NOT(ISBLANK(AZ66)), EXACT(AF66, "INVALID"))</formula>
    </cfRule>
  </conditionalFormatting>
  <conditionalFormatting sqref="BA66">
    <cfRule type="expression" dxfId="1004" priority="1076">
      <formula>AND(NOT(ISBLANK(BA66)), EXACT(AF66, "INVALID"))</formula>
    </cfRule>
  </conditionalFormatting>
  <conditionalFormatting sqref="AR66">
    <cfRule type="expression" dxfId="1003" priority="1075">
      <formula>NOT($AL66)</formula>
    </cfRule>
  </conditionalFormatting>
  <conditionalFormatting sqref="AQ66">
    <cfRule type="expression" dxfId="1002" priority="1079" stopIfTrue="1">
      <formula>REPLACE($AQ66,8,LEN($AQ66),"")="unused_"</formula>
    </cfRule>
  </conditionalFormatting>
  <conditionalFormatting sqref="AJ66">
    <cfRule type="cellIs" dxfId="1001" priority="1073" operator="equal">
      <formula>FALSE</formula>
    </cfRule>
  </conditionalFormatting>
  <conditionalFormatting sqref="AK66">
    <cfRule type="cellIs" dxfId="1000" priority="1072" operator="equal">
      <formula>FALSE</formula>
    </cfRule>
  </conditionalFormatting>
  <conditionalFormatting sqref="AL66">
    <cfRule type="cellIs" dxfId="999" priority="1071" operator="equal">
      <formula>FALSE</formula>
    </cfRule>
  </conditionalFormatting>
  <conditionalFormatting sqref="AM66">
    <cfRule type="cellIs" dxfId="998" priority="1070" operator="equal">
      <formula>FALSE</formula>
    </cfRule>
  </conditionalFormatting>
  <conditionalFormatting sqref="AN66">
    <cfRule type="cellIs" dxfId="997" priority="1069" operator="equal">
      <formula>FALSE</formula>
    </cfRule>
  </conditionalFormatting>
  <conditionalFormatting sqref="AP66">
    <cfRule type="cellIs" dxfId="996" priority="1068" operator="equal">
      <formula>"INVALID"</formula>
    </cfRule>
  </conditionalFormatting>
  <conditionalFormatting sqref="AJ66">
    <cfRule type="cellIs" dxfId="995" priority="1067" operator="equal">
      <formula>"INVALID"</formula>
    </cfRule>
  </conditionalFormatting>
  <conditionalFormatting sqref="AK66">
    <cfRule type="cellIs" dxfId="994" priority="1066" operator="equal">
      <formula>"INVALID"</formula>
    </cfRule>
  </conditionalFormatting>
  <conditionalFormatting sqref="AL66:AM66">
    <cfRule type="cellIs" dxfId="993" priority="1065" operator="equal">
      <formula>"INVALID"</formula>
    </cfRule>
  </conditionalFormatting>
  <conditionalFormatting sqref="AK66">
    <cfRule type="cellIs" dxfId="992" priority="1064" operator="equal">
      <formula>"INVALID"</formula>
    </cfRule>
  </conditionalFormatting>
  <conditionalFormatting sqref="AL66">
    <cfRule type="cellIs" dxfId="991" priority="1063" operator="equal">
      <formula>"INVALID"</formula>
    </cfRule>
  </conditionalFormatting>
  <conditionalFormatting sqref="AM66">
    <cfRule type="cellIs" dxfId="990" priority="1062" operator="equal">
      <formula>"INVALID"</formula>
    </cfRule>
  </conditionalFormatting>
  <conditionalFormatting sqref="AN66">
    <cfRule type="cellIs" dxfId="989" priority="1061" operator="equal">
      <formula>"INVALID"</formula>
    </cfRule>
  </conditionalFormatting>
  <conditionalFormatting sqref="AQ66">
    <cfRule type="expression" dxfId="988" priority="1060">
      <formula>NOT($AJ66)</formula>
    </cfRule>
    <cfRule type="expression" dxfId="987" priority="1074">
      <formula>RIGHT($AQ66, 1)="*"</formula>
    </cfRule>
  </conditionalFormatting>
  <conditionalFormatting sqref="AS66">
    <cfRule type="expression" dxfId="986" priority="1059">
      <formula>NOT($AN66)</formula>
    </cfRule>
  </conditionalFormatting>
  <conditionalFormatting sqref="AS66">
    <cfRule type="expression" dxfId="985" priority="1058">
      <formula>NOT($AK66)</formula>
    </cfRule>
  </conditionalFormatting>
  <conditionalFormatting sqref="AO66">
    <cfRule type="cellIs" dxfId="984" priority="1057" operator="equal">
      <formula>FALSE</formula>
    </cfRule>
  </conditionalFormatting>
  <conditionalFormatting sqref="AO66">
    <cfRule type="cellIs" dxfId="983" priority="1056" operator="equal">
      <formula>"INVALID"</formula>
    </cfRule>
  </conditionalFormatting>
  <conditionalFormatting sqref="AO66">
    <cfRule type="cellIs" dxfId="982" priority="1055" operator="equal">
      <formula>"INVALID"</formula>
    </cfRule>
  </conditionalFormatting>
  <conditionalFormatting sqref="AT68">
    <cfRule type="expression" dxfId="981" priority="1054">
      <formula>NOT($AM68)</formula>
    </cfRule>
  </conditionalFormatting>
  <conditionalFormatting sqref="AG57:AG67">
    <cfRule type="cellIs" dxfId="980" priority="1053" operator="equal">
      <formula>"INVALID"</formula>
    </cfRule>
  </conditionalFormatting>
  <conditionalFormatting sqref="AG66">
    <cfRule type="cellIs" dxfId="979" priority="1052" operator="equal">
      <formula>"INVALID"</formula>
    </cfRule>
  </conditionalFormatting>
  <conditionalFormatting sqref="AG57:AG67">
    <cfRule type="cellIs" dxfId="978" priority="1051" operator="equal">
      <formula>"INVALID"</formula>
    </cfRule>
  </conditionalFormatting>
  <conditionalFormatting sqref="AG57:AG67">
    <cfRule type="cellIs" dxfId="977" priority="1050" operator="equal">
      <formula>"INVALID"</formula>
    </cfRule>
  </conditionalFormatting>
  <conditionalFormatting sqref="AG57:AG67">
    <cfRule type="cellIs" dxfId="976" priority="1049" operator="equal">
      <formula>"INVALID"</formula>
    </cfRule>
  </conditionalFormatting>
  <conditionalFormatting sqref="AR70:AR76">
    <cfRule type="cellIs" dxfId="975" priority="1048" operator="equal">
      <formula>"Not Assigned"</formula>
    </cfRule>
  </conditionalFormatting>
  <conditionalFormatting sqref="AD70:AF76 AH71:AI76 AI70">
    <cfRule type="cellIs" dxfId="974" priority="1047" operator="equal">
      <formula>"INVALID"</formula>
    </cfRule>
  </conditionalFormatting>
  <conditionalFormatting sqref="AS70:AS76">
    <cfRule type="expression" dxfId="973" priority="1045">
      <formula>EXACT(AF70, "INVALID")</formula>
    </cfRule>
  </conditionalFormatting>
  <conditionalFormatting sqref="AZ70:AZ76">
    <cfRule type="expression" dxfId="972" priority="1044">
      <formula>AND(NOT(ISBLANK(AZ70)), EXACT(AF70, "INVALID"))</formula>
    </cfRule>
  </conditionalFormatting>
  <conditionalFormatting sqref="BA70:BA76">
    <cfRule type="expression" dxfId="971" priority="1043">
      <formula>AND(NOT(ISBLANK(BA70)), EXACT(AF70, "INVALID"))</formula>
    </cfRule>
  </conditionalFormatting>
  <conditionalFormatting sqref="AR70:AR76">
    <cfRule type="expression" dxfId="970" priority="1042">
      <formula>NOT($AL70)</formula>
    </cfRule>
  </conditionalFormatting>
  <conditionalFormatting sqref="AQ70:AQ76">
    <cfRule type="expression" dxfId="969" priority="1046" stopIfTrue="1">
      <formula>REPLACE($AQ70,8,LEN($AQ70),"")="unused_"</formula>
    </cfRule>
  </conditionalFormatting>
  <conditionalFormatting sqref="AJ70:AJ76">
    <cfRule type="cellIs" dxfId="968" priority="1040" operator="equal">
      <formula>FALSE</formula>
    </cfRule>
  </conditionalFormatting>
  <conditionalFormatting sqref="AK70:AK76">
    <cfRule type="cellIs" dxfId="967" priority="1039" operator="equal">
      <formula>FALSE</formula>
    </cfRule>
  </conditionalFormatting>
  <conditionalFormatting sqref="AL70:AL76">
    <cfRule type="cellIs" dxfId="966" priority="1038" operator="equal">
      <formula>FALSE</formula>
    </cfRule>
  </conditionalFormatting>
  <conditionalFormatting sqref="AM70:AM76">
    <cfRule type="cellIs" dxfId="965" priority="1037" operator="equal">
      <formula>FALSE</formula>
    </cfRule>
  </conditionalFormatting>
  <conditionalFormatting sqref="AN70:AN76">
    <cfRule type="cellIs" dxfId="964" priority="1036" operator="equal">
      <formula>FALSE</formula>
    </cfRule>
  </conditionalFormatting>
  <conditionalFormatting sqref="AP70:AP76">
    <cfRule type="cellIs" dxfId="963" priority="1035" operator="equal">
      <formula>"INVALID"</formula>
    </cfRule>
  </conditionalFormatting>
  <conditionalFormatting sqref="AJ70:AJ76">
    <cfRule type="cellIs" dxfId="962" priority="1034" operator="equal">
      <formula>"INVALID"</formula>
    </cfRule>
  </conditionalFormatting>
  <conditionalFormatting sqref="AK70:AK76">
    <cfRule type="cellIs" dxfId="961" priority="1033" operator="equal">
      <formula>"INVALID"</formula>
    </cfRule>
  </conditionalFormatting>
  <conditionalFormatting sqref="AL70:AM76">
    <cfRule type="cellIs" dxfId="960" priority="1032" operator="equal">
      <formula>"INVALID"</formula>
    </cfRule>
  </conditionalFormatting>
  <conditionalFormatting sqref="AK70:AK76">
    <cfRule type="cellIs" dxfId="959" priority="1031" operator="equal">
      <formula>"INVALID"</formula>
    </cfRule>
  </conditionalFormatting>
  <conditionalFormatting sqref="AL70:AL76">
    <cfRule type="cellIs" dxfId="958" priority="1030" operator="equal">
      <formula>"INVALID"</formula>
    </cfRule>
  </conditionalFormatting>
  <conditionalFormatting sqref="AM70:AM76">
    <cfRule type="cellIs" dxfId="957" priority="1029" operator="equal">
      <formula>"INVALID"</formula>
    </cfRule>
  </conditionalFormatting>
  <conditionalFormatting sqref="AN70:AN76">
    <cfRule type="cellIs" dxfId="956" priority="1028" operator="equal">
      <formula>"INVALID"</formula>
    </cfRule>
  </conditionalFormatting>
  <conditionalFormatting sqref="AQ70:AQ76">
    <cfRule type="expression" dxfId="955" priority="1027">
      <formula>NOT($AJ70)</formula>
    </cfRule>
    <cfRule type="expression" dxfId="954" priority="1041">
      <formula>RIGHT($AQ70, 1)="*"</formula>
    </cfRule>
  </conditionalFormatting>
  <conditionalFormatting sqref="AZ70:BA76">
    <cfRule type="expression" dxfId="953" priority="1026">
      <formula>NOT($AN70)</formula>
    </cfRule>
  </conditionalFormatting>
  <conditionalFormatting sqref="AS70:AS76">
    <cfRule type="expression" dxfId="952" priority="1025">
      <formula>NOT($AK70)</formula>
    </cfRule>
  </conditionalFormatting>
  <conditionalFormatting sqref="AO70:AO76">
    <cfRule type="cellIs" dxfId="951" priority="1024" operator="equal">
      <formula>FALSE</formula>
    </cfRule>
  </conditionalFormatting>
  <conditionalFormatting sqref="AO70:AO76">
    <cfRule type="cellIs" dxfId="950" priority="1023" operator="equal">
      <formula>"INVALID"</formula>
    </cfRule>
  </conditionalFormatting>
  <conditionalFormatting sqref="AO70:AO76">
    <cfRule type="cellIs" dxfId="949" priority="1022" operator="equal">
      <formula>"INVALID"</formula>
    </cfRule>
  </conditionalFormatting>
  <conditionalFormatting sqref="AT73">
    <cfRule type="expression" dxfId="948" priority="1021">
      <formula>NOT($AM73)</formula>
    </cfRule>
  </conditionalFormatting>
  <conditionalFormatting sqref="AG70:AG76">
    <cfRule type="cellIs" dxfId="947" priority="1020" operator="equal">
      <formula>"INVALID"</formula>
    </cfRule>
  </conditionalFormatting>
  <conditionalFormatting sqref="AG70:AG76">
    <cfRule type="cellIs" dxfId="946" priority="1019" operator="equal">
      <formula>"INVALID"</formula>
    </cfRule>
  </conditionalFormatting>
  <conditionalFormatting sqref="AG70:AG76">
    <cfRule type="cellIs" dxfId="945" priority="1018" operator="equal">
      <formula>"INVALID"</formula>
    </cfRule>
  </conditionalFormatting>
  <conditionalFormatting sqref="AG70:AG76">
    <cfRule type="cellIs" dxfId="944" priority="1017" operator="equal">
      <formula>"INVALID"</formula>
    </cfRule>
  </conditionalFormatting>
  <conditionalFormatting sqref="AR88:AR91">
    <cfRule type="cellIs" dxfId="943" priority="1016" operator="equal">
      <formula>"Not Assigned"</formula>
    </cfRule>
  </conditionalFormatting>
  <conditionalFormatting sqref="AE88:AF91 AI88:AI91">
    <cfRule type="cellIs" dxfId="942" priority="1015" operator="equal">
      <formula>"INVALID"</formula>
    </cfRule>
  </conditionalFormatting>
  <conditionalFormatting sqref="AS88:AS91">
    <cfRule type="expression" dxfId="941" priority="1014">
      <formula>EXACT(AF88, "INVALID")</formula>
    </cfRule>
  </conditionalFormatting>
  <conditionalFormatting sqref="AZ88:AZ91">
    <cfRule type="expression" dxfId="940" priority="1013">
      <formula>AND(NOT(ISBLANK(AZ88)), EXACT(AF88, "INVALID"))</formula>
    </cfRule>
  </conditionalFormatting>
  <conditionalFormatting sqref="BA88:BA91">
    <cfRule type="expression" dxfId="939" priority="1012">
      <formula>AND(NOT(ISBLANK(BA88)), EXACT(AF88, "INVALID"))</formula>
    </cfRule>
  </conditionalFormatting>
  <conditionalFormatting sqref="AR88:AR91">
    <cfRule type="expression" dxfId="938" priority="1011">
      <formula>NOT($AL88)</formula>
    </cfRule>
  </conditionalFormatting>
  <conditionalFormatting sqref="AJ88:AJ91">
    <cfRule type="cellIs" dxfId="937" priority="1010" operator="equal">
      <formula>FALSE</formula>
    </cfRule>
  </conditionalFormatting>
  <conditionalFormatting sqref="AK88:AK91">
    <cfRule type="cellIs" dxfId="936" priority="1009" operator="equal">
      <formula>FALSE</formula>
    </cfRule>
  </conditionalFormatting>
  <conditionalFormatting sqref="AL88:AL91">
    <cfRule type="cellIs" dxfId="935" priority="1008" operator="equal">
      <formula>FALSE</formula>
    </cfRule>
  </conditionalFormatting>
  <conditionalFormatting sqref="AM88:AM91">
    <cfRule type="cellIs" dxfId="934" priority="1007" operator="equal">
      <formula>FALSE</formula>
    </cfRule>
  </conditionalFormatting>
  <conditionalFormatting sqref="AN88:AN91">
    <cfRule type="cellIs" dxfId="933" priority="1006" operator="equal">
      <formula>FALSE</formula>
    </cfRule>
  </conditionalFormatting>
  <conditionalFormatting sqref="AP88:AP91">
    <cfRule type="cellIs" dxfId="932" priority="1005" operator="equal">
      <formula>"INVALID"</formula>
    </cfRule>
  </conditionalFormatting>
  <conditionalFormatting sqref="AJ88:AJ91">
    <cfRule type="cellIs" dxfId="931" priority="1004" operator="equal">
      <formula>"INVALID"</formula>
    </cfRule>
  </conditionalFormatting>
  <conditionalFormatting sqref="AK88:AK91">
    <cfRule type="cellIs" dxfId="930" priority="1003" operator="equal">
      <formula>"INVALID"</formula>
    </cfRule>
  </conditionalFormatting>
  <conditionalFormatting sqref="AL88:AM91">
    <cfRule type="cellIs" dxfId="929" priority="1002" operator="equal">
      <formula>"INVALID"</formula>
    </cfRule>
  </conditionalFormatting>
  <conditionalFormatting sqref="AK88:AK91">
    <cfRule type="cellIs" dxfId="928" priority="1001" operator="equal">
      <formula>"INVALID"</formula>
    </cfRule>
  </conditionalFormatting>
  <conditionalFormatting sqref="AL88:AL91">
    <cfRule type="cellIs" dxfId="927" priority="1000" operator="equal">
      <formula>"INVALID"</formula>
    </cfRule>
  </conditionalFormatting>
  <conditionalFormatting sqref="AM88:AM91">
    <cfRule type="cellIs" dxfId="926" priority="999" operator="equal">
      <formula>"INVALID"</formula>
    </cfRule>
  </conditionalFormatting>
  <conditionalFormatting sqref="AN88:AN91">
    <cfRule type="cellIs" dxfId="925" priority="998" operator="equal">
      <formula>"INVALID"</formula>
    </cfRule>
  </conditionalFormatting>
  <conditionalFormatting sqref="AS88:AS91">
    <cfRule type="expression" dxfId="924" priority="997">
      <formula>NOT($AN88)</formula>
    </cfRule>
  </conditionalFormatting>
  <conditionalFormatting sqref="AS88:AS91">
    <cfRule type="expression" dxfId="923" priority="996">
      <formula>NOT($AK88)</formula>
    </cfRule>
  </conditionalFormatting>
  <conditionalFormatting sqref="AO88:AO91">
    <cfRule type="cellIs" dxfId="922" priority="995" operator="equal">
      <formula>FALSE</formula>
    </cfRule>
  </conditionalFormatting>
  <conditionalFormatting sqref="AO88:AO91">
    <cfRule type="cellIs" dxfId="921" priority="994" operator="equal">
      <formula>"INVALID"</formula>
    </cfRule>
  </conditionalFormatting>
  <conditionalFormatting sqref="AO88:AO91">
    <cfRule type="cellIs" dxfId="920" priority="993" operator="equal">
      <formula>"INVALID"</formula>
    </cfRule>
  </conditionalFormatting>
  <conditionalFormatting sqref="AQ88:AQ91">
    <cfRule type="expression" dxfId="919" priority="992" stopIfTrue="1">
      <formula>REPLACE($AQ88,8,LEN($AQ88),"")="unused_"</formula>
    </cfRule>
  </conditionalFormatting>
  <conditionalFormatting sqref="AQ88:AQ91">
    <cfRule type="expression" dxfId="918" priority="990">
      <formula>NOT($AJ88)</formula>
    </cfRule>
    <cfRule type="expression" dxfId="917" priority="991">
      <formula>RIGHT($AQ88, 1)="*"</formula>
    </cfRule>
  </conditionalFormatting>
  <conditionalFormatting sqref="AR99">
    <cfRule type="cellIs" dxfId="916" priority="989" operator="equal">
      <formula>"Not Assigned"</formula>
    </cfRule>
  </conditionalFormatting>
  <conditionalFormatting sqref="AE99:AF99 AI99">
    <cfRule type="cellIs" dxfId="915" priority="988" operator="equal">
      <formula>"INVALID"</formula>
    </cfRule>
  </conditionalFormatting>
  <conditionalFormatting sqref="AS99">
    <cfRule type="expression" dxfId="914" priority="987">
      <formula>EXACT(AF99, "INVALID")</formula>
    </cfRule>
  </conditionalFormatting>
  <conditionalFormatting sqref="AZ99">
    <cfRule type="expression" dxfId="913" priority="986">
      <formula>AND(NOT(ISBLANK(AZ99)), EXACT(AF99, "INVALID"))</formula>
    </cfRule>
  </conditionalFormatting>
  <conditionalFormatting sqref="BA99">
    <cfRule type="expression" dxfId="912" priority="985">
      <formula>AND(NOT(ISBLANK(BA99)), EXACT(AF99, "INVALID"))</formula>
    </cfRule>
  </conditionalFormatting>
  <conditionalFormatting sqref="AR99">
    <cfRule type="expression" dxfId="911" priority="984">
      <formula>NOT($AL99)</formula>
    </cfRule>
  </conditionalFormatting>
  <conditionalFormatting sqref="AJ99">
    <cfRule type="cellIs" dxfId="910" priority="983" operator="equal">
      <formula>FALSE</formula>
    </cfRule>
  </conditionalFormatting>
  <conditionalFormatting sqref="AK99">
    <cfRule type="cellIs" dxfId="909" priority="982" operator="equal">
      <formula>FALSE</formula>
    </cfRule>
  </conditionalFormatting>
  <conditionalFormatting sqref="AL99">
    <cfRule type="cellIs" dxfId="908" priority="981" operator="equal">
      <formula>FALSE</formula>
    </cfRule>
  </conditionalFormatting>
  <conditionalFormatting sqref="AM99">
    <cfRule type="cellIs" dxfId="907" priority="980" operator="equal">
      <formula>FALSE</formula>
    </cfRule>
  </conditionalFormatting>
  <conditionalFormatting sqref="AN99">
    <cfRule type="cellIs" dxfId="906" priority="979" operator="equal">
      <formula>FALSE</formula>
    </cfRule>
  </conditionalFormatting>
  <conditionalFormatting sqref="AP99">
    <cfRule type="cellIs" dxfId="905" priority="978" operator="equal">
      <formula>"INVALID"</formula>
    </cfRule>
  </conditionalFormatting>
  <conditionalFormatting sqref="AJ99">
    <cfRule type="cellIs" dxfId="904" priority="977" operator="equal">
      <formula>"INVALID"</formula>
    </cfRule>
  </conditionalFormatting>
  <conditionalFormatting sqref="AK99">
    <cfRule type="cellIs" dxfId="903" priority="976" operator="equal">
      <formula>"INVALID"</formula>
    </cfRule>
  </conditionalFormatting>
  <conditionalFormatting sqref="AL99:AM99">
    <cfRule type="cellIs" dxfId="902" priority="975" operator="equal">
      <formula>"INVALID"</formula>
    </cfRule>
  </conditionalFormatting>
  <conditionalFormatting sqref="AK99">
    <cfRule type="cellIs" dxfId="901" priority="974" operator="equal">
      <formula>"INVALID"</formula>
    </cfRule>
  </conditionalFormatting>
  <conditionalFormatting sqref="AL99">
    <cfRule type="cellIs" dxfId="900" priority="973" operator="equal">
      <formula>"INVALID"</formula>
    </cfRule>
  </conditionalFormatting>
  <conditionalFormatting sqref="AM99">
    <cfRule type="cellIs" dxfId="899" priority="972" operator="equal">
      <formula>"INVALID"</formula>
    </cfRule>
  </conditionalFormatting>
  <conditionalFormatting sqref="AN99">
    <cfRule type="cellIs" dxfId="898" priority="971" operator="equal">
      <formula>"INVALID"</formula>
    </cfRule>
  </conditionalFormatting>
  <conditionalFormatting sqref="AS99">
    <cfRule type="expression" dxfId="897" priority="970">
      <formula>NOT($AN99)</formula>
    </cfRule>
  </conditionalFormatting>
  <conditionalFormatting sqref="AS99">
    <cfRule type="expression" dxfId="896" priority="969">
      <formula>NOT($AK99)</formula>
    </cfRule>
  </conditionalFormatting>
  <conditionalFormatting sqref="AO99">
    <cfRule type="cellIs" dxfId="895" priority="968" operator="equal">
      <formula>FALSE</formula>
    </cfRule>
  </conditionalFormatting>
  <conditionalFormatting sqref="AO99">
    <cfRule type="cellIs" dxfId="894" priority="967" operator="equal">
      <formula>"INVALID"</formula>
    </cfRule>
  </conditionalFormatting>
  <conditionalFormatting sqref="AO99">
    <cfRule type="cellIs" dxfId="893" priority="966" operator="equal">
      <formula>"INVALID"</formula>
    </cfRule>
  </conditionalFormatting>
  <conditionalFormatting sqref="AQ99">
    <cfRule type="expression" dxfId="892" priority="965" stopIfTrue="1">
      <formula>REPLACE($AQ99,8,LEN($AQ99),"")="unused_"</formula>
    </cfRule>
  </conditionalFormatting>
  <conditionalFormatting sqref="AQ99">
    <cfRule type="expression" dxfId="891" priority="963">
      <formula>NOT($AJ99)</formula>
    </cfRule>
    <cfRule type="expression" dxfId="890" priority="964">
      <formula>RIGHT($AQ99, 1)="*"</formula>
    </cfRule>
  </conditionalFormatting>
  <conditionalFormatting sqref="AG88:AG91 AG99">
    <cfRule type="cellIs" dxfId="889" priority="962" operator="equal">
      <formula>"INVALID"</formula>
    </cfRule>
  </conditionalFormatting>
  <conditionalFormatting sqref="AG99">
    <cfRule type="cellIs" dxfId="888" priority="961" operator="equal">
      <formula>"INVALID"</formula>
    </cfRule>
  </conditionalFormatting>
  <conditionalFormatting sqref="AG88:AG91 AG99">
    <cfRule type="cellIs" dxfId="887" priority="960" operator="equal">
      <formula>"INVALID"</formula>
    </cfRule>
  </conditionalFormatting>
  <conditionalFormatting sqref="AG88:AG91 AG99">
    <cfRule type="cellIs" dxfId="886" priority="959" operator="equal">
      <formula>"INVALID"</formula>
    </cfRule>
  </conditionalFormatting>
  <conditionalFormatting sqref="AG88:AG91 AG99">
    <cfRule type="cellIs" dxfId="885" priority="958" operator="equal">
      <formula>"INVALID"</formula>
    </cfRule>
  </conditionalFormatting>
  <conditionalFormatting sqref="AR92:AR95">
    <cfRule type="cellIs" dxfId="884" priority="957" operator="equal">
      <formula>"Not Assigned"</formula>
    </cfRule>
  </conditionalFormatting>
  <conditionalFormatting sqref="AE92:AF95 AI92:AI95">
    <cfRule type="cellIs" dxfId="883" priority="956" operator="equal">
      <formula>"INVALID"</formula>
    </cfRule>
  </conditionalFormatting>
  <conditionalFormatting sqref="AS92:AS95">
    <cfRule type="expression" dxfId="882" priority="955">
      <formula>EXACT(AF92, "INVALID")</formula>
    </cfRule>
  </conditionalFormatting>
  <conditionalFormatting sqref="AZ92:AZ95">
    <cfRule type="expression" dxfId="881" priority="954">
      <formula>AND(NOT(ISBLANK(AZ92)), EXACT(AF92, "INVALID"))</formula>
    </cfRule>
  </conditionalFormatting>
  <conditionalFormatting sqref="BA92:BA95">
    <cfRule type="expression" dxfId="880" priority="953">
      <formula>AND(NOT(ISBLANK(BA92)), EXACT(AF92, "INVALID"))</formula>
    </cfRule>
  </conditionalFormatting>
  <conditionalFormatting sqref="AR92:AR95">
    <cfRule type="expression" dxfId="879" priority="952">
      <formula>NOT($AL92)</formula>
    </cfRule>
  </conditionalFormatting>
  <conditionalFormatting sqref="AJ92:AJ95">
    <cfRule type="cellIs" dxfId="878" priority="951" operator="equal">
      <formula>FALSE</formula>
    </cfRule>
  </conditionalFormatting>
  <conditionalFormatting sqref="AK92:AK95">
    <cfRule type="cellIs" dxfId="877" priority="950" operator="equal">
      <formula>FALSE</formula>
    </cfRule>
  </conditionalFormatting>
  <conditionalFormatting sqref="AL92:AL95">
    <cfRule type="cellIs" dxfId="876" priority="949" operator="equal">
      <formula>FALSE</formula>
    </cfRule>
  </conditionalFormatting>
  <conditionalFormatting sqref="AM92:AM95">
    <cfRule type="cellIs" dxfId="875" priority="948" operator="equal">
      <formula>FALSE</formula>
    </cfRule>
  </conditionalFormatting>
  <conditionalFormatting sqref="AN92:AN95">
    <cfRule type="cellIs" dxfId="874" priority="947" operator="equal">
      <formula>FALSE</formula>
    </cfRule>
  </conditionalFormatting>
  <conditionalFormatting sqref="AP92:AP95">
    <cfRule type="cellIs" dxfId="873" priority="946" operator="equal">
      <formula>"INVALID"</formula>
    </cfRule>
  </conditionalFormatting>
  <conditionalFormatting sqref="AJ92:AJ95">
    <cfRule type="cellIs" dxfId="872" priority="945" operator="equal">
      <formula>"INVALID"</formula>
    </cfRule>
  </conditionalFormatting>
  <conditionalFormatting sqref="AK92:AK95">
    <cfRule type="cellIs" dxfId="871" priority="944" operator="equal">
      <formula>"INVALID"</formula>
    </cfRule>
  </conditionalFormatting>
  <conditionalFormatting sqref="AL92:AM95">
    <cfRule type="cellIs" dxfId="870" priority="943" operator="equal">
      <formula>"INVALID"</formula>
    </cfRule>
  </conditionalFormatting>
  <conditionalFormatting sqref="AK92:AK95">
    <cfRule type="cellIs" dxfId="869" priority="942" operator="equal">
      <formula>"INVALID"</formula>
    </cfRule>
  </conditionalFormatting>
  <conditionalFormatting sqref="AL92:AL95">
    <cfRule type="cellIs" dxfId="868" priority="941" operator="equal">
      <formula>"INVALID"</formula>
    </cfRule>
  </conditionalFormatting>
  <conditionalFormatting sqref="AM92:AM95">
    <cfRule type="cellIs" dxfId="867" priority="940" operator="equal">
      <formula>"INVALID"</formula>
    </cfRule>
  </conditionalFormatting>
  <conditionalFormatting sqref="AN92:AN95">
    <cfRule type="cellIs" dxfId="866" priority="939" operator="equal">
      <formula>"INVALID"</formula>
    </cfRule>
  </conditionalFormatting>
  <conditionalFormatting sqref="AS92:AS95">
    <cfRule type="expression" dxfId="865" priority="938">
      <formula>NOT($AN92)</formula>
    </cfRule>
  </conditionalFormatting>
  <conditionalFormatting sqref="AS92:AS95">
    <cfRule type="expression" dxfId="864" priority="937">
      <formula>NOT($AK92)</formula>
    </cfRule>
  </conditionalFormatting>
  <conditionalFormatting sqref="AO92:AO95">
    <cfRule type="cellIs" dxfId="863" priority="936" operator="equal">
      <formula>FALSE</formula>
    </cfRule>
  </conditionalFormatting>
  <conditionalFormatting sqref="AO92:AO95">
    <cfRule type="cellIs" dxfId="862" priority="935" operator="equal">
      <formula>"INVALID"</formula>
    </cfRule>
  </conditionalFormatting>
  <conditionalFormatting sqref="AO92:AO95">
    <cfRule type="cellIs" dxfId="861" priority="934" operator="equal">
      <formula>"INVALID"</formula>
    </cfRule>
  </conditionalFormatting>
  <conditionalFormatting sqref="AQ92:AQ95">
    <cfRule type="expression" dxfId="860" priority="933" stopIfTrue="1">
      <formula>REPLACE($AQ92,8,LEN($AQ92),"")="unused_"</formula>
    </cfRule>
  </conditionalFormatting>
  <conditionalFormatting sqref="AQ92:AQ95">
    <cfRule type="expression" dxfId="859" priority="931">
      <formula>NOT($AJ92)</formula>
    </cfRule>
    <cfRule type="expression" dxfId="858" priority="932">
      <formula>RIGHT($AQ92, 1)="*"</formula>
    </cfRule>
  </conditionalFormatting>
  <conditionalFormatting sqref="AR96:AR97">
    <cfRule type="cellIs" dxfId="857" priority="930" operator="equal">
      <formula>"Not Assigned"</formula>
    </cfRule>
  </conditionalFormatting>
  <conditionalFormatting sqref="AE96:AF97 AI96:AI97">
    <cfRule type="cellIs" dxfId="856" priority="929" operator="equal">
      <formula>"INVALID"</formula>
    </cfRule>
  </conditionalFormatting>
  <conditionalFormatting sqref="AS96:AS97">
    <cfRule type="expression" dxfId="855" priority="928">
      <formula>EXACT(AF96, "INVALID")</formula>
    </cfRule>
  </conditionalFormatting>
  <conditionalFormatting sqref="AZ96:AZ97">
    <cfRule type="expression" dxfId="854" priority="927">
      <formula>AND(NOT(ISBLANK(AZ96)), EXACT(AF96, "INVALID"))</formula>
    </cfRule>
  </conditionalFormatting>
  <conditionalFormatting sqref="BA96:BA97">
    <cfRule type="expression" dxfId="853" priority="926">
      <formula>AND(NOT(ISBLANK(BA96)), EXACT(AF96, "INVALID"))</formula>
    </cfRule>
  </conditionalFormatting>
  <conditionalFormatting sqref="AR96:AR97">
    <cfRule type="expression" dxfId="852" priority="925">
      <formula>NOT($AL96)</formula>
    </cfRule>
  </conditionalFormatting>
  <conditionalFormatting sqref="AJ96:AJ97">
    <cfRule type="cellIs" dxfId="851" priority="924" operator="equal">
      <formula>FALSE</formula>
    </cfRule>
  </conditionalFormatting>
  <conditionalFormatting sqref="AK96:AK97">
    <cfRule type="cellIs" dxfId="850" priority="923" operator="equal">
      <formula>FALSE</formula>
    </cfRule>
  </conditionalFormatting>
  <conditionalFormatting sqref="AL96:AL97">
    <cfRule type="cellIs" dxfId="849" priority="922" operator="equal">
      <formula>FALSE</formula>
    </cfRule>
  </conditionalFormatting>
  <conditionalFormatting sqref="AM96:AM97">
    <cfRule type="cellIs" dxfId="848" priority="921" operator="equal">
      <formula>FALSE</formula>
    </cfRule>
  </conditionalFormatting>
  <conditionalFormatting sqref="AN96:AN97">
    <cfRule type="cellIs" dxfId="847" priority="920" operator="equal">
      <formula>FALSE</formula>
    </cfRule>
  </conditionalFormatting>
  <conditionalFormatting sqref="AP96:AP97">
    <cfRule type="cellIs" dxfId="846" priority="919" operator="equal">
      <formula>"INVALID"</formula>
    </cfRule>
  </conditionalFormatting>
  <conditionalFormatting sqref="AJ96:AJ97">
    <cfRule type="cellIs" dxfId="845" priority="918" operator="equal">
      <formula>"INVALID"</formula>
    </cfRule>
  </conditionalFormatting>
  <conditionalFormatting sqref="AK96:AK97">
    <cfRule type="cellIs" dxfId="844" priority="917" operator="equal">
      <formula>"INVALID"</formula>
    </cfRule>
  </conditionalFormatting>
  <conditionalFormatting sqref="AL96:AM97">
    <cfRule type="cellIs" dxfId="843" priority="916" operator="equal">
      <formula>"INVALID"</formula>
    </cfRule>
  </conditionalFormatting>
  <conditionalFormatting sqref="AK96:AK97">
    <cfRule type="cellIs" dxfId="842" priority="915" operator="equal">
      <formula>"INVALID"</formula>
    </cfRule>
  </conditionalFormatting>
  <conditionalFormatting sqref="AL96:AL97">
    <cfRule type="cellIs" dxfId="841" priority="914" operator="equal">
      <formula>"INVALID"</formula>
    </cfRule>
  </conditionalFormatting>
  <conditionalFormatting sqref="AM96:AM97">
    <cfRule type="cellIs" dxfId="840" priority="913" operator="equal">
      <formula>"INVALID"</formula>
    </cfRule>
  </conditionalFormatting>
  <conditionalFormatting sqref="AN96:AN97">
    <cfRule type="cellIs" dxfId="839" priority="912" operator="equal">
      <formula>"INVALID"</formula>
    </cfRule>
  </conditionalFormatting>
  <conditionalFormatting sqref="AS96:AS97">
    <cfRule type="expression" dxfId="838" priority="911">
      <formula>NOT($AN96)</formula>
    </cfRule>
  </conditionalFormatting>
  <conditionalFormatting sqref="AS96:AS97">
    <cfRule type="expression" dxfId="837" priority="910">
      <formula>NOT($AK96)</formula>
    </cfRule>
  </conditionalFormatting>
  <conditionalFormatting sqref="AO96:AO97">
    <cfRule type="cellIs" dxfId="836" priority="909" operator="equal">
      <formula>FALSE</formula>
    </cfRule>
  </conditionalFormatting>
  <conditionalFormatting sqref="AO96:AO97">
    <cfRule type="cellIs" dxfId="835" priority="908" operator="equal">
      <formula>"INVALID"</formula>
    </cfRule>
  </conditionalFormatting>
  <conditionalFormatting sqref="AO96:AO97">
    <cfRule type="cellIs" dxfId="834" priority="907" operator="equal">
      <formula>"INVALID"</formula>
    </cfRule>
  </conditionalFormatting>
  <conditionalFormatting sqref="AQ96:AQ97">
    <cfRule type="expression" dxfId="833" priority="906" stopIfTrue="1">
      <formula>REPLACE($AQ96,8,LEN($AQ96),"")="unused_"</formula>
    </cfRule>
  </conditionalFormatting>
  <conditionalFormatting sqref="AQ96:AQ97">
    <cfRule type="expression" dxfId="832" priority="904">
      <formula>NOT($AJ96)</formula>
    </cfRule>
    <cfRule type="expression" dxfId="831" priority="905">
      <formula>RIGHT($AQ96, 1)="*"</formula>
    </cfRule>
  </conditionalFormatting>
  <conditionalFormatting sqref="AG92:AG96">
    <cfRule type="cellIs" dxfId="830" priority="903" operator="equal">
      <formula>"INVALID"</formula>
    </cfRule>
  </conditionalFormatting>
  <conditionalFormatting sqref="AG96">
    <cfRule type="cellIs" dxfId="829" priority="902" operator="equal">
      <formula>"INVALID"</formula>
    </cfRule>
  </conditionalFormatting>
  <conditionalFormatting sqref="AG92:AG96">
    <cfRule type="cellIs" dxfId="828" priority="901" operator="equal">
      <formula>"INVALID"</formula>
    </cfRule>
  </conditionalFormatting>
  <conditionalFormatting sqref="AG92:AG96">
    <cfRule type="cellIs" dxfId="827" priority="900" operator="equal">
      <formula>"INVALID"</formula>
    </cfRule>
  </conditionalFormatting>
  <conditionalFormatting sqref="AG92:AG96">
    <cfRule type="cellIs" dxfId="826" priority="899" operator="equal">
      <formula>"INVALID"</formula>
    </cfRule>
  </conditionalFormatting>
  <conditionalFormatting sqref="AR98">
    <cfRule type="cellIs" dxfId="825" priority="898" operator="equal">
      <formula>"Not Assigned"</formula>
    </cfRule>
  </conditionalFormatting>
  <conditionalFormatting sqref="AE98:AF98 AI98">
    <cfRule type="cellIs" dxfId="824" priority="897" operator="equal">
      <formula>"INVALID"</formula>
    </cfRule>
  </conditionalFormatting>
  <conditionalFormatting sqref="AS98">
    <cfRule type="expression" dxfId="823" priority="896">
      <formula>EXACT(AF98, "INVALID")</formula>
    </cfRule>
  </conditionalFormatting>
  <conditionalFormatting sqref="AZ98">
    <cfRule type="expression" dxfId="822" priority="895">
      <formula>AND(NOT(ISBLANK(AZ98)), EXACT(AF98, "INVALID"))</formula>
    </cfRule>
  </conditionalFormatting>
  <conditionalFormatting sqref="BA98">
    <cfRule type="expression" dxfId="821" priority="894">
      <formula>AND(NOT(ISBLANK(BA98)), EXACT(AF98, "INVALID"))</formula>
    </cfRule>
  </conditionalFormatting>
  <conditionalFormatting sqref="AR98">
    <cfRule type="expression" dxfId="820" priority="893">
      <formula>NOT($AL98)</formula>
    </cfRule>
  </conditionalFormatting>
  <conditionalFormatting sqref="AJ98">
    <cfRule type="cellIs" dxfId="819" priority="892" operator="equal">
      <formula>FALSE</formula>
    </cfRule>
  </conditionalFormatting>
  <conditionalFormatting sqref="AK98">
    <cfRule type="cellIs" dxfId="818" priority="891" operator="equal">
      <formula>FALSE</formula>
    </cfRule>
  </conditionalFormatting>
  <conditionalFormatting sqref="AL98">
    <cfRule type="cellIs" dxfId="817" priority="890" operator="equal">
      <formula>FALSE</formula>
    </cfRule>
  </conditionalFormatting>
  <conditionalFormatting sqref="AM98">
    <cfRule type="cellIs" dxfId="816" priority="889" operator="equal">
      <formula>FALSE</formula>
    </cfRule>
  </conditionalFormatting>
  <conditionalFormatting sqref="AN98">
    <cfRule type="cellIs" dxfId="815" priority="888" operator="equal">
      <formula>FALSE</formula>
    </cfRule>
  </conditionalFormatting>
  <conditionalFormatting sqref="AP98">
    <cfRule type="cellIs" dxfId="814" priority="887" operator="equal">
      <formula>"INVALID"</formula>
    </cfRule>
  </conditionalFormatting>
  <conditionalFormatting sqref="AJ98">
    <cfRule type="cellIs" dxfId="813" priority="886" operator="equal">
      <formula>"INVALID"</formula>
    </cfRule>
  </conditionalFormatting>
  <conditionalFormatting sqref="AK98">
    <cfRule type="cellIs" dxfId="812" priority="885" operator="equal">
      <formula>"INVALID"</formula>
    </cfRule>
  </conditionalFormatting>
  <conditionalFormatting sqref="AL98:AM98">
    <cfRule type="cellIs" dxfId="811" priority="884" operator="equal">
      <formula>"INVALID"</formula>
    </cfRule>
  </conditionalFormatting>
  <conditionalFormatting sqref="AK98">
    <cfRule type="cellIs" dxfId="810" priority="883" operator="equal">
      <formula>"INVALID"</formula>
    </cfRule>
  </conditionalFormatting>
  <conditionalFormatting sqref="AL98">
    <cfRule type="cellIs" dxfId="809" priority="882" operator="equal">
      <formula>"INVALID"</formula>
    </cfRule>
  </conditionalFormatting>
  <conditionalFormatting sqref="AM98">
    <cfRule type="cellIs" dxfId="808" priority="881" operator="equal">
      <formula>"INVALID"</formula>
    </cfRule>
  </conditionalFormatting>
  <conditionalFormatting sqref="AN98">
    <cfRule type="cellIs" dxfId="807" priority="880" operator="equal">
      <formula>"INVALID"</formula>
    </cfRule>
  </conditionalFormatting>
  <conditionalFormatting sqref="AS98">
    <cfRule type="expression" dxfId="806" priority="879">
      <formula>NOT($AN98)</formula>
    </cfRule>
  </conditionalFormatting>
  <conditionalFormatting sqref="AS98">
    <cfRule type="expression" dxfId="805" priority="878">
      <formula>NOT($AK98)</formula>
    </cfRule>
  </conditionalFormatting>
  <conditionalFormatting sqref="AO98">
    <cfRule type="cellIs" dxfId="804" priority="877" operator="equal">
      <formula>FALSE</formula>
    </cfRule>
  </conditionalFormatting>
  <conditionalFormatting sqref="AO98">
    <cfRule type="cellIs" dxfId="803" priority="876" operator="equal">
      <formula>"INVALID"</formula>
    </cfRule>
  </conditionalFormatting>
  <conditionalFormatting sqref="AO98">
    <cfRule type="cellIs" dxfId="802" priority="875" operator="equal">
      <formula>"INVALID"</formula>
    </cfRule>
  </conditionalFormatting>
  <conditionalFormatting sqref="AQ98">
    <cfRule type="expression" dxfId="801" priority="874" stopIfTrue="1">
      <formula>REPLACE($AQ98,8,LEN($AQ98),"")="unused_"</formula>
    </cfRule>
  </conditionalFormatting>
  <conditionalFormatting sqref="AQ98">
    <cfRule type="expression" dxfId="800" priority="872">
      <formula>NOT($AJ98)</formula>
    </cfRule>
    <cfRule type="expression" dxfId="799" priority="873">
      <formula>RIGHT($AQ98, 1)="*"</formula>
    </cfRule>
  </conditionalFormatting>
  <conditionalFormatting sqref="AG98">
    <cfRule type="cellIs" dxfId="798" priority="871" operator="equal">
      <formula>"INVALID"</formula>
    </cfRule>
  </conditionalFormatting>
  <conditionalFormatting sqref="AG98">
    <cfRule type="cellIs" dxfId="797" priority="870" operator="equal">
      <formula>"INVALID"</formula>
    </cfRule>
  </conditionalFormatting>
  <conditionalFormatting sqref="AG98">
    <cfRule type="cellIs" dxfId="796" priority="869" operator="equal">
      <formula>"INVALID"</formula>
    </cfRule>
  </conditionalFormatting>
  <conditionalFormatting sqref="AG98">
    <cfRule type="cellIs" dxfId="795" priority="868" operator="equal">
      <formula>"INVALID"</formula>
    </cfRule>
  </conditionalFormatting>
  <conditionalFormatting sqref="AL100">
    <cfRule type="cellIs" dxfId="794" priority="859" operator="equal">
      <formula>FALSE</formula>
    </cfRule>
  </conditionalFormatting>
  <conditionalFormatting sqref="AM100">
    <cfRule type="cellIs" dxfId="793" priority="858" operator="equal">
      <formula>FALSE</formula>
    </cfRule>
  </conditionalFormatting>
  <conditionalFormatting sqref="AN100">
    <cfRule type="cellIs" dxfId="792" priority="857" operator="equal">
      <formula>FALSE</formula>
    </cfRule>
  </conditionalFormatting>
  <conditionalFormatting sqref="AK100">
    <cfRule type="cellIs" dxfId="791" priority="854" operator="equal">
      <formula>"INVALID"</formula>
    </cfRule>
  </conditionalFormatting>
  <conditionalFormatting sqref="AL100:AM100">
    <cfRule type="cellIs" dxfId="790" priority="853" operator="equal">
      <formula>"INVALID"</formula>
    </cfRule>
  </conditionalFormatting>
  <conditionalFormatting sqref="AK100">
    <cfRule type="cellIs" dxfId="789" priority="852" operator="equal">
      <formula>"INVALID"</formula>
    </cfRule>
  </conditionalFormatting>
  <conditionalFormatting sqref="AL100">
    <cfRule type="cellIs" dxfId="788" priority="851" operator="equal">
      <formula>"INVALID"</formula>
    </cfRule>
  </conditionalFormatting>
  <conditionalFormatting sqref="AM100">
    <cfRule type="cellIs" dxfId="787" priority="850" operator="equal">
      <formula>"INVALID"</formula>
    </cfRule>
  </conditionalFormatting>
  <conditionalFormatting sqref="AN100">
    <cfRule type="cellIs" dxfId="786" priority="849" operator="equal">
      <formula>"INVALID"</formula>
    </cfRule>
  </conditionalFormatting>
  <conditionalFormatting sqref="AR100">
    <cfRule type="cellIs" dxfId="785" priority="867" operator="equal">
      <formula>"Not Assigned"</formula>
    </cfRule>
  </conditionalFormatting>
  <conditionalFormatting sqref="AE100:AF100 AI100">
    <cfRule type="cellIs" dxfId="784" priority="866" operator="equal">
      <formula>"INVALID"</formula>
    </cfRule>
  </conditionalFormatting>
  <conditionalFormatting sqref="AS100">
    <cfRule type="expression" dxfId="783" priority="865">
      <formula>EXACT(AF100, "INVALID")</formula>
    </cfRule>
  </conditionalFormatting>
  <conditionalFormatting sqref="AZ100">
    <cfRule type="expression" dxfId="782" priority="864">
      <formula>AND(NOT(ISBLANK(AZ100)), EXACT(AF100, "INVALID"))</formula>
    </cfRule>
  </conditionalFormatting>
  <conditionalFormatting sqref="BA100">
    <cfRule type="expression" dxfId="781" priority="863">
      <formula>AND(NOT(ISBLANK(BA100)), EXACT(AF100, "INVALID"))</formula>
    </cfRule>
  </conditionalFormatting>
  <conditionalFormatting sqref="AR100">
    <cfRule type="expression" dxfId="780" priority="862">
      <formula>NOT($AL100)</formula>
    </cfRule>
  </conditionalFormatting>
  <conditionalFormatting sqref="AJ100">
    <cfRule type="cellIs" dxfId="779" priority="861" operator="equal">
      <formula>FALSE</formula>
    </cfRule>
  </conditionalFormatting>
  <conditionalFormatting sqref="AK100">
    <cfRule type="cellIs" dxfId="778" priority="860" operator="equal">
      <formula>FALSE</formula>
    </cfRule>
  </conditionalFormatting>
  <conditionalFormatting sqref="AP100">
    <cfRule type="cellIs" dxfId="777" priority="856" operator="equal">
      <formula>"INVALID"</formula>
    </cfRule>
  </conditionalFormatting>
  <conditionalFormatting sqref="AJ100">
    <cfRule type="cellIs" dxfId="776" priority="855" operator="equal">
      <formula>"INVALID"</formula>
    </cfRule>
  </conditionalFormatting>
  <conditionalFormatting sqref="AS100">
    <cfRule type="expression" dxfId="775" priority="848">
      <formula>NOT($AN100)</formula>
    </cfRule>
  </conditionalFormatting>
  <conditionalFormatting sqref="AS100">
    <cfRule type="expression" dxfId="774" priority="847">
      <formula>NOT($AK100)</formula>
    </cfRule>
  </conditionalFormatting>
  <conditionalFormatting sqref="AO100">
    <cfRule type="cellIs" dxfId="773" priority="846" operator="equal">
      <formula>FALSE</formula>
    </cfRule>
  </conditionalFormatting>
  <conditionalFormatting sqref="AO100">
    <cfRule type="cellIs" dxfId="772" priority="845" operator="equal">
      <formula>"INVALID"</formula>
    </cfRule>
  </conditionalFormatting>
  <conditionalFormatting sqref="AO100">
    <cfRule type="cellIs" dxfId="771" priority="844" operator="equal">
      <formula>"INVALID"</formula>
    </cfRule>
  </conditionalFormatting>
  <conditionalFormatting sqref="AQ100">
    <cfRule type="expression" dxfId="770" priority="843" stopIfTrue="1">
      <formula>REPLACE($AQ100,8,LEN($AQ100),"")="unused_"</formula>
    </cfRule>
  </conditionalFormatting>
  <conditionalFormatting sqref="AQ100">
    <cfRule type="expression" dxfId="769" priority="841">
      <formula>NOT($AJ100)</formula>
    </cfRule>
    <cfRule type="expression" dxfId="768" priority="842">
      <formula>RIGHT($AQ100, 1)="*"</formula>
    </cfRule>
  </conditionalFormatting>
  <conditionalFormatting sqref="AR101:AR102">
    <cfRule type="cellIs" dxfId="767" priority="840" operator="equal">
      <formula>"Not Assigned"</formula>
    </cfRule>
  </conditionalFormatting>
  <conditionalFormatting sqref="AE101:AF102 AI101:AI102">
    <cfRule type="cellIs" dxfId="766" priority="839" operator="equal">
      <formula>"INVALID"</formula>
    </cfRule>
  </conditionalFormatting>
  <conditionalFormatting sqref="AS101:AS102">
    <cfRule type="expression" dxfId="765" priority="838">
      <formula>EXACT(AF101, "INVALID")</formula>
    </cfRule>
  </conditionalFormatting>
  <conditionalFormatting sqref="AZ101:AZ102">
    <cfRule type="expression" dxfId="764" priority="837">
      <formula>AND(NOT(ISBLANK(AZ101)), EXACT(AF101, "INVALID"))</formula>
    </cfRule>
  </conditionalFormatting>
  <conditionalFormatting sqref="BA101:BA102">
    <cfRule type="expression" dxfId="763" priority="836">
      <formula>AND(NOT(ISBLANK(BA101)), EXACT(AF101, "INVALID"))</formula>
    </cfRule>
  </conditionalFormatting>
  <conditionalFormatting sqref="AR101:AR102">
    <cfRule type="expression" dxfId="762" priority="835">
      <formula>NOT($AL101)</formula>
    </cfRule>
  </conditionalFormatting>
  <conditionalFormatting sqref="AJ101:AJ102">
    <cfRule type="cellIs" dxfId="761" priority="834" operator="equal">
      <formula>FALSE</formula>
    </cfRule>
  </conditionalFormatting>
  <conditionalFormatting sqref="AK101:AK102">
    <cfRule type="cellIs" dxfId="760" priority="833" operator="equal">
      <formula>FALSE</formula>
    </cfRule>
  </conditionalFormatting>
  <conditionalFormatting sqref="AL101:AL102">
    <cfRule type="cellIs" dxfId="759" priority="832" operator="equal">
      <formula>FALSE</formula>
    </cfRule>
  </conditionalFormatting>
  <conditionalFormatting sqref="AM101:AM102">
    <cfRule type="cellIs" dxfId="758" priority="831" operator="equal">
      <formula>FALSE</formula>
    </cfRule>
  </conditionalFormatting>
  <conditionalFormatting sqref="AN101:AN102">
    <cfRule type="cellIs" dxfId="757" priority="830" operator="equal">
      <formula>FALSE</formula>
    </cfRule>
  </conditionalFormatting>
  <conditionalFormatting sqref="AP101:AP102">
    <cfRule type="cellIs" dxfId="756" priority="829" operator="equal">
      <formula>"INVALID"</formula>
    </cfRule>
  </conditionalFormatting>
  <conditionalFormatting sqref="AJ101:AJ102">
    <cfRule type="cellIs" dxfId="755" priority="828" operator="equal">
      <formula>"INVALID"</formula>
    </cfRule>
  </conditionalFormatting>
  <conditionalFormatting sqref="AK101:AK102">
    <cfRule type="cellIs" dxfId="754" priority="827" operator="equal">
      <formula>"INVALID"</formula>
    </cfRule>
  </conditionalFormatting>
  <conditionalFormatting sqref="AL101:AM102">
    <cfRule type="cellIs" dxfId="753" priority="826" operator="equal">
      <formula>"INVALID"</formula>
    </cfRule>
  </conditionalFormatting>
  <conditionalFormatting sqref="AK101:AK102">
    <cfRule type="cellIs" dxfId="752" priority="825" operator="equal">
      <formula>"INVALID"</formula>
    </cfRule>
  </conditionalFormatting>
  <conditionalFormatting sqref="AL101:AL102">
    <cfRule type="cellIs" dxfId="751" priority="824" operator="equal">
      <formula>"INVALID"</formula>
    </cfRule>
  </conditionalFormatting>
  <conditionalFormatting sqref="AM101:AM102">
    <cfRule type="cellIs" dxfId="750" priority="823" operator="equal">
      <formula>"INVALID"</formula>
    </cfRule>
  </conditionalFormatting>
  <conditionalFormatting sqref="AN101:AN102">
    <cfRule type="cellIs" dxfId="749" priority="822" operator="equal">
      <formula>"INVALID"</formula>
    </cfRule>
  </conditionalFormatting>
  <conditionalFormatting sqref="AS101:AS102">
    <cfRule type="expression" dxfId="748" priority="821">
      <formula>NOT($AN101)</formula>
    </cfRule>
  </conditionalFormatting>
  <conditionalFormatting sqref="AS101:AS102">
    <cfRule type="expression" dxfId="747" priority="820">
      <formula>NOT($AK101)</formula>
    </cfRule>
  </conditionalFormatting>
  <conditionalFormatting sqref="AO101:AO102">
    <cfRule type="cellIs" dxfId="746" priority="819" operator="equal">
      <formula>FALSE</formula>
    </cfRule>
  </conditionalFormatting>
  <conditionalFormatting sqref="AO101:AO102">
    <cfRule type="cellIs" dxfId="745" priority="818" operator="equal">
      <formula>"INVALID"</formula>
    </cfRule>
  </conditionalFormatting>
  <conditionalFormatting sqref="AO101:AO102">
    <cfRule type="cellIs" dxfId="744" priority="817" operator="equal">
      <formula>"INVALID"</formula>
    </cfRule>
  </conditionalFormatting>
  <conditionalFormatting sqref="AQ101:AQ102">
    <cfRule type="expression" dxfId="743" priority="816" stopIfTrue="1">
      <formula>REPLACE($AQ101,8,LEN($AQ101),"")="unused_"</formula>
    </cfRule>
  </conditionalFormatting>
  <conditionalFormatting sqref="AQ101:AQ102">
    <cfRule type="expression" dxfId="742" priority="814">
      <formula>NOT($AJ101)</formula>
    </cfRule>
    <cfRule type="expression" dxfId="741" priority="815">
      <formula>RIGHT($AQ101, 1)="*"</formula>
    </cfRule>
  </conditionalFormatting>
  <conditionalFormatting sqref="AG101:AG102">
    <cfRule type="cellIs" dxfId="740" priority="813" operator="equal">
      <formula>"INVALID"</formula>
    </cfRule>
  </conditionalFormatting>
  <conditionalFormatting sqref="AG101:AG102">
    <cfRule type="cellIs" dxfId="739" priority="812" operator="equal">
      <formula>"INVALID"</formula>
    </cfRule>
  </conditionalFormatting>
  <conditionalFormatting sqref="AG101:AG102">
    <cfRule type="cellIs" dxfId="738" priority="811" operator="equal">
      <formula>"INVALID"</formula>
    </cfRule>
  </conditionalFormatting>
  <conditionalFormatting sqref="AG101:AG102">
    <cfRule type="cellIs" dxfId="737" priority="810" operator="equal">
      <formula>"INVALID"</formula>
    </cfRule>
  </conditionalFormatting>
  <conditionalFormatting sqref="AG101:AG102">
    <cfRule type="cellIs" dxfId="736" priority="809" operator="equal">
      <formula>"INVALID"</formula>
    </cfRule>
  </conditionalFormatting>
  <conditionalFormatting sqref="AR109:AR110">
    <cfRule type="cellIs" dxfId="735" priority="808" operator="equal">
      <formula>"Not Assigned"</formula>
    </cfRule>
  </conditionalFormatting>
  <conditionalFormatting sqref="AS109:AS110">
    <cfRule type="expression" dxfId="734" priority="806">
      <formula>EXACT(AF109, "INVALID")</formula>
    </cfRule>
  </conditionalFormatting>
  <conditionalFormatting sqref="AZ109:AZ110">
    <cfRule type="expression" dxfId="733" priority="805">
      <formula>AND(NOT(ISBLANK(AZ109)), EXACT(AF109, "INVALID"))</formula>
    </cfRule>
  </conditionalFormatting>
  <conditionalFormatting sqref="BA109:BA110">
    <cfRule type="expression" dxfId="732" priority="804">
      <formula>AND(NOT(ISBLANK(BA109)), EXACT(AF109, "INVALID"))</formula>
    </cfRule>
  </conditionalFormatting>
  <conditionalFormatting sqref="AR109:AR110">
    <cfRule type="expression" dxfId="731" priority="803">
      <formula>NOT($AL109)</formula>
    </cfRule>
  </conditionalFormatting>
  <conditionalFormatting sqref="AQ109:AQ110">
    <cfRule type="expression" dxfId="730" priority="807" stopIfTrue="1">
      <formula>REPLACE($AQ109,8,LEN($AQ109),"")="unused_"</formula>
    </cfRule>
  </conditionalFormatting>
  <conditionalFormatting sqref="AJ109:AJ110">
    <cfRule type="cellIs" dxfId="729" priority="801" operator="equal">
      <formula>FALSE</formula>
    </cfRule>
  </conditionalFormatting>
  <conditionalFormatting sqref="AK109:AK110">
    <cfRule type="cellIs" dxfId="728" priority="800" operator="equal">
      <formula>FALSE</formula>
    </cfRule>
  </conditionalFormatting>
  <conditionalFormatting sqref="AL109:AL110">
    <cfRule type="cellIs" dxfId="727" priority="799" operator="equal">
      <formula>FALSE</formula>
    </cfRule>
  </conditionalFormatting>
  <conditionalFormatting sqref="AM109:AM110">
    <cfRule type="cellIs" dxfId="726" priority="798" operator="equal">
      <formula>FALSE</formula>
    </cfRule>
  </conditionalFormatting>
  <conditionalFormatting sqref="AN109:AN110">
    <cfRule type="cellIs" dxfId="725" priority="797" operator="equal">
      <formula>FALSE</formula>
    </cfRule>
  </conditionalFormatting>
  <conditionalFormatting sqref="AP109:AP110">
    <cfRule type="cellIs" dxfId="724" priority="796" operator="equal">
      <formula>"INVALID"</formula>
    </cfRule>
  </conditionalFormatting>
  <conditionalFormatting sqref="AJ109:AJ110">
    <cfRule type="cellIs" dxfId="723" priority="795" operator="equal">
      <formula>"INVALID"</formula>
    </cfRule>
  </conditionalFormatting>
  <conditionalFormatting sqref="AK109:AK110">
    <cfRule type="cellIs" dxfId="722" priority="794" operator="equal">
      <formula>"INVALID"</formula>
    </cfRule>
  </conditionalFormatting>
  <conditionalFormatting sqref="AL109:AM110">
    <cfRule type="cellIs" dxfId="721" priority="793" operator="equal">
      <formula>"INVALID"</formula>
    </cfRule>
  </conditionalFormatting>
  <conditionalFormatting sqref="AK109:AK110">
    <cfRule type="cellIs" dxfId="720" priority="792" operator="equal">
      <formula>"INVALID"</formula>
    </cfRule>
  </conditionalFormatting>
  <conditionalFormatting sqref="AL109:AL110">
    <cfRule type="cellIs" dxfId="719" priority="791" operator="equal">
      <formula>"INVALID"</formula>
    </cfRule>
  </conditionalFormatting>
  <conditionalFormatting sqref="AM109:AM110">
    <cfRule type="cellIs" dxfId="718" priority="790" operator="equal">
      <formula>"INVALID"</formula>
    </cfRule>
  </conditionalFormatting>
  <conditionalFormatting sqref="AN109:AN110">
    <cfRule type="cellIs" dxfId="717" priority="789" operator="equal">
      <formula>"INVALID"</formula>
    </cfRule>
  </conditionalFormatting>
  <conditionalFormatting sqref="AQ109:AQ110">
    <cfRule type="expression" dxfId="716" priority="788">
      <formula>NOT($AJ109)</formula>
    </cfRule>
    <cfRule type="expression" dxfId="715" priority="802">
      <formula>RIGHT($AQ109, 1)="*"</formula>
    </cfRule>
  </conditionalFormatting>
  <conditionalFormatting sqref="AZ109:BA110">
    <cfRule type="expression" dxfId="714" priority="787">
      <formula>NOT($AN109)</formula>
    </cfRule>
  </conditionalFormatting>
  <conditionalFormatting sqref="AS109:AS110">
    <cfRule type="expression" dxfId="713" priority="786">
      <formula>NOT($AK109)</formula>
    </cfRule>
  </conditionalFormatting>
  <conditionalFormatting sqref="AO109:AO110">
    <cfRule type="cellIs" dxfId="712" priority="785" operator="equal">
      <formula>FALSE</formula>
    </cfRule>
  </conditionalFormatting>
  <conditionalFormatting sqref="AO109:AO110">
    <cfRule type="cellIs" dxfId="711" priority="784" operator="equal">
      <formula>"INVALID"</formula>
    </cfRule>
  </conditionalFormatting>
  <conditionalFormatting sqref="AO109:AO110">
    <cfRule type="cellIs" dxfId="710" priority="783" operator="equal">
      <formula>"INVALID"</formula>
    </cfRule>
  </conditionalFormatting>
  <conditionalFormatting sqref="AG127">
    <cfRule type="cellIs" dxfId="709" priority="748" operator="equal">
      <formula>"INVALID"</formula>
    </cfRule>
  </conditionalFormatting>
  <conditionalFormatting sqref="AD126:AD135">
    <cfRule type="cellIs" dxfId="708" priority="751" operator="equal">
      <formula>"INVALID"</formula>
    </cfRule>
  </conditionalFormatting>
  <conditionalFormatting sqref="AE135">
    <cfRule type="cellIs" dxfId="707" priority="750" operator="equal">
      <formula>"INVALID"</formula>
    </cfRule>
  </conditionalFormatting>
  <conditionalFormatting sqref="AG126:AG135">
    <cfRule type="cellIs" dxfId="706" priority="749" operator="equal">
      <formula>"INVALID"</formula>
    </cfRule>
  </conditionalFormatting>
  <conditionalFormatting sqref="AG126:AG135">
    <cfRule type="cellIs" dxfId="705" priority="744" operator="equal">
      <formula>"INVALID"</formula>
    </cfRule>
  </conditionalFormatting>
  <conditionalFormatting sqref="AG126:AG135">
    <cfRule type="cellIs" dxfId="704" priority="743" operator="equal">
      <formula>"INVALID"</formula>
    </cfRule>
  </conditionalFormatting>
  <conditionalFormatting sqref="AG126:AG135">
    <cfRule type="cellIs" dxfId="703" priority="742" operator="equal">
      <formula>"INVALID"</formula>
    </cfRule>
  </conditionalFormatting>
  <conditionalFormatting sqref="AQ126">
    <cfRule type="expression" dxfId="702" priority="782" stopIfTrue="1">
      <formula>REPLACE($AQ126,8,LEN($AQ126),"")="unused_"</formula>
    </cfRule>
  </conditionalFormatting>
  <conditionalFormatting sqref="AI126:AI135 AD135:AF135 AD126:AD134 AF128:AF134 AF126">
    <cfRule type="cellIs" dxfId="701" priority="781" operator="equal">
      <formula>"INVALID"</formula>
    </cfRule>
  </conditionalFormatting>
  <conditionalFormatting sqref="AS126">
    <cfRule type="expression" dxfId="700" priority="780">
      <formula>EXACT(AF126, "INVALID")</formula>
    </cfRule>
  </conditionalFormatting>
  <conditionalFormatting sqref="AZ126">
    <cfRule type="expression" dxfId="699" priority="779">
      <formula>AND(NOT(ISBLANK(AZ126)), EXACT(AF126, "INVALID"))</formula>
    </cfRule>
  </conditionalFormatting>
  <conditionalFormatting sqref="BA126">
    <cfRule type="expression" dxfId="698" priority="778">
      <formula>AND(NOT(ISBLANK(BA126)), EXACT(AF126, "INVALID"))</formula>
    </cfRule>
  </conditionalFormatting>
  <conditionalFormatting sqref="AR126 AR128:AR135">
    <cfRule type="cellIs" dxfId="697" priority="777" operator="equal">
      <formula>"Not Assigned"</formula>
    </cfRule>
  </conditionalFormatting>
  <conditionalFormatting sqref="AQ127">
    <cfRule type="expression" dxfId="696" priority="775">
      <formula>RIGHT($AQ127, 1)="*"</formula>
    </cfRule>
    <cfRule type="expression" dxfId="695" priority="776" stopIfTrue="1">
      <formula>REPLACE($AQ127,8,LEN($AQ127),"")="unused_"</formula>
    </cfRule>
  </conditionalFormatting>
  <conditionalFormatting sqref="AF127 AI127">
    <cfRule type="cellIs" dxfId="694" priority="774" operator="equal">
      <formula>"INVALID"</formula>
    </cfRule>
  </conditionalFormatting>
  <conditionalFormatting sqref="AS127">
    <cfRule type="expression" dxfId="693" priority="773">
      <formula>EXACT(AF127, "INVALID")</formula>
    </cfRule>
  </conditionalFormatting>
  <conditionalFormatting sqref="AZ127">
    <cfRule type="expression" dxfId="692" priority="772">
      <formula>AND(NOT(ISBLANK(AZ127)), EXACT(AF127, "INVALID"))</formula>
    </cfRule>
  </conditionalFormatting>
  <conditionalFormatting sqref="BA127">
    <cfRule type="expression" dxfId="691" priority="771">
      <formula>AND(NOT(ISBLANK(BA127)), EXACT(AF127, "INVALID"))</formula>
    </cfRule>
  </conditionalFormatting>
  <conditionalFormatting sqref="AR127">
    <cfRule type="cellIs" dxfId="690" priority="770" operator="equal">
      <formula>"Not Assigned"</formula>
    </cfRule>
  </conditionalFormatting>
  <conditionalFormatting sqref="AJ126:AJ135">
    <cfRule type="cellIs" dxfId="689" priority="769" operator="equal">
      <formula>FALSE</formula>
    </cfRule>
  </conditionalFormatting>
  <conditionalFormatting sqref="AK126:AK135">
    <cfRule type="cellIs" dxfId="688" priority="768" operator="equal">
      <formula>FALSE</formula>
    </cfRule>
  </conditionalFormatting>
  <conditionalFormatting sqref="AL126:AL135">
    <cfRule type="cellIs" dxfId="687" priority="767" operator="equal">
      <formula>FALSE</formula>
    </cfRule>
  </conditionalFormatting>
  <conditionalFormatting sqref="AM126:AM135">
    <cfRule type="cellIs" dxfId="686" priority="766" operator="equal">
      <formula>FALSE</formula>
    </cfRule>
  </conditionalFormatting>
  <conditionalFormatting sqref="AN126:AN135">
    <cfRule type="cellIs" dxfId="685" priority="765" operator="equal">
      <formula>FALSE</formula>
    </cfRule>
  </conditionalFormatting>
  <conditionalFormatting sqref="AP126:AP135">
    <cfRule type="cellIs" dxfId="684" priority="764" operator="equal">
      <formula>"INVALID"</formula>
    </cfRule>
  </conditionalFormatting>
  <conditionalFormatting sqref="AJ126:AJ135">
    <cfRule type="cellIs" dxfId="683" priority="763" operator="equal">
      <formula>"INVALID"</formula>
    </cfRule>
  </conditionalFormatting>
  <conditionalFormatting sqref="AK126:AK135">
    <cfRule type="cellIs" dxfId="682" priority="762" operator="equal">
      <formula>"INVALID"</formula>
    </cfRule>
  </conditionalFormatting>
  <conditionalFormatting sqref="AL126:AM135">
    <cfRule type="cellIs" dxfId="681" priority="761" operator="equal">
      <formula>"INVALID"</formula>
    </cfRule>
  </conditionalFormatting>
  <conditionalFormatting sqref="AK126:AK135">
    <cfRule type="cellIs" dxfId="680" priority="760" operator="equal">
      <formula>"INVALID"</formula>
    </cfRule>
  </conditionalFormatting>
  <conditionalFormatting sqref="AL126:AL135">
    <cfRule type="cellIs" dxfId="679" priority="759" operator="equal">
      <formula>"INVALID"</formula>
    </cfRule>
  </conditionalFormatting>
  <conditionalFormatting sqref="AM126:AM135">
    <cfRule type="cellIs" dxfId="678" priority="758" operator="equal">
      <formula>"INVALID"</formula>
    </cfRule>
  </conditionalFormatting>
  <conditionalFormatting sqref="AN126:AN135">
    <cfRule type="cellIs" dxfId="677" priority="757" operator="equal">
      <formula>"INVALID"</formula>
    </cfRule>
  </conditionalFormatting>
  <conditionalFormatting sqref="AO126:AO135">
    <cfRule type="cellIs" dxfId="676" priority="756" operator="equal">
      <formula>FALSE</formula>
    </cfRule>
  </conditionalFormatting>
  <conditionalFormatting sqref="AO126:AO135">
    <cfRule type="cellIs" dxfId="675" priority="755" operator="equal">
      <formula>"INVALID"</formula>
    </cfRule>
  </conditionalFormatting>
  <conditionalFormatting sqref="AO126:AO135">
    <cfRule type="cellIs" dxfId="674" priority="754" operator="equal">
      <formula>"INVALID"</formula>
    </cfRule>
  </conditionalFormatting>
  <conditionalFormatting sqref="AI126:AI135">
    <cfRule type="cellIs" dxfId="673" priority="753" operator="equal">
      <formula>"INVALID"</formula>
    </cfRule>
  </conditionalFormatting>
  <conditionalFormatting sqref="AT129">
    <cfRule type="expression" dxfId="672" priority="752">
      <formula>NOT($AM129)</formula>
    </cfRule>
  </conditionalFormatting>
  <conditionalFormatting sqref="AG126:AG135">
    <cfRule type="cellIs" dxfId="671" priority="747" operator="equal">
      <formula>"INVALID"</formula>
    </cfRule>
  </conditionalFormatting>
  <conditionalFormatting sqref="AG126:AG135">
    <cfRule type="cellIs" dxfId="670" priority="746" operator="equal">
      <formula>"INVALID"</formula>
    </cfRule>
  </conditionalFormatting>
  <conditionalFormatting sqref="AG126:AG135">
    <cfRule type="cellIs" dxfId="669" priority="745" operator="equal">
      <formula>"INVALID"</formula>
    </cfRule>
  </conditionalFormatting>
  <conditionalFormatting sqref="AG143:AG148">
    <cfRule type="cellIs" dxfId="668" priority="698" operator="equal">
      <formula>"INVALID"</formula>
    </cfRule>
  </conditionalFormatting>
  <conditionalFormatting sqref="AG149:AG150">
    <cfRule type="cellIs" dxfId="667" priority="664" operator="equal">
      <formula>"INVALID"</formula>
    </cfRule>
  </conditionalFormatting>
  <conditionalFormatting sqref="AD145:AD146 AI143:AI148 AF143:AF148 AD148">
    <cfRule type="cellIs" dxfId="666" priority="741" operator="equal">
      <formula>"INVALID"</formula>
    </cfRule>
  </conditionalFormatting>
  <conditionalFormatting sqref="AS143:AS148">
    <cfRule type="expression" dxfId="665" priority="739">
      <formula>EXACT(AF143, "INVALID")</formula>
    </cfRule>
  </conditionalFormatting>
  <conditionalFormatting sqref="AZ143:AZ148">
    <cfRule type="expression" dxfId="664" priority="738">
      <formula>AND(NOT(ISBLANK(AZ143)), EXACT(AF143, "INVALID"))</formula>
    </cfRule>
  </conditionalFormatting>
  <conditionalFormatting sqref="BA143:BA148">
    <cfRule type="expression" dxfId="663" priority="737">
      <formula>AND(NOT(ISBLANK(BA143)), EXACT(AF143, "INVALID"))</formula>
    </cfRule>
  </conditionalFormatting>
  <conditionalFormatting sqref="AR143:AR148">
    <cfRule type="expression" dxfId="662" priority="736">
      <formula>NOT($AL143)</formula>
    </cfRule>
  </conditionalFormatting>
  <conditionalFormatting sqref="AR143:AR148">
    <cfRule type="cellIs" dxfId="661" priority="735" operator="equal">
      <formula>"Not Assigned"</formula>
    </cfRule>
  </conditionalFormatting>
  <conditionalFormatting sqref="AQ143:AQ148">
    <cfRule type="expression" dxfId="660" priority="740" stopIfTrue="1">
      <formula>REPLACE($AQ143,8,LEN($AQ143),"")="unused_"</formula>
    </cfRule>
  </conditionalFormatting>
  <conditionalFormatting sqref="AJ143:AJ148">
    <cfRule type="cellIs" dxfId="659" priority="733" operator="equal">
      <formula>FALSE</formula>
    </cfRule>
  </conditionalFormatting>
  <conditionalFormatting sqref="AK143:AK148">
    <cfRule type="cellIs" dxfId="658" priority="732" operator="equal">
      <formula>FALSE</formula>
    </cfRule>
  </conditionalFormatting>
  <conditionalFormatting sqref="AL143:AL148">
    <cfRule type="cellIs" dxfId="657" priority="731" operator="equal">
      <formula>FALSE</formula>
    </cfRule>
  </conditionalFormatting>
  <conditionalFormatting sqref="AM143:AM148">
    <cfRule type="cellIs" dxfId="656" priority="730" operator="equal">
      <formula>FALSE</formula>
    </cfRule>
  </conditionalFormatting>
  <conditionalFormatting sqref="AN143:AN148">
    <cfRule type="cellIs" dxfId="655" priority="729" operator="equal">
      <formula>FALSE</formula>
    </cfRule>
  </conditionalFormatting>
  <conditionalFormatting sqref="AP143:AP148">
    <cfRule type="cellIs" dxfId="654" priority="728" operator="equal">
      <formula>"INVALID"</formula>
    </cfRule>
  </conditionalFormatting>
  <conditionalFormatting sqref="AJ143:AJ148">
    <cfRule type="cellIs" dxfId="653" priority="727" operator="equal">
      <formula>"INVALID"</formula>
    </cfRule>
  </conditionalFormatting>
  <conditionalFormatting sqref="AK143:AK148">
    <cfRule type="cellIs" dxfId="652" priority="726" operator="equal">
      <formula>"INVALID"</formula>
    </cfRule>
  </conditionalFormatting>
  <conditionalFormatting sqref="AL143:AM148">
    <cfRule type="cellIs" dxfId="651" priority="725" operator="equal">
      <formula>"INVALID"</formula>
    </cfRule>
  </conditionalFormatting>
  <conditionalFormatting sqref="AK143:AK148">
    <cfRule type="cellIs" dxfId="650" priority="724" operator="equal">
      <formula>"INVALID"</formula>
    </cfRule>
  </conditionalFormatting>
  <conditionalFormatting sqref="AL143:AL148">
    <cfRule type="cellIs" dxfId="649" priority="723" operator="equal">
      <formula>"INVALID"</formula>
    </cfRule>
  </conditionalFormatting>
  <conditionalFormatting sqref="AM143:AM148">
    <cfRule type="cellIs" dxfId="648" priority="722" operator="equal">
      <formula>"INVALID"</formula>
    </cfRule>
  </conditionalFormatting>
  <conditionalFormatting sqref="AN143:AN148">
    <cfRule type="cellIs" dxfId="647" priority="721" operator="equal">
      <formula>"INVALID"</formula>
    </cfRule>
  </conditionalFormatting>
  <conditionalFormatting sqref="AQ143:AQ148">
    <cfRule type="expression" dxfId="646" priority="720">
      <formula>NOT($AJ143)</formula>
    </cfRule>
    <cfRule type="expression" dxfId="645" priority="734">
      <formula>RIGHT($AQ143, 1)="*"</formula>
    </cfRule>
  </conditionalFormatting>
  <conditionalFormatting sqref="AZ143:BA148">
    <cfRule type="expression" dxfId="644" priority="719">
      <formula>NOT($AN143)</formula>
    </cfRule>
  </conditionalFormatting>
  <conditionalFormatting sqref="AS143:AS148">
    <cfRule type="expression" dxfId="643" priority="718">
      <formula>NOT($AK143)</formula>
    </cfRule>
  </conditionalFormatting>
  <conditionalFormatting sqref="AO143:AO148">
    <cfRule type="cellIs" dxfId="642" priority="717" operator="equal">
      <formula>FALSE</formula>
    </cfRule>
  </conditionalFormatting>
  <conditionalFormatting sqref="AO143:AO148">
    <cfRule type="cellIs" dxfId="641" priority="716" operator="equal">
      <formula>"INVALID"</formula>
    </cfRule>
  </conditionalFormatting>
  <conditionalFormatting sqref="AO143:AO148">
    <cfRule type="cellIs" dxfId="640" priority="715" operator="equal">
      <formula>"INVALID"</formula>
    </cfRule>
  </conditionalFormatting>
  <conditionalFormatting sqref="AI143:AI148">
    <cfRule type="cellIs" dxfId="639" priority="714" operator="equal">
      <formula>"INVALID"</formula>
    </cfRule>
  </conditionalFormatting>
  <conditionalFormatting sqref="AI143:AI148">
    <cfRule type="cellIs" dxfId="638" priority="713" operator="equal">
      <formula>"INVALID"</formula>
    </cfRule>
  </conditionalFormatting>
  <conditionalFormatting sqref="AI143:AI148">
    <cfRule type="cellIs" dxfId="637" priority="712" operator="equal">
      <formula>"INVALID"</formula>
    </cfRule>
  </conditionalFormatting>
  <conditionalFormatting sqref="AT145:AT146">
    <cfRule type="expression" dxfId="636" priority="711">
      <formula>NOT($AM145)</formula>
    </cfRule>
  </conditionalFormatting>
  <conditionalFormatting sqref="AG143:AG148">
    <cfRule type="cellIs" dxfId="635" priority="707" operator="equal">
      <formula>"INVALID"</formula>
    </cfRule>
  </conditionalFormatting>
  <conditionalFormatting sqref="AG143:AG148">
    <cfRule type="cellIs" dxfId="634" priority="710" operator="equal">
      <formula>"INVALID"</formula>
    </cfRule>
  </conditionalFormatting>
  <conditionalFormatting sqref="AG143:AG148">
    <cfRule type="cellIs" dxfId="633" priority="709" operator="equal">
      <formula>"INVALID"</formula>
    </cfRule>
  </conditionalFormatting>
  <conditionalFormatting sqref="AG143:AG148">
    <cfRule type="cellIs" dxfId="632" priority="706" operator="equal">
      <formula>"INVALID"</formula>
    </cfRule>
  </conditionalFormatting>
  <conditionalFormatting sqref="AG143:AG148">
    <cfRule type="cellIs" dxfId="631" priority="705" operator="equal">
      <formula>"INVALID"</formula>
    </cfRule>
  </conditionalFormatting>
  <conditionalFormatting sqref="AG143:AG148">
    <cfRule type="cellIs" dxfId="630" priority="708" operator="equal">
      <formula>"INVALID"</formula>
    </cfRule>
  </conditionalFormatting>
  <conditionalFormatting sqref="AG143:AG148">
    <cfRule type="cellIs" dxfId="629" priority="704" operator="equal">
      <formula>"INVALID"</formula>
    </cfRule>
  </conditionalFormatting>
  <conditionalFormatting sqref="AG143:AG148">
    <cfRule type="cellIs" dxfId="628" priority="703" operator="equal">
      <formula>"INVALID"</formula>
    </cfRule>
  </conditionalFormatting>
  <conditionalFormatting sqref="AG143:AG148">
    <cfRule type="cellIs" dxfId="627" priority="702" operator="equal">
      <formula>"INVALID"</formula>
    </cfRule>
  </conditionalFormatting>
  <conditionalFormatting sqref="AG143:AG148">
    <cfRule type="cellIs" dxfId="626" priority="701" operator="equal">
      <formula>"INVALID"</formula>
    </cfRule>
  </conditionalFormatting>
  <conditionalFormatting sqref="AG143:AG148">
    <cfRule type="cellIs" dxfId="625" priority="700" operator="equal">
      <formula>"INVALID"</formula>
    </cfRule>
  </conditionalFormatting>
  <conditionalFormatting sqref="AG143:AG148">
    <cfRule type="cellIs" dxfId="624" priority="699" operator="equal">
      <formula>"INVALID"</formula>
    </cfRule>
  </conditionalFormatting>
  <conditionalFormatting sqref="AI149:AI150 AF149:AF150">
    <cfRule type="cellIs" dxfId="623" priority="697" operator="equal">
      <formula>"INVALID"</formula>
    </cfRule>
  </conditionalFormatting>
  <conditionalFormatting sqref="AR149:AR150">
    <cfRule type="cellIs" dxfId="622" priority="696" operator="equal">
      <formula>"Not Assigned"</formula>
    </cfRule>
  </conditionalFormatting>
  <conditionalFormatting sqref="AJ149:AJ150">
    <cfRule type="cellIs" dxfId="621" priority="695" operator="equal">
      <formula>FALSE</formula>
    </cfRule>
  </conditionalFormatting>
  <conditionalFormatting sqref="AK149:AK150">
    <cfRule type="cellIs" dxfId="620" priority="694" operator="equal">
      <formula>FALSE</formula>
    </cfRule>
  </conditionalFormatting>
  <conditionalFormatting sqref="AL149:AL150">
    <cfRule type="cellIs" dxfId="619" priority="693" operator="equal">
      <formula>FALSE</formula>
    </cfRule>
  </conditionalFormatting>
  <conditionalFormatting sqref="AM149:AM150">
    <cfRule type="cellIs" dxfId="618" priority="692" operator="equal">
      <formula>FALSE</formula>
    </cfRule>
  </conditionalFormatting>
  <conditionalFormatting sqref="AN149:AN150">
    <cfRule type="cellIs" dxfId="617" priority="691" operator="equal">
      <formula>FALSE</formula>
    </cfRule>
  </conditionalFormatting>
  <conditionalFormatting sqref="AP149:AP150">
    <cfRule type="cellIs" dxfId="616" priority="690" operator="equal">
      <formula>"INVALID"</formula>
    </cfRule>
  </conditionalFormatting>
  <conditionalFormatting sqref="AJ149:AJ150">
    <cfRule type="cellIs" dxfId="615" priority="689" operator="equal">
      <formula>"INVALID"</formula>
    </cfRule>
  </conditionalFormatting>
  <conditionalFormatting sqref="AK149:AK150">
    <cfRule type="cellIs" dxfId="614" priority="688" operator="equal">
      <formula>"INVALID"</formula>
    </cfRule>
  </conditionalFormatting>
  <conditionalFormatting sqref="AL149:AM150">
    <cfRule type="cellIs" dxfId="613" priority="687" operator="equal">
      <formula>"INVALID"</formula>
    </cfRule>
  </conditionalFormatting>
  <conditionalFormatting sqref="AK149:AK150">
    <cfRule type="cellIs" dxfId="612" priority="686" operator="equal">
      <formula>"INVALID"</formula>
    </cfRule>
  </conditionalFormatting>
  <conditionalFormatting sqref="AL149:AL150">
    <cfRule type="cellIs" dxfId="611" priority="685" operator="equal">
      <formula>"INVALID"</formula>
    </cfRule>
  </conditionalFormatting>
  <conditionalFormatting sqref="AM149:AM150">
    <cfRule type="cellIs" dxfId="610" priority="684" operator="equal">
      <formula>"INVALID"</formula>
    </cfRule>
  </conditionalFormatting>
  <conditionalFormatting sqref="AN149:AN150">
    <cfRule type="cellIs" dxfId="609" priority="683" operator="equal">
      <formula>"INVALID"</formula>
    </cfRule>
  </conditionalFormatting>
  <conditionalFormatting sqref="AO149:AO150">
    <cfRule type="cellIs" dxfId="608" priority="682" operator="equal">
      <formula>FALSE</formula>
    </cfRule>
  </conditionalFormatting>
  <conditionalFormatting sqref="AO149:AO150">
    <cfRule type="cellIs" dxfId="607" priority="681" operator="equal">
      <formula>"INVALID"</formula>
    </cfRule>
  </conditionalFormatting>
  <conditionalFormatting sqref="AO149:AO150">
    <cfRule type="cellIs" dxfId="606" priority="680" operator="equal">
      <formula>"INVALID"</formula>
    </cfRule>
  </conditionalFormatting>
  <conditionalFormatting sqref="AI149:AI150">
    <cfRule type="cellIs" dxfId="605" priority="679" operator="equal">
      <formula>"INVALID"</formula>
    </cfRule>
  </conditionalFormatting>
  <conditionalFormatting sqref="AI149:AI150">
    <cfRule type="cellIs" dxfId="604" priority="678" operator="equal">
      <formula>"INVALID"</formula>
    </cfRule>
  </conditionalFormatting>
  <conditionalFormatting sqref="AI149:AI150">
    <cfRule type="cellIs" dxfId="603" priority="677" operator="equal">
      <formula>"INVALID"</formula>
    </cfRule>
  </conditionalFormatting>
  <conditionalFormatting sqref="AG149:AG150">
    <cfRule type="cellIs" dxfId="602" priority="676" operator="equal">
      <formula>"INVALID"</formula>
    </cfRule>
  </conditionalFormatting>
  <conditionalFormatting sqref="AG149:AG150">
    <cfRule type="cellIs" dxfId="601" priority="675" operator="equal">
      <formula>"INVALID"</formula>
    </cfRule>
  </conditionalFormatting>
  <conditionalFormatting sqref="AG149:AG150">
    <cfRule type="cellIs" dxfId="600" priority="674" operator="equal">
      <formula>"INVALID"</formula>
    </cfRule>
  </conditionalFormatting>
  <conditionalFormatting sqref="AG149:AG150">
    <cfRule type="cellIs" dxfId="599" priority="670" operator="equal">
      <formula>"INVALID"</formula>
    </cfRule>
  </conditionalFormatting>
  <conditionalFormatting sqref="AG149:AG150">
    <cfRule type="cellIs" dxfId="598" priority="672" operator="equal">
      <formula>"INVALID"</formula>
    </cfRule>
  </conditionalFormatting>
  <conditionalFormatting sqref="AG149:AG150">
    <cfRule type="cellIs" dxfId="597" priority="673" operator="equal">
      <formula>"INVALID"</formula>
    </cfRule>
  </conditionalFormatting>
  <conditionalFormatting sqref="AG149:AG150">
    <cfRule type="cellIs" dxfId="596" priority="669" operator="equal">
      <formula>"INVALID"</formula>
    </cfRule>
  </conditionalFormatting>
  <conditionalFormatting sqref="AG149:AG150">
    <cfRule type="cellIs" dxfId="595" priority="668" operator="equal">
      <formula>"INVALID"</formula>
    </cfRule>
  </conditionalFormatting>
  <conditionalFormatting sqref="AG149:AG150">
    <cfRule type="cellIs" dxfId="594" priority="671" operator="equal">
      <formula>"INVALID"</formula>
    </cfRule>
  </conditionalFormatting>
  <conditionalFormatting sqref="AG149:AG150">
    <cfRule type="cellIs" dxfId="593" priority="667" operator="equal">
      <formula>"INVALID"</formula>
    </cfRule>
  </conditionalFormatting>
  <conditionalFormatting sqref="AG149:AG150">
    <cfRule type="cellIs" dxfId="592" priority="666" operator="equal">
      <formula>"INVALID"</formula>
    </cfRule>
  </conditionalFormatting>
  <conditionalFormatting sqref="AG149:AG150">
    <cfRule type="cellIs" dxfId="591" priority="665" operator="equal">
      <formula>"INVALID"</formula>
    </cfRule>
  </conditionalFormatting>
  <conditionalFormatting sqref="AF163:AG163 AI163:AP163">
    <cfRule type="cellIs" dxfId="590" priority="663" operator="equal">
      <formula>"INVALID"</formula>
    </cfRule>
  </conditionalFormatting>
  <conditionalFormatting sqref="AR163">
    <cfRule type="cellIs" dxfId="589" priority="662" operator="equal">
      <formula>"Not Assigned"</formula>
    </cfRule>
  </conditionalFormatting>
  <conditionalFormatting sqref="AJ163:AO163">
    <cfRule type="cellIs" dxfId="588" priority="661" operator="equal">
      <formula>FALSE</formula>
    </cfRule>
  </conditionalFormatting>
  <conditionalFormatting sqref="AG163">
    <cfRule type="cellIs" dxfId="587" priority="659" operator="equal">
      <formula>"INVALID"</formula>
    </cfRule>
  </conditionalFormatting>
  <conditionalFormatting sqref="AG163">
    <cfRule type="cellIs" dxfId="586" priority="660" operator="equal">
      <formula>"INVALID"</formula>
    </cfRule>
  </conditionalFormatting>
  <conditionalFormatting sqref="AG163">
    <cfRule type="cellIs" dxfId="585" priority="658" operator="equal">
      <formula>"INVALID"</formula>
    </cfRule>
  </conditionalFormatting>
  <conditionalFormatting sqref="AG163">
    <cfRule type="cellIs" dxfId="584" priority="657" operator="equal">
      <formula>"INVALID"</formula>
    </cfRule>
  </conditionalFormatting>
  <conditionalFormatting sqref="AG163">
    <cfRule type="cellIs" dxfId="583" priority="654" operator="equal">
      <formula>"INVALID"</formula>
    </cfRule>
  </conditionalFormatting>
  <conditionalFormatting sqref="AG163">
    <cfRule type="cellIs" dxfId="582" priority="656" operator="equal">
      <formula>"INVALID"</formula>
    </cfRule>
  </conditionalFormatting>
  <conditionalFormatting sqref="AG163">
    <cfRule type="cellIs" dxfId="581" priority="655" operator="equal">
      <formula>"INVALID"</formula>
    </cfRule>
  </conditionalFormatting>
  <conditionalFormatting sqref="AG163">
    <cfRule type="cellIs" dxfId="580" priority="653" operator="equal">
      <formula>"INVALID"</formula>
    </cfRule>
  </conditionalFormatting>
  <conditionalFormatting sqref="AG163">
    <cfRule type="cellIs" dxfId="579" priority="652" operator="equal">
      <formula>"INVALID"</formula>
    </cfRule>
  </conditionalFormatting>
  <conditionalFormatting sqref="AG163">
    <cfRule type="cellIs" dxfId="578" priority="651" operator="equal">
      <formula>"INVALID"</formula>
    </cfRule>
  </conditionalFormatting>
  <conditionalFormatting sqref="AG163">
    <cfRule type="cellIs" dxfId="577" priority="650" operator="equal">
      <formula>"INVALID"</formula>
    </cfRule>
  </conditionalFormatting>
  <conditionalFormatting sqref="AG163">
    <cfRule type="cellIs" dxfId="576" priority="649" operator="equal">
      <formula>"INVALID"</formula>
    </cfRule>
  </conditionalFormatting>
  <conditionalFormatting sqref="AD163">
    <cfRule type="cellIs" dxfId="575" priority="648" operator="equal">
      <formula>"INVALID"</formula>
    </cfRule>
  </conditionalFormatting>
  <conditionalFormatting sqref="AR197:AR198">
    <cfRule type="cellIs" dxfId="574" priority="647" operator="equal">
      <formula>"Not Assigned"</formula>
    </cfRule>
  </conditionalFormatting>
  <conditionalFormatting sqref="AI197:AJ198 AE197:AF198 AL197:AP198">
    <cfRule type="cellIs" dxfId="573" priority="646" operator="equal">
      <formula>"INVALID"</formula>
    </cfRule>
  </conditionalFormatting>
  <conditionalFormatting sqref="AJ197:AJ198 AL197:AO198">
    <cfRule type="cellIs" dxfId="572" priority="645" operator="equal">
      <formula>FALSE</formula>
    </cfRule>
  </conditionalFormatting>
  <conditionalFormatting sqref="AT198">
    <cfRule type="expression" dxfId="571" priority="644">
      <formula>NOT($AM198)</formula>
    </cfRule>
  </conditionalFormatting>
  <conditionalFormatting sqref="AG197:AG198">
    <cfRule type="cellIs" dxfId="570" priority="643" operator="equal">
      <formula>"INVALID"</formula>
    </cfRule>
  </conditionalFormatting>
  <conditionalFormatting sqref="AG197:AG198">
    <cfRule type="cellIs" dxfId="569" priority="642" operator="equal">
      <formula>"INVALID"</formula>
    </cfRule>
  </conditionalFormatting>
  <conditionalFormatting sqref="AG197:AG198">
    <cfRule type="cellIs" dxfId="568" priority="641" operator="equal">
      <formula>"INVALID"</formula>
    </cfRule>
  </conditionalFormatting>
  <conditionalFormatting sqref="AG197:AG198">
    <cfRule type="cellIs" dxfId="567" priority="639" operator="equal">
      <formula>"INVALID"</formula>
    </cfRule>
  </conditionalFormatting>
  <conditionalFormatting sqref="AG197:AG198">
    <cfRule type="cellIs" dxfId="566" priority="640" operator="equal">
      <formula>"INVALID"</formula>
    </cfRule>
  </conditionalFormatting>
  <conditionalFormatting sqref="AG197:AG198">
    <cfRule type="cellIs" dxfId="565" priority="638" operator="equal">
      <formula>"INVALID"</formula>
    </cfRule>
  </conditionalFormatting>
  <conditionalFormatting sqref="AG197:AG198">
    <cfRule type="cellIs" dxfId="564" priority="637" operator="equal">
      <formula>"INVALID"</formula>
    </cfRule>
  </conditionalFormatting>
  <conditionalFormatting sqref="AG197:AG198">
    <cfRule type="cellIs" dxfId="563" priority="634" operator="equal">
      <formula>"INVALID"</formula>
    </cfRule>
  </conditionalFormatting>
  <conditionalFormatting sqref="AG197:AG198">
    <cfRule type="cellIs" dxfId="562" priority="636" operator="equal">
      <formula>"INVALID"</formula>
    </cfRule>
  </conditionalFormatting>
  <conditionalFormatting sqref="AG197:AG198">
    <cfRule type="cellIs" dxfId="561" priority="635" operator="equal">
      <formula>"INVALID"</formula>
    </cfRule>
  </conditionalFormatting>
  <conditionalFormatting sqref="AG197:AG198">
    <cfRule type="cellIs" dxfId="560" priority="633" operator="equal">
      <formula>"INVALID"</formula>
    </cfRule>
  </conditionalFormatting>
  <conditionalFormatting sqref="AG197:AG198">
    <cfRule type="cellIs" dxfId="559" priority="632" operator="equal">
      <formula>"INVALID"</formula>
    </cfRule>
  </conditionalFormatting>
  <conditionalFormatting sqref="AG197:AG198">
    <cfRule type="cellIs" dxfId="558" priority="631" operator="equal">
      <formula>"INVALID"</formula>
    </cfRule>
  </conditionalFormatting>
  <conditionalFormatting sqref="AG197:AG198">
    <cfRule type="cellIs" dxfId="557" priority="630" operator="equal">
      <formula>"INVALID"</formula>
    </cfRule>
  </conditionalFormatting>
  <conditionalFormatting sqref="AG197:AG198">
    <cfRule type="cellIs" dxfId="556" priority="629" operator="equal">
      <formula>"INVALID"</formula>
    </cfRule>
  </conditionalFormatting>
  <conditionalFormatting sqref="AF208 AH208:AI208">
    <cfRule type="cellIs" dxfId="555" priority="628" operator="equal">
      <formula>"INVALID"</formula>
    </cfRule>
  </conditionalFormatting>
  <conditionalFormatting sqref="AG208">
    <cfRule type="cellIs" dxfId="554" priority="627" operator="equal">
      <formula>"INVALID"</formula>
    </cfRule>
  </conditionalFormatting>
  <conditionalFormatting sqref="AF211 AH211:AI211">
    <cfRule type="cellIs" dxfId="553" priority="626" operator="equal">
      <formula>"INVALID"</formula>
    </cfRule>
  </conditionalFormatting>
  <conditionalFormatting sqref="AG211">
    <cfRule type="cellIs" dxfId="552" priority="625" operator="equal">
      <formula>"INVALID"</formula>
    </cfRule>
  </conditionalFormatting>
  <conditionalFormatting sqref="AF214 AH214:AI214">
    <cfRule type="cellIs" dxfId="551" priority="624" operator="equal">
      <formula>"INVALID"</formula>
    </cfRule>
  </conditionalFormatting>
  <conditionalFormatting sqref="AG214">
    <cfRule type="cellIs" dxfId="550" priority="623" operator="equal">
      <formula>"INVALID"</formula>
    </cfRule>
  </conditionalFormatting>
  <conditionalFormatting sqref="AF227 AH227:AI227">
    <cfRule type="cellIs" dxfId="549" priority="622" operator="equal">
      <formula>"INVALID"</formula>
    </cfRule>
  </conditionalFormatting>
  <conditionalFormatting sqref="AG227">
    <cfRule type="cellIs" dxfId="548" priority="621" operator="equal">
      <formula>"INVALID"</formula>
    </cfRule>
  </conditionalFormatting>
  <conditionalFormatting sqref="AR251 AR259:AR263">
    <cfRule type="cellIs" dxfId="547" priority="620" operator="equal">
      <formula>"Not Assigned"</formula>
    </cfRule>
  </conditionalFormatting>
  <conditionalFormatting sqref="AE259:AF263 AD251:AF251">
    <cfRule type="cellIs" dxfId="546" priority="619" operator="equal">
      <formula>"INVALID"</formula>
    </cfRule>
  </conditionalFormatting>
  <conditionalFormatting sqref="AS251 AS259:AS263">
    <cfRule type="expression" dxfId="545" priority="618">
      <formula>EXACT(AF251, "INVALID")</formula>
    </cfRule>
  </conditionalFormatting>
  <conditionalFormatting sqref="AZ251">
    <cfRule type="expression" dxfId="544" priority="617">
      <formula>AND(NOT(ISBLANK(AZ251)), EXACT(AF251, "INVALID"))</formula>
    </cfRule>
  </conditionalFormatting>
  <conditionalFormatting sqref="BA251">
    <cfRule type="expression" dxfId="543" priority="616">
      <formula>AND(NOT(ISBLANK(BA251)), EXACT(AF251, "INVALID"))</formula>
    </cfRule>
  </conditionalFormatting>
  <conditionalFormatting sqref="AR251">
    <cfRule type="expression" dxfId="542" priority="615">
      <formula>NOT($AL251)</formula>
    </cfRule>
  </conditionalFormatting>
  <conditionalFormatting sqref="R263">
    <cfRule type="cellIs" dxfId="541" priority="614" operator="equal">
      <formula>"INVALID"</formula>
    </cfRule>
  </conditionalFormatting>
  <conditionalFormatting sqref="S263">
    <cfRule type="cellIs" dxfId="540" priority="613" operator="equal">
      <formula>"INVALID"</formula>
    </cfRule>
  </conditionalFormatting>
  <conditionalFormatting sqref="T263">
    <cfRule type="cellIs" dxfId="539" priority="612" operator="equal">
      <formula>"INVALID"</formula>
    </cfRule>
  </conditionalFormatting>
  <conditionalFormatting sqref="V263">
    <cfRule type="cellIs" dxfId="538" priority="611" operator="equal">
      <formula>"INVALID"</formula>
    </cfRule>
  </conditionalFormatting>
  <conditionalFormatting sqref="AJ251 AJ259:AJ263">
    <cfRule type="cellIs" dxfId="537" priority="610" operator="equal">
      <formula>FALSE</formula>
    </cfRule>
  </conditionalFormatting>
  <conditionalFormatting sqref="AK251 AK259:AK263">
    <cfRule type="cellIs" dxfId="536" priority="609" operator="equal">
      <formula>FALSE</formula>
    </cfRule>
  </conditionalFormatting>
  <conditionalFormatting sqref="AL251 AL259:AL263">
    <cfRule type="cellIs" dxfId="535" priority="608" operator="equal">
      <formula>FALSE</formula>
    </cfRule>
  </conditionalFormatting>
  <conditionalFormatting sqref="AM251 AM259:AM263">
    <cfRule type="cellIs" dxfId="534" priority="607" operator="equal">
      <formula>FALSE</formula>
    </cfRule>
  </conditionalFormatting>
  <conditionalFormatting sqref="AN251 AN259:AN263">
    <cfRule type="cellIs" dxfId="533" priority="606" operator="equal">
      <formula>FALSE</formula>
    </cfRule>
  </conditionalFormatting>
  <conditionalFormatting sqref="AP251 AP259:AP263">
    <cfRule type="cellIs" dxfId="532" priority="605" operator="equal">
      <formula>"INVALID"</formula>
    </cfRule>
  </conditionalFormatting>
  <conditionalFormatting sqref="AJ251 AJ259:AJ263">
    <cfRule type="cellIs" dxfId="531" priority="604" operator="equal">
      <formula>"INVALID"</formula>
    </cfRule>
  </conditionalFormatting>
  <conditionalFormatting sqref="AK251 AK259:AK263">
    <cfRule type="cellIs" dxfId="530" priority="603" operator="equal">
      <formula>"INVALID"</formula>
    </cfRule>
  </conditionalFormatting>
  <conditionalFormatting sqref="AL251:AM251 AL259:AM263">
    <cfRule type="cellIs" dxfId="529" priority="602" operator="equal">
      <formula>"INVALID"</formula>
    </cfRule>
  </conditionalFormatting>
  <conditionalFormatting sqref="AK251 AK259:AK263">
    <cfRule type="cellIs" dxfId="528" priority="601" operator="equal">
      <formula>"INVALID"</formula>
    </cfRule>
  </conditionalFormatting>
  <conditionalFormatting sqref="AL251 AL259:AL263">
    <cfRule type="cellIs" dxfId="527" priority="600" operator="equal">
      <formula>"INVALID"</formula>
    </cfRule>
  </conditionalFormatting>
  <conditionalFormatting sqref="AM251 AM259:AM263">
    <cfRule type="cellIs" dxfId="526" priority="599" operator="equal">
      <formula>"INVALID"</formula>
    </cfRule>
  </conditionalFormatting>
  <conditionalFormatting sqref="AN251 AN259:AN263">
    <cfRule type="cellIs" dxfId="525" priority="598" operator="equal">
      <formula>"INVALID"</formula>
    </cfRule>
  </conditionalFormatting>
  <conditionalFormatting sqref="AZ251:BA251">
    <cfRule type="expression" dxfId="524" priority="597">
      <formula>NOT($AN251)</formula>
    </cfRule>
  </conditionalFormatting>
  <conditionalFormatting sqref="AS251">
    <cfRule type="expression" dxfId="523" priority="596">
      <formula>NOT($AK251)</formula>
    </cfRule>
  </conditionalFormatting>
  <conditionalFormatting sqref="AO251 AO259:AO263">
    <cfRule type="cellIs" dxfId="522" priority="595" operator="equal">
      <formula>FALSE</formula>
    </cfRule>
  </conditionalFormatting>
  <conditionalFormatting sqref="AO251 AO259:AO263">
    <cfRule type="cellIs" dxfId="521" priority="594" operator="equal">
      <formula>"INVALID"</formula>
    </cfRule>
  </conditionalFormatting>
  <conditionalFormatting sqref="AO251 AO259:AO263">
    <cfRule type="cellIs" dxfId="520" priority="593" operator="equal">
      <formula>"INVALID"</formula>
    </cfRule>
  </conditionalFormatting>
  <conditionalFormatting sqref="AI251 AI259:AI263">
    <cfRule type="cellIs" dxfId="519" priority="592" operator="equal">
      <formula>"INVALID"</formula>
    </cfRule>
  </conditionalFormatting>
  <conditionalFormatting sqref="AI251 AI259:AI263">
    <cfRule type="cellIs" dxfId="518" priority="591" operator="equal">
      <formula>"INVALID"</formula>
    </cfRule>
  </conditionalFormatting>
  <conditionalFormatting sqref="AI251 AI259:AI263">
    <cfRule type="cellIs" dxfId="517" priority="590" operator="equal">
      <formula>"INVALID"</formula>
    </cfRule>
  </conditionalFormatting>
  <conditionalFormatting sqref="AI251 AI259:AI263">
    <cfRule type="cellIs" dxfId="516" priority="589" operator="equal">
      <formula>"INVALID"</formula>
    </cfRule>
  </conditionalFormatting>
  <conditionalFormatting sqref="AQ251">
    <cfRule type="expression" dxfId="515" priority="588" stopIfTrue="1">
      <formula>REPLACE($AQ251,8,LEN($AQ251),"")="unused_"</formula>
    </cfRule>
  </conditionalFormatting>
  <conditionalFormatting sqref="AQ251">
    <cfRule type="expression" dxfId="514" priority="586">
      <formula>NOT($AJ251)</formula>
    </cfRule>
    <cfRule type="expression" dxfId="513" priority="587">
      <formula>RIGHT($AQ251, 1)="*"</formula>
    </cfRule>
  </conditionalFormatting>
  <conditionalFormatting sqref="AQ259:AQ263">
    <cfRule type="expression" dxfId="512" priority="585" stopIfTrue="1">
      <formula>REPLACE($AQ259,8,LEN($AQ259),"")="unused_"</formula>
    </cfRule>
  </conditionalFormatting>
  <conditionalFormatting sqref="AQ259:AQ263">
    <cfRule type="expression" dxfId="511" priority="583">
      <formula>NOT($AJ259)</formula>
    </cfRule>
    <cfRule type="expression" dxfId="510" priority="584">
      <formula>RIGHT($AQ259, 1)="*"</formula>
    </cfRule>
  </conditionalFormatting>
  <conditionalFormatting sqref="AT260">
    <cfRule type="expression" dxfId="509" priority="582">
      <formula>NOT($AM260)</formula>
    </cfRule>
  </conditionalFormatting>
  <conditionalFormatting sqref="AT262:AT263">
    <cfRule type="expression" dxfId="508" priority="581">
      <formula>NOT($AM262)</formula>
    </cfRule>
  </conditionalFormatting>
  <conditionalFormatting sqref="AX263">
    <cfRule type="expression" dxfId="507" priority="580">
      <formula>NOT($AO263)</formula>
    </cfRule>
  </conditionalFormatting>
  <conditionalFormatting sqref="Q251">
    <cfRule type="cellIs" dxfId="506" priority="579" operator="equal">
      <formula>"INVALID"</formula>
    </cfRule>
  </conditionalFormatting>
  <conditionalFormatting sqref="R251">
    <cfRule type="cellIs" dxfId="505" priority="578" operator="equal">
      <formula>"INVALID"</formula>
    </cfRule>
  </conditionalFormatting>
  <conditionalFormatting sqref="S251">
    <cfRule type="cellIs" dxfId="504" priority="577" operator="equal">
      <formula>"INVALID"</formula>
    </cfRule>
  </conditionalFormatting>
  <conditionalFormatting sqref="T251">
    <cfRule type="cellIs" dxfId="503" priority="576" operator="equal">
      <formula>"INVALID"</formula>
    </cfRule>
  </conditionalFormatting>
  <conditionalFormatting sqref="U251:V251 V259:V263">
    <cfRule type="cellIs" dxfId="502" priority="575" operator="equal">
      <formula>"INVALID"</formula>
    </cfRule>
  </conditionalFormatting>
  <conditionalFormatting sqref="V259">
    <cfRule type="cellIs" dxfId="501" priority="574" operator="equal">
      <formula>"INVALID"</formula>
    </cfRule>
  </conditionalFormatting>
  <conditionalFormatting sqref="V261">
    <cfRule type="cellIs" dxfId="500" priority="573" operator="equal">
      <formula>"INVALID"</formula>
    </cfRule>
  </conditionalFormatting>
  <conditionalFormatting sqref="V262">
    <cfRule type="cellIs" dxfId="499" priority="572" operator="equal">
      <formula>"INVALID"</formula>
    </cfRule>
  </conditionalFormatting>
  <conditionalFormatting sqref="AG251 AG259:AG263">
    <cfRule type="cellIs" dxfId="498" priority="571" operator="equal">
      <formula>"INVALID"</formula>
    </cfRule>
  </conditionalFormatting>
  <conditionalFormatting sqref="AG251 AG259:AG263">
    <cfRule type="cellIs" dxfId="497" priority="570" operator="equal">
      <formula>"INVALID"</formula>
    </cfRule>
  </conditionalFormatting>
  <conditionalFormatting sqref="AG251 AG259:AG263">
    <cfRule type="cellIs" dxfId="496" priority="569" operator="equal">
      <formula>"INVALID"</formula>
    </cfRule>
  </conditionalFormatting>
  <conditionalFormatting sqref="AG251 AG259:AG263">
    <cfRule type="cellIs" dxfId="495" priority="568" operator="equal">
      <formula>"INVALID"</formula>
    </cfRule>
  </conditionalFormatting>
  <conditionalFormatting sqref="AG251 AG259:AG263">
    <cfRule type="cellIs" dxfId="494" priority="567" operator="equal">
      <formula>"INVALID"</formula>
    </cfRule>
  </conditionalFormatting>
  <conditionalFormatting sqref="AG251 AG259:AG263">
    <cfRule type="cellIs" dxfId="493" priority="566" operator="equal">
      <formula>"INVALID"</formula>
    </cfRule>
  </conditionalFormatting>
  <conditionalFormatting sqref="AG251 AG259:AG263">
    <cfRule type="cellIs" dxfId="492" priority="565" operator="equal">
      <formula>"INVALID"</formula>
    </cfRule>
  </conditionalFormatting>
  <conditionalFormatting sqref="AG251 AG259:AG263">
    <cfRule type="cellIs" dxfId="491" priority="564" operator="equal">
      <formula>"INVALID"</formula>
    </cfRule>
  </conditionalFormatting>
  <conditionalFormatting sqref="AG251 AG259:AG263">
    <cfRule type="cellIs" dxfId="490" priority="563" operator="equal">
      <formula>"INVALID"</formula>
    </cfRule>
  </conditionalFormatting>
  <conditionalFormatting sqref="AG251 AG259:AG263">
    <cfRule type="cellIs" dxfId="489" priority="562" operator="equal">
      <formula>"INVALID"</formula>
    </cfRule>
  </conditionalFormatting>
  <conditionalFormatting sqref="AG251 AG259:AG263">
    <cfRule type="cellIs" dxfId="488" priority="561" operator="equal">
      <formula>"INVALID"</formula>
    </cfRule>
  </conditionalFormatting>
  <conditionalFormatting sqref="AG251 AG259:AG263">
    <cfRule type="cellIs" dxfId="487" priority="560" operator="equal">
      <formula>"INVALID"</formula>
    </cfRule>
  </conditionalFormatting>
  <conditionalFormatting sqref="AG251 AG259:AG263">
    <cfRule type="cellIs" dxfId="486" priority="559" operator="equal">
      <formula>"INVALID"</formula>
    </cfRule>
  </conditionalFormatting>
  <conditionalFormatting sqref="AG251 AG259:AG263">
    <cfRule type="cellIs" dxfId="485" priority="558" operator="equal">
      <formula>"INVALID"</formula>
    </cfRule>
  </conditionalFormatting>
  <conditionalFormatting sqref="AG251 AG259:AG263">
    <cfRule type="cellIs" dxfId="484" priority="557" operator="equal">
      <formula>"INVALID"</formula>
    </cfRule>
  </conditionalFormatting>
  <conditionalFormatting sqref="AG251 AG259:AG263">
    <cfRule type="cellIs" dxfId="483" priority="556" operator="equal">
      <formula>"INVALID"</formula>
    </cfRule>
  </conditionalFormatting>
  <conditionalFormatting sqref="AG251 AG259:AG263">
    <cfRule type="cellIs" dxfId="482" priority="555" operator="equal">
      <formula>"INVALID"</formula>
    </cfRule>
  </conditionalFormatting>
  <conditionalFormatting sqref="AG251 AG259:AG263">
    <cfRule type="cellIs" dxfId="481" priority="554" operator="equal">
      <formula>"INVALID"</formula>
    </cfRule>
  </conditionalFormatting>
  <conditionalFormatting sqref="AG251 AG259:AG263">
    <cfRule type="cellIs" dxfId="480" priority="553" operator="equal">
      <formula>"INVALID"</formula>
    </cfRule>
  </conditionalFormatting>
  <conditionalFormatting sqref="AG251 AG259:AG263">
    <cfRule type="cellIs" dxfId="479" priority="552" operator="equal">
      <formula>"INVALID"</formula>
    </cfRule>
  </conditionalFormatting>
  <conditionalFormatting sqref="AG251 AG259:AG263">
    <cfRule type="cellIs" dxfId="478" priority="551" operator="equal">
      <formula>"INVALID"</formula>
    </cfRule>
  </conditionalFormatting>
  <conditionalFormatting sqref="AG251 AG259:AG263">
    <cfRule type="cellIs" dxfId="477" priority="550" operator="equal">
      <formula>"INVALID"</formula>
    </cfRule>
  </conditionalFormatting>
  <conditionalFormatting sqref="AG251 AG259:AG263">
    <cfRule type="cellIs" dxfId="476" priority="549" operator="equal">
      <formula>"INVALID"</formula>
    </cfRule>
  </conditionalFormatting>
  <conditionalFormatting sqref="AG251 AG259:AG263">
    <cfRule type="cellIs" dxfId="475" priority="548" operator="equal">
      <formula>"INVALID"</formula>
    </cfRule>
  </conditionalFormatting>
  <conditionalFormatting sqref="AG251 AG259:AG263">
    <cfRule type="cellIs" dxfId="474" priority="547" operator="equal">
      <formula>"INVALID"</formula>
    </cfRule>
  </conditionalFormatting>
  <conditionalFormatting sqref="AG251 AG259:AG263">
    <cfRule type="cellIs" dxfId="473" priority="546" operator="equal">
      <formula>"INVALID"</formula>
    </cfRule>
  </conditionalFormatting>
  <conditionalFormatting sqref="AG251 AG259:AG263">
    <cfRule type="cellIs" dxfId="472" priority="545" operator="equal">
      <formula>"INVALID"</formula>
    </cfRule>
  </conditionalFormatting>
  <conditionalFormatting sqref="AG251 AG259:AG263">
    <cfRule type="cellIs" dxfId="471" priority="544" operator="equal">
      <formula>"INVALID"</formula>
    </cfRule>
  </conditionalFormatting>
  <conditionalFormatting sqref="AG251 AG259:AG263">
    <cfRule type="cellIs" dxfId="470" priority="543" operator="equal">
      <formula>"INVALID"</formula>
    </cfRule>
  </conditionalFormatting>
  <conditionalFormatting sqref="AG251 AG259:AG263">
    <cfRule type="cellIs" dxfId="469" priority="542" operator="equal">
      <formula>"INVALID"</formula>
    </cfRule>
  </conditionalFormatting>
  <conditionalFormatting sqref="AG251 AG259:AG263">
    <cfRule type="cellIs" dxfId="468" priority="541" operator="equal">
      <formula>"INVALID"</formula>
    </cfRule>
  </conditionalFormatting>
  <conditionalFormatting sqref="AG251 AG259:AG263">
    <cfRule type="cellIs" dxfId="467" priority="540" operator="equal">
      <formula>"INVALID"</formula>
    </cfRule>
  </conditionalFormatting>
  <conditionalFormatting sqref="AG251 AG259:AG263">
    <cfRule type="cellIs" dxfId="466" priority="539" operator="equal">
      <formula>"INVALID"</formula>
    </cfRule>
  </conditionalFormatting>
  <conditionalFormatting sqref="AG251 AG259:AG263">
    <cfRule type="cellIs" dxfId="465" priority="538" operator="equal">
      <formula>"INVALID"</formula>
    </cfRule>
  </conditionalFormatting>
  <conditionalFormatting sqref="AG251 AG259:AG263">
    <cfRule type="cellIs" dxfId="464" priority="537" operator="equal">
      <formula>"INVALID"</formula>
    </cfRule>
  </conditionalFormatting>
  <conditionalFormatting sqref="AG251 AG259:AG263">
    <cfRule type="cellIs" dxfId="463" priority="536" operator="equal">
      <formula>"INVALID"</formula>
    </cfRule>
  </conditionalFormatting>
  <conditionalFormatting sqref="AG251 AG259:AG263">
    <cfRule type="cellIs" dxfId="462" priority="534" operator="equal">
      <formula>"INVALID"</formula>
    </cfRule>
  </conditionalFormatting>
  <conditionalFormatting sqref="AG251 AG259:AG263">
    <cfRule type="cellIs" dxfId="461" priority="535" operator="equal">
      <formula>"INVALID"</formula>
    </cfRule>
  </conditionalFormatting>
  <conditionalFormatting sqref="AG251 AG259:AG263">
    <cfRule type="cellIs" dxfId="460" priority="533" operator="equal">
      <formula>"INVALID"</formula>
    </cfRule>
  </conditionalFormatting>
  <conditionalFormatting sqref="AG251 AG259:AG263">
    <cfRule type="cellIs" dxfId="459" priority="532" operator="equal">
      <formula>"INVALID"</formula>
    </cfRule>
  </conditionalFormatting>
  <conditionalFormatting sqref="AG251 AG259:AG263">
    <cfRule type="cellIs" dxfId="458" priority="529" operator="equal">
      <formula>"INVALID"</formula>
    </cfRule>
  </conditionalFormatting>
  <conditionalFormatting sqref="AG251 AG259:AG263">
    <cfRule type="cellIs" dxfId="457" priority="531" operator="equal">
      <formula>"INVALID"</formula>
    </cfRule>
  </conditionalFormatting>
  <conditionalFormatting sqref="AG251 AG259:AG263">
    <cfRule type="cellIs" dxfId="456" priority="530" operator="equal">
      <formula>"INVALID"</formula>
    </cfRule>
  </conditionalFormatting>
  <conditionalFormatting sqref="AG251 AG259:AG263">
    <cfRule type="cellIs" dxfId="455" priority="528" operator="equal">
      <formula>"INVALID"</formula>
    </cfRule>
  </conditionalFormatting>
  <conditionalFormatting sqref="AG251 AG259:AG263">
    <cfRule type="cellIs" dxfId="454" priority="527" operator="equal">
      <formula>"INVALID"</formula>
    </cfRule>
  </conditionalFormatting>
  <conditionalFormatting sqref="AG251 AG259:AG263">
    <cfRule type="cellIs" dxfId="453" priority="526" operator="equal">
      <formula>"INVALID"</formula>
    </cfRule>
  </conditionalFormatting>
  <conditionalFormatting sqref="AG251 AG259:AG263">
    <cfRule type="cellIs" dxfId="452" priority="525" operator="equal">
      <formula>"INVALID"</formula>
    </cfRule>
  </conditionalFormatting>
  <conditionalFormatting sqref="AG251 AG259:AG263">
    <cfRule type="cellIs" dxfId="451" priority="524" operator="equal">
      <formula>"INVALID"</formula>
    </cfRule>
  </conditionalFormatting>
  <conditionalFormatting sqref="AR252:AR257">
    <cfRule type="cellIs" dxfId="450" priority="523" operator="equal">
      <formula>"Not Assigned"</formula>
    </cfRule>
  </conditionalFormatting>
  <conditionalFormatting sqref="AD252 AE252:AF257 AD254:AD255">
    <cfRule type="cellIs" dxfId="449" priority="522" operator="equal">
      <formula>"INVALID"</formula>
    </cfRule>
  </conditionalFormatting>
  <conditionalFormatting sqref="AS252:AS257">
    <cfRule type="expression" dxfId="448" priority="521">
      <formula>EXACT(AF252, "INVALID")</formula>
    </cfRule>
  </conditionalFormatting>
  <conditionalFormatting sqref="AZ252:AZ257">
    <cfRule type="expression" dxfId="447" priority="520">
      <formula>AND(NOT(ISBLANK(AZ252)), EXACT(AF252, "INVALID"))</formula>
    </cfRule>
  </conditionalFormatting>
  <conditionalFormatting sqref="BA252:BA257">
    <cfRule type="expression" dxfId="446" priority="519">
      <formula>AND(NOT(ISBLANK(BA252)), EXACT(AF252, "INVALID"))</formula>
    </cfRule>
  </conditionalFormatting>
  <conditionalFormatting sqref="AR252:AR257">
    <cfRule type="expression" dxfId="445" priority="518">
      <formula>NOT($AL252)</formula>
    </cfRule>
  </conditionalFormatting>
  <conditionalFormatting sqref="Q257">
    <cfRule type="cellIs" dxfId="444" priority="517" operator="equal">
      <formula>"INVALID"</formula>
    </cfRule>
  </conditionalFormatting>
  <conditionalFormatting sqref="R257">
    <cfRule type="cellIs" dxfId="443" priority="516" operator="equal">
      <formula>"INVALID"</formula>
    </cfRule>
  </conditionalFormatting>
  <conditionalFormatting sqref="S257">
    <cfRule type="cellIs" dxfId="442" priority="515" operator="equal">
      <formula>"INVALID"</formula>
    </cfRule>
  </conditionalFormatting>
  <conditionalFormatting sqref="T257">
    <cfRule type="cellIs" dxfId="441" priority="514" operator="equal">
      <formula>"INVALID"</formula>
    </cfRule>
  </conditionalFormatting>
  <conditionalFormatting sqref="U257:V257">
    <cfRule type="cellIs" dxfId="440" priority="513" operator="equal">
      <formula>"INVALID"</formula>
    </cfRule>
  </conditionalFormatting>
  <conditionalFormatting sqref="AJ252:AJ257">
    <cfRule type="cellIs" dxfId="439" priority="512" operator="equal">
      <formula>FALSE</formula>
    </cfRule>
  </conditionalFormatting>
  <conditionalFormatting sqref="AK252:AK257">
    <cfRule type="cellIs" dxfId="438" priority="511" operator="equal">
      <formula>FALSE</formula>
    </cfRule>
  </conditionalFormatting>
  <conditionalFormatting sqref="AL252:AL257">
    <cfRule type="cellIs" dxfId="437" priority="510" operator="equal">
      <formula>FALSE</formula>
    </cfRule>
  </conditionalFormatting>
  <conditionalFormatting sqref="AM252:AM257">
    <cfRule type="cellIs" dxfId="436" priority="509" operator="equal">
      <formula>FALSE</formula>
    </cfRule>
  </conditionalFormatting>
  <conditionalFormatting sqref="AN252:AN257">
    <cfRule type="cellIs" dxfId="435" priority="508" operator="equal">
      <formula>FALSE</formula>
    </cfRule>
  </conditionalFormatting>
  <conditionalFormatting sqref="AP252:AP257">
    <cfRule type="cellIs" dxfId="434" priority="507" operator="equal">
      <formula>"INVALID"</formula>
    </cfRule>
  </conditionalFormatting>
  <conditionalFormatting sqref="AJ252:AJ257">
    <cfRule type="cellIs" dxfId="433" priority="506" operator="equal">
      <formula>"INVALID"</formula>
    </cfRule>
  </conditionalFormatting>
  <conditionalFormatting sqref="AK252:AK257">
    <cfRule type="cellIs" dxfId="432" priority="505" operator="equal">
      <formula>"INVALID"</formula>
    </cfRule>
  </conditionalFormatting>
  <conditionalFormatting sqref="AL252:AM257">
    <cfRule type="cellIs" dxfId="431" priority="504" operator="equal">
      <formula>"INVALID"</formula>
    </cfRule>
  </conditionalFormatting>
  <conditionalFormatting sqref="AK252:AK257">
    <cfRule type="cellIs" dxfId="430" priority="503" operator="equal">
      <formula>"INVALID"</formula>
    </cfRule>
  </conditionalFormatting>
  <conditionalFormatting sqref="AL252:AL257">
    <cfRule type="cellIs" dxfId="429" priority="502" operator="equal">
      <formula>"INVALID"</formula>
    </cfRule>
  </conditionalFormatting>
  <conditionalFormatting sqref="AM252:AM257">
    <cfRule type="cellIs" dxfId="428" priority="501" operator="equal">
      <formula>"INVALID"</formula>
    </cfRule>
  </conditionalFormatting>
  <conditionalFormatting sqref="AN252:AN257">
    <cfRule type="cellIs" dxfId="427" priority="500" operator="equal">
      <formula>"INVALID"</formula>
    </cfRule>
  </conditionalFormatting>
  <conditionalFormatting sqref="AZ252:BA257">
    <cfRule type="expression" dxfId="426" priority="499">
      <formula>NOT($AN252)</formula>
    </cfRule>
  </conditionalFormatting>
  <conditionalFormatting sqref="AS252:AS257">
    <cfRule type="expression" dxfId="425" priority="498">
      <formula>NOT($AK252)</formula>
    </cfRule>
  </conditionalFormatting>
  <conditionalFormatting sqref="AO252:AO257">
    <cfRule type="cellIs" dxfId="424" priority="497" operator="equal">
      <formula>FALSE</formula>
    </cfRule>
  </conditionalFormatting>
  <conditionalFormatting sqref="AO252:AO257">
    <cfRule type="cellIs" dxfId="423" priority="496" operator="equal">
      <formula>"INVALID"</formula>
    </cfRule>
  </conditionalFormatting>
  <conditionalFormatting sqref="AO252:AO257">
    <cfRule type="cellIs" dxfId="422" priority="495" operator="equal">
      <formula>"INVALID"</formula>
    </cfRule>
  </conditionalFormatting>
  <conditionalFormatting sqref="AI252:AI257">
    <cfRule type="cellIs" dxfId="421" priority="494" operator="equal">
      <formula>"INVALID"</formula>
    </cfRule>
  </conditionalFormatting>
  <conditionalFormatting sqref="AI252:AI257">
    <cfRule type="cellIs" dxfId="420" priority="493" operator="equal">
      <formula>"INVALID"</formula>
    </cfRule>
  </conditionalFormatting>
  <conditionalFormatting sqref="AI252:AI257">
    <cfRule type="cellIs" dxfId="419" priority="492" operator="equal">
      <formula>"INVALID"</formula>
    </cfRule>
  </conditionalFormatting>
  <conditionalFormatting sqref="AI252:AI257">
    <cfRule type="cellIs" dxfId="418" priority="491" operator="equal">
      <formula>"INVALID"</formula>
    </cfRule>
  </conditionalFormatting>
  <conditionalFormatting sqref="AQ252">
    <cfRule type="expression" dxfId="417" priority="490" stopIfTrue="1">
      <formula>REPLACE($AQ252,8,LEN($AQ252),"")="unused_"</formula>
    </cfRule>
  </conditionalFormatting>
  <conditionalFormatting sqref="AQ252">
    <cfRule type="expression" dxfId="416" priority="488">
      <formula>NOT($AJ252)</formula>
    </cfRule>
    <cfRule type="expression" dxfId="415" priority="489">
      <formula>RIGHT($AQ252, 1)="*"</formula>
    </cfRule>
  </conditionalFormatting>
  <conditionalFormatting sqref="AQ253:AQ257">
    <cfRule type="expression" dxfId="414" priority="487" stopIfTrue="1">
      <formula>REPLACE($AQ253,8,LEN($AQ253),"")="unused_"</formula>
    </cfRule>
  </conditionalFormatting>
  <conditionalFormatting sqref="AQ253:AQ257">
    <cfRule type="expression" dxfId="413" priority="485">
      <formula>NOT($AJ253)</formula>
    </cfRule>
    <cfRule type="expression" dxfId="412" priority="486">
      <formula>RIGHT($AQ253, 1)="*"</formula>
    </cfRule>
  </conditionalFormatting>
  <conditionalFormatting sqref="AT253">
    <cfRule type="expression" dxfId="411" priority="484">
      <formula>NOT($AM253)</formula>
    </cfRule>
  </conditionalFormatting>
  <conditionalFormatting sqref="AT256:AT257">
    <cfRule type="expression" dxfId="410" priority="483">
      <formula>NOT($AM256)</formula>
    </cfRule>
  </conditionalFormatting>
  <conditionalFormatting sqref="AX254">
    <cfRule type="expression" dxfId="409" priority="482">
      <formula>NOT($AO254)</formula>
    </cfRule>
  </conditionalFormatting>
  <conditionalFormatting sqref="AX257:AX262">
    <cfRule type="expression" dxfId="408" priority="481">
      <formula>NOT($AO257)</formula>
    </cfRule>
  </conditionalFormatting>
  <conditionalFormatting sqref="Q252">
    <cfRule type="cellIs" dxfId="407" priority="480" operator="equal">
      <formula>"INVALID"</formula>
    </cfRule>
  </conditionalFormatting>
  <conditionalFormatting sqref="R252">
    <cfRule type="cellIs" dxfId="406" priority="479" operator="equal">
      <formula>"INVALID"</formula>
    </cfRule>
  </conditionalFormatting>
  <conditionalFormatting sqref="S252">
    <cfRule type="cellIs" dxfId="405" priority="478" operator="equal">
      <formula>"INVALID"</formula>
    </cfRule>
  </conditionalFormatting>
  <conditionalFormatting sqref="T252">
    <cfRule type="cellIs" dxfId="404" priority="477" operator="equal">
      <formula>"INVALID"</formula>
    </cfRule>
  </conditionalFormatting>
  <conditionalFormatting sqref="U252:V252 V253:V257">
    <cfRule type="cellIs" dxfId="403" priority="476" operator="equal">
      <formula>"INVALID"</formula>
    </cfRule>
  </conditionalFormatting>
  <conditionalFormatting sqref="V253">
    <cfRule type="cellIs" dxfId="402" priority="475" operator="equal">
      <formula>"INVALID"</formula>
    </cfRule>
  </conditionalFormatting>
  <conditionalFormatting sqref="Q254:Q255">
    <cfRule type="cellIs" dxfId="401" priority="474" operator="equal">
      <formula>"INVALID"</formula>
    </cfRule>
  </conditionalFormatting>
  <conditionalFormatting sqref="R254:R255">
    <cfRule type="cellIs" dxfId="400" priority="473" operator="equal">
      <formula>"INVALID"</formula>
    </cfRule>
  </conditionalFormatting>
  <conditionalFormatting sqref="S254:S255">
    <cfRule type="cellIs" dxfId="399" priority="472" operator="equal">
      <formula>"INVALID"</formula>
    </cfRule>
  </conditionalFormatting>
  <conditionalFormatting sqref="T254:T255">
    <cfRule type="cellIs" dxfId="398" priority="471" operator="equal">
      <formula>"INVALID"</formula>
    </cfRule>
  </conditionalFormatting>
  <conditionalFormatting sqref="U255:V255 U254">
    <cfRule type="cellIs" dxfId="397" priority="470" operator="equal">
      <formula>"INVALID"</formula>
    </cfRule>
  </conditionalFormatting>
  <conditionalFormatting sqref="V256">
    <cfRule type="cellIs" dxfId="396" priority="469" operator="equal">
      <formula>"INVALID"</formula>
    </cfRule>
  </conditionalFormatting>
  <conditionalFormatting sqref="AG252:AG257">
    <cfRule type="cellIs" dxfId="395" priority="468" operator="equal">
      <formula>"INVALID"</formula>
    </cfRule>
  </conditionalFormatting>
  <conditionalFormatting sqref="AG252:AG257">
    <cfRule type="cellIs" dxfId="394" priority="467" operator="equal">
      <formula>"INVALID"</formula>
    </cfRule>
  </conditionalFormatting>
  <conditionalFormatting sqref="AG252:AG257">
    <cfRule type="cellIs" dxfId="393" priority="466" operator="equal">
      <formula>"INVALID"</formula>
    </cfRule>
  </conditionalFormatting>
  <conditionalFormatting sqref="AG252:AG257">
    <cfRule type="cellIs" dxfId="392" priority="465" operator="equal">
      <formula>"INVALID"</formula>
    </cfRule>
  </conditionalFormatting>
  <conditionalFormatting sqref="AG252:AG257">
    <cfRule type="cellIs" dxfId="391" priority="464" operator="equal">
      <formula>"INVALID"</formula>
    </cfRule>
  </conditionalFormatting>
  <conditionalFormatting sqref="AG252:AG257">
    <cfRule type="cellIs" dxfId="390" priority="463" operator="equal">
      <formula>"INVALID"</formula>
    </cfRule>
  </conditionalFormatting>
  <conditionalFormatting sqref="AG252:AG257">
    <cfRule type="cellIs" dxfId="389" priority="462" operator="equal">
      <formula>"INVALID"</formula>
    </cfRule>
  </conditionalFormatting>
  <conditionalFormatting sqref="AG252:AG257">
    <cfRule type="cellIs" dxfId="388" priority="461" operator="equal">
      <formula>"INVALID"</formula>
    </cfRule>
  </conditionalFormatting>
  <conditionalFormatting sqref="AG252:AG257">
    <cfRule type="cellIs" dxfId="387" priority="460" operator="equal">
      <formula>"INVALID"</formula>
    </cfRule>
  </conditionalFormatting>
  <conditionalFormatting sqref="AG252:AG257">
    <cfRule type="cellIs" dxfId="386" priority="459" operator="equal">
      <formula>"INVALID"</formula>
    </cfRule>
  </conditionalFormatting>
  <conditionalFormatting sqref="AG252:AG257">
    <cfRule type="cellIs" dxfId="385" priority="458" operator="equal">
      <formula>"INVALID"</formula>
    </cfRule>
  </conditionalFormatting>
  <conditionalFormatting sqref="AG252:AG257">
    <cfRule type="cellIs" dxfId="384" priority="457" operator="equal">
      <formula>"INVALID"</formula>
    </cfRule>
  </conditionalFormatting>
  <conditionalFormatting sqref="AG252:AG257">
    <cfRule type="cellIs" dxfId="383" priority="456" operator="equal">
      <formula>"INVALID"</formula>
    </cfRule>
  </conditionalFormatting>
  <conditionalFormatting sqref="AG252:AG257">
    <cfRule type="cellIs" dxfId="382" priority="455" operator="equal">
      <formula>"INVALID"</formula>
    </cfRule>
  </conditionalFormatting>
  <conditionalFormatting sqref="AG252:AG257">
    <cfRule type="cellIs" dxfId="381" priority="454" operator="equal">
      <formula>"INVALID"</formula>
    </cfRule>
  </conditionalFormatting>
  <conditionalFormatting sqref="AG252:AG257">
    <cfRule type="cellIs" dxfId="380" priority="453" operator="equal">
      <formula>"INVALID"</formula>
    </cfRule>
  </conditionalFormatting>
  <conditionalFormatting sqref="AG252:AG257">
    <cfRule type="cellIs" dxfId="379" priority="452" operator="equal">
      <formula>"INVALID"</formula>
    </cfRule>
  </conditionalFormatting>
  <conditionalFormatting sqref="AG252:AG257">
    <cfRule type="cellIs" dxfId="378" priority="451" operator="equal">
      <formula>"INVALID"</formula>
    </cfRule>
  </conditionalFormatting>
  <conditionalFormatting sqref="AG252:AG257">
    <cfRule type="cellIs" dxfId="377" priority="450" operator="equal">
      <formula>"INVALID"</formula>
    </cfRule>
  </conditionalFormatting>
  <conditionalFormatting sqref="AG252:AG257">
    <cfRule type="cellIs" dxfId="376" priority="449" operator="equal">
      <formula>"INVALID"</formula>
    </cfRule>
  </conditionalFormatting>
  <conditionalFormatting sqref="AG252:AG257">
    <cfRule type="cellIs" dxfId="375" priority="448" operator="equal">
      <formula>"INVALID"</formula>
    </cfRule>
  </conditionalFormatting>
  <conditionalFormatting sqref="AG252:AG257">
    <cfRule type="cellIs" dxfId="374" priority="447" operator="equal">
      <formula>"INVALID"</formula>
    </cfRule>
  </conditionalFormatting>
  <conditionalFormatting sqref="AG252:AG257">
    <cfRule type="cellIs" dxfId="373" priority="446" operator="equal">
      <formula>"INVALID"</formula>
    </cfRule>
  </conditionalFormatting>
  <conditionalFormatting sqref="AG252:AG257">
    <cfRule type="cellIs" dxfId="372" priority="445" operator="equal">
      <formula>"INVALID"</formula>
    </cfRule>
  </conditionalFormatting>
  <conditionalFormatting sqref="AG252:AG257">
    <cfRule type="cellIs" dxfId="371" priority="444" operator="equal">
      <formula>"INVALID"</formula>
    </cfRule>
  </conditionalFormatting>
  <conditionalFormatting sqref="AG252:AG257">
    <cfRule type="cellIs" dxfId="370" priority="443" operator="equal">
      <formula>"INVALID"</formula>
    </cfRule>
  </conditionalFormatting>
  <conditionalFormatting sqref="AG252:AG257">
    <cfRule type="cellIs" dxfId="369" priority="442" operator="equal">
      <formula>"INVALID"</formula>
    </cfRule>
  </conditionalFormatting>
  <conditionalFormatting sqref="AG252:AG257">
    <cfRule type="cellIs" dxfId="368" priority="441" operator="equal">
      <formula>"INVALID"</formula>
    </cfRule>
  </conditionalFormatting>
  <conditionalFormatting sqref="AG252:AG257">
    <cfRule type="cellIs" dxfId="367" priority="440" operator="equal">
      <formula>"INVALID"</formula>
    </cfRule>
  </conditionalFormatting>
  <conditionalFormatting sqref="AG252:AG257">
    <cfRule type="cellIs" dxfId="366" priority="439" operator="equal">
      <formula>"INVALID"</formula>
    </cfRule>
  </conditionalFormatting>
  <conditionalFormatting sqref="AG252:AG257">
    <cfRule type="cellIs" dxfId="365" priority="438" operator="equal">
      <formula>"INVALID"</formula>
    </cfRule>
  </conditionalFormatting>
  <conditionalFormatting sqref="AG252:AG257">
    <cfRule type="cellIs" dxfId="364" priority="437" operator="equal">
      <formula>"INVALID"</formula>
    </cfRule>
  </conditionalFormatting>
  <conditionalFormatting sqref="AG252:AG257">
    <cfRule type="cellIs" dxfId="363" priority="436" operator="equal">
      <formula>"INVALID"</formula>
    </cfRule>
  </conditionalFormatting>
  <conditionalFormatting sqref="AG252:AG257">
    <cfRule type="cellIs" dxfId="362" priority="435" operator="equal">
      <formula>"INVALID"</formula>
    </cfRule>
  </conditionalFormatting>
  <conditionalFormatting sqref="AG252:AG257">
    <cfRule type="cellIs" dxfId="361" priority="434" operator="equal">
      <formula>"INVALID"</formula>
    </cfRule>
  </conditionalFormatting>
  <conditionalFormatting sqref="AG252:AG257">
    <cfRule type="cellIs" dxfId="360" priority="433" operator="equal">
      <formula>"INVALID"</formula>
    </cfRule>
  </conditionalFormatting>
  <conditionalFormatting sqref="AG252:AG257">
    <cfRule type="cellIs" dxfId="359" priority="431" operator="equal">
      <formula>"INVALID"</formula>
    </cfRule>
  </conditionalFormatting>
  <conditionalFormatting sqref="AG252:AG257">
    <cfRule type="cellIs" dxfId="358" priority="432" operator="equal">
      <formula>"INVALID"</formula>
    </cfRule>
  </conditionalFormatting>
  <conditionalFormatting sqref="AG252:AG257">
    <cfRule type="cellIs" dxfId="357" priority="430" operator="equal">
      <formula>"INVALID"</formula>
    </cfRule>
  </conditionalFormatting>
  <conditionalFormatting sqref="AG252:AG257">
    <cfRule type="cellIs" dxfId="356" priority="429" operator="equal">
      <formula>"INVALID"</formula>
    </cfRule>
  </conditionalFormatting>
  <conditionalFormatting sqref="AG252:AG257">
    <cfRule type="cellIs" dxfId="355" priority="426" operator="equal">
      <formula>"INVALID"</formula>
    </cfRule>
  </conditionalFormatting>
  <conditionalFormatting sqref="AG252:AG257">
    <cfRule type="cellIs" dxfId="354" priority="428" operator="equal">
      <formula>"INVALID"</formula>
    </cfRule>
  </conditionalFormatting>
  <conditionalFormatting sqref="AG252:AG257">
    <cfRule type="cellIs" dxfId="353" priority="427" operator="equal">
      <formula>"INVALID"</formula>
    </cfRule>
  </conditionalFormatting>
  <conditionalFormatting sqref="AG252:AG257">
    <cfRule type="cellIs" dxfId="352" priority="425" operator="equal">
      <formula>"INVALID"</formula>
    </cfRule>
  </conditionalFormatting>
  <conditionalFormatting sqref="AG252:AG257">
    <cfRule type="cellIs" dxfId="351" priority="424" operator="equal">
      <formula>"INVALID"</formula>
    </cfRule>
  </conditionalFormatting>
  <conditionalFormatting sqref="AG252:AG257">
    <cfRule type="cellIs" dxfId="350" priority="423" operator="equal">
      <formula>"INVALID"</formula>
    </cfRule>
  </conditionalFormatting>
  <conditionalFormatting sqref="AG252:AG257">
    <cfRule type="cellIs" dxfId="349" priority="422" operator="equal">
      <formula>"INVALID"</formula>
    </cfRule>
  </conditionalFormatting>
  <conditionalFormatting sqref="AG252:AG257">
    <cfRule type="cellIs" dxfId="348" priority="421" operator="equal">
      <formula>"INVALID"</formula>
    </cfRule>
  </conditionalFormatting>
  <conditionalFormatting sqref="AR258">
    <cfRule type="cellIs" dxfId="347" priority="420" operator="equal">
      <formula>"Not Assigned"</formula>
    </cfRule>
  </conditionalFormatting>
  <conditionalFormatting sqref="AE258:AF258">
    <cfRule type="cellIs" dxfId="346" priority="419" operator="equal">
      <formula>"INVALID"</formula>
    </cfRule>
  </conditionalFormatting>
  <conditionalFormatting sqref="AS258">
    <cfRule type="expression" dxfId="345" priority="418">
      <formula>EXACT(AF258, "INVALID")</formula>
    </cfRule>
  </conditionalFormatting>
  <conditionalFormatting sqref="AZ258">
    <cfRule type="expression" dxfId="344" priority="417">
      <formula>AND(NOT(ISBLANK(AZ258)), EXACT(AF258, "INVALID"))</formula>
    </cfRule>
  </conditionalFormatting>
  <conditionalFormatting sqref="BA258">
    <cfRule type="expression" dxfId="343" priority="416">
      <formula>AND(NOT(ISBLANK(BA258)), EXACT(AF258, "INVALID"))</formula>
    </cfRule>
  </conditionalFormatting>
  <conditionalFormatting sqref="AR258">
    <cfRule type="expression" dxfId="342" priority="415">
      <formula>NOT($AL258)</formula>
    </cfRule>
  </conditionalFormatting>
  <conditionalFormatting sqref="AJ258">
    <cfRule type="cellIs" dxfId="341" priority="414" operator="equal">
      <formula>FALSE</formula>
    </cfRule>
  </conditionalFormatting>
  <conditionalFormatting sqref="AK258">
    <cfRule type="cellIs" dxfId="340" priority="413" operator="equal">
      <formula>FALSE</formula>
    </cfRule>
  </conditionalFormatting>
  <conditionalFormatting sqref="AL258">
    <cfRule type="cellIs" dxfId="339" priority="412" operator="equal">
      <formula>FALSE</formula>
    </cfRule>
  </conditionalFormatting>
  <conditionalFormatting sqref="AM258">
    <cfRule type="cellIs" dxfId="338" priority="411" operator="equal">
      <formula>FALSE</formula>
    </cfRule>
  </conditionalFormatting>
  <conditionalFormatting sqref="AN258">
    <cfRule type="cellIs" dxfId="337" priority="410" operator="equal">
      <formula>FALSE</formula>
    </cfRule>
  </conditionalFormatting>
  <conditionalFormatting sqref="AP258">
    <cfRule type="cellIs" dxfId="336" priority="409" operator="equal">
      <formula>"INVALID"</formula>
    </cfRule>
  </conditionalFormatting>
  <conditionalFormatting sqref="AJ258">
    <cfRule type="cellIs" dxfId="335" priority="408" operator="equal">
      <formula>"INVALID"</formula>
    </cfRule>
  </conditionalFormatting>
  <conditionalFormatting sqref="AK258">
    <cfRule type="cellIs" dxfId="334" priority="407" operator="equal">
      <formula>"INVALID"</formula>
    </cfRule>
  </conditionalFormatting>
  <conditionalFormatting sqref="AL258:AM258">
    <cfRule type="cellIs" dxfId="333" priority="406" operator="equal">
      <formula>"INVALID"</formula>
    </cfRule>
  </conditionalFormatting>
  <conditionalFormatting sqref="AK258">
    <cfRule type="cellIs" dxfId="332" priority="405" operator="equal">
      <formula>"INVALID"</formula>
    </cfRule>
  </conditionalFormatting>
  <conditionalFormatting sqref="AL258">
    <cfRule type="cellIs" dxfId="331" priority="404" operator="equal">
      <formula>"INVALID"</formula>
    </cfRule>
  </conditionalFormatting>
  <conditionalFormatting sqref="AM258">
    <cfRule type="cellIs" dxfId="330" priority="403" operator="equal">
      <formula>"INVALID"</formula>
    </cfRule>
  </conditionalFormatting>
  <conditionalFormatting sqref="AN258">
    <cfRule type="cellIs" dxfId="329" priority="402" operator="equal">
      <formula>"INVALID"</formula>
    </cfRule>
  </conditionalFormatting>
  <conditionalFormatting sqref="AZ258:BA258">
    <cfRule type="expression" dxfId="328" priority="401">
      <formula>NOT($AN258)</formula>
    </cfRule>
  </conditionalFormatting>
  <conditionalFormatting sqref="AS258">
    <cfRule type="expression" dxfId="327" priority="400">
      <formula>NOT($AK258)</formula>
    </cfRule>
  </conditionalFormatting>
  <conditionalFormatting sqref="AO258">
    <cfRule type="cellIs" dxfId="326" priority="399" operator="equal">
      <formula>FALSE</formula>
    </cfRule>
  </conditionalFormatting>
  <conditionalFormatting sqref="AO258">
    <cfRule type="cellIs" dxfId="325" priority="398" operator="equal">
      <formula>"INVALID"</formula>
    </cfRule>
  </conditionalFormatting>
  <conditionalFormatting sqref="AO258">
    <cfRule type="cellIs" dxfId="324" priority="397" operator="equal">
      <formula>"INVALID"</formula>
    </cfRule>
  </conditionalFormatting>
  <conditionalFormatting sqref="AI258">
    <cfRule type="cellIs" dxfId="323" priority="396" operator="equal">
      <formula>"INVALID"</formula>
    </cfRule>
  </conditionalFormatting>
  <conditionalFormatting sqref="AI258">
    <cfRule type="cellIs" dxfId="322" priority="395" operator="equal">
      <formula>"INVALID"</formula>
    </cfRule>
  </conditionalFormatting>
  <conditionalFormatting sqref="AI258">
    <cfRule type="cellIs" dxfId="321" priority="394" operator="equal">
      <formula>"INVALID"</formula>
    </cfRule>
  </conditionalFormatting>
  <conditionalFormatting sqref="AI258">
    <cfRule type="cellIs" dxfId="320" priority="393" operator="equal">
      <formula>"INVALID"</formula>
    </cfRule>
  </conditionalFormatting>
  <conditionalFormatting sqref="AQ258">
    <cfRule type="expression" dxfId="319" priority="392" stopIfTrue="1">
      <formula>REPLACE($AQ258,8,LEN($AQ258),"")="unused_"</formula>
    </cfRule>
  </conditionalFormatting>
  <conditionalFormatting sqref="AQ258">
    <cfRule type="expression" dxfId="318" priority="390">
      <formula>NOT($AJ258)</formula>
    </cfRule>
    <cfRule type="expression" dxfId="317" priority="391">
      <formula>RIGHT($AQ258, 1)="*"</formula>
    </cfRule>
  </conditionalFormatting>
  <conditionalFormatting sqref="V258">
    <cfRule type="cellIs" dxfId="316" priority="389" operator="equal">
      <formula>"INVALID"</formula>
    </cfRule>
  </conditionalFormatting>
  <conditionalFormatting sqref="AG258">
    <cfRule type="cellIs" dxfId="315" priority="388" operator="equal">
      <formula>"INVALID"</formula>
    </cfRule>
  </conditionalFormatting>
  <conditionalFormatting sqref="AG258">
    <cfRule type="cellIs" dxfId="314" priority="387" operator="equal">
      <formula>"INVALID"</formula>
    </cfRule>
  </conditionalFormatting>
  <conditionalFormatting sqref="AG258">
    <cfRule type="cellIs" dxfId="313" priority="386" operator="equal">
      <formula>"INVALID"</formula>
    </cfRule>
  </conditionalFormatting>
  <conditionalFormatting sqref="AG258">
    <cfRule type="cellIs" dxfId="312" priority="385" operator="equal">
      <formula>"INVALID"</formula>
    </cfRule>
  </conditionalFormatting>
  <conditionalFormatting sqref="AG258">
    <cfRule type="cellIs" dxfId="311" priority="384" operator="equal">
      <formula>"INVALID"</formula>
    </cfRule>
  </conditionalFormatting>
  <conditionalFormatting sqref="AG258">
    <cfRule type="cellIs" dxfId="310" priority="383" operator="equal">
      <formula>"INVALID"</formula>
    </cfRule>
  </conditionalFormatting>
  <conditionalFormatting sqref="AG258">
    <cfRule type="cellIs" dxfId="309" priority="382" operator="equal">
      <formula>"INVALID"</formula>
    </cfRule>
  </conditionalFormatting>
  <conditionalFormatting sqref="AG258">
    <cfRule type="cellIs" dxfId="308" priority="381" operator="equal">
      <formula>"INVALID"</formula>
    </cfRule>
  </conditionalFormatting>
  <conditionalFormatting sqref="AG258">
    <cfRule type="cellIs" dxfId="307" priority="380" operator="equal">
      <formula>"INVALID"</formula>
    </cfRule>
  </conditionalFormatting>
  <conditionalFormatting sqref="AG258">
    <cfRule type="cellIs" dxfId="306" priority="379" operator="equal">
      <formula>"INVALID"</formula>
    </cfRule>
  </conditionalFormatting>
  <conditionalFormatting sqref="AG258">
    <cfRule type="cellIs" dxfId="305" priority="378" operator="equal">
      <formula>"INVALID"</formula>
    </cfRule>
  </conditionalFormatting>
  <conditionalFormatting sqref="AG258">
    <cfRule type="cellIs" dxfId="304" priority="377" operator="equal">
      <formula>"INVALID"</formula>
    </cfRule>
  </conditionalFormatting>
  <conditionalFormatting sqref="AG258">
    <cfRule type="cellIs" dxfId="303" priority="376" operator="equal">
      <formula>"INVALID"</formula>
    </cfRule>
  </conditionalFormatting>
  <conditionalFormatting sqref="AG258">
    <cfRule type="cellIs" dxfId="302" priority="375" operator="equal">
      <formula>"INVALID"</formula>
    </cfRule>
  </conditionalFormatting>
  <conditionalFormatting sqref="AG258">
    <cfRule type="cellIs" dxfId="301" priority="374" operator="equal">
      <formula>"INVALID"</formula>
    </cfRule>
  </conditionalFormatting>
  <conditionalFormatting sqref="AG258">
    <cfRule type="cellIs" dxfId="300" priority="373" operator="equal">
      <formula>"INVALID"</formula>
    </cfRule>
  </conditionalFormatting>
  <conditionalFormatting sqref="AG258">
    <cfRule type="cellIs" dxfId="299" priority="372" operator="equal">
      <formula>"INVALID"</formula>
    </cfRule>
  </conditionalFormatting>
  <conditionalFormatting sqref="AG258">
    <cfRule type="cellIs" dxfId="298" priority="371" operator="equal">
      <formula>"INVALID"</formula>
    </cfRule>
  </conditionalFormatting>
  <conditionalFormatting sqref="AG258">
    <cfRule type="cellIs" dxfId="297" priority="370" operator="equal">
      <formula>"INVALID"</formula>
    </cfRule>
  </conditionalFormatting>
  <conditionalFormatting sqref="AG258">
    <cfRule type="cellIs" dxfId="296" priority="369" operator="equal">
      <formula>"INVALID"</formula>
    </cfRule>
  </conditionalFormatting>
  <conditionalFormatting sqref="AG258">
    <cfRule type="cellIs" dxfId="295" priority="368" operator="equal">
      <formula>"INVALID"</formula>
    </cfRule>
  </conditionalFormatting>
  <conditionalFormatting sqref="AG258">
    <cfRule type="cellIs" dxfId="294" priority="367" operator="equal">
      <formula>"INVALID"</formula>
    </cfRule>
  </conditionalFormatting>
  <conditionalFormatting sqref="AG258">
    <cfRule type="cellIs" dxfId="293" priority="366" operator="equal">
      <formula>"INVALID"</formula>
    </cfRule>
  </conditionalFormatting>
  <conditionalFormatting sqref="AG258">
    <cfRule type="cellIs" dxfId="292" priority="365" operator="equal">
      <formula>"INVALID"</formula>
    </cfRule>
  </conditionalFormatting>
  <conditionalFormatting sqref="AG258">
    <cfRule type="cellIs" dxfId="291" priority="364" operator="equal">
      <formula>"INVALID"</formula>
    </cfRule>
  </conditionalFormatting>
  <conditionalFormatting sqref="AG258">
    <cfRule type="cellIs" dxfId="290" priority="363" operator="equal">
      <formula>"INVALID"</formula>
    </cfRule>
  </conditionalFormatting>
  <conditionalFormatting sqref="AG258">
    <cfRule type="cellIs" dxfId="289" priority="362" operator="equal">
      <formula>"INVALID"</formula>
    </cfRule>
  </conditionalFormatting>
  <conditionalFormatting sqref="AG258">
    <cfRule type="cellIs" dxfId="288" priority="361" operator="equal">
      <formula>"INVALID"</formula>
    </cfRule>
  </conditionalFormatting>
  <conditionalFormatting sqref="AG258">
    <cfRule type="cellIs" dxfId="287" priority="360" operator="equal">
      <formula>"INVALID"</formula>
    </cfRule>
  </conditionalFormatting>
  <conditionalFormatting sqref="AG258">
    <cfRule type="cellIs" dxfId="286" priority="359" operator="equal">
      <formula>"INVALID"</formula>
    </cfRule>
  </conditionalFormatting>
  <conditionalFormatting sqref="AG258">
    <cfRule type="cellIs" dxfId="285" priority="358" operator="equal">
      <formula>"INVALID"</formula>
    </cfRule>
  </conditionalFormatting>
  <conditionalFormatting sqref="AG258">
    <cfRule type="cellIs" dxfId="284" priority="357" operator="equal">
      <formula>"INVALID"</formula>
    </cfRule>
  </conditionalFormatting>
  <conditionalFormatting sqref="AG258">
    <cfRule type="cellIs" dxfId="283" priority="356" operator="equal">
      <formula>"INVALID"</formula>
    </cfRule>
  </conditionalFormatting>
  <conditionalFormatting sqref="AG258">
    <cfRule type="cellIs" dxfId="282" priority="355" operator="equal">
      <formula>"INVALID"</formula>
    </cfRule>
  </conditionalFormatting>
  <conditionalFormatting sqref="AG258">
    <cfRule type="cellIs" dxfId="281" priority="354" operator="equal">
      <formula>"INVALID"</formula>
    </cfRule>
  </conditionalFormatting>
  <conditionalFormatting sqref="AG258">
    <cfRule type="cellIs" dxfId="280" priority="353" operator="equal">
      <formula>"INVALID"</formula>
    </cfRule>
  </conditionalFormatting>
  <conditionalFormatting sqref="AG258">
    <cfRule type="cellIs" dxfId="279" priority="351" operator="equal">
      <formula>"INVALID"</formula>
    </cfRule>
  </conditionalFormatting>
  <conditionalFormatting sqref="AG258">
    <cfRule type="cellIs" dxfId="278" priority="352" operator="equal">
      <formula>"INVALID"</formula>
    </cfRule>
  </conditionalFormatting>
  <conditionalFormatting sqref="AG258">
    <cfRule type="cellIs" dxfId="277" priority="350" operator="equal">
      <formula>"INVALID"</formula>
    </cfRule>
  </conditionalFormatting>
  <conditionalFormatting sqref="AG258">
    <cfRule type="cellIs" dxfId="276" priority="349" operator="equal">
      <formula>"INVALID"</formula>
    </cfRule>
  </conditionalFormatting>
  <conditionalFormatting sqref="AG258">
    <cfRule type="cellIs" dxfId="275" priority="346" operator="equal">
      <formula>"INVALID"</formula>
    </cfRule>
  </conditionalFormatting>
  <conditionalFormatting sqref="AG258">
    <cfRule type="cellIs" dxfId="274" priority="348" operator="equal">
      <formula>"INVALID"</formula>
    </cfRule>
  </conditionalFormatting>
  <conditionalFormatting sqref="AG258">
    <cfRule type="cellIs" dxfId="273" priority="347" operator="equal">
      <formula>"INVALID"</formula>
    </cfRule>
  </conditionalFormatting>
  <conditionalFormatting sqref="AG258">
    <cfRule type="cellIs" dxfId="272" priority="345" operator="equal">
      <formula>"INVALID"</formula>
    </cfRule>
  </conditionalFormatting>
  <conditionalFormatting sqref="AG258">
    <cfRule type="cellIs" dxfId="271" priority="344" operator="equal">
      <formula>"INVALID"</formula>
    </cfRule>
  </conditionalFormatting>
  <conditionalFormatting sqref="AG258">
    <cfRule type="cellIs" dxfId="270" priority="343" operator="equal">
      <formula>"INVALID"</formula>
    </cfRule>
  </conditionalFormatting>
  <conditionalFormatting sqref="AG258">
    <cfRule type="cellIs" dxfId="269" priority="342" operator="equal">
      <formula>"INVALID"</formula>
    </cfRule>
  </conditionalFormatting>
  <conditionalFormatting sqref="AG258">
    <cfRule type="cellIs" dxfId="268" priority="341" operator="equal">
      <formula>"INVALID"</formula>
    </cfRule>
  </conditionalFormatting>
  <conditionalFormatting sqref="AR341">
    <cfRule type="cellIs" dxfId="267" priority="340" operator="equal">
      <formula>"Not Assigned"</formula>
    </cfRule>
  </conditionalFormatting>
  <conditionalFormatting sqref="AR332">
    <cfRule type="cellIs" dxfId="266" priority="338" operator="equal">
      <formula>"Not Assigned"</formula>
    </cfRule>
  </conditionalFormatting>
  <conditionalFormatting sqref="V333:V340">
    <cfRule type="cellIs" dxfId="265" priority="336" operator="equal">
      <formula>"INVALID"</formula>
    </cfRule>
  </conditionalFormatting>
  <conditionalFormatting sqref="V333:V340">
    <cfRule type="cellIs" dxfId="264" priority="335" operator="equal">
      <formula>"INVALID"</formula>
    </cfRule>
  </conditionalFormatting>
  <conditionalFormatting sqref="V342:V349">
    <cfRule type="cellIs" dxfId="263" priority="334" operator="equal">
      <formula>"INVALID"</formula>
    </cfRule>
  </conditionalFormatting>
  <conditionalFormatting sqref="V342:V349">
    <cfRule type="cellIs" dxfId="262" priority="333" operator="equal">
      <formula>"INVALID"</formula>
    </cfRule>
  </conditionalFormatting>
  <conditionalFormatting sqref="AQ357:AQ358">
    <cfRule type="expression" dxfId="261" priority="331" stopIfTrue="1">
      <formula>REPLACE($AQ357,8,LEN($AQ357),"")="unused_"</formula>
    </cfRule>
  </conditionalFormatting>
  <conditionalFormatting sqref="V357:V358">
    <cfRule type="cellIs" dxfId="260" priority="330" operator="equal">
      <formula>"INVALID"</formula>
    </cfRule>
  </conditionalFormatting>
  <conditionalFormatting sqref="V357:V358">
    <cfRule type="cellIs" dxfId="259" priority="329" operator="equal">
      <formula>"INVALID"</formula>
    </cfRule>
  </conditionalFormatting>
  <conditionalFormatting sqref="AQ389:AQ408">
    <cfRule type="expression" dxfId="258" priority="327" stopIfTrue="1">
      <formula>REPLACE($AQ389,8,LEN($AQ389),"")="unused_"</formula>
    </cfRule>
  </conditionalFormatting>
  <conditionalFormatting sqref="V389:V411">
    <cfRule type="cellIs" dxfId="257" priority="317" operator="equal">
      <formula>"INVALID"</formula>
    </cfRule>
  </conditionalFormatting>
  <conditionalFormatting sqref="V389:V411">
    <cfRule type="cellIs" dxfId="256" priority="316" operator="equal">
      <formula>"INVALID"</formula>
    </cfRule>
  </conditionalFormatting>
  <conditionalFormatting sqref="AR412">
    <cfRule type="cellIs" dxfId="255" priority="313" operator="equal">
      <formula>"Not Assigned"</formula>
    </cfRule>
  </conditionalFormatting>
  <conditionalFormatting sqref="AQ437:AQ440">
    <cfRule type="expression" dxfId="254" priority="314" stopIfTrue="1">
      <formula>REPLACE($AQ437,8,LEN($AQ437),"")="unused_"</formula>
    </cfRule>
  </conditionalFormatting>
  <conditionalFormatting sqref="AQ433:AQ436">
    <cfRule type="expression" dxfId="253" priority="302">
      <formula>RIGHT($AQ433, 1)="*"</formula>
    </cfRule>
    <cfRule type="expression" dxfId="252" priority="303" stopIfTrue="1">
      <formula>REPLACE($AQ433,8,LEN($AQ433),"")="unused_"</formula>
    </cfRule>
  </conditionalFormatting>
  <conditionalFormatting sqref="AQ441">
    <cfRule type="expression" dxfId="251" priority="299" stopIfTrue="1">
      <formula>REPLACE($AQ441,8,LEN($AQ441),"")="unused_"</formula>
    </cfRule>
  </conditionalFormatting>
  <conditionalFormatting sqref="V413:V441">
    <cfRule type="cellIs" dxfId="250" priority="297" operator="equal">
      <formula>"INVALID"</formula>
    </cfRule>
  </conditionalFormatting>
  <conditionalFormatting sqref="V413:V441">
    <cfRule type="cellIs" dxfId="249" priority="296" operator="equal">
      <formula>"INVALID"</formula>
    </cfRule>
  </conditionalFormatting>
  <conditionalFormatting sqref="V442:V446">
    <cfRule type="cellIs" dxfId="248" priority="294" operator="equal">
      <formula>"INVALID"</formula>
    </cfRule>
  </conditionalFormatting>
  <conditionalFormatting sqref="V442:V446">
    <cfRule type="cellIs" dxfId="247" priority="293" operator="equal">
      <formula>"INVALID"</formula>
    </cfRule>
  </conditionalFormatting>
  <conditionalFormatting sqref="BD779:BD781 BD801:BD803 BD790:BD792 BD812:BD814 BD823:BD825 BD845:BD847 BD834:BD836 BD756:BD763 BD740:BD754 BD766:BD770 AR739">
    <cfRule type="cellIs" dxfId="246" priority="292" operator="equal">
      <formula>"Not Assigned"</formula>
    </cfRule>
  </conditionalFormatting>
  <conditionalFormatting sqref="BD771:BD778 BD856:BD860 BD782:BD789 BD793:BD800 BD804:BD811">
    <cfRule type="cellIs" dxfId="245" priority="291" operator="equal">
      <formula>"Not Assigned"</formula>
    </cfRule>
  </conditionalFormatting>
  <conditionalFormatting sqref="BD815:BD822 BD826:BD833 BD837:BD844 BD848:BD855">
    <cfRule type="cellIs" dxfId="244" priority="290" operator="equal">
      <formula>"Not Assigned"</formula>
    </cfRule>
  </conditionalFormatting>
  <conditionalFormatting sqref="BD755">
    <cfRule type="cellIs" dxfId="243" priority="289" operator="equal">
      <formula>"Not Assigned"</formula>
    </cfRule>
  </conditionalFormatting>
  <conditionalFormatting sqref="BD865:BD866">
    <cfRule type="cellIs" dxfId="242" priority="288" operator="equal">
      <formula>"Not Assigned"</formula>
    </cfRule>
  </conditionalFormatting>
  <conditionalFormatting sqref="BD863:BD864">
    <cfRule type="cellIs" dxfId="241" priority="287" operator="equal">
      <formula>"Not Assigned"</formula>
    </cfRule>
  </conditionalFormatting>
  <conditionalFormatting sqref="BD861:BD862">
    <cfRule type="cellIs" dxfId="240" priority="286" operator="equal">
      <formula>"Not Assigned"</formula>
    </cfRule>
  </conditionalFormatting>
  <conditionalFormatting sqref="BD869">
    <cfRule type="cellIs" dxfId="239" priority="285" operator="equal">
      <formula>"Not Assigned"</formula>
    </cfRule>
  </conditionalFormatting>
  <conditionalFormatting sqref="BD867:BD868">
    <cfRule type="cellIs" dxfId="238" priority="284" operator="equal">
      <formula>"Not Assigned"</formula>
    </cfRule>
  </conditionalFormatting>
  <conditionalFormatting sqref="BD764:BD765">
    <cfRule type="cellIs" dxfId="237" priority="283" operator="equal">
      <formula>"Not Assigned"</formula>
    </cfRule>
  </conditionalFormatting>
  <conditionalFormatting sqref="BD876:BD880">
    <cfRule type="cellIs" dxfId="236" priority="282" operator="equal">
      <formula>"Not Assigned"</formula>
    </cfRule>
  </conditionalFormatting>
  <conditionalFormatting sqref="BD870:BD875">
    <cfRule type="cellIs" dxfId="235" priority="281" operator="equal">
      <formula>"Not Assigned"</formula>
    </cfRule>
  </conditionalFormatting>
  <conditionalFormatting sqref="BD881:BD883">
    <cfRule type="cellIs" dxfId="234" priority="280" operator="equal">
      <formula>"Not Assigned"</formula>
    </cfRule>
  </conditionalFormatting>
  <conditionalFormatting sqref="BD924:BD926 BD946:BD948 BD935:BD937 BD957:BD959 BD968:BD970 BD990:BD992 BD979:BD981 BD901:BD908 BD885:BD899 BD911:BD915 AR884">
    <cfRule type="cellIs" dxfId="233" priority="279" operator="equal">
      <formula>"Not Assigned"</formula>
    </cfRule>
  </conditionalFormatting>
  <conditionalFormatting sqref="BD916:BD923 BD1001:BD1005 BD927:BD934 BD938:BD945 BD949:BD956">
    <cfRule type="cellIs" dxfId="232" priority="278" operator="equal">
      <formula>"Not Assigned"</formula>
    </cfRule>
  </conditionalFormatting>
  <conditionalFormatting sqref="BD960:BD967 BD971:BD978 BD982:BD989 BD993:BD1000">
    <cfRule type="cellIs" dxfId="231" priority="277" operator="equal">
      <formula>"Not Assigned"</formula>
    </cfRule>
  </conditionalFormatting>
  <conditionalFormatting sqref="BD900">
    <cfRule type="cellIs" dxfId="230" priority="276" operator="equal">
      <formula>"Not Assigned"</formula>
    </cfRule>
  </conditionalFormatting>
  <conditionalFormatting sqref="BD1010:BD1011">
    <cfRule type="cellIs" dxfId="229" priority="275" operator="equal">
      <formula>"Not Assigned"</formula>
    </cfRule>
  </conditionalFormatting>
  <conditionalFormatting sqref="BD1008:BD1009">
    <cfRule type="cellIs" dxfId="228" priority="274" operator="equal">
      <formula>"Not Assigned"</formula>
    </cfRule>
  </conditionalFormatting>
  <conditionalFormatting sqref="BD1006:BD1007">
    <cfRule type="cellIs" dxfId="227" priority="273" operator="equal">
      <formula>"Not Assigned"</formula>
    </cfRule>
  </conditionalFormatting>
  <conditionalFormatting sqref="BD1014">
    <cfRule type="cellIs" dxfId="226" priority="272" operator="equal">
      <formula>"Not Assigned"</formula>
    </cfRule>
  </conditionalFormatting>
  <conditionalFormatting sqref="BD1012:BD1013">
    <cfRule type="cellIs" dxfId="225" priority="271" operator="equal">
      <formula>"Not Assigned"</formula>
    </cfRule>
  </conditionalFormatting>
  <conditionalFormatting sqref="BD909:BD910">
    <cfRule type="cellIs" dxfId="224" priority="270" operator="equal">
      <formula>"Not Assigned"</formula>
    </cfRule>
  </conditionalFormatting>
  <conditionalFormatting sqref="BD1021:BD1025">
    <cfRule type="cellIs" dxfId="223" priority="269" operator="equal">
      <formula>"Not Assigned"</formula>
    </cfRule>
  </conditionalFormatting>
  <conditionalFormatting sqref="BD1015:BD1020">
    <cfRule type="cellIs" dxfId="222" priority="268" operator="equal">
      <formula>"Not Assigned"</formula>
    </cfRule>
  </conditionalFormatting>
  <conditionalFormatting sqref="BD1026:BD1028">
    <cfRule type="cellIs" dxfId="221" priority="267" operator="equal">
      <formula>"Not Assigned"</formula>
    </cfRule>
  </conditionalFormatting>
  <conditionalFormatting sqref="V740:V883">
    <cfRule type="cellIs" dxfId="220" priority="266" operator="equal">
      <formula>"INVALID"</formula>
    </cfRule>
  </conditionalFormatting>
  <conditionalFormatting sqref="V740:V883">
    <cfRule type="cellIs" dxfId="219" priority="265" operator="equal">
      <formula>"INVALID"</formula>
    </cfRule>
  </conditionalFormatting>
  <conditionalFormatting sqref="V885:V1028">
    <cfRule type="cellIs" dxfId="218" priority="264" operator="equal">
      <formula>"INVALID"</formula>
    </cfRule>
  </conditionalFormatting>
  <conditionalFormatting sqref="V885:V1028">
    <cfRule type="cellIs" dxfId="217" priority="263" operator="equal">
      <formula>"INVALID"</formula>
    </cfRule>
  </conditionalFormatting>
  <conditionalFormatting sqref="AR737">
    <cfRule type="cellIs" dxfId="216" priority="258" operator="equal">
      <formula>"Not Assigned"</formula>
    </cfRule>
  </conditionalFormatting>
  <conditionalFormatting sqref="AQ737">
    <cfRule type="expression" dxfId="215" priority="257" stopIfTrue="1">
      <formula>REPLACE($AQ737,8,LEN($AQ737),"")="unused_"</formula>
    </cfRule>
  </conditionalFormatting>
  <conditionalFormatting sqref="AQ738">
    <cfRule type="expression" dxfId="214" priority="262" stopIfTrue="1">
      <formula>REPLACE($AQ738,8,LEN($AQ738),"")="unused_"</formula>
    </cfRule>
  </conditionalFormatting>
  <conditionalFormatting sqref="BD738">
    <cfRule type="cellIs" dxfId="213" priority="261" operator="equal">
      <formula>"Not Assigned"</formula>
    </cfRule>
  </conditionalFormatting>
  <conditionalFormatting sqref="V738">
    <cfRule type="cellIs" dxfId="212" priority="260" operator="equal">
      <formula>"INVALID"</formula>
    </cfRule>
  </conditionalFormatting>
  <conditionalFormatting sqref="V738">
    <cfRule type="cellIs" dxfId="211" priority="259" operator="equal">
      <formula>"INVALID"</formula>
    </cfRule>
  </conditionalFormatting>
  <conditionalFormatting sqref="AQ1030">
    <cfRule type="expression" dxfId="210" priority="256" stopIfTrue="1">
      <formula>REPLACE($AQ1030,8,LEN($AQ1030),"")="unused_"</formula>
    </cfRule>
  </conditionalFormatting>
  <conditionalFormatting sqref="BD1030">
    <cfRule type="cellIs" dxfId="209" priority="255" operator="equal">
      <formula>"Not Assigned"</formula>
    </cfRule>
  </conditionalFormatting>
  <conditionalFormatting sqref="V1030">
    <cfRule type="cellIs" dxfId="208" priority="254" operator="equal">
      <formula>"INVALID"</formula>
    </cfRule>
  </conditionalFormatting>
  <conditionalFormatting sqref="V1030">
    <cfRule type="cellIs" dxfId="207" priority="253" operator="equal">
      <formula>"INVALID"</formula>
    </cfRule>
  </conditionalFormatting>
  <conditionalFormatting sqref="AR1029">
    <cfRule type="cellIs" dxfId="206" priority="252" operator="equal">
      <formula>"Not Assigned"</formula>
    </cfRule>
  </conditionalFormatting>
  <conditionalFormatting sqref="AQ1029">
    <cfRule type="expression" dxfId="205" priority="251" stopIfTrue="1">
      <formula>REPLACE($AQ1029,8,LEN($AQ1029),"")="unused_"</formula>
    </cfRule>
  </conditionalFormatting>
  <conditionalFormatting sqref="AD82:AD102">
    <cfRule type="cellIs" dxfId="204" priority="250" operator="equal">
      <formula>"INVALID"</formula>
    </cfRule>
  </conditionalFormatting>
  <conditionalFormatting sqref="AT31">
    <cfRule type="expression" dxfId="203" priority="249">
      <formula>NOT($AM31)</formula>
    </cfRule>
  </conditionalFormatting>
  <conditionalFormatting sqref="AT38">
    <cfRule type="expression" dxfId="202" priority="248">
      <formula>NOT($AM39)</formula>
    </cfRule>
  </conditionalFormatting>
  <conditionalFormatting sqref="AT52">
    <cfRule type="expression" dxfId="201" priority="247">
      <formula>NOT($AM52)</formula>
    </cfRule>
  </conditionalFormatting>
  <conditionalFormatting sqref="AT64">
    <cfRule type="expression" dxfId="200" priority="246">
      <formula>NOT($AM64)</formula>
    </cfRule>
  </conditionalFormatting>
  <conditionalFormatting sqref="AT62">
    <cfRule type="expression" dxfId="199" priority="245">
      <formula>NOT($AM62)</formula>
    </cfRule>
  </conditionalFormatting>
  <conditionalFormatting sqref="AT58">
    <cfRule type="expression" dxfId="198" priority="244">
      <formula>NOT($AM58)</formula>
    </cfRule>
  </conditionalFormatting>
  <conditionalFormatting sqref="AT82:AT86">
    <cfRule type="expression" dxfId="197" priority="243">
      <formula>NOT($AM82)</formula>
    </cfRule>
  </conditionalFormatting>
  <conditionalFormatting sqref="AT89">
    <cfRule type="expression" dxfId="196" priority="242">
      <formula>NOT($AM89)</formula>
    </cfRule>
  </conditionalFormatting>
  <conditionalFormatting sqref="AT91">
    <cfRule type="expression" dxfId="195" priority="241">
      <formula>NOT($AM91)</formula>
    </cfRule>
  </conditionalFormatting>
  <conditionalFormatting sqref="AT96">
    <cfRule type="expression" dxfId="194" priority="240">
      <formula>NOT($AM96)</formula>
    </cfRule>
  </conditionalFormatting>
  <conditionalFormatting sqref="AT102">
    <cfRule type="expression" dxfId="193" priority="239">
      <formula>NOT($AM102)</formula>
    </cfRule>
  </conditionalFormatting>
  <conditionalFormatting sqref="AT104">
    <cfRule type="expression" dxfId="192" priority="238">
      <formula>NOT($AM104)</formula>
    </cfRule>
  </conditionalFormatting>
  <conditionalFormatting sqref="AT119:AT120">
    <cfRule type="expression" dxfId="191" priority="237">
      <formula>NOT($AM119)</formula>
    </cfRule>
  </conditionalFormatting>
  <conditionalFormatting sqref="AT123">
    <cfRule type="expression" dxfId="190" priority="236">
      <formula>NOT($AM123)</formula>
    </cfRule>
  </conditionalFormatting>
  <conditionalFormatting sqref="AT128">
    <cfRule type="expression" dxfId="189" priority="235">
      <formula>NOT($AM128)</formula>
    </cfRule>
  </conditionalFormatting>
  <conditionalFormatting sqref="AT130">
    <cfRule type="expression" dxfId="188" priority="234">
      <formula>NOT($AM130)</formula>
    </cfRule>
  </conditionalFormatting>
  <conditionalFormatting sqref="AT134:AT135">
    <cfRule type="expression" dxfId="187" priority="233">
      <formula>NOT($AM134)</formula>
    </cfRule>
  </conditionalFormatting>
  <conditionalFormatting sqref="AT142:AT143">
    <cfRule type="expression" dxfId="186" priority="232">
      <formula>NOT($AM142)</formula>
    </cfRule>
  </conditionalFormatting>
  <conditionalFormatting sqref="AT148">
    <cfRule type="expression" dxfId="185" priority="231">
      <formula>NOT($AM148)</formula>
    </cfRule>
  </conditionalFormatting>
  <conditionalFormatting sqref="AT153">
    <cfRule type="expression" dxfId="184" priority="230">
      <formula>NOT($AM153)</formula>
    </cfRule>
  </conditionalFormatting>
  <conditionalFormatting sqref="AT158:AT159">
    <cfRule type="expression" dxfId="183" priority="229">
      <formula>NOT($AM158)</formula>
    </cfRule>
  </conditionalFormatting>
  <conditionalFormatting sqref="AT162:AT163">
    <cfRule type="expression" dxfId="182" priority="228">
      <formula>NOT($AM162)</formula>
    </cfRule>
  </conditionalFormatting>
  <conditionalFormatting sqref="AT225:AT226">
    <cfRule type="expression" dxfId="181" priority="227">
      <formula>NOT($AM225)</formula>
    </cfRule>
  </conditionalFormatting>
  <conditionalFormatting sqref="AT228">
    <cfRule type="expression" dxfId="180" priority="226">
      <formula>NOT($AM228)</formula>
    </cfRule>
  </conditionalFormatting>
  <conditionalFormatting sqref="AX82:AX102">
    <cfRule type="expression" dxfId="179" priority="225">
      <formula>NOT($AO82)</formula>
    </cfRule>
  </conditionalFormatting>
  <conditionalFormatting sqref="AX138:AX148">
    <cfRule type="expression" dxfId="178" priority="224">
      <formula>NOT(#REF!)</formula>
    </cfRule>
  </conditionalFormatting>
  <conditionalFormatting sqref="AF165:AF174 AD164:AF164 AG164:AG175 AH164:AI166 AI167:AI174 AH167:AH175 AJ165:AP175">
    <cfRule type="cellIs" dxfId="177" priority="223" operator="equal">
      <formula>"INVALID"</formula>
    </cfRule>
  </conditionalFormatting>
  <conditionalFormatting sqref="AS166:AS174">
    <cfRule type="expression" dxfId="176" priority="222">
      <formula>EXACT(AF166, "INVALID")</formula>
    </cfRule>
  </conditionalFormatting>
  <conditionalFormatting sqref="AS165">
    <cfRule type="expression" dxfId="175" priority="221">
      <formula>EXACT(AF165, "INVALID")</formula>
    </cfRule>
  </conditionalFormatting>
  <conditionalFormatting sqref="AZ166:AZ175">
    <cfRule type="expression" dxfId="174" priority="220">
      <formula>AND(NOT(ISBLANK(AZ166)), EXACT(AF166, "INVALID"))</formula>
    </cfRule>
  </conditionalFormatting>
  <conditionalFormatting sqref="BA166:BA174">
    <cfRule type="expression" dxfId="173" priority="219">
      <formula>AND(NOT(ISBLANK(BA166)), EXACT(AF166, "INVALID"))</formula>
    </cfRule>
  </conditionalFormatting>
  <conditionalFormatting sqref="AZ165">
    <cfRule type="expression" dxfId="172" priority="218">
      <formula>AND(NOT(ISBLANK(AZ165)), EXACT(AF165, "INVALID"))</formula>
    </cfRule>
  </conditionalFormatting>
  <conditionalFormatting sqref="BA165">
    <cfRule type="expression" dxfId="171" priority="217">
      <formula>AND(NOT(ISBLANK(BA165)), EXACT(AF165, "INVALID"))</formula>
    </cfRule>
  </conditionalFormatting>
  <conditionalFormatting sqref="AR165:AR174">
    <cfRule type="cellIs" dxfId="170" priority="216" operator="equal">
      <formula>"Not Assigned"</formula>
    </cfRule>
  </conditionalFormatting>
  <conditionalFormatting sqref="AF175 AI175">
    <cfRule type="cellIs" dxfId="169" priority="215" operator="equal">
      <formula>"INVALID"</formula>
    </cfRule>
  </conditionalFormatting>
  <conditionalFormatting sqref="AR175">
    <cfRule type="cellIs" dxfId="168" priority="214" operator="equal">
      <formula>"Not Assigned"</formula>
    </cfRule>
  </conditionalFormatting>
  <conditionalFormatting sqref="AS175">
    <cfRule type="expression" dxfId="167" priority="213">
      <formula>EXACT(AF175, "INVALID")</formula>
    </cfRule>
  </conditionalFormatting>
  <conditionalFormatting sqref="AJ165:AO175">
    <cfRule type="cellIs" dxfId="166" priority="212" operator="equal">
      <formula>FALSE</formula>
    </cfRule>
  </conditionalFormatting>
  <conditionalFormatting sqref="AT168">
    <cfRule type="expression" dxfId="165" priority="211">
      <formula>NOT($AM168)</formula>
    </cfRule>
  </conditionalFormatting>
  <conditionalFormatting sqref="AF175 AI175">
    <cfRule type="cellIs" dxfId="164" priority="210" operator="equal">
      <formula>"INVALID"</formula>
    </cfRule>
  </conditionalFormatting>
  <conditionalFormatting sqref="AG175">
    <cfRule type="cellIs" dxfId="163" priority="209" operator="equal">
      <formula>"INVALID"</formula>
    </cfRule>
  </conditionalFormatting>
  <conditionalFormatting sqref="AG175">
    <cfRule type="cellIs" dxfId="162" priority="208" operator="equal">
      <formula>"INVALID"</formula>
    </cfRule>
  </conditionalFormatting>
  <conditionalFormatting sqref="AG165:AG175">
    <cfRule type="cellIs" dxfId="161" priority="206" operator="equal">
      <formula>"INVALID"</formula>
    </cfRule>
  </conditionalFormatting>
  <conditionalFormatting sqref="AG165:AG175">
    <cfRule type="cellIs" dxfId="160" priority="207" operator="equal">
      <formula>"INVALID"</formula>
    </cfRule>
  </conditionalFormatting>
  <conditionalFormatting sqref="AG165:AG175">
    <cfRule type="cellIs" dxfId="159" priority="205" operator="equal">
      <formula>"INVALID"</formula>
    </cfRule>
  </conditionalFormatting>
  <conditionalFormatting sqref="AG165:AG175">
    <cfRule type="cellIs" dxfId="158" priority="204" operator="equal">
      <formula>"INVALID"</formula>
    </cfRule>
  </conditionalFormatting>
  <conditionalFormatting sqref="AG165:AG175">
    <cfRule type="cellIs" dxfId="157" priority="201" operator="equal">
      <formula>"INVALID"</formula>
    </cfRule>
  </conditionalFormatting>
  <conditionalFormatting sqref="AG165:AG175">
    <cfRule type="cellIs" dxfId="156" priority="203" operator="equal">
      <formula>"INVALID"</formula>
    </cfRule>
  </conditionalFormatting>
  <conditionalFormatting sqref="AG165:AG175">
    <cfRule type="cellIs" dxfId="155" priority="202" operator="equal">
      <formula>"INVALID"</formula>
    </cfRule>
  </conditionalFormatting>
  <conditionalFormatting sqref="AG165:AG175">
    <cfRule type="cellIs" dxfId="154" priority="200" operator="equal">
      <formula>"INVALID"</formula>
    </cfRule>
  </conditionalFormatting>
  <conditionalFormatting sqref="AG165:AG175">
    <cfRule type="cellIs" dxfId="153" priority="199" operator="equal">
      <formula>"INVALID"</formula>
    </cfRule>
  </conditionalFormatting>
  <conditionalFormatting sqref="AG165:AG175">
    <cfRule type="cellIs" dxfId="152" priority="198" operator="equal">
      <formula>"INVALID"</formula>
    </cfRule>
  </conditionalFormatting>
  <conditionalFormatting sqref="AG165:AG175">
    <cfRule type="cellIs" dxfId="151" priority="197" operator="equal">
      <formula>"INVALID"</formula>
    </cfRule>
  </conditionalFormatting>
  <conditionalFormatting sqref="AG165:AG175">
    <cfRule type="cellIs" dxfId="150" priority="196" operator="equal">
      <formula>"INVALID"</formula>
    </cfRule>
  </conditionalFormatting>
  <conditionalFormatting sqref="AT166">
    <cfRule type="expression" dxfId="149" priority="195">
      <formula>NOT($AM166)</formula>
    </cfRule>
  </conditionalFormatting>
  <conditionalFormatting sqref="AT171:AT172">
    <cfRule type="expression" dxfId="148" priority="194">
      <formula>NOT($AM171)</formula>
    </cfRule>
  </conditionalFormatting>
  <conditionalFormatting sqref="AX172:AX175">
    <cfRule type="expression" dxfId="147" priority="193">
      <formula>NOT($AO172)</formula>
    </cfRule>
  </conditionalFormatting>
  <conditionalFormatting sqref="AX179:AX180">
    <cfRule type="expression" dxfId="146" priority="192">
      <formula>NOT($AO179)</formula>
    </cfRule>
  </conditionalFormatting>
  <conditionalFormatting sqref="AD165:AD175">
    <cfRule type="cellIs" dxfId="145" priority="191" operator="equal">
      <formula>"INVALID"</formula>
    </cfRule>
  </conditionalFormatting>
  <conditionalFormatting sqref="AE112:AE134">
    <cfRule type="cellIs" dxfId="144" priority="190" operator="equal">
      <formula>"INVALID"</formula>
    </cfRule>
  </conditionalFormatting>
  <conditionalFormatting sqref="AE137:AE150 AD149:AD150 AD147 AD143:AD144 AD137">
    <cfRule type="cellIs" dxfId="143" priority="189" operator="equal">
      <formula>"INVALID"</formula>
    </cfRule>
  </conditionalFormatting>
  <conditionalFormatting sqref="AE165:AE175">
    <cfRule type="cellIs" dxfId="142" priority="187" operator="equal">
      <formula>"INVALID"</formula>
    </cfRule>
  </conditionalFormatting>
  <conditionalFormatting sqref="AE152:AE163">
    <cfRule type="cellIs" dxfId="141" priority="188" operator="equal">
      <formula>"INVALID"</formula>
    </cfRule>
  </conditionalFormatting>
  <conditionalFormatting sqref="AP1041">
    <cfRule type="cellIs" dxfId="140" priority="186" operator="equal">
      <formula>"Not Assigned"</formula>
    </cfRule>
  </conditionalFormatting>
  <conditionalFormatting sqref="AO1035:AO1044">
    <cfRule type="expression" dxfId="139" priority="185" stopIfTrue="1">
      <formula>REPLACE($AO1035,8,LEN($AO1035),"")="unused_"</formula>
    </cfRule>
  </conditionalFormatting>
  <conditionalFormatting sqref="AY70">
    <cfRule type="expression" dxfId="138" priority="184">
      <formula>NOT($AO70)</formula>
    </cfRule>
  </conditionalFormatting>
  <conditionalFormatting sqref="AY35">
    <cfRule type="expression" dxfId="137" priority="183">
      <formula>NOT($AO35)</formula>
    </cfRule>
  </conditionalFormatting>
  <conditionalFormatting sqref="AY28">
    <cfRule type="expression" dxfId="136" priority="182">
      <formula>NOT($AO28)</formula>
    </cfRule>
  </conditionalFormatting>
  <conditionalFormatting sqref="AH70">
    <cfRule type="cellIs" dxfId="135" priority="179" operator="equal">
      <formula>"INVALID"</formula>
    </cfRule>
  </conditionalFormatting>
  <conditionalFormatting sqref="AH28">
    <cfRule type="cellIs" dxfId="134" priority="181" operator="equal">
      <formula>"INVALID"</formula>
    </cfRule>
  </conditionalFormatting>
  <conditionalFormatting sqref="AH35">
    <cfRule type="cellIs" dxfId="133" priority="180" operator="equal">
      <formula>"INVALID"</formula>
    </cfRule>
  </conditionalFormatting>
  <conditionalFormatting sqref="AH200 AH203:AH204 AH207">
    <cfRule type="cellIs" dxfId="132" priority="175" operator="equal">
      <formula>"INVALID"</formula>
    </cfRule>
  </conditionalFormatting>
  <conditionalFormatting sqref="AH10 AH13">
    <cfRule type="cellIs" dxfId="131" priority="178" operator="equal">
      <formula>"INVALID"</formula>
    </cfRule>
  </conditionalFormatting>
  <conditionalFormatting sqref="AH26 AH22:AH23">
    <cfRule type="cellIs" dxfId="130" priority="177" operator="equal">
      <formula>"INVALID"</formula>
    </cfRule>
  </conditionalFormatting>
  <conditionalFormatting sqref="AH97 AH100">
    <cfRule type="cellIs" dxfId="129" priority="176" operator="equal">
      <formula>"INVALID"</formula>
    </cfRule>
  </conditionalFormatting>
  <conditionalFormatting sqref="AH11:AH12">
    <cfRule type="cellIs" dxfId="128" priority="173" operator="equal">
      <formula>"INVALID"</formula>
    </cfRule>
  </conditionalFormatting>
  <conditionalFormatting sqref="AH205:AH206">
    <cfRule type="cellIs" dxfId="127" priority="169" operator="equal">
      <formula>"INVALID"</formula>
    </cfRule>
  </conditionalFormatting>
  <conditionalFormatting sqref="AH24:AH25">
    <cfRule type="cellIs" dxfId="126" priority="172" operator="equal">
      <formula>"INVALID"</formula>
    </cfRule>
  </conditionalFormatting>
  <conditionalFormatting sqref="AH98:AH99">
    <cfRule type="cellIs" dxfId="125" priority="171" operator="equal">
      <formula>"INVALID"</formula>
    </cfRule>
  </conditionalFormatting>
  <conditionalFormatting sqref="AH201:AH202">
    <cfRule type="cellIs" dxfId="124" priority="170" operator="equal">
      <formula>"INVALID"</formula>
    </cfRule>
  </conditionalFormatting>
  <conditionalFormatting sqref="AW218">
    <cfRule type="expression" dxfId="123" priority="168">
      <formula>NOT($AO218)</formula>
    </cfRule>
  </conditionalFormatting>
  <conditionalFormatting sqref="AW219">
    <cfRule type="expression" dxfId="122" priority="167">
      <formula>NOT($AO219)</formula>
    </cfRule>
  </conditionalFormatting>
  <conditionalFormatting sqref="AW220">
    <cfRule type="expression" dxfId="121" priority="166">
      <formula>NOT($AO220)</formula>
    </cfRule>
  </conditionalFormatting>
  <conditionalFormatting sqref="AW221">
    <cfRule type="expression" dxfId="120" priority="165">
      <formula>NOT($AO221)</formula>
    </cfRule>
  </conditionalFormatting>
  <conditionalFormatting sqref="AW222">
    <cfRule type="expression" dxfId="119" priority="164">
      <formula>NOT($AO222)</formula>
    </cfRule>
  </conditionalFormatting>
  <conditionalFormatting sqref="AW223">
    <cfRule type="expression" dxfId="118" priority="163">
      <formula>NOT($AO223)</formula>
    </cfRule>
  </conditionalFormatting>
  <conditionalFormatting sqref="AW247">
    <cfRule type="expression" dxfId="117" priority="162">
      <formula>NOT($AO247)</formula>
    </cfRule>
  </conditionalFormatting>
  <conditionalFormatting sqref="AW250">
    <cfRule type="expression" dxfId="116" priority="161">
      <formula>NOT($AO250)</formula>
    </cfRule>
  </conditionalFormatting>
  <conditionalFormatting sqref="AW215:AW217">
    <cfRule type="expression" dxfId="115" priority="160">
      <formula>NOT($AO215)</formula>
    </cfRule>
  </conditionalFormatting>
  <conditionalFormatting sqref="AW224:AW226">
    <cfRule type="expression" dxfId="114" priority="159">
      <formula>NOT($AO224)</formula>
    </cfRule>
  </conditionalFormatting>
  <conditionalFormatting sqref="AW253">
    <cfRule type="expression" dxfId="113" priority="158">
      <formula>NOT($AO253)</formula>
    </cfRule>
  </conditionalFormatting>
  <conditionalFormatting sqref="AW256:AW257">
    <cfRule type="expression" dxfId="112" priority="157">
      <formula>NOT($AO256)</formula>
    </cfRule>
  </conditionalFormatting>
  <conditionalFormatting sqref="AW101:AW102">
    <cfRule type="expression" dxfId="111" priority="156">
      <formula>NOT($AO101)</formula>
    </cfRule>
  </conditionalFormatting>
  <conditionalFormatting sqref="AW141:AW142">
    <cfRule type="expression" dxfId="110" priority="154">
      <formula>NOT(#REF!)</formula>
    </cfRule>
  </conditionalFormatting>
  <conditionalFormatting sqref="AW129:AW130">
    <cfRule type="expression" dxfId="109" priority="155">
      <formula>NOT(#REF!)</formula>
    </cfRule>
  </conditionalFormatting>
  <conditionalFormatting sqref="AW170:AW175">
    <cfRule type="expression" dxfId="108" priority="153">
      <formula>NOT($AO170)</formula>
    </cfRule>
  </conditionalFormatting>
  <conditionalFormatting sqref="AW179:AW180">
    <cfRule type="expression" dxfId="107" priority="152">
      <formula>NOT($AO179)</formula>
    </cfRule>
  </conditionalFormatting>
  <conditionalFormatting sqref="AW138:AW139">
    <cfRule type="expression" dxfId="106" priority="151">
      <formula>NOT(#REF!)</formula>
    </cfRule>
  </conditionalFormatting>
  <conditionalFormatting sqref="AW145">
    <cfRule type="expression" dxfId="105" priority="150">
      <formula>NOT(#REF!)</formula>
    </cfRule>
  </conditionalFormatting>
  <conditionalFormatting sqref="AW165:AX168">
    <cfRule type="expression" dxfId="104" priority="149">
      <formula>NOT($AO165)</formula>
    </cfRule>
  </conditionalFormatting>
  <conditionalFormatting sqref="AW116:AW117">
    <cfRule type="expression" dxfId="103" priority="148">
      <formula>NOT(#REF!)</formula>
    </cfRule>
  </conditionalFormatting>
  <conditionalFormatting sqref="AW120:AX124 AX112:AX119 AX125:AX135">
    <cfRule type="expression" dxfId="102" priority="147">
      <formula>NOT(#REF!)</formula>
    </cfRule>
  </conditionalFormatting>
  <conditionalFormatting sqref="AW228:AW229">
    <cfRule type="expression" dxfId="101" priority="146">
      <formula>NOT($AO228)</formula>
    </cfRule>
  </conditionalFormatting>
  <conditionalFormatting sqref="V1032:V1033">
    <cfRule type="cellIs" dxfId="100" priority="145" operator="equal">
      <formula>"INVALID"</formula>
    </cfRule>
  </conditionalFormatting>
  <conditionalFormatting sqref="V1032:V1033">
    <cfRule type="cellIs" dxfId="99" priority="144" operator="equal">
      <formula>"INVALID"</formula>
    </cfRule>
  </conditionalFormatting>
  <conditionalFormatting sqref="AH20:AH21">
    <cfRule type="cellIs" dxfId="98" priority="143" operator="equal">
      <formula>"INVALID"</formula>
    </cfRule>
  </conditionalFormatting>
  <conditionalFormatting sqref="AY57">
    <cfRule type="expression" dxfId="97" priority="141">
      <formula>NOT($AO57)</formula>
    </cfRule>
  </conditionalFormatting>
  <conditionalFormatting sqref="AY63">
    <cfRule type="expression" dxfId="96" priority="140">
      <formula>NOT($AO63)</formula>
    </cfRule>
  </conditionalFormatting>
  <conditionalFormatting sqref="AW184">
    <cfRule type="expression" dxfId="95" priority="139">
      <formula>NOT($AO184)</formula>
    </cfRule>
  </conditionalFormatting>
  <conditionalFormatting sqref="AW189:AW196">
    <cfRule type="expression" dxfId="94" priority="138">
      <formula>NOT($AO189)</formula>
    </cfRule>
  </conditionalFormatting>
  <conditionalFormatting sqref="AX209:AX210">
    <cfRule type="expression" dxfId="93" priority="137">
      <formula>NOT($AO209)</formula>
    </cfRule>
  </conditionalFormatting>
  <conditionalFormatting sqref="AX177:AX178">
    <cfRule type="expression" dxfId="92" priority="136">
      <formula>NOT($AO177)</formula>
    </cfRule>
  </conditionalFormatting>
  <conditionalFormatting sqref="AX181:AX198">
    <cfRule type="expression" dxfId="91" priority="135">
      <formula>NOT($AO181)</formula>
    </cfRule>
  </conditionalFormatting>
  <conditionalFormatting sqref="AX10:AX26">
    <cfRule type="expression" dxfId="90" priority="134">
      <formula>NOT($AO10)</formula>
    </cfRule>
  </conditionalFormatting>
  <conditionalFormatting sqref="AH19">
    <cfRule type="cellIs" dxfId="89" priority="133" operator="equal">
      <formula>"INVALID"</formula>
    </cfRule>
  </conditionalFormatting>
  <conditionalFormatting sqref="AG10">
    <cfRule type="cellIs" dxfId="88" priority="132" operator="equal">
      <formula>"INVALID"</formula>
    </cfRule>
  </conditionalFormatting>
  <conditionalFormatting sqref="AG13">
    <cfRule type="cellIs" dxfId="87" priority="131" operator="equal">
      <formula>"INVALID"</formula>
    </cfRule>
  </conditionalFormatting>
  <conditionalFormatting sqref="AG19">
    <cfRule type="cellIs" dxfId="86" priority="130" operator="equal">
      <formula>"INVALID"</formula>
    </cfRule>
  </conditionalFormatting>
  <conditionalFormatting sqref="AG22:AG23">
    <cfRule type="cellIs" dxfId="85" priority="129" operator="equal">
      <formula>"INVALID"</formula>
    </cfRule>
  </conditionalFormatting>
  <conditionalFormatting sqref="AG26">
    <cfRule type="cellIs" dxfId="84" priority="128" operator="equal">
      <formula>"INVALID"</formula>
    </cfRule>
  </conditionalFormatting>
  <conditionalFormatting sqref="AG97">
    <cfRule type="cellIs" dxfId="83" priority="127" operator="equal">
      <formula>"INVALID"</formula>
    </cfRule>
  </conditionalFormatting>
  <conditionalFormatting sqref="AG100">
    <cfRule type="cellIs" dxfId="82" priority="126" operator="equal">
      <formula>"INVALID"</formula>
    </cfRule>
  </conditionalFormatting>
  <conditionalFormatting sqref="AG200">
    <cfRule type="cellIs" dxfId="81" priority="125" operator="equal">
      <formula>"INVALID"</formula>
    </cfRule>
  </conditionalFormatting>
  <conditionalFormatting sqref="AG203:AG204">
    <cfRule type="cellIs" dxfId="80" priority="124" operator="equal">
      <formula>"INVALID"</formula>
    </cfRule>
  </conditionalFormatting>
  <conditionalFormatting sqref="AG207">
    <cfRule type="cellIs" dxfId="79" priority="123" operator="equal">
      <formula>"INVALID"</formula>
    </cfRule>
  </conditionalFormatting>
  <conditionalFormatting sqref="A425:B430 A413:B422">
    <cfRule type="expression" dxfId="78" priority="120" stopIfTrue="1">
      <formula>AND(LEN($D413),NOT(LEN(#REF!)))</formula>
    </cfRule>
  </conditionalFormatting>
  <conditionalFormatting sqref="A266:B295 A298:B307">
    <cfRule type="expression" dxfId="77" priority="103" stopIfTrue="1">
      <formula>AND(LEN($D266),NOT(LEN(#REF!)))</formula>
    </cfRule>
  </conditionalFormatting>
  <conditionalFormatting sqref="A315:B322">
    <cfRule type="expression" dxfId="76" priority="102" stopIfTrue="1">
      <formula>AND(LEN($D315),NOT(LEN(#REF!)))</formula>
    </cfRule>
  </conditionalFormatting>
  <conditionalFormatting sqref="A324:B331">
    <cfRule type="expression" dxfId="75" priority="101" stopIfTrue="1">
      <formula>AND(LEN($D324),NOT(LEN(#REF!)))</formula>
    </cfRule>
  </conditionalFormatting>
  <conditionalFormatting sqref="A342:B349">
    <cfRule type="expression" dxfId="74" priority="99" stopIfTrue="1">
      <formula>AND(LEN($D342),NOT(LEN(#REF!)))</formula>
    </cfRule>
  </conditionalFormatting>
  <conditionalFormatting sqref="A351:B356">
    <cfRule type="expression" dxfId="73" priority="98" stopIfTrue="1">
      <formula>AND(LEN($D351),NOT(LEN(#REF!)))</formula>
    </cfRule>
  </conditionalFormatting>
  <conditionalFormatting sqref="A360:B363 A368:B371">
    <cfRule type="expression" dxfId="72" priority="97" stopIfTrue="1">
      <formula>AND(LEN($D360),NOT(LEN(#REF!)))</formula>
    </cfRule>
  </conditionalFormatting>
  <conditionalFormatting sqref="A423:B424">
    <cfRule type="expression" dxfId="71" priority="96" stopIfTrue="1">
      <formula>AND(LEN($D423),NOT(LEN(#REF!)))</formula>
    </cfRule>
  </conditionalFormatting>
  <conditionalFormatting sqref="AV10:AV13 AV19:AV26 AV97:AV100 AV200:AV207 AV165:AV168 AV120:AV124 AV131:AV135">
    <cfRule type="expression" dxfId="70" priority="174">
      <formula>NOT(#REF!)</formula>
    </cfRule>
  </conditionalFormatting>
  <conditionalFormatting sqref="BE57">
    <cfRule type="expression" dxfId="69" priority="95" stopIfTrue="1">
      <formula>"($R($C-2))=-2"</formula>
    </cfRule>
  </conditionalFormatting>
  <conditionalFormatting sqref="BE101">
    <cfRule type="expression" dxfId="68" priority="94" stopIfTrue="1">
      <formula>"($R($C-2))=-2"</formula>
    </cfRule>
  </conditionalFormatting>
  <conditionalFormatting sqref="BD266:BD271">
    <cfRule type="cellIs" dxfId="67" priority="93" operator="equal">
      <formula>"Not Assigned"</formula>
    </cfRule>
  </conditionalFormatting>
  <conditionalFormatting sqref="BD272:BD277">
    <cfRule type="cellIs" dxfId="66" priority="92" operator="equal">
      <formula>"Not Assigned"</formula>
    </cfRule>
  </conditionalFormatting>
  <conditionalFormatting sqref="BD278:BD283">
    <cfRule type="cellIs" dxfId="65" priority="91" operator="equal">
      <formula>"Not Assigned"</formula>
    </cfRule>
  </conditionalFormatting>
  <conditionalFormatting sqref="BD284:BD289">
    <cfRule type="cellIs" dxfId="64" priority="90" operator="equal">
      <formula>"Not Assigned"</formula>
    </cfRule>
  </conditionalFormatting>
  <conditionalFormatting sqref="BD290:BD295">
    <cfRule type="cellIs" dxfId="63" priority="89" operator="equal">
      <formula>"Not Assigned"</formula>
    </cfRule>
  </conditionalFormatting>
  <conditionalFormatting sqref="BD298:BD301">
    <cfRule type="cellIs" dxfId="62" priority="88" operator="equal">
      <formula>"Not Assigned"</formula>
    </cfRule>
  </conditionalFormatting>
  <conditionalFormatting sqref="BD302:BD307">
    <cfRule type="cellIs" dxfId="61" priority="87" operator="equal">
      <formula>"Not Assigned"</formula>
    </cfRule>
  </conditionalFormatting>
  <conditionalFormatting sqref="BD315:BD322">
    <cfRule type="cellIs" dxfId="60" priority="86" operator="equal">
      <formula>"Not Assigned"</formula>
    </cfRule>
  </conditionalFormatting>
  <conditionalFormatting sqref="BD324:BD331">
    <cfRule type="cellIs" dxfId="59" priority="85" operator="equal">
      <formula>"Not Assigned"</formula>
    </cfRule>
  </conditionalFormatting>
  <conditionalFormatting sqref="BD351:BD353 BD355:BD356">
    <cfRule type="cellIs" dxfId="58" priority="84" operator="equal">
      <formula>"Not Assigned"</formula>
    </cfRule>
  </conditionalFormatting>
  <conditionalFormatting sqref="BD354">
    <cfRule type="cellIs" dxfId="57" priority="83" operator="equal">
      <formula>"Not Assigned"</formula>
    </cfRule>
  </conditionalFormatting>
  <conditionalFormatting sqref="BD368:BD369">
    <cfRule type="cellIs" dxfId="56" priority="80" operator="equal">
      <formula>"Not Assigned"</formula>
    </cfRule>
  </conditionalFormatting>
  <conditionalFormatting sqref="BD370:BD371">
    <cfRule type="cellIs" dxfId="55" priority="79" operator="equal">
      <formula>"Not Assigned"</formula>
    </cfRule>
  </conditionalFormatting>
  <conditionalFormatting sqref="BD415:BD416">
    <cfRule type="cellIs" dxfId="54" priority="78" operator="equal">
      <formula>"Not Assigned"</formula>
    </cfRule>
  </conditionalFormatting>
  <conditionalFormatting sqref="BD417:BD418">
    <cfRule type="cellIs" dxfId="53" priority="77" operator="equal">
      <formula>"Not Assigned"</formula>
    </cfRule>
  </conditionalFormatting>
  <conditionalFormatting sqref="BD419:BD420">
    <cfRule type="cellIs" dxfId="52" priority="76" operator="equal">
      <formula>"Not Assigned"</formula>
    </cfRule>
  </conditionalFormatting>
  <conditionalFormatting sqref="BD421:BD422">
    <cfRule type="cellIs" dxfId="51" priority="75" operator="equal">
      <formula>"Not Assigned"</formula>
    </cfRule>
  </conditionalFormatting>
  <conditionalFormatting sqref="BD423:BD424">
    <cfRule type="cellIs" dxfId="50" priority="74" operator="equal">
      <formula>"Not Assigned"</formula>
    </cfRule>
  </conditionalFormatting>
  <conditionalFormatting sqref="BD425:BD426">
    <cfRule type="cellIs" dxfId="49" priority="73" operator="equal">
      <formula>"Not Assigned"</formula>
    </cfRule>
  </conditionalFormatting>
  <conditionalFormatting sqref="BD427:BD428">
    <cfRule type="cellIs" dxfId="48" priority="72" operator="equal">
      <formula>"Not Assigned"</formula>
    </cfRule>
  </conditionalFormatting>
  <conditionalFormatting sqref="BD429:BD430">
    <cfRule type="cellIs" dxfId="47" priority="71" operator="equal">
      <formula>"Not Assigned"</formula>
    </cfRule>
  </conditionalFormatting>
  <conditionalFormatting sqref="A296:B297">
    <cfRule type="expression" dxfId="46" priority="53" stopIfTrue="1">
      <formula>AND(LEN($D296),NOT(LEN(#REF!)))</formula>
    </cfRule>
  </conditionalFormatting>
  <conditionalFormatting sqref="A308:B313">
    <cfRule type="expression" dxfId="45" priority="52" stopIfTrue="1">
      <formula>AND(LEN($D308),NOT(LEN(#REF!)))</formula>
    </cfRule>
  </conditionalFormatting>
  <conditionalFormatting sqref="A333:B340">
    <cfRule type="expression" dxfId="44" priority="51" stopIfTrue="1">
      <formula>AND(LEN($D333),NOT(LEN(#REF!)))</formula>
    </cfRule>
  </conditionalFormatting>
  <conditionalFormatting sqref="A357:B358">
    <cfRule type="expression" dxfId="43" priority="50" stopIfTrue="1">
      <formula>AND(LEN($D357),NOT(LEN(#REF!)))</formula>
    </cfRule>
  </conditionalFormatting>
  <conditionalFormatting sqref="A372:B407">
    <cfRule type="expression" dxfId="42" priority="49" stopIfTrue="1">
      <formula>AND(LEN($D372),NOT(LEN(#REF!)))</formula>
    </cfRule>
  </conditionalFormatting>
  <conditionalFormatting sqref="A431:B446">
    <cfRule type="expression" dxfId="41" priority="48" stopIfTrue="1">
      <formula>AND(LEN($D431),NOT(LEN(#REF!)))</formula>
    </cfRule>
  </conditionalFormatting>
  <conditionalFormatting sqref="A209:B210">
    <cfRule type="expression" dxfId="40" priority="43" stopIfTrue="1">
      <formula>AND(LEN($D209),NOT(LEN(#REF!)))</formula>
    </cfRule>
  </conditionalFormatting>
  <conditionalFormatting sqref="A10:B26">
    <cfRule type="expression" dxfId="39" priority="42" stopIfTrue="1">
      <formula>AND(LEN($D10),NOT(LEN(#REF!)))</formula>
    </cfRule>
  </conditionalFormatting>
  <conditionalFormatting sqref="A35:B40 A82:B82 A86:B90">
    <cfRule type="expression" dxfId="38" priority="41" stopIfTrue="1">
      <formula>AND(LEN($D35),NOT(LEN(#REF!)))</formula>
    </cfRule>
  </conditionalFormatting>
  <conditionalFormatting sqref="A57:B68">
    <cfRule type="expression" dxfId="37" priority="40" stopIfTrue="1">
      <formula>AND(LEN($D57),NOT(LEN(#REF!)))</formula>
    </cfRule>
  </conditionalFormatting>
  <conditionalFormatting sqref="A70:B80">
    <cfRule type="expression" dxfId="36" priority="39" stopIfTrue="1">
      <formula>AND(LEN($D70),NOT(LEN(#REF!)))</formula>
    </cfRule>
  </conditionalFormatting>
  <conditionalFormatting sqref="A101:B102 A91:B94">
    <cfRule type="expression" dxfId="35" priority="38" stopIfTrue="1">
      <formula>AND(LEN($D91),NOT(LEN(#REF!)))</formula>
    </cfRule>
  </conditionalFormatting>
  <conditionalFormatting sqref="A112:B135">
    <cfRule type="expression" dxfId="34" priority="37" stopIfTrue="1">
      <formula>AND(LEN($D112),NOT(LEN(#REF!)))</formula>
    </cfRule>
  </conditionalFormatting>
  <conditionalFormatting sqref="A137:B138 A141:B150">
    <cfRule type="expression" dxfId="33" priority="36" stopIfTrue="1">
      <formula>AND(LEN($D137),NOT(LEN(#REF!)))</formula>
    </cfRule>
  </conditionalFormatting>
  <conditionalFormatting sqref="A154:B163">
    <cfRule type="expression" dxfId="32" priority="35" stopIfTrue="1">
      <formula>AND(LEN($D154),NOT(LEN(#REF!)))</formula>
    </cfRule>
  </conditionalFormatting>
  <conditionalFormatting sqref="A165:B173">
    <cfRule type="expression" dxfId="31" priority="34" stopIfTrue="1">
      <formula>AND(LEN($D165),NOT(LEN(#REF!)))</formula>
    </cfRule>
  </conditionalFormatting>
  <conditionalFormatting sqref="A177:B181 A187:B188 A190:B191 A193:B198 A182">
    <cfRule type="expression" dxfId="30" priority="33" stopIfTrue="1">
      <formula>AND(LEN($D177),NOT(LEN(#REF!)))</formula>
    </cfRule>
  </conditionalFormatting>
  <conditionalFormatting sqref="A228:B229">
    <cfRule type="expression" dxfId="29" priority="31" stopIfTrue="1">
      <formula>AND(LEN($D228),NOT(LEN(#REF!)))</formula>
    </cfRule>
  </conditionalFormatting>
  <conditionalFormatting sqref="A242:B243">
    <cfRule type="expression" dxfId="28" priority="29" stopIfTrue="1">
      <formula>AND(LEN($D242),NOT(LEN(#REF!)))</formula>
    </cfRule>
  </conditionalFormatting>
  <conditionalFormatting sqref="A245:B250 A254:B255 A262:B262">
    <cfRule type="expression" dxfId="27" priority="28" stopIfTrue="1">
      <formula>AND(LEN($D245),NOT(LEN(#REF!)))</formula>
    </cfRule>
  </conditionalFormatting>
  <conditionalFormatting sqref="A28:B33">
    <cfRule type="expression" dxfId="26" priority="27" stopIfTrue="1">
      <formula>AND(LEN($D28),NOT(LEN(#REF!)))</formula>
    </cfRule>
  </conditionalFormatting>
  <conditionalFormatting sqref="A42:B55">
    <cfRule type="expression" dxfId="25" priority="26" stopIfTrue="1">
      <formula>AND(LEN($D42),NOT(LEN(#REF!)))</formula>
    </cfRule>
  </conditionalFormatting>
  <conditionalFormatting sqref="A83:B85">
    <cfRule type="expression" dxfId="24" priority="25" stopIfTrue="1">
      <formula>AND(LEN($D83),NOT(LEN(#REF!)))</formula>
    </cfRule>
  </conditionalFormatting>
  <conditionalFormatting sqref="A95:B100">
    <cfRule type="expression" dxfId="23" priority="24" stopIfTrue="1">
      <formula>AND(LEN($D95),NOT(LEN(#REF!)))</formula>
    </cfRule>
  </conditionalFormatting>
  <conditionalFormatting sqref="A104:B110">
    <cfRule type="expression" dxfId="22" priority="23" stopIfTrue="1">
      <formula>AND(LEN($D104),NOT(LEN(#REF!)))</formula>
    </cfRule>
  </conditionalFormatting>
  <conditionalFormatting sqref="A183:B186 B182">
    <cfRule type="expression" dxfId="21" priority="22" stopIfTrue="1">
      <formula>AND(LEN($D182),NOT(LEN(#REF!)))</formula>
    </cfRule>
  </conditionalFormatting>
  <conditionalFormatting sqref="A189:B189">
    <cfRule type="expression" dxfId="20" priority="21" stopIfTrue="1">
      <formula>AND(LEN($D189),NOT(LEN(#REF!)))</formula>
    </cfRule>
  </conditionalFormatting>
  <conditionalFormatting sqref="A192:B192">
    <cfRule type="expression" dxfId="19" priority="20" stopIfTrue="1">
      <formula>AND(LEN($D192),NOT(LEN(#REF!)))</formula>
    </cfRule>
  </conditionalFormatting>
  <conditionalFormatting sqref="A200:B207">
    <cfRule type="expression" dxfId="18" priority="19" stopIfTrue="1">
      <formula>AND(LEN($D200),NOT(LEN(#REF!)))</formula>
    </cfRule>
  </conditionalFormatting>
  <conditionalFormatting sqref="A212:B213">
    <cfRule type="expression" dxfId="17" priority="18" stopIfTrue="1">
      <formula>AND(LEN($D212),NOT(LEN(#REF!)))</formula>
    </cfRule>
  </conditionalFormatting>
  <conditionalFormatting sqref="A215:B218">
    <cfRule type="expression" dxfId="16" priority="17" stopIfTrue="1">
      <formula>AND(LEN($D215),NOT(LEN(#REF!)))</formula>
    </cfRule>
  </conditionalFormatting>
  <conditionalFormatting sqref="A219:B222 A225:B226">
    <cfRule type="expression" dxfId="15" priority="16" stopIfTrue="1">
      <formula>AND(LEN($D219),NOT(LEN(#REF!)))</formula>
    </cfRule>
  </conditionalFormatting>
  <conditionalFormatting sqref="A231:B234">
    <cfRule type="expression" dxfId="14" priority="15" stopIfTrue="1">
      <formula>AND(LEN($D231),NOT(LEN(#REF!)))</formula>
    </cfRule>
  </conditionalFormatting>
  <conditionalFormatting sqref="A235:B238">
    <cfRule type="expression" dxfId="13" priority="14" stopIfTrue="1">
      <formula>AND(LEN($D235),NOT(LEN(#REF!)))</formula>
    </cfRule>
  </conditionalFormatting>
  <conditionalFormatting sqref="A251:B253">
    <cfRule type="expression" dxfId="12" priority="13" stopIfTrue="1">
      <formula>AND(LEN($D251),NOT(LEN(#REF!)))</formula>
    </cfRule>
  </conditionalFormatting>
  <conditionalFormatting sqref="A256:B261">
    <cfRule type="expression" dxfId="11" priority="12" stopIfTrue="1">
      <formula>AND(LEN($D256),NOT(LEN(#REF!)))</formula>
    </cfRule>
  </conditionalFormatting>
  <conditionalFormatting sqref="A263:B263">
    <cfRule type="expression" dxfId="10" priority="11" stopIfTrue="1">
      <formula>AND(LEN($D263),NOT(LEN(#REF!)))</formula>
    </cfRule>
  </conditionalFormatting>
  <conditionalFormatting sqref="A139:B140">
    <cfRule type="expression" dxfId="9" priority="10" stopIfTrue="1">
      <formula>AND(LEN($D139),NOT(LEN(#REF!)))</formula>
    </cfRule>
  </conditionalFormatting>
  <conditionalFormatting sqref="A152:B153">
    <cfRule type="expression" dxfId="8" priority="9" stopIfTrue="1">
      <formula>AND(LEN($D152),NOT(LEN(#REF!)))</formula>
    </cfRule>
  </conditionalFormatting>
  <conditionalFormatting sqref="A174:B174">
    <cfRule type="expression" dxfId="7" priority="8" stopIfTrue="1">
      <formula>AND(LEN($D174),NOT(LEN(#REF!)))</formula>
    </cfRule>
  </conditionalFormatting>
  <conditionalFormatting sqref="A175:B175">
    <cfRule type="expression" dxfId="6" priority="7" stopIfTrue="1">
      <formula>AND(LEN($D175),NOT(LEN(#REF!)))</formula>
    </cfRule>
  </conditionalFormatting>
  <conditionalFormatting sqref="A408:B411">
    <cfRule type="expression" dxfId="5" priority="6" stopIfTrue="1">
      <formula>AND(LEN($D408),NOT(LEN(#REF!)))</formula>
    </cfRule>
  </conditionalFormatting>
  <conditionalFormatting sqref="A364:B367">
    <cfRule type="expression" dxfId="4" priority="5" stopIfTrue="1">
      <formula>AND(LEN($D364),NOT(LEN(#REF!)))</formula>
    </cfRule>
  </conditionalFormatting>
  <conditionalFormatting sqref="BD408:BD409">
    <cfRule type="cellIs" dxfId="3" priority="4" operator="equal">
      <formula>"Not Assigned"</formula>
    </cfRule>
  </conditionalFormatting>
  <conditionalFormatting sqref="BD410:BD411">
    <cfRule type="cellIs" dxfId="2" priority="3" operator="equal">
      <formula>"Not Assigned"</formula>
    </cfRule>
  </conditionalFormatting>
  <conditionalFormatting sqref="A223:B224">
    <cfRule type="expression" dxfId="1" priority="2" stopIfTrue="1">
      <formula>AND(LEN($D223),NOT(LEN(#REF!)))</formula>
    </cfRule>
  </conditionalFormatting>
  <conditionalFormatting sqref="A239:B240">
    <cfRule type="expression" dxfId="0" priority="1" stopIfTrue="1">
      <formula>AND(LEN($D239),NOT(LEN(#REF!)))</formula>
    </cfRule>
  </conditionalFormatting>
  <dataValidations count="15">
    <dataValidation type="list" allowBlank="1" showInputMessage="1" showErrorMessage="1" sqref="BC27 BC34" xr:uid="{C02D38A6-4B14-43FF-9F43-5DFA085778BA}">
      <formula1>"OFF,1.8V, 3.3V, 1.8V/3.3V, 1.8V/3.3V_default_1.8V"</formula1>
    </dataValidation>
    <dataValidation type="list" allowBlank="1" showInputMessage="1" showErrorMessage="1" sqref="BC151 BC199" xr:uid="{F5370780-E82F-4868-A0AE-025FBEDC2C03}">
      <formula1>"OFF, 1.8V, 3.3V"</formula1>
    </dataValidation>
    <dataValidation type="list" allowBlank="1" showInputMessage="1" showErrorMessage="1" sqref="BC350" xr:uid="{D304060D-B278-4587-9936-1134F8FC518D}">
      <formula1>"OFF, 3.3V"</formula1>
    </dataValidation>
    <dataValidation type="list" allowBlank="1" showInputMessage="1" showErrorMessage="1" sqref="BC265" xr:uid="{102730C1-803A-47B1-9133-694819ADBDA0}">
      <formula1>"OFF, 1.2V"</formula1>
    </dataValidation>
    <dataValidation type="list" allowBlank="1" showInputMessage="1" showErrorMessage="1" sqref="BC1029 BC737" xr:uid="{46CC16FD-1881-4873-A91E-B9977966ECCD}">
      <formula1>"OFF, 1.1V"</formula1>
    </dataValidation>
    <dataValidation type="list" allowBlank="1" showInputMessage="1" showErrorMessage="1" sqref="BC164 BC69 BC176 BC9 BC41 BC230 BC136 BC111 BC244 BC241 BC56 BC208 BC103 BC214 BC227 BC81 BC1031" xr:uid="{01F4C6CC-4366-4360-A533-8B5A2756804A}">
      <formula1>"OFF, 1.8V"</formula1>
    </dataValidation>
    <dataValidation type="list" showInputMessage="1" showErrorMessage="1" sqref="BB137:BB150 BB112:BB135 AS112:AS135 AS28:AS33 AS10:AS26 BB28:BB33 BB10:BB26 AS35:AS40 AS57:AS68 BB109:BB110 AS228:AS229 BB231:BB240 AS231:AS240 BB42:BB55 BB35:BB40 BB57:BB68 BB70:BB80 AS70:AS80 BB152:BB163 BB104:BB107 BB245:BB263 AS242:AS243 BB242:BB243 BB228:BB229 BB177:BB198 AS42:AS55 BB82:BB102 AS82:AS102 AS245:AS263 AS177:AS198 BB200:BB207 AS200:AS207 AS209:AS210 BB209:BB210 BB212:BB213 AS212:AS213 AS215:AS226 BB215:BB226 AS152:AS163 BB165:BB175 AS165:AS175 AS104:AS110 AS137:AS150" xr:uid="{2D71D40A-02B7-40B7-9A86-9917A07AB031}">
      <formula1>"Z, Int PU, Int PD, Drive 0, Drive 1, N/A"</formula1>
    </dataValidation>
    <dataValidation type="list" allowBlank="1" showInputMessage="1" showErrorMessage="1" sqref="AR112:AR135 AR177:AR198 AR28:AR33 AR10:AR26 AR35:AR40 AR57:AR68 AR245:AR263 AR231:AR240 AR42:AR55 AR70:AR80 AR104:AR110 AR242:AR243 AR228:AR229 AR82:AR102 AR200:AR207 AR209:AR210 AR212:AR213 AR215:AR226 AR152:AR163 AR165:AR175 AR137:AR150" xr:uid="{BCE996B7-0C24-4651-A57F-58A18898FAD4}">
      <formula1>"Not Assigned, Input, Output, Bidirectional, Open-Drain, N/A"</formula1>
    </dataValidation>
    <dataValidation type="list" showInputMessage="1" showErrorMessage="1" sqref="AQ885:AQ1028 AQ104:AQ110 AQ413:AQ446 AQ112:AQ135 AQ1032:AQ1033 AQ82:AQ102 AQ266:AQ313 AQ740:AQ883 AQ593:AQ736 AQ448:AQ591 AQ165:AQ175 AQ152:AQ163 AQ360:AQ411 AQ351:AQ358 AQ342:AQ349 AQ333:AQ340 AQ324:AQ331 AQ315:AQ322 AQ70:AQ80 AQ57:AQ68 AQ42:AQ55 AQ35:AQ40 AQ28:AQ33 AQ1030 AQ245:AQ263 AQ231:AQ240 AQ228:AQ229 AQ215:AQ226 AQ212:AQ213 AQ209:AQ210 AQ200:AQ207 AQ10:AQ26 AQ242:AQ243 AQ738 AO1035:AP1043 AQ177:AQ198 AQ137:AQ150" xr:uid="{AFDB9C00-55E0-4A2B-99AD-4B8350C0D40E}">
      <formula1>$F10:$K10</formula1>
    </dataValidation>
    <dataValidation type="list" allowBlank="1" showInputMessage="1" showErrorMessage="1" sqref="AX254 AW247:AX247 AY28 AW228:AX229 AX257:AX263 AW250:AX250 AX169:AX171 AY35 AX112:AX119 AW116:AW117 AW189:AW196 AY63 AW215:AX226 AY70 AX125:AX135 AW256:AW257 AW253 AW120:AX124 AW138:AW139 AW145:AX145 AW170:AW171 AY57 AW101:AX102 AW129:AW130 AW172:AX175 AW165:AX168 AW179:AX180 AW184:AX184 AX209:AX210 AX177:AX178 AX181:AX183 AX185:AX198 AW141:AW142 AX82:AX100 AX10:AX26 AX138:AX144 AX146:AX148" xr:uid="{AA217797-3FED-43A7-B183-C5E989E6F20B}">
      <formula1>"Disable, Enable"</formula1>
    </dataValidation>
    <dataValidation type="list" allowBlank="1" showInputMessage="1" showErrorMessage="1" sqref="BC359 BC314 BC323 BC332 BC341 BC412" xr:uid="{DFCA0F7B-B781-4046-996D-6CC3A53D9D3B}">
      <formula1>"OFF, 1.0V, 1.05V"</formula1>
    </dataValidation>
    <dataValidation type="list" showInputMessage="1" showErrorMessage="1" sqref="AT139:AT140 AT155 AT253 AT158:AT159 AT180:AT183 AT185:AT188 AT148 AT198 AT256:AT257 AT18 AT142:AT143 AT15:AT16 AT260 AT31 AT119:AT120 AT102 AT123:AT124 AT219 AT225:AT226 AT228 AT247 AT223 AT38 AT52 AT54 AT64 AT68 AT104 AT128:AT130 AT175 AT153 AT134:AT135 AT250 AT262:AT263 AT58 AT62 AT73 AT82:AT86 AT89 AT91 AT96 AT217 AT221 AT162:AT163 AT168 AT171:AT172 AT166 AT145:AT146" xr:uid="{6CA2BAB6-A944-4373-BAB2-E30B6CD2001E}">
      <formula1>"No, Yes"</formula1>
    </dataValidation>
    <dataValidation type="list" allowBlank="1" showInputMessage="1" showErrorMessage="1" sqref="BC211" xr:uid="{C18FDE98-5D51-4C13-BE88-AB1D8F829D76}">
      <formula1>"OFF, 1.2V, 1.8V"</formula1>
    </dataValidation>
    <dataValidation type="list" allowBlank="1" showInputMessage="1" showErrorMessage="1" sqref="BC447 BC592 BC884 BC739" xr:uid="{671B8095-1498-4628-98A5-513A0E5B6C15}">
      <formula1>"OFF, 0.6V, 1.1V"</formula1>
    </dataValidation>
    <dataValidation type="list" showInputMessage="1" showErrorMessage="1" sqref="AV10:AV13 AV19:AV26 AV97:AV100 AV200:AV207 AV165:AV168 AV120:AV124 AV131:AV135" xr:uid="{FBD23FBD-61A5-4D05-9C92-DE30D695CDE1}">
      <formula1>"N/A, Master, Slave"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Generate_Device_Tree.Generate_Device_Tree" altText="Generate C Code">
                <anchor moveWithCells="1" sizeWithCells="1">
                  <from>
                    <xdr:col>47</xdr:col>
                    <xdr:colOff>123825</xdr:colOff>
                    <xdr:row>1</xdr:row>
                    <xdr:rowOff>123825</xdr:rowOff>
                  </from>
                  <to>
                    <xdr:col>50</xdr:col>
                    <xdr:colOff>247650</xdr:colOff>
                    <xdr:row>4</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46</vt:i4>
      </vt:variant>
    </vt:vector>
  </HeadingPairs>
  <TitlesOfParts>
    <vt:vector size="48" baseType="lpstr">
      <vt:lpstr>Customer-Readme</vt:lpstr>
      <vt:lpstr>Jetson_Xavier_NX_Module</vt:lpstr>
      <vt:lpstr>Jetson_Xavier_NX_Module!AllowedPinDirection_GPIO</vt:lpstr>
      <vt:lpstr>Jetson_Xavier_NX_Module!AllowedPinDirection_SFIO0</vt:lpstr>
      <vt:lpstr>Jetson_Xavier_NX_Module!AllowedPinDirection_SFIO1</vt:lpstr>
      <vt:lpstr>Jetson_Xavier_NX_Module!AllowedPinDirection_SFIO2</vt:lpstr>
      <vt:lpstr>Jetson_Xavier_NX_Module!AllowedPinDirection_SFIO3</vt:lpstr>
      <vt:lpstr>Jetson_Xavier_NX_Module!ConfigFirstCell</vt:lpstr>
      <vt:lpstr>Jetson_Xavier_NX_Module!ConfigLastCell</vt:lpstr>
      <vt:lpstr>Jetson_Xavier_NX_Module!Customer_Usage</vt:lpstr>
      <vt:lpstr>Jetson_Xavier_NX_Module!Customer_Usage_Checker</vt:lpstr>
      <vt:lpstr>Jetson_Xavier_NX_Module!E_Input</vt:lpstr>
      <vt:lpstr>Jetson_Xavier_NX_Module!EQOS_LPBK_Enable</vt:lpstr>
      <vt:lpstr>Jetson_Xavier_NX_Module!Error_Check</vt:lpstr>
      <vt:lpstr>Jetson_Xavier_NX_Module!Ext_Pull_Down</vt:lpstr>
      <vt:lpstr>Jetson_Xavier_NX_Module!Ext_Pull_Up</vt:lpstr>
      <vt:lpstr>Jetson_Xavier_NX_Module!FirstMPIO</vt:lpstr>
      <vt:lpstr>Jetson_Xavier_NX_Module!FirstPadVoltageConfig</vt:lpstr>
      <vt:lpstr>Jetson_Xavier_NX_Module!FirstPinMuxingOption</vt:lpstr>
      <vt:lpstr>Jetson_Xavier_NX_Module!Function_0</vt:lpstr>
      <vt:lpstr>Jetson_Xavier_NX_Module!Function_Safe</vt:lpstr>
      <vt:lpstr>Jetson_Xavier_NX_Module!GPIO_Init_Value</vt:lpstr>
      <vt:lpstr>Jetson_Xavier_NX_Module!Initial_State</vt:lpstr>
      <vt:lpstr>Jetson_Xavier_NX_Module!Initial_State_Checker</vt:lpstr>
      <vt:lpstr>Jetson_Xavier_NX_Module!LastMPIO</vt:lpstr>
      <vt:lpstr>Jetson_Xavier_NX_Module!LastPadVoltageConfig</vt:lpstr>
      <vt:lpstr>Jetson_Xavier_NX_Module!Lock</vt:lpstr>
      <vt:lpstr>Jetson_Xavier_NX_Module!LPDR_Enable</vt:lpstr>
      <vt:lpstr>Jetson_Xavier_NX_Module!MPIOName</vt:lpstr>
      <vt:lpstr>Jetson_Xavier_NX_Module!PadVoltageConfig</vt:lpstr>
      <vt:lpstr>Jetson_Xavier_NX_Module!Pin_Direction</vt:lpstr>
      <vt:lpstr>Jetson_Xavier_NX_Module!Pin_Direction_Checker</vt:lpstr>
      <vt:lpstr>Jetson_Xavier_NX_Module!Pin_Group</vt:lpstr>
      <vt:lpstr>Jetson_Xavier_NX_Module!Pinmux_GPIO</vt:lpstr>
      <vt:lpstr>Jetson_Xavier_NX_Module!Pinmux_SFIO0</vt:lpstr>
      <vt:lpstr>Jetson_Xavier_NX_Module!Pinmux_SFIO1</vt:lpstr>
      <vt:lpstr>Jetson_Xavier_NX_Module!Pinmux_SFIO2</vt:lpstr>
      <vt:lpstr>Jetson_Xavier_NX_Module!Pinmux_SFIO3</vt:lpstr>
      <vt:lpstr>Jetson_Xavier_NX_Module!Pinmux_Unused</vt:lpstr>
      <vt:lpstr>Jetson_Xavier_NX_Module!PUPD</vt:lpstr>
      <vt:lpstr>Jetson_Xavier_NX_Module!RCV_SEL</vt:lpstr>
      <vt:lpstr>Jetson_Xavier_NX_Module!RCV_SEL_Checker</vt:lpstr>
      <vt:lpstr>Jetson_Xavier_NX_Module!Resistor_Checker</vt:lpstr>
      <vt:lpstr>Jetson_Xavier_NX_Module!REVISION_NO</vt:lpstr>
      <vt:lpstr>Jetson_Xavier_NX_Module!REVISION_NUMBER</vt:lpstr>
      <vt:lpstr>Jetson_Xavier_NX_Module!Tristate</vt:lpstr>
      <vt:lpstr>Jetson_Xavier_NX_Module!Wake_Checker</vt:lpstr>
      <vt:lpstr>Jetson_Xavier_NX_Module!Wake_Pin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2022-03-21T03:14:01Z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